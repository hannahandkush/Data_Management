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mac/green_data_science/DMS_project/original_data/"/>
    </mc:Choice>
  </mc:AlternateContent>
  <xr:revisionPtr revIDLastSave="0" documentId="13_ncr:1_{03D10D61-E499-5A4E-AC2C-C1950841B625}" xr6:coauthVersionLast="47" xr6:coauthVersionMax="47" xr10:uidLastSave="{00000000-0000-0000-0000-000000000000}"/>
  <bookViews>
    <workbookView xWindow="0" yWindow="620" windowWidth="28800" windowHeight="16500" xr2:uid="{2810880D-2A82-6240-8419-92437EE9CD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266" i="1" l="1"/>
  <c r="K4266" i="1"/>
  <c r="P4265" i="1"/>
  <c r="S4265" i="1" s="1"/>
  <c r="K4265" i="1"/>
  <c r="S4264" i="1"/>
  <c r="K4264" i="1"/>
  <c r="S4263" i="1"/>
  <c r="K4263" i="1"/>
  <c r="S4262" i="1"/>
  <c r="K4262" i="1"/>
  <c r="S4261" i="1"/>
  <c r="K4261" i="1"/>
  <c r="P4260" i="1"/>
  <c r="S4260" i="1" s="1"/>
  <c r="K4260" i="1"/>
  <c r="S4259" i="1"/>
  <c r="K4259" i="1"/>
  <c r="P4258" i="1"/>
  <c r="S4258" i="1" s="1"/>
  <c r="K4258" i="1"/>
  <c r="S4256" i="1"/>
  <c r="K4256" i="1"/>
  <c r="S4253" i="1"/>
  <c r="K4253" i="1"/>
  <c r="S4251" i="1"/>
  <c r="K4251" i="1"/>
  <c r="S4250" i="1"/>
  <c r="K4250" i="1"/>
  <c r="P4249" i="1"/>
  <c r="S4249" i="1" s="1"/>
  <c r="K4249" i="1"/>
  <c r="S4246" i="1"/>
  <c r="K4246" i="1"/>
  <c r="S4245" i="1"/>
  <c r="K4245" i="1"/>
  <c r="S4243" i="1"/>
  <c r="K4243" i="1"/>
  <c r="S4242" i="1"/>
  <c r="K4242" i="1"/>
  <c r="S4241" i="1"/>
  <c r="K4241" i="1"/>
  <c r="S4240" i="1"/>
  <c r="K4240" i="1"/>
  <c r="S4239" i="1"/>
  <c r="K4239" i="1"/>
  <c r="S4237" i="1"/>
  <c r="K4237" i="1"/>
  <c r="S4236" i="1"/>
  <c r="K4236" i="1"/>
  <c r="S4235" i="1"/>
  <c r="K4235" i="1"/>
  <c r="S4234" i="1"/>
  <c r="K4234" i="1"/>
  <c r="S4232" i="1"/>
  <c r="K4232" i="1"/>
  <c r="S4230" i="1"/>
  <c r="K4230" i="1"/>
  <c r="S4228" i="1"/>
  <c r="K4228" i="1"/>
  <c r="S4222" i="1"/>
  <c r="K4222" i="1"/>
  <c r="S4221" i="1"/>
  <c r="K4221" i="1"/>
  <c r="S4220" i="1"/>
  <c r="K4220" i="1"/>
  <c r="S4218" i="1"/>
  <c r="K4218" i="1"/>
  <c r="S4217" i="1"/>
  <c r="K4217" i="1"/>
  <c r="S4213" i="1"/>
  <c r="K4213" i="1"/>
  <c r="S4212" i="1"/>
  <c r="K4212" i="1"/>
  <c r="S4211" i="1"/>
  <c r="K4211" i="1"/>
  <c r="S4210" i="1"/>
  <c r="K4210" i="1"/>
  <c r="S4209" i="1"/>
  <c r="K4209" i="1"/>
  <c r="S4207" i="1"/>
  <c r="K4207" i="1"/>
  <c r="P4205" i="1"/>
  <c r="S4205" i="1" s="1"/>
  <c r="K4205" i="1"/>
  <c r="S4204" i="1"/>
  <c r="K4204" i="1"/>
  <c r="P4203" i="1"/>
  <c r="S4203" i="1" s="1"/>
  <c r="K4203" i="1"/>
  <c r="S4202" i="1"/>
  <c r="K4202" i="1"/>
  <c r="S4201" i="1"/>
  <c r="K4201" i="1"/>
  <c r="S4200" i="1"/>
  <c r="K4200" i="1"/>
  <c r="P4199" i="1"/>
  <c r="S4199" i="1" s="1"/>
  <c r="K4199" i="1"/>
  <c r="S4198" i="1"/>
  <c r="K4198" i="1"/>
  <c r="S4197" i="1"/>
  <c r="K4197" i="1"/>
  <c r="S4196" i="1"/>
  <c r="K4196" i="1"/>
  <c r="S4195" i="1"/>
  <c r="K4195" i="1"/>
  <c r="S4194" i="1"/>
  <c r="K4194" i="1"/>
  <c r="S4193" i="1"/>
  <c r="K4193" i="1"/>
  <c r="S4192" i="1"/>
  <c r="K4192" i="1"/>
  <c r="S4191" i="1"/>
  <c r="K4191" i="1"/>
  <c r="S4190" i="1"/>
  <c r="K4190" i="1"/>
  <c r="P4189" i="1"/>
  <c r="S4189" i="1" s="1"/>
  <c r="K4189" i="1"/>
  <c r="S4188" i="1"/>
  <c r="K4188" i="1"/>
  <c r="S4187" i="1"/>
  <c r="K4187" i="1"/>
  <c r="S4186" i="1"/>
  <c r="K4186" i="1"/>
  <c r="S4185" i="1"/>
  <c r="K4185" i="1"/>
  <c r="S4184" i="1"/>
  <c r="K4184" i="1"/>
  <c r="S4181" i="1"/>
  <c r="K4181" i="1"/>
  <c r="P4180" i="1"/>
  <c r="S4180" i="1" s="1"/>
  <c r="K4180" i="1"/>
  <c r="S4178" i="1"/>
  <c r="K4178" i="1"/>
  <c r="S4177" i="1"/>
  <c r="K4177" i="1"/>
  <c r="P4176" i="1"/>
  <c r="S4176" i="1" s="1"/>
  <c r="K4176" i="1"/>
  <c r="P4174" i="1"/>
  <c r="S4174" i="1" s="1"/>
  <c r="K4174" i="1"/>
  <c r="P4173" i="1"/>
  <c r="S4173" i="1" s="1"/>
  <c r="K4173" i="1"/>
  <c r="S4171" i="1"/>
  <c r="K4171" i="1"/>
  <c r="S4168" i="1"/>
  <c r="K4168" i="1"/>
  <c r="S4167" i="1"/>
  <c r="K4167" i="1"/>
  <c r="S4166" i="1"/>
  <c r="K4166" i="1"/>
  <c r="S4165" i="1"/>
  <c r="K4165" i="1"/>
  <c r="S4164" i="1"/>
  <c r="K4164" i="1"/>
  <c r="S4162" i="1"/>
  <c r="K4162" i="1"/>
  <c r="S4161" i="1"/>
  <c r="K4161" i="1"/>
  <c r="S4160" i="1"/>
  <c r="K4160" i="1"/>
  <c r="S4159" i="1"/>
  <c r="K4159" i="1"/>
  <c r="S4158" i="1"/>
  <c r="K4158" i="1"/>
  <c r="S4156" i="1"/>
  <c r="K4156" i="1"/>
  <c r="S4155" i="1"/>
  <c r="K4155" i="1"/>
  <c r="S4154" i="1"/>
  <c r="K4154" i="1"/>
  <c r="P4152" i="1"/>
  <c r="S4152" i="1" s="1"/>
  <c r="K4152" i="1"/>
  <c r="S4150" i="1"/>
  <c r="K4150" i="1"/>
  <c r="S4149" i="1"/>
  <c r="K4149" i="1"/>
  <c r="S4144" i="1"/>
  <c r="K4144" i="1"/>
  <c r="S4142" i="1"/>
  <c r="K4142" i="1"/>
  <c r="S4141" i="1"/>
  <c r="K4141" i="1"/>
  <c r="S4140" i="1"/>
  <c r="K4140" i="1"/>
  <c r="S4138" i="1"/>
  <c r="K4138" i="1"/>
  <c r="P4137" i="1"/>
  <c r="S4137" i="1" s="1"/>
  <c r="K4137" i="1"/>
  <c r="P4136" i="1"/>
  <c r="S4136" i="1" s="1"/>
  <c r="K4136" i="1"/>
  <c r="S4134" i="1"/>
  <c r="K4134" i="1"/>
  <c r="S4133" i="1"/>
  <c r="K4133" i="1"/>
  <c r="P4132" i="1"/>
  <c r="S4132" i="1" s="1"/>
  <c r="K4132" i="1"/>
  <c r="S4131" i="1"/>
  <c r="K4131" i="1"/>
  <c r="S4130" i="1"/>
  <c r="K4130" i="1"/>
  <c r="S4129" i="1"/>
  <c r="K4129" i="1"/>
  <c r="P4127" i="1"/>
  <c r="S4127" i="1" s="1"/>
  <c r="K4127" i="1"/>
  <c r="S4125" i="1"/>
  <c r="K4125" i="1"/>
  <c r="P4123" i="1"/>
  <c r="S4123" i="1" s="1"/>
  <c r="K4123" i="1"/>
  <c r="S4118" i="1"/>
  <c r="K4118" i="1"/>
  <c r="P4116" i="1"/>
  <c r="S4116" i="1" s="1"/>
  <c r="K4116" i="1"/>
  <c r="S4114" i="1"/>
  <c r="K4114" i="1"/>
  <c r="S4112" i="1"/>
  <c r="K4112" i="1"/>
  <c r="S4111" i="1"/>
  <c r="K4111" i="1"/>
  <c r="S4110" i="1"/>
  <c r="K4110" i="1"/>
  <c r="S4109" i="1"/>
  <c r="K4109" i="1"/>
  <c r="S4107" i="1"/>
  <c r="K4107" i="1"/>
  <c r="S4106" i="1"/>
  <c r="K4106" i="1"/>
  <c r="P4105" i="1"/>
  <c r="S4105" i="1" s="1"/>
  <c r="K4105" i="1"/>
  <c r="S4104" i="1"/>
  <c r="K4104" i="1"/>
  <c r="S4103" i="1"/>
  <c r="K4103" i="1"/>
  <c r="S4102" i="1"/>
  <c r="K4102" i="1"/>
  <c r="S4099" i="1"/>
  <c r="K4099" i="1"/>
  <c r="S4098" i="1"/>
  <c r="K4098" i="1"/>
  <c r="S4097" i="1"/>
  <c r="K4097" i="1"/>
  <c r="S4095" i="1"/>
  <c r="K4095" i="1"/>
  <c r="P4094" i="1"/>
  <c r="S4094" i="1" s="1"/>
  <c r="K4094" i="1"/>
  <c r="S4092" i="1"/>
  <c r="K4092" i="1"/>
  <c r="S4091" i="1"/>
  <c r="K4091" i="1"/>
  <c r="S4090" i="1"/>
  <c r="K4090" i="1"/>
  <c r="S4088" i="1"/>
  <c r="K4088" i="1"/>
  <c r="S4087" i="1"/>
  <c r="K4087" i="1"/>
  <c r="P4084" i="1"/>
  <c r="S4084" i="1" s="1"/>
  <c r="K4084" i="1"/>
  <c r="S4083" i="1"/>
  <c r="K4083" i="1"/>
  <c r="S4082" i="1"/>
  <c r="K4082" i="1"/>
  <c r="S4080" i="1"/>
  <c r="K4080" i="1"/>
  <c r="S4079" i="1"/>
  <c r="K4079" i="1"/>
  <c r="S4078" i="1"/>
  <c r="K4078" i="1"/>
  <c r="S4077" i="1"/>
  <c r="K4077" i="1"/>
  <c r="S4076" i="1"/>
  <c r="K4076" i="1"/>
  <c r="S4074" i="1"/>
  <c r="K4074" i="1"/>
  <c r="S4073" i="1"/>
  <c r="K4073" i="1"/>
  <c r="P4072" i="1"/>
  <c r="S4072" i="1" s="1"/>
  <c r="K4072" i="1"/>
  <c r="P4071" i="1"/>
  <c r="S4071" i="1" s="1"/>
  <c r="K4071" i="1"/>
  <c r="S4068" i="1"/>
  <c r="K4068" i="1"/>
  <c r="P4066" i="1"/>
  <c r="S4066" i="1" s="1"/>
  <c r="K4066" i="1"/>
  <c r="S4065" i="1"/>
  <c r="K4065" i="1"/>
  <c r="S4064" i="1"/>
  <c r="K4064" i="1"/>
  <c r="P4062" i="1"/>
  <c r="S4062" i="1" s="1"/>
  <c r="K4062" i="1"/>
  <c r="S4060" i="1"/>
  <c r="K4060" i="1"/>
  <c r="S4056" i="1"/>
  <c r="K4056" i="1"/>
  <c r="S4055" i="1"/>
  <c r="K4055" i="1"/>
  <c r="S4053" i="1"/>
  <c r="K4053" i="1"/>
  <c r="S4052" i="1"/>
  <c r="K4052" i="1"/>
  <c r="P4046" i="1"/>
  <c r="S4046" i="1" s="1"/>
  <c r="K4046" i="1"/>
  <c r="S4043" i="1"/>
  <c r="K4043" i="1"/>
  <c r="S4042" i="1"/>
  <c r="K4042" i="1"/>
  <c r="S4040" i="1"/>
  <c r="K4040" i="1"/>
  <c r="S4039" i="1"/>
  <c r="K4039" i="1"/>
  <c r="P4038" i="1"/>
  <c r="S4038" i="1" s="1"/>
  <c r="K4038" i="1"/>
  <c r="S4037" i="1"/>
  <c r="K4037" i="1"/>
  <c r="S4036" i="1"/>
  <c r="K4036" i="1"/>
  <c r="S4034" i="1"/>
  <c r="K4034" i="1"/>
  <c r="S4032" i="1"/>
  <c r="K4032" i="1"/>
  <c r="S4029" i="1"/>
  <c r="K4029" i="1"/>
  <c r="P4028" i="1"/>
  <c r="S4028" i="1" s="1"/>
  <c r="K4028" i="1"/>
  <c r="S4027" i="1"/>
  <c r="K4027" i="1"/>
  <c r="S4026" i="1"/>
  <c r="K4026" i="1"/>
  <c r="P4022" i="1"/>
  <c r="S4022" i="1" s="1"/>
  <c r="K4022" i="1"/>
  <c r="P4021" i="1"/>
  <c r="S4021" i="1" s="1"/>
  <c r="K4021" i="1"/>
  <c r="S4020" i="1"/>
  <c r="K4020" i="1"/>
  <c r="S4019" i="1"/>
  <c r="K4019" i="1"/>
  <c r="S4014" i="1"/>
  <c r="K4014" i="1"/>
  <c r="S4013" i="1"/>
  <c r="K4013" i="1"/>
  <c r="P4011" i="1"/>
  <c r="S4011" i="1" s="1"/>
  <c r="K4011" i="1"/>
  <c r="S4010" i="1"/>
  <c r="K4010" i="1"/>
  <c r="S4009" i="1"/>
  <c r="K4009" i="1"/>
  <c r="S4008" i="1"/>
  <c r="K4008" i="1"/>
  <c r="S4007" i="1"/>
  <c r="K4007" i="1"/>
  <c r="S4006" i="1"/>
  <c r="K4006" i="1"/>
  <c r="S4005" i="1"/>
  <c r="K4005" i="1"/>
  <c r="S4001" i="1"/>
  <c r="K4001" i="1"/>
  <c r="S3998" i="1"/>
  <c r="K3998" i="1"/>
  <c r="S3997" i="1"/>
  <c r="K3997" i="1"/>
  <c r="S3996" i="1"/>
  <c r="K3996" i="1"/>
  <c r="S3993" i="1"/>
  <c r="K3993" i="1"/>
  <c r="S3991" i="1"/>
  <c r="K3991" i="1"/>
  <c r="S3990" i="1"/>
  <c r="K3990" i="1"/>
  <c r="S3989" i="1"/>
  <c r="K3989" i="1"/>
  <c r="S3988" i="1"/>
  <c r="K3988" i="1"/>
  <c r="S3987" i="1"/>
  <c r="K3987" i="1"/>
  <c r="S3986" i="1"/>
  <c r="K3986" i="1"/>
  <c r="P3985" i="1"/>
  <c r="S3985" i="1" s="1"/>
  <c r="K3985" i="1"/>
  <c r="S3984" i="1"/>
  <c r="K3984" i="1"/>
  <c r="S3982" i="1"/>
  <c r="K3982" i="1"/>
  <c r="P3978" i="1"/>
  <c r="S3978" i="1" s="1"/>
  <c r="K3978" i="1"/>
  <c r="S3977" i="1"/>
  <c r="K3977" i="1"/>
  <c r="S3975" i="1"/>
  <c r="K3975" i="1"/>
  <c r="S3974" i="1"/>
  <c r="K3974" i="1"/>
  <c r="S3973" i="1"/>
  <c r="K3973" i="1"/>
  <c r="S3972" i="1"/>
  <c r="K3972" i="1"/>
  <c r="S3971" i="1"/>
  <c r="K3971" i="1"/>
  <c r="S3969" i="1"/>
  <c r="K3969" i="1"/>
  <c r="S3967" i="1"/>
  <c r="K3967" i="1"/>
  <c r="S3966" i="1"/>
  <c r="K3966" i="1"/>
  <c r="S3964" i="1"/>
  <c r="K3964" i="1"/>
  <c r="S3963" i="1"/>
  <c r="K3963" i="1"/>
  <c r="S3961" i="1"/>
  <c r="K3961" i="1"/>
  <c r="S3960" i="1"/>
  <c r="K3960" i="1"/>
  <c r="S3959" i="1"/>
  <c r="K3959" i="1"/>
  <c r="S3958" i="1"/>
  <c r="K3958" i="1"/>
  <c r="S3955" i="1"/>
  <c r="K3955" i="1"/>
  <c r="S3954" i="1"/>
  <c r="K3954" i="1"/>
  <c r="S3953" i="1"/>
  <c r="K3953" i="1"/>
  <c r="S3950" i="1"/>
  <c r="K3950" i="1"/>
  <c r="S3949" i="1"/>
  <c r="K3949" i="1"/>
  <c r="P3948" i="1"/>
  <c r="S3948" i="1" s="1"/>
  <c r="K3948" i="1"/>
  <c r="P3947" i="1"/>
  <c r="S3947" i="1" s="1"/>
  <c r="K3947" i="1"/>
  <c r="S3946" i="1"/>
  <c r="K3946" i="1"/>
  <c r="S3945" i="1"/>
  <c r="K3945" i="1"/>
  <c r="S3944" i="1"/>
  <c r="K3944" i="1"/>
  <c r="S3942" i="1"/>
  <c r="K3942" i="1"/>
  <c r="S3939" i="1"/>
  <c r="K3939" i="1"/>
  <c r="S3936" i="1"/>
  <c r="K3936" i="1"/>
  <c r="S3935" i="1"/>
  <c r="K3935" i="1"/>
  <c r="S3934" i="1"/>
  <c r="K3934" i="1"/>
  <c r="S3932" i="1"/>
  <c r="K3932" i="1"/>
  <c r="S3931" i="1"/>
  <c r="K3931" i="1"/>
  <c r="S3928" i="1"/>
  <c r="K3928" i="1"/>
  <c r="S3927" i="1"/>
  <c r="K3927" i="1"/>
  <c r="S3926" i="1"/>
  <c r="K3926" i="1"/>
  <c r="S3925" i="1"/>
  <c r="K3925" i="1"/>
  <c r="S3924" i="1"/>
  <c r="K3924" i="1"/>
  <c r="S3923" i="1"/>
  <c r="K3923" i="1"/>
  <c r="S3922" i="1"/>
  <c r="K3922" i="1"/>
  <c r="S3919" i="1"/>
  <c r="K3919" i="1"/>
  <c r="S3917" i="1"/>
  <c r="K3917" i="1"/>
  <c r="S3915" i="1"/>
  <c r="K3915" i="1"/>
  <c r="S3913" i="1"/>
  <c r="K3913" i="1"/>
  <c r="S3912" i="1"/>
  <c r="K3912" i="1"/>
  <c r="S3910" i="1"/>
  <c r="K3910" i="1"/>
  <c r="P3909" i="1"/>
  <c r="S3909" i="1" s="1"/>
  <c r="K3909" i="1"/>
  <c r="S3908" i="1"/>
  <c r="K3908" i="1"/>
  <c r="S3906" i="1"/>
  <c r="K3906" i="1"/>
  <c r="S3904" i="1"/>
  <c r="K3904" i="1"/>
  <c r="S3903" i="1"/>
  <c r="K3903" i="1"/>
  <c r="S3902" i="1"/>
  <c r="K3902" i="1"/>
  <c r="P3898" i="1"/>
  <c r="S3898" i="1" s="1"/>
  <c r="K3898" i="1"/>
  <c r="S3895" i="1"/>
  <c r="K3895" i="1"/>
  <c r="S3894" i="1"/>
  <c r="K3894" i="1"/>
  <c r="P3892" i="1"/>
  <c r="S3892" i="1" s="1"/>
  <c r="K3892" i="1"/>
  <c r="S3890" i="1"/>
  <c r="K3890" i="1"/>
  <c r="P3889" i="1"/>
  <c r="S3889" i="1" s="1"/>
  <c r="K3889" i="1"/>
  <c r="S3888" i="1"/>
  <c r="K3888" i="1"/>
  <c r="S3886" i="1"/>
  <c r="K3886" i="1"/>
  <c r="S3884" i="1"/>
  <c r="K3884" i="1"/>
  <c r="S3883" i="1"/>
  <c r="K3883" i="1"/>
  <c r="S3881" i="1"/>
  <c r="K3881" i="1"/>
  <c r="S3880" i="1"/>
  <c r="K3880" i="1"/>
  <c r="P3877" i="1"/>
  <c r="S3877" i="1" s="1"/>
  <c r="K3877" i="1"/>
  <c r="S3876" i="1"/>
  <c r="K3876" i="1"/>
  <c r="S3874" i="1"/>
  <c r="K3874" i="1"/>
  <c r="S3873" i="1"/>
  <c r="K3873" i="1"/>
  <c r="S3872" i="1"/>
  <c r="K3872" i="1"/>
  <c r="S3871" i="1"/>
  <c r="K3871" i="1"/>
  <c r="S3870" i="1"/>
  <c r="K3870" i="1"/>
  <c r="S3869" i="1"/>
  <c r="K3869" i="1"/>
  <c r="P3868" i="1"/>
  <c r="S3868" i="1" s="1"/>
  <c r="K3868" i="1"/>
  <c r="S3867" i="1"/>
  <c r="K3867" i="1"/>
  <c r="S3864" i="1"/>
  <c r="K3864" i="1"/>
  <c r="S3863" i="1"/>
  <c r="K3863" i="1"/>
  <c r="P3862" i="1"/>
  <c r="S3862" i="1" s="1"/>
  <c r="K3862" i="1"/>
  <c r="S3860" i="1"/>
  <c r="K3860" i="1"/>
  <c r="P3859" i="1"/>
  <c r="S3859" i="1" s="1"/>
  <c r="K3859" i="1"/>
  <c r="S3857" i="1"/>
  <c r="K3857" i="1"/>
  <c r="S3856" i="1"/>
  <c r="K3856" i="1"/>
  <c r="S3855" i="1"/>
  <c r="K3855" i="1"/>
  <c r="S3854" i="1"/>
  <c r="K3854" i="1"/>
  <c r="S3853" i="1"/>
  <c r="K3853" i="1"/>
  <c r="S3852" i="1"/>
  <c r="K3852" i="1"/>
  <c r="S3850" i="1"/>
  <c r="K3850" i="1"/>
  <c r="S3849" i="1"/>
  <c r="K3849" i="1"/>
  <c r="S3848" i="1"/>
  <c r="K3848" i="1"/>
  <c r="S3847" i="1"/>
  <c r="K3847" i="1"/>
  <c r="S3844" i="1"/>
  <c r="K3844" i="1"/>
  <c r="S3843" i="1"/>
  <c r="K3843" i="1"/>
  <c r="S3841" i="1"/>
  <c r="K3841" i="1"/>
  <c r="S3840" i="1"/>
  <c r="K3840" i="1"/>
  <c r="S3838" i="1"/>
  <c r="K3838" i="1"/>
  <c r="S3837" i="1"/>
  <c r="K3837" i="1"/>
  <c r="S3836" i="1"/>
  <c r="K3836" i="1"/>
  <c r="S3835" i="1"/>
  <c r="K3835" i="1"/>
  <c r="P3834" i="1"/>
  <c r="S3834" i="1" s="1"/>
  <c r="K3834" i="1"/>
  <c r="S3833" i="1"/>
  <c r="K3833" i="1"/>
  <c r="P3829" i="1"/>
  <c r="S3829" i="1" s="1"/>
  <c r="K3829" i="1"/>
  <c r="S3828" i="1"/>
  <c r="K3828" i="1"/>
  <c r="S3827" i="1"/>
  <c r="K3827" i="1"/>
  <c r="S3825" i="1"/>
  <c r="K3825" i="1"/>
  <c r="S3824" i="1"/>
  <c r="K3824" i="1"/>
  <c r="S3823" i="1"/>
  <c r="K3823" i="1"/>
  <c r="S3822" i="1"/>
  <c r="K3822" i="1"/>
  <c r="S3820" i="1"/>
  <c r="K3820" i="1"/>
  <c r="S3819" i="1"/>
  <c r="K3819" i="1"/>
  <c r="S3818" i="1"/>
  <c r="K3818" i="1"/>
  <c r="S3817" i="1"/>
  <c r="K3817" i="1"/>
  <c r="S3815" i="1"/>
  <c r="K3815" i="1"/>
  <c r="S3813" i="1"/>
  <c r="K3813" i="1"/>
  <c r="S3812" i="1"/>
  <c r="K3812" i="1"/>
  <c r="S3811" i="1"/>
  <c r="K3811" i="1"/>
  <c r="S3810" i="1"/>
  <c r="K3810" i="1"/>
  <c r="S3809" i="1"/>
  <c r="K3809" i="1"/>
  <c r="S3808" i="1"/>
  <c r="K3808" i="1"/>
  <c r="P3807" i="1"/>
  <c r="S3807" i="1" s="1"/>
  <c r="K3807" i="1"/>
  <c r="P3806" i="1"/>
  <c r="S3806" i="1" s="1"/>
  <c r="K3806" i="1"/>
  <c r="S3805" i="1"/>
  <c r="K3805" i="1"/>
  <c r="S3804" i="1"/>
  <c r="K3804" i="1"/>
  <c r="S3803" i="1"/>
  <c r="K3803" i="1"/>
  <c r="S3801" i="1"/>
  <c r="K3801" i="1"/>
  <c r="S3800" i="1"/>
  <c r="K3800" i="1"/>
  <c r="S3798" i="1"/>
  <c r="K3798" i="1"/>
  <c r="S3795" i="1"/>
  <c r="K3795" i="1"/>
  <c r="P3794" i="1"/>
  <c r="S3794" i="1" s="1"/>
  <c r="K3794" i="1"/>
  <c r="S3793" i="1"/>
  <c r="K3793" i="1"/>
  <c r="S3792" i="1"/>
  <c r="K3792" i="1"/>
  <c r="S3791" i="1"/>
  <c r="K3791" i="1"/>
  <c r="S3790" i="1"/>
  <c r="K3790" i="1"/>
  <c r="S3789" i="1"/>
  <c r="K3789" i="1"/>
  <c r="P3788" i="1"/>
  <c r="S3788" i="1" s="1"/>
  <c r="K3788" i="1"/>
  <c r="S3787" i="1"/>
  <c r="K3787" i="1"/>
  <c r="S3786" i="1"/>
  <c r="K3786" i="1"/>
  <c r="S3785" i="1"/>
  <c r="K3785" i="1"/>
  <c r="S3783" i="1"/>
  <c r="K3783" i="1"/>
  <c r="S3782" i="1"/>
  <c r="K3782" i="1"/>
  <c r="S3781" i="1"/>
  <c r="K3781" i="1"/>
  <c r="S3780" i="1"/>
  <c r="K3780" i="1"/>
  <c r="P3778" i="1"/>
  <c r="S3778" i="1" s="1"/>
  <c r="K3778" i="1"/>
  <c r="S3777" i="1"/>
  <c r="K3777" i="1"/>
  <c r="S3776" i="1"/>
  <c r="K3776" i="1"/>
  <c r="S3775" i="1"/>
  <c r="K3775" i="1"/>
  <c r="S3774" i="1"/>
  <c r="K3774" i="1"/>
  <c r="P3773" i="1"/>
  <c r="S3773" i="1" s="1"/>
  <c r="K3773" i="1"/>
  <c r="S3771" i="1"/>
  <c r="K3771" i="1"/>
  <c r="S3770" i="1"/>
  <c r="K3770" i="1"/>
  <c r="S3769" i="1"/>
  <c r="K3769" i="1"/>
  <c r="P3768" i="1"/>
  <c r="S3768" i="1" s="1"/>
  <c r="K3768" i="1"/>
  <c r="S3765" i="1"/>
  <c r="K3765" i="1"/>
  <c r="P3764" i="1"/>
  <c r="S3764" i="1" s="1"/>
  <c r="K3764" i="1"/>
  <c r="S3763" i="1"/>
  <c r="K3763" i="1"/>
  <c r="S3762" i="1"/>
  <c r="K3762" i="1"/>
  <c r="P3760" i="1"/>
  <c r="S3760" i="1" s="1"/>
  <c r="K3760" i="1"/>
  <c r="S3759" i="1"/>
  <c r="K3759" i="1"/>
  <c r="S3758" i="1"/>
  <c r="K3758" i="1"/>
  <c r="S3757" i="1"/>
  <c r="K3757" i="1"/>
  <c r="S3756" i="1"/>
  <c r="K3756" i="1"/>
  <c r="S3755" i="1"/>
  <c r="K3755" i="1"/>
  <c r="S3754" i="1"/>
  <c r="K3754" i="1"/>
  <c r="S3752" i="1"/>
  <c r="K3752" i="1"/>
  <c r="P3751" i="1"/>
  <c r="S3751" i="1" s="1"/>
  <c r="K3751" i="1"/>
  <c r="S3749" i="1"/>
  <c r="K3749" i="1"/>
  <c r="S3748" i="1"/>
  <c r="K3748" i="1"/>
  <c r="P3745" i="1"/>
  <c r="S3745" i="1" s="1"/>
  <c r="K3745" i="1"/>
  <c r="S3743" i="1"/>
  <c r="K3743" i="1"/>
  <c r="S3740" i="1"/>
  <c r="K3740" i="1"/>
  <c r="S3737" i="1"/>
  <c r="K3737" i="1"/>
  <c r="S3736" i="1"/>
  <c r="K3736" i="1"/>
  <c r="S3735" i="1"/>
  <c r="K3735" i="1"/>
  <c r="S3732" i="1"/>
  <c r="K3732" i="1"/>
  <c r="S3731" i="1"/>
  <c r="K3731" i="1"/>
  <c r="S3730" i="1"/>
  <c r="K3730" i="1"/>
  <c r="P3728" i="1"/>
  <c r="S3728" i="1" s="1"/>
  <c r="K3728" i="1"/>
  <c r="S3727" i="1"/>
  <c r="K3727" i="1"/>
  <c r="S3726" i="1"/>
  <c r="K3726" i="1"/>
  <c r="S3725" i="1"/>
  <c r="K3725" i="1"/>
  <c r="S3724" i="1"/>
  <c r="K3724" i="1"/>
  <c r="S3722" i="1"/>
  <c r="K3722" i="1"/>
  <c r="S3719" i="1"/>
  <c r="K3719" i="1"/>
  <c r="S3717" i="1"/>
  <c r="K3717" i="1"/>
  <c r="S3716" i="1"/>
  <c r="K3716" i="1"/>
  <c r="S3715" i="1"/>
  <c r="K3715" i="1"/>
  <c r="S3714" i="1"/>
  <c r="K3714" i="1"/>
  <c r="S3713" i="1"/>
  <c r="K3713" i="1"/>
  <c r="P3712" i="1"/>
  <c r="S3712" i="1" s="1"/>
  <c r="K3712" i="1"/>
  <c r="S3710" i="1"/>
  <c r="K3710" i="1"/>
  <c r="S3709" i="1"/>
  <c r="K3709" i="1"/>
  <c r="P3707" i="1"/>
  <c r="S3707" i="1" s="1"/>
  <c r="K3707" i="1"/>
  <c r="P3706" i="1"/>
  <c r="S3706" i="1" s="1"/>
  <c r="K3706" i="1"/>
  <c r="P3704" i="1"/>
  <c r="S3704" i="1" s="1"/>
  <c r="K3704" i="1"/>
  <c r="S3703" i="1"/>
  <c r="K3703" i="1"/>
  <c r="P3702" i="1"/>
  <c r="S3702" i="1" s="1"/>
  <c r="K3702" i="1"/>
  <c r="S3701" i="1"/>
  <c r="K3701" i="1"/>
  <c r="S3700" i="1"/>
  <c r="K3700" i="1"/>
  <c r="S3699" i="1"/>
  <c r="K3699" i="1"/>
  <c r="S3697" i="1"/>
  <c r="K3697" i="1"/>
  <c r="P3695" i="1"/>
  <c r="S3695" i="1" s="1"/>
  <c r="K3695" i="1"/>
  <c r="S3693" i="1"/>
  <c r="K3693" i="1"/>
  <c r="S3692" i="1"/>
  <c r="K3692" i="1"/>
  <c r="S3691" i="1"/>
  <c r="K3691" i="1"/>
  <c r="P3690" i="1"/>
  <c r="S3690" i="1" s="1"/>
  <c r="K3690" i="1"/>
  <c r="S3686" i="1"/>
  <c r="K3686" i="1"/>
  <c r="P3685" i="1"/>
  <c r="S3685" i="1" s="1"/>
  <c r="K3685" i="1"/>
  <c r="S3684" i="1"/>
  <c r="K3684" i="1"/>
  <c r="S3683" i="1"/>
  <c r="K3683" i="1"/>
  <c r="S3682" i="1"/>
  <c r="K3682" i="1"/>
  <c r="S3681" i="1"/>
  <c r="K3681" i="1"/>
  <c r="S3680" i="1"/>
  <c r="K3680" i="1"/>
  <c r="S3679" i="1"/>
  <c r="K3679" i="1"/>
  <c r="S3678" i="1"/>
  <c r="K3678" i="1"/>
  <c r="S3676" i="1"/>
  <c r="K3676" i="1"/>
  <c r="S3673" i="1"/>
  <c r="K3673" i="1"/>
  <c r="S3670" i="1"/>
  <c r="K3670" i="1"/>
  <c r="S3669" i="1"/>
  <c r="K3669" i="1"/>
  <c r="S3668" i="1"/>
  <c r="K3668" i="1"/>
  <c r="S3667" i="1"/>
  <c r="K3667" i="1"/>
  <c r="S3665" i="1"/>
  <c r="K3665" i="1"/>
  <c r="S3663" i="1"/>
  <c r="K3663" i="1"/>
  <c r="P3661" i="1"/>
  <c r="S3661" i="1" s="1"/>
  <c r="K3661" i="1"/>
  <c r="P3660" i="1"/>
  <c r="S3660" i="1" s="1"/>
  <c r="K3660" i="1"/>
  <c r="S3658" i="1"/>
  <c r="K3658" i="1"/>
  <c r="S3657" i="1"/>
  <c r="K3657" i="1"/>
  <c r="S3656" i="1"/>
  <c r="K3656" i="1"/>
  <c r="S3655" i="1"/>
  <c r="K3655" i="1"/>
  <c r="S3654" i="1"/>
  <c r="K3654" i="1"/>
  <c r="S3652" i="1"/>
  <c r="K3652" i="1"/>
  <c r="S3651" i="1"/>
  <c r="K3651" i="1"/>
  <c r="P3649" i="1"/>
  <c r="S3649" i="1" s="1"/>
  <c r="K3649" i="1"/>
  <c r="S3648" i="1"/>
  <c r="K3648" i="1"/>
  <c r="S3647" i="1"/>
  <c r="K3647" i="1"/>
  <c r="S3646" i="1"/>
  <c r="K3646" i="1"/>
  <c r="S3644" i="1"/>
  <c r="K3644" i="1"/>
  <c r="P3642" i="1"/>
  <c r="S3642" i="1" s="1"/>
  <c r="K3642" i="1"/>
  <c r="S3641" i="1"/>
  <c r="K3641" i="1"/>
  <c r="S3639" i="1"/>
  <c r="K3639" i="1"/>
  <c r="S3638" i="1"/>
  <c r="K3638" i="1"/>
  <c r="S3637" i="1"/>
  <c r="K3637" i="1"/>
  <c r="S3636" i="1"/>
  <c r="K3636" i="1"/>
  <c r="P3634" i="1"/>
  <c r="S3634" i="1" s="1"/>
  <c r="K3634" i="1"/>
  <c r="S3631" i="1"/>
  <c r="K3631" i="1"/>
  <c r="S3629" i="1"/>
  <c r="K3629" i="1"/>
  <c r="S3628" i="1"/>
  <c r="K3628" i="1"/>
  <c r="S3626" i="1"/>
  <c r="K3626" i="1"/>
  <c r="S3625" i="1"/>
  <c r="K3625" i="1"/>
  <c r="S3623" i="1"/>
  <c r="K3623" i="1"/>
  <c r="S3620" i="1"/>
  <c r="K3620" i="1"/>
  <c r="S3619" i="1"/>
  <c r="K3619" i="1"/>
  <c r="S3617" i="1"/>
  <c r="K3617" i="1"/>
  <c r="S3616" i="1"/>
  <c r="K3616" i="1"/>
  <c r="S3615" i="1"/>
  <c r="K3615" i="1"/>
  <c r="S3612" i="1"/>
  <c r="K3612" i="1"/>
  <c r="S3610" i="1"/>
  <c r="K3610" i="1"/>
  <c r="S3609" i="1"/>
  <c r="K3609" i="1"/>
  <c r="S3607" i="1"/>
  <c r="K3607" i="1"/>
  <c r="P3606" i="1"/>
  <c r="S3606" i="1" s="1"/>
  <c r="K3606" i="1"/>
  <c r="P3605" i="1"/>
  <c r="S3605" i="1" s="1"/>
  <c r="K3605" i="1"/>
  <c r="S3604" i="1"/>
  <c r="K3604" i="1"/>
  <c r="S3601" i="1"/>
  <c r="K3601" i="1"/>
  <c r="S3600" i="1"/>
  <c r="K3600" i="1"/>
  <c r="S3599" i="1"/>
  <c r="K3599" i="1"/>
  <c r="S3598" i="1"/>
  <c r="K3598" i="1"/>
  <c r="S3597" i="1"/>
  <c r="K3597" i="1"/>
  <c r="S3595" i="1"/>
  <c r="K3595" i="1"/>
  <c r="P3594" i="1"/>
  <c r="S3594" i="1" s="1"/>
  <c r="K3594" i="1"/>
  <c r="P3593" i="1"/>
  <c r="S3593" i="1" s="1"/>
  <c r="K3593" i="1"/>
  <c r="S3591" i="1"/>
  <c r="K3591" i="1"/>
  <c r="S3589" i="1"/>
  <c r="K3589" i="1"/>
  <c r="S3588" i="1"/>
  <c r="K3588" i="1"/>
  <c r="S3587" i="1"/>
  <c r="K3587" i="1"/>
  <c r="S3585" i="1"/>
  <c r="K3585" i="1"/>
  <c r="S3584" i="1"/>
  <c r="K3584" i="1"/>
  <c r="P3582" i="1"/>
  <c r="S3582" i="1" s="1"/>
  <c r="K3582" i="1"/>
  <c r="S3581" i="1"/>
  <c r="K3581" i="1"/>
  <c r="P3580" i="1"/>
  <c r="S3580" i="1" s="1"/>
  <c r="K3580" i="1"/>
  <c r="S3579" i="1"/>
  <c r="K3579" i="1"/>
  <c r="S3578" i="1"/>
  <c r="K3578" i="1"/>
  <c r="S3576" i="1"/>
  <c r="K3576" i="1"/>
  <c r="S3572" i="1"/>
  <c r="K3572" i="1"/>
  <c r="S3570" i="1"/>
  <c r="K3570" i="1"/>
  <c r="S3569" i="1"/>
  <c r="K3569" i="1"/>
  <c r="S3568" i="1"/>
  <c r="K3568" i="1"/>
  <c r="S3567" i="1"/>
  <c r="K3567" i="1"/>
  <c r="S3566" i="1"/>
  <c r="K3566" i="1"/>
  <c r="S3565" i="1"/>
  <c r="K3565" i="1"/>
  <c r="S3564" i="1"/>
  <c r="K3564" i="1"/>
  <c r="P3563" i="1"/>
  <c r="S3563" i="1" s="1"/>
  <c r="K3563" i="1"/>
  <c r="S3561" i="1"/>
  <c r="K3561" i="1"/>
  <c r="S3560" i="1"/>
  <c r="K3560" i="1"/>
  <c r="S3559" i="1"/>
  <c r="K3559" i="1"/>
  <c r="S3558" i="1"/>
  <c r="K3558" i="1"/>
  <c r="S3557" i="1"/>
  <c r="K3557" i="1"/>
  <c r="S3556" i="1"/>
  <c r="K3556" i="1"/>
  <c r="S3555" i="1"/>
  <c r="K3555" i="1"/>
  <c r="S3552" i="1"/>
  <c r="K3552" i="1"/>
  <c r="S3551" i="1"/>
  <c r="K3551" i="1"/>
  <c r="S3550" i="1"/>
  <c r="K3550" i="1"/>
  <c r="S3549" i="1"/>
  <c r="K3549" i="1"/>
  <c r="S3547" i="1"/>
  <c r="K3547" i="1"/>
  <c r="S3546" i="1"/>
  <c r="K3546" i="1"/>
  <c r="P3545" i="1"/>
  <c r="S3545" i="1" s="1"/>
  <c r="K3545" i="1"/>
  <c r="P3544" i="1"/>
  <c r="S3544" i="1" s="1"/>
  <c r="K3544" i="1"/>
  <c r="S3543" i="1"/>
  <c r="K3543" i="1"/>
  <c r="P3542" i="1"/>
  <c r="S3542" i="1" s="1"/>
  <c r="K3542" i="1"/>
  <c r="S3541" i="1"/>
  <c r="K3541" i="1"/>
  <c r="S3539" i="1"/>
  <c r="K3539" i="1"/>
  <c r="S3538" i="1"/>
  <c r="K3538" i="1"/>
  <c r="S3536" i="1"/>
  <c r="K3536" i="1"/>
  <c r="S3534" i="1"/>
  <c r="K3534" i="1"/>
  <c r="P3531" i="1"/>
  <c r="S3531" i="1" s="1"/>
  <c r="K3531" i="1"/>
  <c r="S3530" i="1"/>
  <c r="K3530" i="1"/>
  <c r="S3528" i="1"/>
  <c r="K3528" i="1"/>
  <c r="P3527" i="1"/>
  <c r="S3527" i="1" s="1"/>
  <c r="K3527" i="1"/>
  <c r="S3525" i="1"/>
  <c r="K3525" i="1"/>
  <c r="S3524" i="1"/>
  <c r="K3524" i="1"/>
  <c r="S3523" i="1"/>
  <c r="K3523" i="1"/>
  <c r="S3521" i="1"/>
  <c r="K3521" i="1"/>
  <c r="S3520" i="1"/>
  <c r="K3520" i="1"/>
  <c r="S3519" i="1"/>
  <c r="K3519" i="1"/>
  <c r="P3515" i="1"/>
  <c r="S3515" i="1" s="1"/>
  <c r="K3515" i="1"/>
  <c r="S3514" i="1"/>
  <c r="K3514" i="1"/>
  <c r="S3513" i="1"/>
  <c r="K3513" i="1"/>
  <c r="S3512" i="1"/>
  <c r="K3512" i="1"/>
  <c r="S3509" i="1"/>
  <c r="K3509" i="1"/>
  <c r="S3508" i="1"/>
  <c r="K3508" i="1"/>
  <c r="S3507" i="1"/>
  <c r="K3507" i="1"/>
  <c r="S3505" i="1"/>
  <c r="K3505" i="1"/>
  <c r="S3501" i="1"/>
  <c r="K3501" i="1"/>
  <c r="S3500" i="1"/>
  <c r="K3500" i="1"/>
  <c r="S3499" i="1"/>
  <c r="K3499" i="1"/>
  <c r="S3498" i="1"/>
  <c r="K3498" i="1"/>
  <c r="S3497" i="1"/>
  <c r="K3497" i="1"/>
  <c r="S3496" i="1"/>
  <c r="K3496" i="1"/>
  <c r="S3495" i="1"/>
  <c r="K3495" i="1"/>
  <c r="P3493" i="1"/>
  <c r="S3493" i="1" s="1"/>
  <c r="K3493" i="1"/>
  <c r="P3492" i="1"/>
  <c r="S3492" i="1" s="1"/>
  <c r="K3492" i="1"/>
  <c r="S3491" i="1"/>
  <c r="K3491" i="1"/>
  <c r="S3489" i="1"/>
  <c r="K3489" i="1"/>
  <c r="P3485" i="1"/>
  <c r="S3485" i="1" s="1"/>
  <c r="K3485" i="1"/>
  <c r="S3484" i="1"/>
  <c r="K3484" i="1"/>
  <c r="P3482" i="1"/>
  <c r="S3482" i="1" s="1"/>
  <c r="K3482" i="1"/>
  <c r="P3481" i="1"/>
  <c r="S3481" i="1" s="1"/>
  <c r="K3481" i="1"/>
  <c r="S3477" i="1"/>
  <c r="K3477" i="1"/>
  <c r="S3476" i="1"/>
  <c r="K3476" i="1"/>
  <c r="S3475" i="1"/>
  <c r="K3475" i="1"/>
  <c r="S3473" i="1"/>
  <c r="K3473" i="1"/>
  <c r="S3472" i="1"/>
  <c r="K3472" i="1"/>
  <c r="S3469" i="1"/>
  <c r="K3469" i="1"/>
  <c r="S3468" i="1"/>
  <c r="K3468" i="1"/>
  <c r="S3467" i="1"/>
  <c r="K3467" i="1"/>
  <c r="S3466" i="1"/>
  <c r="K3466" i="1"/>
  <c r="S3462" i="1"/>
  <c r="K3462" i="1"/>
  <c r="S3461" i="1"/>
  <c r="K3461" i="1"/>
  <c r="S3460" i="1"/>
  <c r="K3460" i="1"/>
  <c r="P3459" i="1"/>
  <c r="S3459" i="1" s="1"/>
  <c r="K3459" i="1"/>
  <c r="S3457" i="1"/>
  <c r="K3457" i="1"/>
  <c r="S3456" i="1"/>
  <c r="K3456" i="1"/>
  <c r="S3454" i="1"/>
  <c r="K3454" i="1"/>
  <c r="P3453" i="1"/>
  <c r="S3453" i="1" s="1"/>
  <c r="K3453" i="1"/>
  <c r="S3452" i="1"/>
  <c r="K3452" i="1"/>
  <c r="S3450" i="1"/>
  <c r="K3450" i="1"/>
  <c r="P3448" i="1"/>
  <c r="S3448" i="1" s="1"/>
  <c r="K3448" i="1"/>
  <c r="S3446" i="1"/>
  <c r="K3446" i="1"/>
  <c r="S3445" i="1"/>
  <c r="K3445" i="1"/>
  <c r="S3444" i="1"/>
  <c r="K3444" i="1"/>
  <c r="S3443" i="1"/>
  <c r="K3443" i="1"/>
  <c r="S3442" i="1"/>
  <c r="K3442" i="1"/>
  <c r="S3440" i="1"/>
  <c r="K3440" i="1"/>
  <c r="S3439" i="1"/>
  <c r="K3439" i="1"/>
  <c r="P3437" i="1"/>
  <c r="S3437" i="1" s="1"/>
  <c r="K3437" i="1"/>
  <c r="S3435" i="1"/>
  <c r="K3435" i="1"/>
  <c r="S3434" i="1"/>
  <c r="K3434" i="1"/>
  <c r="P3432" i="1"/>
  <c r="S3432" i="1" s="1"/>
  <c r="K3432" i="1"/>
  <c r="S3431" i="1"/>
  <c r="K3431" i="1"/>
  <c r="S3430" i="1"/>
  <c r="K3430" i="1"/>
  <c r="S3429" i="1"/>
  <c r="K3429" i="1"/>
  <c r="S3428" i="1"/>
  <c r="K3428" i="1"/>
  <c r="S3426" i="1"/>
  <c r="K3426" i="1"/>
  <c r="S3425" i="1"/>
  <c r="K3425" i="1"/>
  <c r="S3424" i="1"/>
  <c r="K3424" i="1"/>
  <c r="S3423" i="1"/>
  <c r="K3423" i="1"/>
  <c r="S3420" i="1"/>
  <c r="K3420" i="1"/>
  <c r="S3419" i="1"/>
  <c r="K3419" i="1"/>
  <c r="S3418" i="1"/>
  <c r="K3418" i="1"/>
  <c r="P3416" i="1"/>
  <c r="S3416" i="1" s="1"/>
  <c r="K3416" i="1"/>
  <c r="S3415" i="1"/>
  <c r="K3415" i="1"/>
  <c r="S3414" i="1"/>
  <c r="K3414" i="1"/>
  <c r="S3413" i="1"/>
  <c r="K3413" i="1"/>
  <c r="S3411" i="1"/>
  <c r="K3411" i="1"/>
  <c r="P3410" i="1"/>
  <c r="S3410" i="1" s="1"/>
  <c r="K3410" i="1"/>
  <c r="S3409" i="1"/>
  <c r="K3409" i="1"/>
  <c r="S3405" i="1"/>
  <c r="K3405" i="1"/>
  <c r="S3403" i="1"/>
  <c r="K3403" i="1"/>
  <c r="S3402" i="1"/>
  <c r="K3402" i="1"/>
  <c r="S3401" i="1"/>
  <c r="K3401" i="1"/>
  <c r="P3400" i="1"/>
  <c r="S3400" i="1" s="1"/>
  <c r="K3400" i="1"/>
  <c r="S3399" i="1"/>
  <c r="K3399" i="1"/>
  <c r="S3397" i="1"/>
  <c r="K3397" i="1"/>
  <c r="P3396" i="1"/>
  <c r="S3396" i="1" s="1"/>
  <c r="K3396" i="1"/>
  <c r="S3392" i="1"/>
  <c r="K3392" i="1"/>
  <c r="S3391" i="1"/>
  <c r="K3391" i="1"/>
  <c r="P3390" i="1"/>
  <c r="S3390" i="1" s="1"/>
  <c r="K3390" i="1"/>
  <c r="S3389" i="1"/>
  <c r="K3389" i="1"/>
  <c r="S3387" i="1"/>
  <c r="K3387" i="1"/>
  <c r="P3386" i="1"/>
  <c r="S3386" i="1" s="1"/>
  <c r="K3386" i="1"/>
  <c r="S3385" i="1"/>
  <c r="K3385" i="1"/>
  <c r="S3382" i="1"/>
  <c r="K3382" i="1"/>
  <c r="S3381" i="1"/>
  <c r="K3381" i="1"/>
  <c r="S3379" i="1"/>
  <c r="K3379" i="1"/>
  <c r="S3375" i="1"/>
  <c r="K3375" i="1"/>
  <c r="S3374" i="1"/>
  <c r="K3374" i="1"/>
  <c r="S3371" i="1"/>
  <c r="K3371" i="1"/>
  <c r="S3370" i="1"/>
  <c r="K3370" i="1"/>
  <c r="S3368" i="1"/>
  <c r="K3368" i="1"/>
  <c r="S3365" i="1"/>
  <c r="K3365" i="1"/>
  <c r="P3364" i="1"/>
  <c r="S3364" i="1" s="1"/>
  <c r="K3364" i="1"/>
  <c r="S3363" i="1"/>
  <c r="K3363" i="1"/>
  <c r="P3362" i="1"/>
  <c r="S3362" i="1" s="1"/>
  <c r="K3362" i="1"/>
  <c r="S3361" i="1"/>
  <c r="K3361" i="1"/>
  <c r="S3358" i="1"/>
  <c r="K3358" i="1"/>
  <c r="S3357" i="1"/>
  <c r="K3357" i="1"/>
  <c r="S3356" i="1"/>
  <c r="K3356" i="1"/>
  <c r="S3355" i="1"/>
  <c r="K3355" i="1"/>
  <c r="S3354" i="1"/>
  <c r="K3354" i="1"/>
  <c r="S3353" i="1"/>
  <c r="K3353" i="1"/>
  <c r="P3352" i="1"/>
  <c r="S3352" i="1" s="1"/>
  <c r="K3352" i="1"/>
  <c r="S3351" i="1"/>
  <c r="K3351" i="1"/>
  <c r="P3349" i="1"/>
  <c r="S3349" i="1" s="1"/>
  <c r="K3349" i="1"/>
  <c r="S3348" i="1"/>
  <c r="K3348" i="1"/>
  <c r="P3346" i="1"/>
  <c r="S3346" i="1" s="1"/>
  <c r="K3346" i="1"/>
  <c r="S3345" i="1"/>
  <c r="K3345" i="1"/>
  <c r="S3343" i="1"/>
  <c r="K3343" i="1"/>
  <c r="S3342" i="1"/>
  <c r="K3342" i="1"/>
  <c r="S3341" i="1"/>
  <c r="K3341" i="1"/>
  <c r="S3340" i="1"/>
  <c r="K3340" i="1"/>
  <c r="S3339" i="1"/>
  <c r="K3339" i="1"/>
  <c r="S3338" i="1"/>
  <c r="K3338" i="1"/>
  <c r="S3337" i="1"/>
  <c r="K3337" i="1"/>
  <c r="S3336" i="1"/>
  <c r="K3336" i="1"/>
  <c r="S3335" i="1"/>
  <c r="K3335" i="1"/>
  <c r="S3334" i="1"/>
  <c r="K3334" i="1"/>
  <c r="S3333" i="1"/>
  <c r="K3333" i="1"/>
  <c r="S3332" i="1"/>
  <c r="K3332" i="1"/>
  <c r="S3331" i="1"/>
  <c r="K3331" i="1"/>
  <c r="P3330" i="1"/>
  <c r="S3330" i="1" s="1"/>
  <c r="K3330" i="1"/>
  <c r="P3329" i="1"/>
  <c r="S3329" i="1" s="1"/>
  <c r="K3329" i="1"/>
  <c r="S3328" i="1"/>
  <c r="K3328" i="1"/>
  <c r="P3325" i="1"/>
  <c r="S3325" i="1" s="1"/>
  <c r="K3325" i="1"/>
  <c r="S3324" i="1"/>
  <c r="K3324" i="1"/>
  <c r="P3323" i="1"/>
  <c r="S3323" i="1" s="1"/>
  <c r="K3323" i="1"/>
  <c r="S3322" i="1"/>
  <c r="K3322" i="1"/>
  <c r="S3321" i="1"/>
  <c r="K3321" i="1"/>
  <c r="S3320" i="1"/>
  <c r="K3320" i="1"/>
  <c r="S3319" i="1"/>
  <c r="K3319" i="1"/>
  <c r="S3316" i="1"/>
  <c r="K3316" i="1"/>
  <c r="S3315" i="1"/>
  <c r="K3315" i="1"/>
  <c r="P3314" i="1"/>
  <c r="S3314" i="1" s="1"/>
  <c r="K3314" i="1"/>
  <c r="S3313" i="1"/>
  <c r="K3313" i="1"/>
  <c r="S3311" i="1"/>
  <c r="K3311" i="1"/>
  <c r="S3310" i="1"/>
  <c r="K3310" i="1"/>
  <c r="S3309" i="1"/>
  <c r="K3309" i="1"/>
  <c r="S3307" i="1"/>
  <c r="K3307" i="1"/>
  <c r="S3306" i="1"/>
  <c r="K3306" i="1"/>
  <c r="S3304" i="1"/>
  <c r="K3304" i="1"/>
  <c r="S3303" i="1"/>
  <c r="K3303" i="1"/>
  <c r="S3302" i="1"/>
  <c r="K3302" i="1"/>
  <c r="S3301" i="1"/>
  <c r="K3301" i="1"/>
  <c r="S3300" i="1"/>
  <c r="K3300" i="1"/>
  <c r="S3299" i="1"/>
  <c r="K3299" i="1"/>
  <c r="S3297" i="1"/>
  <c r="K3297" i="1"/>
  <c r="S3296" i="1"/>
  <c r="K3296" i="1"/>
  <c r="S3295" i="1"/>
  <c r="K3295" i="1"/>
  <c r="S3294" i="1"/>
  <c r="K3294" i="1"/>
  <c r="S3293" i="1"/>
  <c r="K3293" i="1"/>
  <c r="P3292" i="1"/>
  <c r="S3292" i="1" s="1"/>
  <c r="K3292" i="1"/>
  <c r="S3290" i="1"/>
  <c r="K3290" i="1"/>
  <c r="S3288" i="1"/>
  <c r="K3288" i="1"/>
  <c r="S3286" i="1"/>
  <c r="K3286" i="1"/>
  <c r="S3284" i="1"/>
  <c r="K3284" i="1"/>
  <c r="S3282" i="1"/>
  <c r="K3282" i="1"/>
  <c r="S3280" i="1"/>
  <c r="K3280" i="1"/>
  <c r="S3278" i="1"/>
  <c r="K3278" i="1"/>
  <c r="S3277" i="1"/>
  <c r="K3277" i="1"/>
  <c r="S3276" i="1"/>
  <c r="K3276" i="1"/>
  <c r="P3275" i="1"/>
  <c r="S3275" i="1" s="1"/>
  <c r="K3275" i="1"/>
  <c r="S3274" i="1"/>
  <c r="K3274" i="1"/>
  <c r="S3272" i="1"/>
  <c r="K3272" i="1"/>
  <c r="S3271" i="1"/>
  <c r="K3271" i="1"/>
  <c r="S3270" i="1"/>
  <c r="K3270" i="1"/>
  <c r="S3268" i="1"/>
  <c r="K3268" i="1"/>
  <c r="S3267" i="1"/>
  <c r="K3267" i="1"/>
  <c r="P3263" i="1"/>
  <c r="S3263" i="1" s="1"/>
  <c r="K3263" i="1"/>
  <c r="S3262" i="1"/>
  <c r="K3262" i="1"/>
  <c r="P3261" i="1"/>
  <c r="S3261" i="1" s="1"/>
  <c r="K3261" i="1"/>
  <c r="S3260" i="1"/>
  <c r="K3260" i="1"/>
  <c r="S3259" i="1"/>
  <c r="K3259" i="1"/>
  <c r="S3258" i="1"/>
  <c r="K3258" i="1"/>
  <c r="S3257" i="1"/>
  <c r="K3257" i="1"/>
  <c r="S3256" i="1"/>
  <c r="K3256" i="1"/>
  <c r="S3255" i="1"/>
  <c r="K3255" i="1"/>
  <c r="S3254" i="1"/>
  <c r="P3254" i="1"/>
  <c r="K3254" i="1"/>
  <c r="S3253" i="1"/>
  <c r="K3253" i="1"/>
  <c r="S3252" i="1"/>
  <c r="K3252" i="1"/>
  <c r="P3248" i="1"/>
  <c r="S3248" i="1" s="1"/>
  <c r="K3248" i="1"/>
  <c r="S3247" i="1"/>
  <c r="K3247" i="1"/>
  <c r="S3245" i="1"/>
  <c r="K3245" i="1"/>
  <c r="S3242" i="1"/>
  <c r="K3242" i="1"/>
  <c r="S3241" i="1"/>
  <c r="K3241" i="1"/>
  <c r="S3239" i="1"/>
  <c r="K3239" i="1"/>
  <c r="P3238" i="1"/>
  <c r="S3238" i="1" s="1"/>
  <c r="K3238" i="1"/>
  <c r="S3237" i="1"/>
  <c r="K3237" i="1"/>
  <c r="P3235" i="1"/>
  <c r="S3235" i="1" s="1"/>
  <c r="K3235" i="1"/>
  <c r="S3233" i="1"/>
  <c r="K3233" i="1"/>
  <c r="S3231" i="1"/>
  <c r="K3231" i="1"/>
  <c r="S3230" i="1"/>
  <c r="K3230" i="1"/>
  <c r="S3229" i="1"/>
  <c r="K3229" i="1"/>
  <c r="S3228" i="1"/>
  <c r="K3228" i="1"/>
  <c r="S3227" i="1"/>
  <c r="K3227" i="1"/>
  <c r="S3226" i="1"/>
  <c r="K3226" i="1"/>
  <c r="S3225" i="1"/>
  <c r="K3225" i="1"/>
  <c r="S3224" i="1"/>
  <c r="K3224" i="1"/>
  <c r="S3223" i="1"/>
  <c r="K3223" i="1"/>
  <c r="S3222" i="1"/>
  <c r="K3222" i="1"/>
  <c r="S3220" i="1"/>
  <c r="K3220" i="1"/>
  <c r="S3218" i="1"/>
  <c r="K3218" i="1"/>
  <c r="S3216" i="1"/>
  <c r="K3216" i="1"/>
  <c r="S3213" i="1"/>
  <c r="K3213" i="1"/>
  <c r="S3212" i="1"/>
  <c r="K3212" i="1"/>
  <c r="S3211" i="1"/>
  <c r="K3211" i="1"/>
  <c r="S3209" i="1"/>
  <c r="K3209" i="1"/>
  <c r="S3207" i="1"/>
  <c r="K3207" i="1"/>
  <c r="S3206" i="1"/>
  <c r="K3206" i="1"/>
  <c r="S3203" i="1"/>
  <c r="K3203" i="1"/>
  <c r="S3202" i="1"/>
  <c r="K3202" i="1"/>
  <c r="S3201" i="1"/>
  <c r="K3201" i="1"/>
  <c r="P3198" i="1"/>
  <c r="S3198" i="1" s="1"/>
  <c r="K3198" i="1"/>
  <c r="S3194" i="1"/>
  <c r="K3194" i="1"/>
  <c r="S3193" i="1"/>
  <c r="K3193" i="1"/>
  <c r="P3191" i="1"/>
  <c r="S3191" i="1" s="1"/>
  <c r="K3191" i="1"/>
  <c r="S3189" i="1"/>
  <c r="K3189" i="1"/>
  <c r="S3188" i="1"/>
  <c r="K3188" i="1"/>
  <c r="S3186" i="1"/>
  <c r="K3186" i="1"/>
  <c r="P3185" i="1"/>
  <c r="S3185" i="1" s="1"/>
  <c r="K3185" i="1"/>
  <c r="S3183" i="1"/>
  <c r="K3183" i="1"/>
  <c r="S3182" i="1"/>
  <c r="K3182" i="1"/>
  <c r="S3181" i="1"/>
  <c r="K3181" i="1"/>
  <c r="S3179" i="1"/>
  <c r="K3179" i="1"/>
  <c r="S3178" i="1"/>
  <c r="K3178" i="1"/>
  <c r="S3177" i="1"/>
  <c r="K3177" i="1"/>
  <c r="S3176" i="1"/>
  <c r="K3176" i="1"/>
  <c r="S3175" i="1"/>
  <c r="K3175" i="1"/>
  <c r="P3174" i="1"/>
  <c r="S3174" i="1" s="1"/>
  <c r="K3174" i="1"/>
  <c r="S3173" i="1"/>
  <c r="K3173" i="1"/>
  <c r="S3172" i="1"/>
  <c r="K3172" i="1"/>
  <c r="P3171" i="1"/>
  <c r="S3171" i="1" s="1"/>
  <c r="K3171" i="1"/>
  <c r="S3170" i="1"/>
  <c r="K3170" i="1"/>
  <c r="S3167" i="1"/>
  <c r="K3167" i="1"/>
  <c r="S3163" i="1"/>
  <c r="K3163" i="1"/>
  <c r="S3162" i="1"/>
  <c r="K3162" i="1"/>
  <c r="S3161" i="1"/>
  <c r="K3161" i="1"/>
  <c r="S3160" i="1"/>
  <c r="K3160" i="1"/>
  <c r="P3157" i="1"/>
  <c r="S3157" i="1" s="1"/>
  <c r="K3157" i="1"/>
  <c r="S3155" i="1"/>
  <c r="K3155" i="1"/>
  <c r="S3154" i="1"/>
  <c r="K3154" i="1"/>
  <c r="S3153" i="1"/>
  <c r="K3153" i="1"/>
  <c r="S3151" i="1"/>
  <c r="K3151" i="1"/>
  <c r="S3150" i="1"/>
  <c r="K3150" i="1"/>
  <c r="S3147" i="1"/>
  <c r="K3147" i="1"/>
  <c r="P3146" i="1"/>
  <c r="S3146" i="1" s="1"/>
  <c r="K3146" i="1"/>
  <c r="P3143" i="1"/>
  <c r="S3143" i="1" s="1"/>
  <c r="K3143" i="1"/>
  <c r="P3142" i="1"/>
  <c r="S3142" i="1" s="1"/>
  <c r="K3142" i="1"/>
  <c r="S3141" i="1"/>
  <c r="K3141" i="1"/>
  <c r="S3139" i="1"/>
  <c r="K3139" i="1"/>
  <c r="S3135" i="1"/>
  <c r="K3135" i="1"/>
  <c r="P3131" i="1"/>
  <c r="S3131" i="1" s="1"/>
  <c r="K3131" i="1"/>
  <c r="S3129" i="1"/>
  <c r="K3129" i="1"/>
  <c r="S3126" i="1"/>
  <c r="K3126" i="1"/>
  <c r="S3125" i="1"/>
  <c r="K3125" i="1"/>
  <c r="S3124" i="1"/>
  <c r="K3124" i="1"/>
  <c r="S3123" i="1"/>
  <c r="K3123" i="1"/>
  <c r="S3122" i="1"/>
  <c r="K3122" i="1"/>
  <c r="S3121" i="1"/>
  <c r="K3121" i="1"/>
  <c r="S3120" i="1"/>
  <c r="K3120" i="1"/>
  <c r="S3116" i="1"/>
  <c r="K3116" i="1"/>
  <c r="P3114" i="1"/>
  <c r="S3114" i="1" s="1"/>
  <c r="K3114" i="1"/>
  <c r="P3113" i="1"/>
  <c r="S3113" i="1" s="1"/>
  <c r="K3113" i="1"/>
  <c r="S3112" i="1"/>
  <c r="K3112" i="1"/>
  <c r="S3111" i="1"/>
  <c r="K3111" i="1"/>
  <c r="P3109" i="1"/>
  <c r="S3109" i="1" s="1"/>
  <c r="K3109" i="1"/>
  <c r="S3108" i="1"/>
  <c r="K3108" i="1"/>
  <c r="S3107" i="1"/>
  <c r="K3107" i="1"/>
  <c r="S3106" i="1"/>
  <c r="K3106" i="1"/>
  <c r="S3105" i="1"/>
  <c r="K3105" i="1"/>
  <c r="S3104" i="1"/>
  <c r="K3104" i="1"/>
  <c r="P3103" i="1"/>
  <c r="S3103" i="1" s="1"/>
  <c r="K3103" i="1"/>
  <c r="S3102" i="1"/>
  <c r="K3102" i="1"/>
  <c r="S3101" i="1"/>
  <c r="K3101" i="1"/>
  <c r="S3099" i="1"/>
  <c r="K3099" i="1"/>
  <c r="S3098" i="1"/>
  <c r="K3098" i="1"/>
  <c r="S3097" i="1"/>
  <c r="K3097" i="1"/>
  <c r="S3094" i="1"/>
  <c r="K3094" i="1"/>
  <c r="P3093" i="1"/>
  <c r="S3093" i="1" s="1"/>
  <c r="K3093" i="1"/>
  <c r="S3092" i="1"/>
  <c r="K3092" i="1"/>
  <c r="P3091" i="1"/>
  <c r="S3091" i="1" s="1"/>
  <c r="K3091" i="1"/>
  <c r="S3089" i="1"/>
  <c r="K3089" i="1"/>
  <c r="S3088" i="1"/>
  <c r="K3088" i="1"/>
  <c r="P3087" i="1"/>
  <c r="S3087" i="1" s="1"/>
  <c r="K3087" i="1"/>
  <c r="S3085" i="1"/>
  <c r="K3085" i="1"/>
  <c r="S3084" i="1"/>
  <c r="K3084" i="1"/>
  <c r="P3082" i="1"/>
  <c r="S3082" i="1" s="1"/>
  <c r="K3082" i="1"/>
  <c r="S3081" i="1"/>
  <c r="K3081" i="1"/>
  <c r="S3078" i="1"/>
  <c r="K3078" i="1"/>
  <c r="S3077" i="1"/>
  <c r="K3077" i="1"/>
  <c r="S3076" i="1"/>
  <c r="K3076" i="1"/>
  <c r="S3075" i="1"/>
  <c r="K3075" i="1"/>
  <c r="S3074" i="1"/>
  <c r="K3074" i="1"/>
  <c r="S3073" i="1"/>
  <c r="K3073" i="1"/>
  <c r="S3072" i="1"/>
  <c r="K3072" i="1"/>
  <c r="S3071" i="1"/>
  <c r="K3071" i="1"/>
  <c r="S3070" i="1"/>
  <c r="K3070" i="1"/>
  <c r="S3068" i="1"/>
  <c r="K3068" i="1"/>
  <c r="S3066" i="1"/>
  <c r="K3066" i="1"/>
  <c r="P3064" i="1"/>
  <c r="S3064" i="1" s="1"/>
  <c r="K3064" i="1"/>
  <c r="S3060" i="1"/>
  <c r="K3060" i="1"/>
  <c r="S3059" i="1"/>
  <c r="K3059" i="1"/>
  <c r="S3058" i="1"/>
  <c r="K3058" i="1"/>
  <c r="S3057" i="1"/>
  <c r="K3057" i="1"/>
  <c r="S3056" i="1"/>
  <c r="K3056" i="1"/>
  <c r="S3055" i="1"/>
  <c r="K3055" i="1"/>
  <c r="S3053" i="1"/>
  <c r="K3053" i="1"/>
  <c r="S3051" i="1"/>
  <c r="K3051" i="1"/>
  <c r="S3050" i="1"/>
  <c r="K3050" i="1"/>
  <c r="S3047" i="1"/>
  <c r="K3047" i="1"/>
  <c r="S3045" i="1"/>
  <c r="K3045" i="1"/>
  <c r="S3042" i="1"/>
  <c r="K3042" i="1"/>
  <c r="S3039" i="1"/>
  <c r="P3039" i="1"/>
  <c r="K3039" i="1"/>
  <c r="S3037" i="1"/>
  <c r="K3037" i="1"/>
  <c r="S3036" i="1"/>
  <c r="K3036" i="1"/>
  <c r="S3034" i="1"/>
  <c r="K3034" i="1"/>
  <c r="S3033" i="1"/>
  <c r="K3033" i="1"/>
  <c r="S3032" i="1"/>
  <c r="K3032" i="1"/>
  <c r="S3030" i="1"/>
  <c r="K3030" i="1"/>
  <c r="S3027" i="1"/>
  <c r="K3027" i="1"/>
  <c r="S3023" i="1"/>
  <c r="K3023" i="1"/>
  <c r="S3021" i="1"/>
  <c r="K3021" i="1"/>
  <c r="S3020" i="1"/>
  <c r="K3020" i="1"/>
  <c r="S3019" i="1"/>
  <c r="K3019" i="1"/>
  <c r="S3018" i="1"/>
  <c r="K3018" i="1"/>
  <c r="S3014" i="1"/>
  <c r="K3014" i="1"/>
  <c r="S3013" i="1"/>
  <c r="K3013" i="1"/>
  <c r="S3012" i="1"/>
  <c r="K3012" i="1"/>
  <c r="P3011" i="1"/>
  <c r="S3011" i="1" s="1"/>
  <c r="K3011" i="1"/>
  <c r="S3010" i="1"/>
  <c r="K3010" i="1"/>
  <c r="S3009" i="1"/>
  <c r="K3009" i="1"/>
  <c r="S3008" i="1"/>
  <c r="K3008" i="1"/>
  <c r="S3007" i="1"/>
  <c r="K3007" i="1"/>
  <c r="S3006" i="1"/>
  <c r="K3006" i="1"/>
  <c r="S3005" i="1"/>
  <c r="K3005" i="1"/>
  <c r="S3003" i="1"/>
  <c r="P3003" i="1"/>
  <c r="K3003" i="1"/>
  <c r="S3002" i="1"/>
  <c r="K3002" i="1"/>
  <c r="S3001" i="1"/>
  <c r="K3001" i="1"/>
  <c r="S3000" i="1"/>
  <c r="K3000" i="1"/>
  <c r="S2996" i="1"/>
  <c r="K2996" i="1"/>
  <c r="S2995" i="1"/>
  <c r="K2995" i="1"/>
  <c r="S2994" i="1"/>
  <c r="K2994" i="1"/>
  <c r="S2993" i="1"/>
  <c r="K2993" i="1"/>
  <c r="S2992" i="1"/>
  <c r="K2992" i="1"/>
  <c r="P2991" i="1"/>
  <c r="S2991" i="1" s="1"/>
  <c r="K2991" i="1"/>
  <c r="S2988" i="1"/>
  <c r="K2988" i="1"/>
  <c r="S2986" i="1"/>
  <c r="K2986" i="1"/>
  <c r="S2982" i="1"/>
  <c r="K2982" i="1"/>
  <c r="S2981" i="1"/>
  <c r="K2981" i="1"/>
  <c r="S2980" i="1"/>
  <c r="K2980" i="1"/>
  <c r="S2979" i="1"/>
  <c r="K2979" i="1"/>
  <c r="S2977" i="1"/>
  <c r="K2977" i="1"/>
  <c r="S2976" i="1"/>
  <c r="K2976" i="1"/>
  <c r="S2975" i="1"/>
  <c r="K2975" i="1"/>
  <c r="S2974" i="1"/>
  <c r="K2974" i="1"/>
  <c r="P2973" i="1"/>
  <c r="S2973" i="1" s="1"/>
  <c r="K2973" i="1"/>
  <c r="S2972" i="1"/>
  <c r="K2972" i="1"/>
  <c r="S2971" i="1"/>
  <c r="K2971" i="1"/>
  <c r="P2969" i="1"/>
  <c r="S2969" i="1" s="1"/>
  <c r="K2969" i="1"/>
  <c r="S2968" i="1"/>
  <c r="K2968" i="1"/>
  <c r="S2967" i="1"/>
  <c r="K2967" i="1"/>
  <c r="S2966" i="1"/>
  <c r="K2966" i="1"/>
  <c r="S2965" i="1"/>
  <c r="K2965" i="1"/>
  <c r="S2964" i="1"/>
  <c r="K2964" i="1"/>
  <c r="S2962" i="1"/>
  <c r="K2962" i="1"/>
  <c r="S2958" i="1"/>
  <c r="K2958" i="1"/>
  <c r="S2957" i="1"/>
  <c r="K2957" i="1"/>
  <c r="S2955" i="1"/>
  <c r="K2955" i="1"/>
  <c r="S2954" i="1"/>
  <c r="K2954" i="1"/>
  <c r="P2952" i="1"/>
  <c r="S2952" i="1" s="1"/>
  <c r="K2952" i="1"/>
  <c r="S2951" i="1"/>
  <c r="K2951" i="1"/>
  <c r="S2950" i="1"/>
  <c r="P2950" i="1"/>
  <c r="K2950" i="1"/>
  <c r="S2948" i="1"/>
  <c r="K2948" i="1"/>
  <c r="S2947" i="1"/>
  <c r="K2947" i="1"/>
  <c r="S2946" i="1"/>
  <c r="K2946" i="1"/>
  <c r="P2945" i="1"/>
  <c r="S2945" i="1" s="1"/>
  <c r="K2945" i="1"/>
  <c r="S2944" i="1"/>
  <c r="K2944" i="1"/>
  <c r="S2941" i="1"/>
  <c r="K2941" i="1"/>
  <c r="S2939" i="1"/>
  <c r="K2939" i="1"/>
  <c r="S2937" i="1"/>
  <c r="K2937" i="1"/>
  <c r="S2935" i="1"/>
  <c r="K2935" i="1"/>
  <c r="S2934" i="1"/>
  <c r="K2934" i="1"/>
  <c r="S2933" i="1"/>
  <c r="K2933" i="1"/>
  <c r="S2932" i="1"/>
  <c r="K2932" i="1"/>
  <c r="P2931" i="1"/>
  <c r="S2931" i="1" s="1"/>
  <c r="K2931" i="1"/>
  <c r="S2930" i="1"/>
  <c r="K2930" i="1"/>
  <c r="S2928" i="1"/>
  <c r="K2928" i="1"/>
  <c r="P2927" i="1"/>
  <c r="S2927" i="1" s="1"/>
  <c r="K2927" i="1"/>
  <c r="S2926" i="1"/>
  <c r="K2926" i="1"/>
  <c r="S2925" i="1"/>
  <c r="K2925" i="1"/>
  <c r="S2924" i="1"/>
  <c r="K2924" i="1"/>
  <c r="S2923" i="1"/>
  <c r="K2923" i="1"/>
  <c r="S2922" i="1"/>
  <c r="K2922" i="1"/>
  <c r="S2921" i="1"/>
  <c r="K2921" i="1"/>
  <c r="S2920" i="1"/>
  <c r="K2920" i="1"/>
  <c r="S2919" i="1"/>
  <c r="K2919" i="1"/>
  <c r="S2916" i="1"/>
  <c r="K2916" i="1"/>
  <c r="S2915" i="1"/>
  <c r="K2915" i="1"/>
  <c r="P2912" i="1"/>
  <c r="S2912" i="1" s="1"/>
  <c r="K2912" i="1"/>
  <c r="S2908" i="1"/>
  <c r="K2908" i="1"/>
  <c r="S2907" i="1"/>
  <c r="K2907" i="1"/>
  <c r="S2904" i="1"/>
  <c r="K2904" i="1"/>
  <c r="S2901" i="1"/>
  <c r="P2901" i="1"/>
  <c r="K2901" i="1"/>
  <c r="P2899" i="1"/>
  <c r="S2899" i="1" s="1"/>
  <c r="K2899" i="1"/>
  <c r="S2897" i="1"/>
  <c r="K2897" i="1"/>
  <c r="P2896" i="1"/>
  <c r="S2896" i="1" s="1"/>
  <c r="K2896" i="1"/>
  <c r="S2894" i="1"/>
  <c r="K2894" i="1"/>
  <c r="S2893" i="1"/>
  <c r="K2893" i="1"/>
  <c r="S2892" i="1"/>
  <c r="K2892" i="1"/>
  <c r="S2890" i="1"/>
  <c r="K2890" i="1"/>
  <c r="S2889" i="1"/>
  <c r="K2889" i="1"/>
  <c r="S2886" i="1"/>
  <c r="K2886" i="1"/>
  <c r="S2885" i="1"/>
  <c r="K2885" i="1"/>
  <c r="S2884" i="1"/>
  <c r="K2884" i="1"/>
  <c r="S2883" i="1"/>
  <c r="K2883" i="1"/>
  <c r="S2880" i="1"/>
  <c r="K2880" i="1"/>
  <c r="S2879" i="1"/>
  <c r="K2879" i="1"/>
  <c r="S2876" i="1"/>
  <c r="K2876" i="1"/>
  <c r="P2874" i="1"/>
  <c r="S2874" i="1" s="1"/>
  <c r="K2874" i="1"/>
  <c r="S2873" i="1"/>
  <c r="K2873" i="1"/>
  <c r="S2870" i="1"/>
  <c r="K2870" i="1"/>
  <c r="S2868" i="1"/>
  <c r="K2868" i="1"/>
  <c r="S2867" i="1"/>
  <c r="K2867" i="1"/>
  <c r="S2866" i="1"/>
  <c r="K2866" i="1"/>
  <c r="S2865" i="1"/>
  <c r="K2865" i="1"/>
  <c r="S2864" i="1"/>
  <c r="K2864" i="1"/>
  <c r="S2863" i="1"/>
  <c r="K2863" i="1"/>
  <c r="S2862" i="1"/>
  <c r="K2862" i="1"/>
  <c r="P2861" i="1"/>
  <c r="S2861" i="1" s="1"/>
  <c r="K2861" i="1"/>
  <c r="S2860" i="1"/>
  <c r="K2860" i="1"/>
  <c r="S2859" i="1"/>
  <c r="K2859" i="1"/>
  <c r="S2857" i="1"/>
  <c r="K2857" i="1"/>
  <c r="S2855" i="1"/>
  <c r="K2855" i="1"/>
  <c r="S2854" i="1"/>
  <c r="K2854" i="1"/>
  <c r="S2852" i="1"/>
  <c r="K2852" i="1"/>
  <c r="S2851" i="1"/>
  <c r="K2851" i="1"/>
  <c r="S2850" i="1"/>
  <c r="K2850" i="1"/>
  <c r="S2849" i="1"/>
  <c r="K2849" i="1"/>
  <c r="S2845" i="1"/>
  <c r="K2845" i="1"/>
  <c r="S2844" i="1"/>
  <c r="K2844" i="1"/>
  <c r="P2841" i="1"/>
  <c r="S2841" i="1" s="1"/>
  <c r="K2841" i="1"/>
  <c r="S2840" i="1"/>
  <c r="K2840" i="1"/>
  <c r="S2838" i="1"/>
  <c r="K2838" i="1"/>
  <c r="S2837" i="1"/>
  <c r="K2837" i="1"/>
  <c r="S2836" i="1"/>
  <c r="K2836" i="1"/>
  <c r="S2834" i="1"/>
  <c r="K2834" i="1"/>
  <c r="S2833" i="1"/>
  <c r="K2833" i="1"/>
  <c r="S2832" i="1"/>
  <c r="K2832" i="1"/>
  <c r="P2831" i="1"/>
  <c r="S2831" i="1" s="1"/>
  <c r="K2831" i="1"/>
  <c r="S2830" i="1"/>
  <c r="K2830" i="1"/>
  <c r="S2829" i="1"/>
  <c r="K2829" i="1"/>
  <c r="P2828" i="1"/>
  <c r="S2828" i="1" s="1"/>
  <c r="K2828" i="1"/>
  <c r="S2825" i="1"/>
  <c r="K2825" i="1"/>
  <c r="S2824" i="1"/>
  <c r="K2824" i="1"/>
  <c r="S2823" i="1"/>
  <c r="K2823" i="1"/>
  <c r="S2822" i="1"/>
  <c r="K2822" i="1"/>
  <c r="S2821" i="1"/>
  <c r="K2821" i="1"/>
  <c r="P2820" i="1"/>
  <c r="S2820" i="1" s="1"/>
  <c r="K2820" i="1"/>
  <c r="S2819" i="1"/>
  <c r="K2819" i="1"/>
  <c r="P2818" i="1"/>
  <c r="S2818" i="1" s="1"/>
  <c r="K2818" i="1"/>
  <c r="S2816" i="1"/>
  <c r="K2816" i="1"/>
  <c r="S2813" i="1"/>
  <c r="K2813" i="1"/>
  <c r="S2812" i="1"/>
  <c r="K2812" i="1"/>
  <c r="S2811" i="1"/>
  <c r="K2811" i="1"/>
  <c r="S2810" i="1"/>
  <c r="K2810" i="1"/>
  <c r="S2809" i="1"/>
  <c r="K2809" i="1"/>
  <c r="S2807" i="1"/>
  <c r="K2807" i="1"/>
  <c r="S2806" i="1"/>
  <c r="K2806" i="1"/>
  <c r="S2804" i="1"/>
  <c r="K2804" i="1"/>
  <c r="P2803" i="1"/>
  <c r="S2803" i="1" s="1"/>
  <c r="K2803" i="1"/>
  <c r="S2801" i="1"/>
  <c r="K2801" i="1"/>
  <c r="S2800" i="1"/>
  <c r="K2800" i="1"/>
  <c r="S2799" i="1"/>
  <c r="K2799" i="1"/>
  <c r="P2798" i="1"/>
  <c r="S2798" i="1" s="1"/>
  <c r="K2798" i="1"/>
  <c r="P2796" i="1"/>
  <c r="S2796" i="1" s="1"/>
  <c r="K2796" i="1"/>
  <c r="S2795" i="1"/>
  <c r="K2795" i="1"/>
  <c r="P2794" i="1"/>
  <c r="S2794" i="1" s="1"/>
  <c r="K2794" i="1"/>
  <c r="S2790" i="1"/>
  <c r="K2790" i="1"/>
  <c r="S2785" i="1"/>
  <c r="K2785" i="1"/>
  <c r="S2783" i="1"/>
  <c r="K2783" i="1"/>
  <c r="S2782" i="1"/>
  <c r="K2782" i="1"/>
  <c r="S2780" i="1"/>
  <c r="K2780" i="1"/>
  <c r="S2779" i="1"/>
  <c r="K2779" i="1"/>
  <c r="S2778" i="1"/>
  <c r="K2778" i="1"/>
  <c r="S2777" i="1"/>
  <c r="K2777" i="1"/>
  <c r="S2774" i="1"/>
  <c r="K2774" i="1"/>
  <c r="P2773" i="1"/>
  <c r="S2773" i="1" s="1"/>
  <c r="K2773" i="1"/>
  <c r="P2771" i="1"/>
  <c r="S2771" i="1" s="1"/>
  <c r="K2771" i="1"/>
  <c r="S2769" i="1"/>
  <c r="K2769" i="1"/>
  <c r="S2768" i="1"/>
  <c r="K2768" i="1"/>
  <c r="S2767" i="1"/>
  <c r="K2767" i="1"/>
  <c r="S2766" i="1"/>
  <c r="K2766" i="1"/>
  <c r="S2763" i="1"/>
  <c r="K2763" i="1"/>
  <c r="S2762" i="1"/>
  <c r="K2762" i="1"/>
  <c r="S2761" i="1"/>
  <c r="K2761" i="1"/>
  <c r="S2760" i="1"/>
  <c r="K2760" i="1"/>
  <c r="S2759" i="1"/>
  <c r="K2759" i="1"/>
  <c r="S2758" i="1"/>
  <c r="K2758" i="1"/>
  <c r="S2757" i="1"/>
  <c r="K2757" i="1"/>
  <c r="S2755" i="1"/>
  <c r="K2755" i="1"/>
  <c r="P2754" i="1"/>
  <c r="S2754" i="1" s="1"/>
  <c r="K2754" i="1"/>
  <c r="S2753" i="1"/>
  <c r="K2753" i="1"/>
  <c r="S2751" i="1"/>
  <c r="K2751" i="1"/>
  <c r="S2750" i="1"/>
  <c r="K2750" i="1"/>
  <c r="S2749" i="1"/>
  <c r="K2749" i="1"/>
  <c r="S2748" i="1"/>
  <c r="K2748" i="1"/>
  <c r="S2746" i="1"/>
  <c r="K2746" i="1"/>
  <c r="S2745" i="1"/>
  <c r="K2745" i="1"/>
  <c r="S2744" i="1"/>
  <c r="K2744" i="1"/>
  <c r="S2742" i="1"/>
  <c r="K2742" i="1"/>
  <c r="S2740" i="1"/>
  <c r="K2740" i="1"/>
  <c r="S2738" i="1"/>
  <c r="K2738" i="1"/>
  <c r="S2736" i="1"/>
  <c r="K2736" i="1"/>
  <c r="P2735" i="1"/>
  <c r="S2735" i="1" s="1"/>
  <c r="K2735" i="1"/>
  <c r="P2732" i="1"/>
  <c r="S2732" i="1" s="1"/>
  <c r="K2732" i="1"/>
  <c r="S2730" i="1"/>
  <c r="K2730" i="1"/>
  <c r="S2729" i="1"/>
  <c r="K2729" i="1"/>
  <c r="P2728" i="1"/>
  <c r="S2728" i="1" s="1"/>
  <c r="K2728" i="1"/>
  <c r="S2726" i="1"/>
  <c r="K2726" i="1"/>
  <c r="S2724" i="1"/>
  <c r="K2724" i="1"/>
  <c r="S2723" i="1"/>
  <c r="K2723" i="1"/>
  <c r="P2722" i="1"/>
  <c r="S2722" i="1" s="1"/>
  <c r="K2722" i="1"/>
  <c r="S2721" i="1"/>
  <c r="K2721" i="1"/>
  <c r="S2720" i="1"/>
  <c r="K2720" i="1"/>
  <c r="S2719" i="1"/>
  <c r="K2719" i="1"/>
  <c r="S2718" i="1"/>
  <c r="K2718" i="1"/>
  <c r="S2717" i="1"/>
  <c r="K2717" i="1"/>
  <c r="S2716" i="1"/>
  <c r="K2716" i="1"/>
  <c r="S2715" i="1"/>
  <c r="K2715" i="1"/>
  <c r="S2714" i="1"/>
  <c r="K2714" i="1"/>
  <c r="S2713" i="1"/>
  <c r="K2713" i="1"/>
  <c r="P2712" i="1"/>
  <c r="S2712" i="1" s="1"/>
  <c r="K2712" i="1"/>
  <c r="P2709" i="1"/>
  <c r="S2709" i="1" s="1"/>
  <c r="K2709" i="1"/>
  <c r="S2708" i="1"/>
  <c r="K2708" i="1"/>
  <c r="P2705" i="1"/>
  <c r="S2705" i="1" s="1"/>
  <c r="K2705" i="1"/>
  <c r="S2704" i="1"/>
  <c r="K2704" i="1"/>
  <c r="S2702" i="1"/>
  <c r="K2702" i="1"/>
  <c r="S2701" i="1"/>
  <c r="K2701" i="1"/>
  <c r="S2698" i="1"/>
  <c r="K2698" i="1"/>
  <c r="S2697" i="1"/>
  <c r="K2697" i="1"/>
  <c r="S2696" i="1"/>
  <c r="K2696" i="1"/>
  <c r="P2695" i="1"/>
  <c r="S2695" i="1" s="1"/>
  <c r="K2695" i="1"/>
  <c r="P2694" i="1"/>
  <c r="S2694" i="1" s="1"/>
  <c r="K2694" i="1"/>
  <c r="S2691" i="1"/>
  <c r="K2691" i="1"/>
  <c r="S2690" i="1"/>
  <c r="K2690" i="1"/>
  <c r="P2688" i="1"/>
  <c r="S2688" i="1" s="1"/>
  <c r="K2688" i="1"/>
  <c r="P2684" i="1"/>
  <c r="S2684" i="1" s="1"/>
  <c r="K2684" i="1"/>
  <c r="S2683" i="1"/>
  <c r="K2683" i="1"/>
  <c r="S2682" i="1"/>
  <c r="K2682" i="1"/>
  <c r="S2681" i="1"/>
  <c r="K2681" i="1"/>
  <c r="S2680" i="1"/>
  <c r="K2680" i="1"/>
  <c r="S2679" i="1"/>
  <c r="K2679" i="1"/>
  <c r="P2678" i="1"/>
  <c r="S2678" i="1" s="1"/>
  <c r="K2678" i="1"/>
  <c r="S2677" i="1"/>
  <c r="K2677" i="1"/>
  <c r="S2676" i="1"/>
  <c r="K2676" i="1"/>
  <c r="S2675" i="1"/>
  <c r="K2675" i="1"/>
  <c r="S2674" i="1"/>
  <c r="K2674" i="1"/>
  <c r="S2672" i="1"/>
  <c r="K2672" i="1"/>
  <c r="S2671" i="1"/>
  <c r="K2671" i="1"/>
  <c r="S2668" i="1"/>
  <c r="K2668" i="1"/>
  <c r="S2667" i="1"/>
  <c r="K2667" i="1"/>
  <c r="S2665" i="1"/>
  <c r="K2665" i="1"/>
  <c r="S2664" i="1"/>
  <c r="K2664" i="1"/>
  <c r="S2662" i="1"/>
  <c r="K2662" i="1"/>
  <c r="P2661" i="1"/>
  <c r="S2661" i="1" s="1"/>
  <c r="K2661" i="1"/>
  <c r="S2660" i="1"/>
  <c r="K2660" i="1"/>
  <c r="S2659" i="1"/>
  <c r="K2659" i="1"/>
  <c r="S2658" i="1"/>
  <c r="K2658" i="1"/>
  <c r="S2657" i="1"/>
  <c r="K2657" i="1"/>
  <c r="S2656" i="1"/>
  <c r="K2656" i="1"/>
  <c r="S2655" i="1"/>
  <c r="K2655" i="1"/>
  <c r="S2654" i="1"/>
  <c r="K2654" i="1"/>
  <c r="S2653" i="1"/>
  <c r="K2653" i="1"/>
  <c r="S2652" i="1"/>
  <c r="K2652" i="1"/>
  <c r="S2651" i="1"/>
  <c r="K2651" i="1"/>
  <c r="S2650" i="1"/>
  <c r="K2650" i="1"/>
  <c r="S2647" i="1"/>
  <c r="K2647" i="1"/>
  <c r="S2645" i="1"/>
  <c r="K2645" i="1"/>
  <c r="S2644" i="1"/>
  <c r="K2644" i="1"/>
  <c r="S2641" i="1"/>
  <c r="K2641" i="1"/>
  <c r="P2640" i="1"/>
  <c r="S2640" i="1" s="1"/>
  <c r="K2640" i="1"/>
  <c r="S2637" i="1"/>
  <c r="K2637" i="1"/>
  <c r="S2636" i="1"/>
  <c r="K2636" i="1"/>
  <c r="S2635" i="1"/>
  <c r="K2635" i="1"/>
  <c r="S2634" i="1"/>
  <c r="K2634" i="1"/>
  <c r="S2633" i="1"/>
  <c r="K2633" i="1"/>
  <c r="S2630" i="1"/>
  <c r="K2630" i="1"/>
  <c r="S2629" i="1"/>
  <c r="K2629" i="1"/>
  <c r="S2628" i="1"/>
  <c r="K2628" i="1"/>
  <c r="P2627" i="1"/>
  <c r="S2627" i="1" s="1"/>
  <c r="K2627" i="1"/>
  <c r="S2625" i="1"/>
  <c r="K2625" i="1"/>
  <c r="S2624" i="1"/>
  <c r="K2624" i="1"/>
  <c r="S2623" i="1"/>
  <c r="K2623" i="1"/>
  <c r="S2622" i="1"/>
  <c r="K2622" i="1"/>
  <c r="S2619" i="1"/>
  <c r="K2619" i="1"/>
  <c r="S2618" i="1"/>
  <c r="K2618" i="1"/>
  <c r="S2617" i="1"/>
  <c r="K2617" i="1"/>
  <c r="S2615" i="1"/>
  <c r="K2615" i="1"/>
  <c r="P2611" i="1"/>
  <c r="S2611" i="1" s="1"/>
  <c r="K2611" i="1"/>
  <c r="S2610" i="1"/>
  <c r="K2610" i="1"/>
  <c r="S2609" i="1"/>
  <c r="K2609" i="1"/>
  <c r="P2608" i="1"/>
  <c r="S2608" i="1" s="1"/>
  <c r="K2608" i="1"/>
  <c r="S2607" i="1"/>
  <c r="K2607" i="1"/>
  <c r="S2606" i="1"/>
  <c r="K2606" i="1"/>
  <c r="S2604" i="1"/>
  <c r="K2604" i="1"/>
  <c r="P2600" i="1"/>
  <c r="S2600" i="1" s="1"/>
  <c r="K2600" i="1"/>
  <c r="S2598" i="1"/>
  <c r="K2598" i="1"/>
  <c r="S2594" i="1"/>
  <c r="K2594" i="1"/>
  <c r="S2593" i="1"/>
  <c r="K2593" i="1"/>
  <c r="S2592" i="1"/>
  <c r="K2592" i="1"/>
  <c r="S2591" i="1"/>
  <c r="K2591" i="1"/>
  <c r="S2590" i="1"/>
  <c r="K2590" i="1"/>
  <c r="S2587" i="1"/>
  <c r="K2587" i="1"/>
  <c r="S2586" i="1"/>
  <c r="K2586" i="1"/>
  <c r="S2585" i="1"/>
  <c r="K2585" i="1"/>
  <c r="S2582" i="1"/>
  <c r="K2582" i="1"/>
  <c r="P2581" i="1"/>
  <c r="S2581" i="1" s="1"/>
  <c r="K2581" i="1"/>
  <c r="S2580" i="1"/>
  <c r="K2580" i="1"/>
  <c r="S2578" i="1"/>
  <c r="K2578" i="1"/>
  <c r="S2575" i="1"/>
  <c r="K2575" i="1"/>
  <c r="S2574" i="1"/>
  <c r="K2574" i="1"/>
  <c r="S2573" i="1"/>
  <c r="K2573" i="1"/>
  <c r="S2569" i="1"/>
  <c r="K2569" i="1"/>
  <c r="S2568" i="1"/>
  <c r="K2568" i="1"/>
  <c r="S2567" i="1"/>
  <c r="K2567" i="1"/>
  <c r="S2565" i="1"/>
  <c r="K2565" i="1"/>
  <c r="S2564" i="1"/>
  <c r="K2564" i="1"/>
  <c r="S2563" i="1"/>
  <c r="K2563" i="1"/>
  <c r="S2561" i="1"/>
  <c r="K2561" i="1"/>
  <c r="S2560" i="1"/>
  <c r="K2560" i="1"/>
  <c r="S2558" i="1"/>
  <c r="K2558" i="1"/>
  <c r="S2556" i="1"/>
  <c r="K2556" i="1"/>
  <c r="S2554" i="1"/>
  <c r="K2554" i="1"/>
  <c r="S2553" i="1"/>
  <c r="K2553" i="1"/>
  <c r="S2551" i="1"/>
  <c r="K2551" i="1"/>
  <c r="S2550" i="1"/>
  <c r="K2550" i="1"/>
  <c r="S2549" i="1"/>
  <c r="K2549" i="1"/>
  <c r="S2548" i="1"/>
  <c r="K2548" i="1"/>
  <c r="S2546" i="1"/>
  <c r="K2546" i="1"/>
  <c r="P2545" i="1"/>
  <c r="S2545" i="1" s="1"/>
  <c r="K2545" i="1"/>
  <c r="S2543" i="1"/>
  <c r="K2543" i="1"/>
  <c r="S2542" i="1"/>
  <c r="K2542" i="1"/>
  <c r="S2540" i="1"/>
  <c r="K2540" i="1"/>
  <c r="S2539" i="1"/>
  <c r="K2539" i="1"/>
  <c r="S2538" i="1"/>
  <c r="K2538" i="1"/>
  <c r="P2537" i="1"/>
  <c r="S2537" i="1" s="1"/>
  <c r="K2537" i="1"/>
  <c r="S2535" i="1"/>
  <c r="K2535" i="1"/>
  <c r="S2534" i="1"/>
  <c r="K2534" i="1"/>
  <c r="S2532" i="1"/>
  <c r="K2532" i="1"/>
  <c r="S2531" i="1"/>
  <c r="K2531" i="1"/>
  <c r="S2530" i="1"/>
  <c r="K2530" i="1"/>
  <c r="S2529" i="1"/>
  <c r="K2529" i="1"/>
  <c r="S2528" i="1"/>
  <c r="K2528" i="1"/>
  <c r="S2526" i="1"/>
  <c r="K2526" i="1"/>
  <c r="S2525" i="1"/>
  <c r="K2525" i="1"/>
  <c r="S2524" i="1"/>
  <c r="K2524" i="1"/>
  <c r="S2523" i="1"/>
  <c r="K2523" i="1"/>
  <c r="S2522" i="1"/>
  <c r="K2522" i="1"/>
  <c r="S2521" i="1"/>
  <c r="K2521" i="1"/>
  <c r="S2518" i="1"/>
  <c r="K2518" i="1"/>
  <c r="S2517" i="1"/>
  <c r="K2517" i="1"/>
  <c r="P2515" i="1"/>
  <c r="S2515" i="1" s="1"/>
  <c r="K2515" i="1"/>
  <c r="S2513" i="1"/>
  <c r="K2513" i="1"/>
  <c r="S2512" i="1"/>
  <c r="K2512" i="1"/>
  <c r="S2509" i="1"/>
  <c r="K2509" i="1"/>
  <c r="S2508" i="1"/>
  <c r="K2508" i="1"/>
  <c r="S2507" i="1"/>
  <c r="K2507" i="1"/>
  <c r="S2506" i="1"/>
  <c r="K2506" i="1"/>
  <c r="S2505" i="1"/>
  <c r="K2505" i="1"/>
  <c r="S2502" i="1"/>
  <c r="K2502" i="1"/>
  <c r="S2500" i="1"/>
  <c r="K2500" i="1"/>
  <c r="S2499" i="1"/>
  <c r="K2499" i="1"/>
  <c r="S2496" i="1"/>
  <c r="K2496" i="1"/>
  <c r="S2492" i="1"/>
  <c r="K2492" i="1"/>
  <c r="P2489" i="1"/>
  <c r="S2489" i="1" s="1"/>
  <c r="K2489" i="1"/>
  <c r="S2488" i="1"/>
  <c r="K2488" i="1"/>
  <c r="S2487" i="1"/>
  <c r="K2487" i="1"/>
  <c r="S2486" i="1"/>
  <c r="K2486" i="1"/>
  <c r="S2485" i="1"/>
  <c r="K2485" i="1"/>
  <c r="S2481" i="1"/>
  <c r="K2481" i="1"/>
  <c r="S2478" i="1"/>
  <c r="K2478" i="1"/>
  <c r="P2477" i="1"/>
  <c r="S2477" i="1" s="1"/>
  <c r="K2477" i="1"/>
  <c r="S2474" i="1"/>
  <c r="K2474" i="1"/>
  <c r="S2473" i="1"/>
  <c r="K2473" i="1"/>
  <c r="P2472" i="1"/>
  <c r="S2472" i="1" s="1"/>
  <c r="K2472" i="1"/>
  <c r="S2471" i="1"/>
  <c r="K2471" i="1"/>
  <c r="S2470" i="1"/>
  <c r="K2470" i="1"/>
  <c r="S2469" i="1"/>
  <c r="K2469" i="1"/>
  <c r="S2468" i="1"/>
  <c r="K2468" i="1"/>
  <c r="S2467" i="1"/>
  <c r="K2467" i="1"/>
  <c r="P2466" i="1"/>
  <c r="S2466" i="1" s="1"/>
  <c r="K2466" i="1"/>
  <c r="S2465" i="1"/>
  <c r="K2465" i="1"/>
  <c r="S2464" i="1"/>
  <c r="K2464" i="1"/>
  <c r="S2463" i="1"/>
  <c r="K2463" i="1"/>
  <c r="S2462" i="1"/>
  <c r="K2462" i="1"/>
  <c r="S2461" i="1"/>
  <c r="K2461" i="1"/>
  <c r="S2459" i="1"/>
  <c r="K2459" i="1"/>
  <c r="S2458" i="1"/>
  <c r="K2458" i="1"/>
  <c r="S2457" i="1"/>
  <c r="K2457" i="1"/>
  <c r="S2456" i="1"/>
  <c r="K2456" i="1"/>
  <c r="P2454" i="1"/>
  <c r="S2454" i="1" s="1"/>
  <c r="K2454" i="1"/>
  <c r="S2453" i="1"/>
  <c r="K2453" i="1"/>
  <c r="P2450" i="1"/>
  <c r="S2450" i="1" s="1"/>
  <c r="K2450" i="1"/>
  <c r="S2449" i="1"/>
  <c r="K2449" i="1"/>
  <c r="S2448" i="1"/>
  <c r="K2448" i="1"/>
  <c r="S2446" i="1"/>
  <c r="K2446" i="1"/>
  <c r="S2445" i="1"/>
  <c r="K2445" i="1"/>
  <c r="S2442" i="1"/>
  <c r="K2442" i="1"/>
  <c r="S2441" i="1"/>
  <c r="K2441" i="1"/>
  <c r="S2440" i="1"/>
  <c r="K2440" i="1"/>
  <c r="P2438" i="1"/>
  <c r="S2438" i="1" s="1"/>
  <c r="K2438" i="1"/>
  <c r="S2436" i="1"/>
  <c r="K2436" i="1"/>
  <c r="S2435" i="1"/>
  <c r="K2435" i="1"/>
  <c r="S2434" i="1"/>
  <c r="K2434" i="1"/>
  <c r="S2433" i="1"/>
  <c r="K2433" i="1"/>
  <c r="S2431" i="1"/>
  <c r="K2431" i="1"/>
  <c r="S2430" i="1"/>
  <c r="K2430" i="1"/>
  <c r="S2429" i="1"/>
  <c r="K2429" i="1"/>
  <c r="S2428" i="1"/>
  <c r="K2428" i="1"/>
  <c r="S2427" i="1"/>
  <c r="K2427" i="1"/>
  <c r="S2426" i="1"/>
  <c r="K2426" i="1"/>
  <c r="S2425" i="1"/>
  <c r="K2425" i="1"/>
  <c r="S2424" i="1"/>
  <c r="K2424" i="1"/>
  <c r="S2423" i="1"/>
  <c r="K2423" i="1"/>
  <c r="S2422" i="1"/>
  <c r="K2422" i="1"/>
  <c r="P2421" i="1"/>
  <c r="S2421" i="1" s="1"/>
  <c r="K2421" i="1"/>
  <c r="S2420" i="1"/>
  <c r="K2420" i="1"/>
  <c r="S2419" i="1"/>
  <c r="K2419" i="1"/>
  <c r="S2416" i="1"/>
  <c r="K2416" i="1"/>
  <c r="S2414" i="1"/>
  <c r="K2414" i="1"/>
  <c r="S2413" i="1"/>
  <c r="K2413" i="1"/>
  <c r="S2412" i="1"/>
  <c r="K2412" i="1"/>
  <c r="S2411" i="1"/>
  <c r="K2411" i="1"/>
  <c r="S2410" i="1"/>
  <c r="K2410" i="1"/>
  <c r="S2407" i="1"/>
  <c r="K2407" i="1"/>
  <c r="S2406" i="1"/>
  <c r="K2406" i="1"/>
  <c r="S2403" i="1"/>
  <c r="K2403" i="1"/>
  <c r="S2402" i="1"/>
  <c r="K2402" i="1"/>
  <c r="S2401" i="1"/>
  <c r="K2401" i="1"/>
  <c r="P2400" i="1"/>
  <c r="S2400" i="1" s="1"/>
  <c r="K2400" i="1"/>
  <c r="S2399" i="1"/>
  <c r="K2399" i="1"/>
  <c r="S2396" i="1"/>
  <c r="K2396" i="1"/>
  <c r="S2394" i="1"/>
  <c r="K2394" i="1"/>
  <c r="S2393" i="1"/>
  <c r="K2393" i="1"/>
  <c r="P2392" i="1"/>
  <c r="S2392" i="1" s="1"/>
  <c r="K2392" i="1"/>
  <c r="P2389" i="1"/>
  <c r="S2389" i="1" s="1"/>
  <c r="K2389" i="1"/>
  <c r="S2387" i="1"/>
  <c r="K2387" i="1"/>
  <c r="S2386" i="1"/>
  <c r="K2386" i="1"/>
  <c r="P2385" i="1"/>
  <c r="S2385" i="1" s="1"/>
  <c r="K2385" i="1"/>
  <c r="P2384" i="1"/>
  <c r="S2384" i="1" s="1"/>
  <c r="K2384" i="1"/>
  <c r="S2383" i="1"/>
  <c r="K2383" i="1"/>
  <c r="S2382" i="1"/>
  <c r="K2382" i="1"/>
  <c r="S2379" i="1"/>
  <c r="K2379" i="1"/>
  <c r="S2378" i="1"/>
  <c r="K2378" i="1"/>
  <c r="S2377" i="1"/>
  <c r="K2377" i="1"/>
  <c r="S2376" i="1"/>
  <c r="K2376" i="1"/>
  <c r="S2375" i="1"/>
  <c r="K2375" i="1"/>
  <c r="S2374" i="1"/>
  <c r="K2374" i="1"/>
  <c r="S2373" i="1"/>
  <c r="K2373" i="1"/>
  <c r="S2372" i="1"/>
  <c r="K2372" i="1"/>
  <c r="S2370" i="1"/>
  <c r="K2370" i="1"/>
  <c r="S2369" i="1"/>
  <c r="K2369" i="1"/>
  <c r="S2368" i="1"/>
  <c r="K2368" i="1"/>
  <c r="P2367" i="1"/>
  <c r="S2367" i="1" s="1"/>
  <c r="K2367" i="1"/>
  <c r="S2365" i="1"/>
  <c r="K2365" i="1"/>
  <c r="P2364" i="1"/>
  <c r="S2364" i="1" s="1"/>
  <c r="K2364" i="1"/>
  <c r="S2361" i="1"/>
  <c r="K2361" i="1"/>
  <c r="P2360" i="1"/>
  <c r="S2360" i="1" s="1"/>
  <c r="K2360" i="1"/>
  <c r="P2357" i="1"/>
  <c r="S2357" i="1" s="1"/>
  <c r="K2357" i="1"/>
  <c r="P2355" i="1"/>
  <c r="S2355" i="1" s="1"/>
  <c r="K2355" i="1"/>
  <c r="S2354" i="1"/>
  <c r="K2354" i="1"/>
  <c r="S2352" i="1"/>
  <c r="K2352" i="1"/>
  <c r="S2351" i="1"/>
  <c r="K2351" i="1"/>
  <c r="S2350" i="1"/>
  <c r="K2350" i="1"/>
  <c r="S2348" i="1"/>
  <c r="K2348" i="1"/>
  <c r="S2346" i="1"/>
  <c r="K2346" i="1"/>
  <c r="S2345" i="1"/>
  <c r="K2345" i="1"/>
  <c r="S2344" i="1"/>
  <c r="K2344" i="1"/>
  <c r="S2341" i="1"/>
  <c r="K2341" i="1"/>
  <c r="S2340" i="1"/>
  <c r="K2340" i="1"/>
  <c r="S2339" i="1"/>
  <c r="K2339" i="1"/>
  <c r="S2338" i="1"/>
  <c r="K2338" i="1"/>
  <c r="P2337" i="1"/>
  <c r="S2337" i="1" s="1"/>
  <c r="K2337" i="1"/>
  <c r="P2331" i="1"/>
  <c r="S2331" i="1" s="1"/>
  <c r="K2331" i="1"/>
  <c r="S2330" i="1"/>
  <c r="K2330" i="1"/>
  <c r="P2326" i="1"/>
  <c r="S2326" i="1" s="1"/>
  <c r="K2326" i="1"/>
  <c r="P2325" i="1"/>
  <c r="S2325" i="1" s="1"/>
  <c r="K2325" i="1"/>
  <c r="S2323" i="1"/>
  <c r="K2323" i="1"/>
  <c r="S2322" i="1"/>
  <c r="K2322" i="1"/>
  <c r="S2321" i="1"/>
  <c r="K2321" i="1"/>
  <c r="P2320" i="1"/>
  <c r="S2320" i="1" s="1"/>
  <c r="K2320" i="1"/>
  <c r="S2317" i="1"/>
  <c r="K2317" i="1"/>
  <c r="S2316" i="1"/>
  <c r="K2316" i="1"/>
  <c r="S2315" i="1"/>
  <c r="K2315" i="1"/>
  <c r="S2311" i="1"/>
  <c r="K2311" i="1"/>
  <c r="P2310" i="1"/>
  <c r="S2310" i="1" s="1"/>
  <c r="K2310" i="1"/>
  <c r="S2305" i="1"/>
  <c r="K2305" i="1"/>
  <c r="S2304" i="1"/>
  <c r="K2304" i="1"/>
  <c r="S2303" i="1"/>
  <c r="K2303" i="1"/>
  <c r="S2302" i="1"/>
  <c r="K2302" i="1"/>
  <c r="P2300" i="1"/>
  <c r="S2300" i="1" s="1"/>
  <c r="K2300" i="1"/>
  <c r="S2299" i="1"/>
  <c r="K2299" i="1"/>
  <c r="S2298" i="1"/>
  <c r="K2298" i="1"/>
  <c r="S2297" i="1"/>
  <c r="K2297" i="1"/>
  <c r="S2296" i="1"/>
  <c r="K2296" i="1"/>
  <c r="S2294" i="1"/>
  <c r="K2294" i="1"/>
  <c r="S2293" i="1"/>
  <c r="K2293" i="1"/>
  <c r="S2292" i="1"/>
  <c r="K2292" i="1"/>
  <c r="P2290" i="1"/>
  <c r="S2290" i="1" s="1"/>
  <c r="K2290" i="1"/>
  <c r="S2288" i="1"/>
  <c r="K2288" i="1"/>
  <c r="S2287" i="1"/>
  <c r="K2287" i="1"/>
  <c r="S2286" i="1"/>
  <c r="K2286" i="1"/>
  <c r="S2285" i="1"/>
  <c r="K2285" i="1"/>
  <c r="S2284" i="1"/>
  <c r="K2284" i="1"/>
  <c r="S2283" i="1"/>
  <c r="K2283" i="1"/>
  <c r="P2282" i="1"/>
  <c r="S2282" i="1" s="1"/>
  <c r="K2282" i="1"/>
  <c r="S2281" i="1"/>
  <c r="K2281" i="1"/>
  <c r="S2280" i="1"/>
  <c r="K2280" i="1"/>
  <c r="S2279" i="1"/>
  <c r="K2279" i="1"/>
  <c r="S2277" i="1"/>
  <c r="K2277" i="1"/>
  <c r="S2276" i="1"/>
  <c r="K2276" i="1"/>
  <c r="S2275" i="1"/>
  <c r="K2275" i="1"/>
  <c r="P2273" i="1"/>
  <c r="S2273" i="1" s="1"/>
  <c r="K2273" i="1"/>
  <c r="S2272" i="1"/>
  <c r="K2272" i="1"/>
  <c r="S2271" i="1"/>
  <c r="K2271" i="1"/>
  <c r="S2270" i="1"/>
  <c r="K2270" i="1"/>
  <c r="S2269" i="1"/>
  <c r="K2269" i="1"/>
  <c r="S2268" i="1"/>
  <c r="K2268" i="1"/>
  <c r="S2266" i="1"/>
  <c r="K2266" i="1"/>
  <c r="S2264" i="1"/>
  <c r="K2264" i="1"/>
  <c r="S2263" i="1"/>
  <c r="K2263" i="1"/>
  <c r="P2261" i="1"/>
  <c r="S2261" i="1" s="1"/>
  <c r="K2261" i="1"/>
  <c r="S2260" i="1"/>
  <c r="K2260" i="1"/>
  <c r="S2258" i="1"/>
  <c r="K2258" i="1"/>
  <c r="S2257" i="1"/>
  <c r="K2257" i="1"/>
  <c r="S2256" i="1"/>
  <c r="K2256" i="1"/>
  <c r="S2255" i="1"/>
  <c r="K2255" i="1"/>
  <c r="S2254" i="1"/>
  <c r="K2254" i="1"/>
  <c r="S2251" i="1"/>
  <c r="K2251" i="1"/>
  <c r="S2250" i="1"/>
  <c r="K2250" i="1"/>
  <c r="S2249" i="1"/>
  <c r="K2249" i="1"/>
  <c r="S2248" i="1"/>
  <c r="K2248" i="1"/>
  <c r="S2247" i="1"/>
  <c r="K2247" i="1"/>
  <c r="S2244" i="1"/>
  <c r="K2244" i="1"/>
  <c r="S2242" i="1"/>
  <c r="K2242" i="1"/>
  <c r="S2241" i="1"/>
  <c r="K2241" i="1"/>
  <c r="S2240" i="1"/>
  <c r="K2240" i="1"/>
  <c r="S2239" i="1"/>
  <c r="K2239" i="1"/>
  <c r="S2238" i="1"/>
  <c r="K2238" i="1"/>
  <c r="S2237" i="1"/>
  <c r="K2237" i="1"/>
  <c r="S2235" i="1"/>
  <c r="K2235" i="1"/>
  <c r="S2234" i="1"/>
  <c r="K2234" i="1"/>
  <c r="S2233" i="1"/>
  <c r="K2233" i="1"/>
  <c r="S2231" i="1"/>
  <c r="K2231" i="1"/>
  <c r="S2227" i="1"/>
  <c r="K2227" i="1"/>
  <c r="S2226" i="1"/>
  <c r="K2226" i="1"/>
  <c r="S2224" i="1"/>
  <c r="K2224" i="1"/>
  <c r="S2223" i="1"/>
  <c r="K2223" i="1"/>
  <c r="S2221" i="1"/>
  <c r="K2221" i="1"/>
  <c r="S2219" i="1"/>
  <c r="K2219" i="1"/>
  <c r="S2215" i="1"/>
  <c r="K2215" i="1"/>
  <c r="S2211" i="1"/>
  <c r="K2211" i="1"/>
  <c r="S2210" i="1"/>
  <c r="K2210" i="1"/>
  <c r="S2208" i="1"/>
  <c r="K2208" i="1"/>
  <c r="S2207" i="1"/>
  <c r="K2207" i="1"/>
  <c r="P2206" i="1"/>
  <c r="S2206" i="1" s="1"/>
  <c r="K2206" i="1"/>
  <c r="P2205" i="1"/>
  <c r="S2205" i="1" s="1"/>
  <c r="K2205" i="1"/>
  <c r="P2204" i="1"/>
  <c r="S2204" i="1" s="1"/>
  <c r="K2204" i="1"/>
  <c r="S2203" i="1"/>
  <c r="K2203" i="1"/>
  <c r="P2202" i="1"/>
  <c r="S2202" i="1" s="1"/>
  <c r="K2202" i="1"/>
  <c r="P2201" i="1"/>
  <c r="S2201" i="1" s="1"/>
  <c r="K2201" i="1"/>
  <c r="S2200" i="1"/>
  <c r="K2200" i="1"/>
  <c r="P2199" i="1"/>
  <c r="S2199" i="1" s="1"/>
  <c r="K2199" i="1"/>
  <c r="S2196" i="1"/>
  <c r="K2196" i="1"/>
  <c r="S2195" i="1"/>
  <c r="K2195" i="1"/>
  <c r="S2194" i="1"/>
  <c r="K2194" i="1"/>
  <c r="S2193" i="1"/>
  <c r="K2193" i="1"/>
  <c r="S2192" i="1"/>
  <c r="K2192" i="1"/>
  <c r="S2191" i="1"/>
  <c r="K2191" i="1"/>
  <c r="S2190" i="1"/>
  <c r="K2190" i="1"/>
  <c r="S2189" i="1"/>
  <c r="K2189" i="1"/>
  <c r="S2187" i="1"/>
  <c r="K2187" i="1"/>
  <c r="S2186" i="1"/>
  <c r="K2186" i="1"/>
  <c r="S2185" i="1"/>
  <c r="K2185" i="1"/>
  <c r="S2184" i="1"/>
  <c r="K2184" i="1"/>
  <c r="S2182" i="1"/>
  <c r="K2182" i="1"/>
  <c r="S2181" i="1"/>
  <c r="K2181" i="1"/>
  <c r="S2180" i="1"/>
  <c r="K2180" i="1"/>
  <c r="S2179" i="1"/>
  <c r="K2179" i="1"/>
  <c r="S2177" i="1"/>
  <c r="K2177" i="1"/>
  <c r="S2174" i="1"/>
  <c r="K2174" i="1"/>
  <c r="P2172" i="1"/>
  <c r="S2172" i="1" s="1"/>
  <c r="K2172" i="1"/>
  <c r="P2169" i="1"/>
  <c r="S2169" i="1" s="1"/>
  <c r="K2169" i="1"/>
  <c r="S2167" i="1"/>
  <c r="K2167" i="1"/>
  <c r="S2166" i="1"/>
  <c r="K2166" i="1"/>
  <c r="S2165" i="1"/>
  <c r="K2165" i="1"/>
  <c r="S2164" i="1"/>
  <c r="K2164" i="1"/>
  <c r="P2163" i="1"/>
  <c r="S2163" i="1" s="1"/>
  <c r="K2163" i="1"/>
  <c r="P2161" i="1"/>
  <c r="S2161" i="1" s="1"/>
  <c r="K2161" i="1"/>
  <c r="S2155" i="1"/>
  <c r="K2155" i="1"/>
  <c r="S2153" i="1"/>
  <c r="K2153" i="1"/>
  <c r="S2150" i="1"/>
  <c r="K2150" i="1"/>
  <c r="S2149" i="1"/>
  <c r="K2149" i="1"/>
  <c r="S2148" i="1"/>
  <c r="K2148" i="1"/>
  <c r="P2147" i="1"/>
  <c r="S2147" i="1" s="1"/>
  <c r="K2147" i="1"/>
  <c r="P2145" i="1"/>
  <c r="S2145" i="1" s="1"/>
  <c r="K2145" i="1"/>
  <c r="S2144" i="1"/>
  <c r="K2144" i="1"/>
  <c r="S2142" i="1"/>
  <c r="K2142" i="1"/>
  <c r="P2141" i="1"/>
  <c r="S2141" i="1" s="1"/>
  <c r="K2141" i="1"/>
  <c r="P2140" i="1"/>
  <c r="S2140" i="1" s="1"/>
  <c r="K2140" i="1"/>
  <c r="S2139" i="1"/>
  <c r="K2139" i="1"/>
  <c r="S2138" i="1"/>
  <c r="K2138" i="1"/>
  <c r="S2137" i="1"/>
  <c r="K2137" i="1"/>
  <c r="S2136" i="1"/>
  <c r="K2136" i="1"/>
  <c r="S2135" i="1"/>
  <c r="K2135" i="1"/>
  <c r="S2134" i="1"/>
  <c r="K2134" i="1"/>
  <c r="S2133" i="1"/>
  <c r="K2133" i="1"/>
  <c r="S2128" i="1"/>
  <c r="K2128" i="1"/>
  <c r="P2126" i="1"/>
  <c r="S2126" i="1" s="1"/>
  <c r="K2126" i="1"/>
  <c r="S2124" i="1"/>
  <c r="K2124" i="1"/>
  <c r="S2120" i="1"/>
  <c r="K2120" i="1"/>
  <c r="S2119" i="1"/>
  <c r="K2119" i="1"/>
  <c r="P2118" i="1"/>
  <c r="S2118" i="1" s="1"/>
  <c r="K2118" i="1"/>
  <c r="S2117" i="1"/>
  <c r="K2117" i="1"/>
  <c r="P2115" i="1"/>
  <c r="S2115" i="1" s="1"/>
  <c r="K2115" i="1"/>
  <c r="S2113" i="1"/>
  <c r="K2113" i="1"/>
  <c r="P2109" i="1"/>
  <c r="S2109" i="1" s="1"/>
  <c r="K2109" i="1"/>
  <c r="P2106" i="1"/>
  <c r="S2106" i="1" s="1"/>
  <c r="K2106" i="1"/>
  <c r="P2105" i="1"/>
  <c r="S2105" i="1" s="1"/>
  <c r="K2105" i="1"/>
  <c r="P2104" i="1"/>
  <c r="S2104" i="1" s="1"/>
  <c r="K2104" i="1"/>
  <c r="S2103" i="1"/>
  <c r="K2103" i="1"/>
  <c r="S2102" i="1"/>
  <c r="K2102" i="1"/>
  <c r="P2101" i="1"/>
  <c r="S2101" i="1" s="1"/>
  <c r="K2101" i="1"/>
  <c r="S2100" i="1"/>
  <c r="K2100" i="1"/>
  <c r="S2099" i="1"/>
  <c r="K2099" i="1"/>
  <c r="S2098" i="1"/>
  <c r="K2098" i="1"/>
  <c r="S2097" i="1"/>
  <c r="K2097" i="1"/>
  <c r="S2096" i="1"/>
  <c r="K2096" i="1"/>
  <c r="S2094" i="1"/>
  <c r="K2094" i="1"/>
  <c r="S2092" i="1"/>
  <c r="K2092" i="1"/>
  <c r="S2091" i="1"/>
  <c r="K2091" i="1"/>
  <c r="S2090" i="1"/>
  <c r="K2090" i="1"/>
  <c r="S2087" i="1"/>
  <c r="K2087" i="1"/>
  <c r="P2086" i="1"/>
  <c r="S2086" i="1" s="1"/>
  <c r="K2086" i="1"/>
  <c r="S2085" i="1"/>
  <c r="K2085" i="1"/>
  <c r="S2084" i="1"/>
  <c r="K2084" i="1"/>
  <c r="S2083" i="1"/>
  <c r="K2083" i="1"/>
  <c r="P2081" i="1"/>
  <c r="S2081" i="1" s="1"/>
  <c r="K2081" i="1"/>
  <c r="P2079" i="1"/>
  <c r="S2079" i="1" s="1"/>
  <c r="K2079" i="1"/>
  <c r="S2078" i="1"/>
  <c r="K2078" i="1"/>
  <c r="S2074" i="1"/>
  <c r="K2074" i="1"/>
  <c r="P2073" i="1"/>
  <c r="S2073" i="1" s="1"/>
  <c r="K2073" i="1"/>
  <c r="S2072" i="1"/>
  <c r="K2072" i="1"/>
  <c r="S2071" i="1"/>
  <c r="K2071" i="1"/>
  <c r="S2070" i="1"/>
  <c r="K2070" i="1"/>
  <c r="S2069" i="1"/>
  <c r="K2069" i="1"/>
  <c r="S2068" i="1"/>
  <c r="K2068" i="1"/>
  <c r="S2067" i="1"/>
  <c r="K2067" i="1"/>
  <c r="S2065" i="1"/>
  <c r="K2065" i="1"/>
  <c r="S2064" i="1"/>
  <c r="K2064" i="1"/>
  <c r="S2062" i="1"/>
  <c r="K2062" i="1"/>
  <c r="S2059" i="1"/>
  <c r="K2059" i="1"/>
  <c r="S2058" i="1"/>
  <c r="K2058" i="1"/>
  <c r="S2057" i="1"/>
  <c r="K2057" i="1"/>
  <c r="S2056" i="1"/>
  <c r="K2056" i="1"/>
  <c r="S2054" i="1"/>
  <c r="K2054" i="1"/>
  <c r="P2052" i="1"/>
  <c r="S2052" i="1" s="1"/>
  <c r="K2052" i="1"/>
  <c r="S2050" i="1"/>
  <c r="K2050" i="1"/>
  <c r="S2048" i="1"/>
  <c r="K2048" i="1"/>
  <c r="S2043" i="1"/>
  <c r="K2043" i="1"/>
  <c r="S2042" i="1"/>
  <c r="K2042" i="1"/>
  <c r="S2040" i="1"/>
  <c r="K2040" i="1"/>
  <c r="P2039" i="1"/>
  <c r="S2039" i="1" s="1"/>
  <c r="K2039" i="1"/>
  <c r="S2038" i="1"/>
  <c r="K2038" i="1"/>
  <c r="S2037" i="1"/>
  <c r="K2037" i="1"/>
  <c r="P2034" i="1"/>
  <c r="S2034" i="1" s="1"/>
  <c r="K2034" i="1"/>
  <c r="S2033" i="1"/>
  <c r="K2033" i="1"/>
  <c r="S2030" i="1"/>
  <c r="K2030" i="1"/>
  <c r="P2028" i="1"/>
  <c r="S2028" i="1" s="1"/>
  <c r="K2028" i="1"/>
  <c r="S2027" i="1"/>
  <c r="K2027" i="1"/>
  <c r="S2024" i="1"/>
  <c r="K2024" i="1"/>
  <c r="P2023" i="1"/>
  <c r="S2023" i="1" s="1"/>
  <c r="K2023" i="1"/>
  <c r="P2022" i="1"/>
  <c r="S2022" i="1" s="1"/>
  <c r="K2022" i="1"/>
  <c r="P2021" i="1"/>
  <c r="S2021" i="1" s="1"/>
  <c r="K2021" i="1"/>
  <c r="S2019" i="1"/>
  <c r="K2019" i="1"/>
  <c r="S2017" i="1"/>
  <c r="K2017" i="1"/>
  <c r="S2016" i="1"/>
  <c r="K2016" i="1"/>
  <c r="S2015" i="1"/>
  <c r="K2015" i="1"/>
  <c r="S2013" i="1"/>
  <c r="K2013" i="1"/>
  <c r="S2011" i="1"/>
  <c r="K2011" i="1"/>
  <c r="S2010" i="1"/>
  <c r="K2010" i="1"/>
  <c r="S2009" i="1"/>
  <c r="K2009" i="1"/>
  <c r="S2006" i="1"/>
  <c r="K2006" i="1"/>
  <c r="S2005" i="1"/>
  <c r="K2005" i="1"/>
  <c r="S2001" i="1"/>
  <c r="K2001" i="1"/>
  <c r="S2000" i="1"/>
  <c r="K2000" i="1"/>
  <c r="S1999" i="1"/>
  <c r="K1999" i="1"/>
  <c r="S1998" i="1"/>
  <c r="K1998" i="1"/>
  <c r="S1997" i="1"/>
  <c r="K1997" i="1"/>
  <c r="S1996" i="1"/>
  <c r="K1996" i="1"/>
  <c r="S1995" i="1"/>
  <c r="K1995" i="1"/>
  <c r="S1993" i="1"/>
  <c r="K1993" i="1"/>
  <c r="P1989" i="1"/>
  <c r="S1989" i="1" s="1"/>
  <c r="K1989" i="1"/>
  <c r="S1988" i="1"/>
  <c r="K1988" i="1"/>
  <c r="S1986" i="1"/>
  <c r="K1986" i="1"/>
  <c r="S1984" i="1"/>
  <c r="K1984" i="1"/>
  <c r="S1983" i="1"/>
  <c r="K1983" i="1"/>
  <c r="S1980" i="1"/>
  <c r="K1980" i="1"/>
  <c r="S1979" i="1"/>
  <c r="K1979" i="1"/>
  <c r="S1978" i="1"/>
  <c r="K1978" i="1"/>
  <c r="P1976" i="1"/>
  <c r="S1976" i="1" s="1"/>
  <c r="K1976" i="1"/>
  <c r="S1975" i="1"/>
  <c r="K1975" i="1"/>
  <c r="S1974" i="1"/>
  <c r="K1974" i="1"/>
  <c r="S1972" i="1"/>
  <c r="K1972" i="1"/>
  <c r="S1970" i="1"/>
  <c r="K1970" i="1"/>
  <c r="S1966" i="1"/>
  <c r="K1966" i="1"/>
  <c r="S1963" i="1"/>
  <c r="K1963" i="1"/>
  <c r="S1962" i="1"/>
  <c r="K1962" i="1"/>
  <c r="S1961" i="1"/>
  <c r="K1961" i="1"/>
  <c r="S1960" i="1"/>
  <c r="K1960" i="1"/>
  <c r="S1959" i="1"/>
  <c r="K1959" i="1"/>
  <c r="S1957" i="1"/>
  <c r="K1957" i="1"/>
  <c r="S1953" i="1"/>
  <c r="K1953" i="1"/>
  <c r="P1951" i="1"/>
  <c r="S1951" i="1" s="1"/>
  <c r="K1951" i="1"/>
  <c r="S1949" i="1"/>
  <c r="K1949" i="1"/>
  <c r="S1948" i="1"/>
  <c r="K1948" i="1"/>
  <c r="S1945" i="1"/>
  <c r="K1945" i="1"/>
  <c r="S1943" i="1"/>
  <c r="K1943" i="1"/>
  <c r="S1942" i="1"/>
  <c r="K1942" i="1"/>
  <c r="S1941" i="1"/>
  <c r="K1941" i="1"/>
  <c r="S1940" i="1"/>
  <c r="K1940" i="1"/>
  <c r="S1939" i="1"/>
  <c r="K1939" i="1"/>
  <c r="S1938" i="1"/>
  <c r="K1938" i="1"/>
  <c r="S1937" i="1"/>
  <c r="K1937" i="1"/>
  <c r="P1936" i="1"/>
  <c r="S1936" i="1" s="1"/>
  <c r="K1936" i="1"/>
  <c r="S1935" i="1"/>
  <c r="K1935" i="1"/>
  <c r="S1934" i="1"/>
  <c r="K1934" i="1"/>
  <c r="S1933" i="1"/>
  <c r="K1933" i="1"/>
  <c r="S1931" i="1"/>
  <c r="K1931" i="1"/>
  <c r="S1929" i="1"/>
  <c r="K1929" i="1"/>
  <c r="S1928" i="1"/>
  <c r="K1928" i="1"/>
  <c r="S1927" i="1"/>
  <c r="K1927" i="1"/>
  <c r="S1926" i="1"/>
  <c r="K1926" i="1"/>
  <c r="P1925" i="1"/>
  <c r="S1925" i="1" s="1"/>
  <c r="K1925" i="1"/>
  <c r="S1923" i="1"/>
  <c r="K1923" i="1"/>
  <c r="P1919" i="1"/>
  <c r="S1919" i="1" s="1"/>
  <c r="K1919" i="1"/>
  <c r="S1916" i="1"/>
  <c r="K1916" i="1"/>
  <c r="S1915" i="1"/>
  <c r="K1915" i="1"/>
  <c r="S1914" i="1"/>
  <c r="K1914" i="1"/>
  <c r="S1913" i="1"/>
  <c r="K1913" i="1"/>
  <c r="S1912" i="1"/>
  <c r="K1912" i="1"/>
  <c r="S1911" i="1"/>
  <c r="K1911" i="1"/>
  <c r="S1910" i="1"/>
  <c r="K1910" i="1"/>
  <c r="S1909" i="1"/>
  <c r="K1909" i="1"/>
  <c r="S1908" i="1"/>
  <c r="K1908" i="1"/>
  <c r="S1907" i="1"/>
  <c r="K1907" i="1"/>
  <c r="S1906" i="1"/>
  <c r="K1906" i="1"/>
  <c r="S1905" i="1"/>
  <c r="K1905" i="1"/>
  <c r="S1903" i="1"/>
  <c r="K1903" i="1"/>
  <c r="S1902" i="1"/>
  <c r="K1902" i="1"/>
  <c r="S1900" i="1"/>
  <c r="K1900" i="1"/>
  <c r="S1898" i="1"/>
  <c r="K1898" i="1"/>
  <c r="P1897" i="1"/>
  <c r="S1897" i="1" s="1"/>
  <c r="K1897" i="1"/>
  <c r="S1893" i="1"/>
  <c r="K1893" i="1"/>
  <c r="S1892" i="1"/>
  <c r="K1892" i="1"/>
  <c r="S1891" i="1"/>
  <c r="K1891" i="1"/>
  <c r="S1890" i="1"/>
  <c r="K1890" i="1"/>
  <c r="S1889" i="1"/>
  <c r="K1889" i="1"/>
  <c r="S1888" i="1"/>
  <c r="K1888" i="1"/>
  <c r="S1885" i="1"/>
  <c r="K1885" i="1"/>
  <c r="S1883" i="1"/>
  <c r="K1883" i="1"/>
  <c r="S1882" i="1"/>
  <c r="K1882" i="1"/>
  <c r="S1880" i="1"/>
  <c r="K1880" i="1"/>
  <c r="P1877" i="1"/>
  <c r="S1877" i="1" s="1"/>
  <c r="K1877" i="1"/>
  <c r="P1876" i="1"/>
  <c r="S1876" i="1" s="1"/>
  <c r="K1876" i="1"/>
  <c r="S1875" i="1"/>
  <c r="K1875" i="1"/>
  <c r="S1874" i="1"/>
  <c r="K1874" i="1"/>
  <c r="S1873" i="1"/>
  <c r="K1873" i="1"/>
  <c r="S1872" i="1"/>
  <c r="K1872" i="1"/>
  <c r="P1871" i="1"/>
  <c r="S1871" i="1" s="1"/>
  <c r="K1871" i="1"/>
  <c r="P1870" i="1"/>
  <c r="S1870" i="1" s="1"/>
  <c r="K1870" i="1"/>
  <c r="S1869" i="1"/>
  <c r="K1869" i="1"/>
  <c r="S1868" i="1"/>
  <c r="K1868" i="1"/>
  <c r="S1866" i="1"/>
  <c r="K1866" i="1"/>
  <c r="S1865" i="1"/>
  <c r="K1865" i="1"/>
  <c r="P1864" i="1"/>
  <c r="S1864" i="1" s="1"/>
  <c r="K1864" i="1"/>
  <c r="S1860" i="1"/>
  <c r="K1860" i="1"/>
  <c r="S1859" i="1"/>
  <c r="K1859" i="1"/>
  <c r="S1858" i="1"/>
  <c r="K1858" i="1"/>
  <c r="P1856" i="1"/>
  <c r="S1856" i="1" s="1"/>
  <c r="K1856" i="1"/>
  <c r="S1854" i="1"/>
  <c r="K1854" i="1"/>
  <c r="S1853" i="1"/>
  <c r="K1853" i="1"/>
  <c r="S1852" i="1"/>
  <c r="K1852" i="1"/>
  <c r="P1851" i="1"/>
  <c r="S1851" i="1" s="1"/>
  <c r="K1851" i="1"/>
  <c r="S1850" i="1"/>
  <c r="K1850" i="1"/>
  <c r="S1849" i="1"/>
  <c r="K1849" i="1"/>
  <c r="P1848" i="1"/>
  <c r="S1848" i="1" s="1"/>
  <c r="K1848" i="1"/>
  <c r="S1846" i="1"/>
  <c r="K1846" i="1"/>
  <c r="S1845" i="1"/>
  <c r="K1845" i="1"/>
  <c r="S1843" i="1"/>
  <c r="K1843" i="1"/>
  <c r="S1842" i="1"/>
  <c r="K1842" i="1"/>
  <c r="S1840" i="1"/>
  <c r="K1840" i="1"/>
  <c r="S1837" i="1"/>
  <c r="K1837" i="1"/>
  <c r="P1836" i="1"/>
  <c r="S1836" i="1" s="1"/>
  <c r="K1836" i="1"/>
  <c r="S1835" i="1"/>
  <c r="K1835" i="1"/>
  <c r="S1834" i="1"/>
  <c r="K1834" i="1"/>
  <c r="P1833" i="1"/>
  <c r="S1833" i="1" s="1"/>
  <c r="K1833" i="1"/>
  <c r="P1830" i="1"/>
  <c r="S1830" i="1" s="1"/>
  <c r="K1830" i="1"/>
  <c r="S1829" i="1"/>
  <c r="K1829" i="1"/>
  <c r="S1828" i="1"/>
  <c r="K1828" i="1"/>
  <c r="S1827" i="1"/>
  <c r="K1827" i="1"/>
  <c r="S1823" i="1"/>
  <c r="K1823" i="1"/>
  <c r="S1822" i="1"/>
  <c r="K1822" i="1"/>
  <c r="S1821" i="1"/>
  <c r="K1821" i="1"/>
  <c r="S1819" i="1"/>
  <c r="K1819" i="1"/>
  <c r="S1814" i="1"/>
  <c r="K1814" i="1"/>
  <c r="S1813" i="1"/>
  <c r="K1813" i="1"/>
  <c r="S1810" i="1"/>
  <c r="K1810" i="1"/>
  <c r="P1809" i="1"/>
  <c r="S1809" i="1" s="1"/>
  <c r="K1809" i="1"/>
  <c r="S1807" i="1"/>
  <c r="K1807" i="1"/>
  <c r="S1806" i="1"/>
  <c r="K1806" i="1"/>
  <c r="S1805" i="1"/>
  <c r="K1805" i="1"/>
  <c r="S1802" i="1"/>
  <c r="K1802" i="1"/>
  <c r="S1801" i="1"/>
  <c r="K1801" i="1"/>
  <c r="S1800" i="1"/>
  <c r="K1800" i="1"/>
  <c r="P1799" i="1"/>
  <c r="S1799" i="1" s="1"/>
  <c r="K1799" i="1"/>
  <c r="P1797" i="1"/>
  <c r="S1797" i="1" s="1"/>
  <c r="K1797" i="1"/>
  <c r="P1796" i="1"/>
  <c r="S1796" i="1" s="1"/>
  <c r="K1796" i="1"/>
  <c r="S1795" i="1"/>
  <c r="K1795" i="1"/>
  <c r="P1794" i="1"/>
  <c r="S1794" i="1" s="1"/>
  <c r="K1794" i="1"/>
  <c r="S1791" i="1"/>
  <c r="K1791" i="1"/>
  <c r="S1790" i="1"/>
  <c r="K1790" i="1"/>
  <c r="S1788" i="1"/>
  <c r="K1788" i="1"/>
  <c r="S1786" i="1"/>
  <c r="K1786" i="1"/>
  <c r="S1785" i="1"/>
  <c r="K1785" i="1"/>
  <c r="S1784" i="1"/>
  <c r="K1784" i="1"/>
  <c r="P1783" i="1"/>
  <c r="S1783" i="1" s="1"/>
  <c r="K1783" i="1"/>
  <c r="S1780" i="1"/>
  <c r="K1780" i="1"/>
  <c r="P1778" i="1"/>
  <c r="S1778" i="1" s="1"/>
  <c r="K1778" i="1"/>
  <c r="S1775" i="1"/>
  <c r="K1775" i="1"/>
  <c r="S1772" i="1"/>
  <c r="K1772" i="1"/>
  <c r="S1771" i="1"/>
  <c r="K1771" i="1"/>
  <c r="S1769" i="1"/>
  <c r="K1769" i="1"/>
  <c r="S1767" i="1"/>
  <c r="K1767" i="1"/>
  <c r="S1766" i="1"/>
  <c r="K1766" i="1"/>
  <c r="S1765" i="1"/>
  <c r="K1765" i="1"/>
  <c r="P1764" i="1"/>
  <c r="S1764" i="1" s="1"/>
  <c r="K1764" i="1"/>
  <c r="S1761" i="1"/>
  <c r="K1761" i="1"/>
  <c r="S1760" i="1"/>
  <c r="K1760" i="1"/>
  <c r="S1759" i="1"/>
  <c r="K1759" i="1"/>
  <c r="P1756" i="1"/>
  <c r="S1756" i="1" s="1"/>
  <c r="K1756" i="1"/>
  <c r="S1755" i="1"/>
  <c r="K1755" i="1"/>
  <c r="S1754" i="1"/>
  <c r="K1754" i="1"/>
  <c r="S1753" i="1"/>
  <c r="K1753" i="1"/>
  <c r="S1752" i="1"/>
  <c r="K1752" i="1"/>
  <c r="P1750" i="1"/>
  <c r="S1750" i="1" s="1"/>
  <c r="K1750" i="1"/>
  <c r="S1749" i="1"/>
  <c r="K1749" i="1"/>
  <c r="S1747" i="1"/>
  <c r="K1747" i="1"/>
  <c r="S1744" i="1"/>
  <c r="K1744" i="1"/>
  <c r="S1743" i="1"/>
  <c r="K1743" i="1"/>
  <c r="S1741" i="1"/>
  <c r="K1741" i="1"/>
  <c r="P1740" i="1"/>
  <c r="S1740" i="1" s="1"/>
  <c r="K1740" i="1"/>
  <c r="S1739" i="1"/>
  <c r="K1739" i="1"/>
  <c r="S1738" i="1"/>
  <c r="K1738" i="1"/>
  <c r="S1737" i="1"/>
  <c r="K1737" i="1"/>
  <c r="S1735" i="1"/>
  <c r="K1735" i="1"/>
  <c r="S1734" i="1"/>
  <c r="K1734" i="1"/>
  <c r="S1733" i="1"/>
  <c r="K1733" i="1"/>
  <c r="S1732" i="1"/>
  <c r="K1732" i="1"/>
  <c r="S1731" i="1"/>
  <c r="K1731" i="1"/>
  <c r="S1730" i="1"/>
  <c r="K1730" i="1"/>
  <c r="S1729" i="1"/>
  <c r="K1729" i="1"/>
  <c r="S1727" i="1"/>
  <c r="K1727" i="1"/>
  <c r="S1726" i="1"/>
  <c r="K1726" i="1"/>
  <c r="S1724" i="1"/>
  <c r="K1724" i="1"/>
  <c r="S1722" i="1"/>
  <c r="K1722" i="1"/>
  <c r="S1721" i="1"/>
  <c r="K1721" i="1"/>
  <c r="S1720" i="1"/>
  <c r="K1720" i="1"/>
  <c r="S1719" i="1"/>
  <c r="K1719" i="1"/>
  <c r="S1718" i="1"/>
  <c r="K1718" i="1"/>
  <c r="S1717" i="1"/>
  <c r="K1717" i="1"/>
  <c r="S1716" i="1"/>
  <c r="K1716" i="1"/>
  <c r="S1713" i="1"/>
  <c r="K1713" i="1"/>
  <c r="S1710" i="1"/>
  <c r="K1710" i="1"/>
  <c r="S1708" i="1"/>
  <c r="K1708" i="1"/>
  <c r="S1706" i="1"/>
  <c r="K1706" i="1"/>
  <c r="S1703" i="1"/>
  <c r="K1703" i="1"/>
  <c r="S1702" i="1"/>
  <c r="K1702" i="1"/>
  <c r="P1701" i="1"/>
  <c r="S1701" i="1" s="1"/>
  <c r="K1701" i="1"/>
  <c r="S1700" i="1"/>
  <c r="K1700" i="1"/>
  <c r="P1699" i="1"/>
  <c r="S1699" i="1" s="1"/>
  <c r="K1699" i="1"/>
  <c r="S1698" i="1"/>
  <c r="K1698" i="1"/>
  <c r="S1697" i="1"/>
  <c r="K1697" i="1"/>
  <c r="S1695" i="1"/>
  <c r="K1695" i="1"/>
  <c r="S1694" i="1"/>
  <c r="K1694" i="1"/>
  <c r="S1692" i="1"/>
  <c r="K1692" i="1"/>
  <c r="S1691" i="1"/>
  <c r="K1691" i="1"/>
  <c r="P1690" i="1"/>
  <c r="S1690" i="1" s="1"/>
  <c r="K1690" i="1"/>
  <c r="P1689" i="1"/>
  <c r="S1689" i="1" s="1"/>
  <c r="K1689" i="1"/>
  <c r="S1687" i="1"/>
  <c r="K1687" i="1"/>
  <c r="S1683" i="1"/>
  <c r="K1683" i="1"/>
  <c r="P1681" i="1"/>
  <c r="S1681" i="1" s="1"/>
  <c r="K1681" i="1"/>
  <c r="S1680" i="1"/>
  <c r="K1680" i="1"/>
  <c r="S1679" i="1"/>
  <c r="K1679" i="1"/>
  <c r="S1677" i="1"/>
  <c r="K1677" i="1"/>
  <c r="S1676" i="1"/>
  <c r="K1676" i="1"/>
  <c r="S1675" i="1"/>
  <c r="K1675" i="1"/>
  <c r="S1674" i="1"/>
  <c r="K1674" i="1"/>
  <c r="S1672" i="1"/>
  <c r="K1672" i="1"/>
  <c r="S1671" i="1"/>
  <c r="K1671" i="1"/>
  <c r="S1670" i="1"/>
  <c r="K1670" i="1"/>
  <c r="S1669" i="1"/>
  <c r="K1669" i="1"/>
  <c r="P1667" i="1"/>
  <c r="S1667" i="1" s="1"/>
  <c r="K1667" i="1"/>
  <c r="S1666" i="1"/>
  <c r="K1666" i="1"/>
  <c r="S1665" i="1"/>
  <c r="K1665" i="1"/>
  <c r="P1664" i="1"/>
  <c r="S1664" i="1" s="1"/>
  <c r="K1664" i="1"/>
  <c r="P1663" i="1"/>
  <c r="S1663" i="1" s="1"/>
  <c r="K1663" i="1"/>
  <c r="S1662" i="1"/>
  <c r="K1662" i="1"/>
  <c r="S1660" i="1"/>
  <c r="K1660" i="1"/>
  <c r="S1659" i="1"/>
  <c r="K1659" i="1"/>
  <c r="S1657" i="1"/>
  <c r="K1657" i="1"/>
  <c r="S1656" i="1"/>
  <c r="K1656" i="1"/>
  <c r="S1654" i="1"/>
  <c r="K1654" i="1"/>
  <c r="S1653" i="1"/>
  <c r="K1653" i="1"/>
  <c r="S1652" i="1"/>
  <c r="K1652" i="1"/>
  <c r="S1650" i="1"/>
  <c r="K1650" i="1"/>
  <c r="S1649" i="1"/>
  <c r="K1649" i="1"/>
  <c r="S1647" i="1"/>
  <c r="K1647" i="1"/>
  <c r="S1646" i="1"/>
  <c r="K1646" i="1"/>
  <c r="S1644" i="1"/>
  <c r="K1644" i="1"/>
  <c r="S1639" i="1"/>
  <c r="K1639" i="1"/>
  <c r="S1638" i="1"/>
  <c r="K1638" i="1"/>
  <c r="S1637" i="1"/>
  <c r="K1637" i="1"/>
  <c r="S1636" i="1"/>
  <c r="K1636" i="1"/>
  <c r="S1635" i="1"/>
  <c r="K1635" i="1"/>
  <c r="S1634" i="1"/>
  <c r="K1634" i="1"/>
  <c r="S1632" i="1"/>
  <c r="K1632" i="1"/>
  <c r="S1630" i="1"/>
  <c r="K1630" i="1"/>
  <c r="S1629" i="1"/>
  <c r="K1629" i="1"/>
  <c r="S1625" i="1"/>
  <c r="K1625" i="1"/>
  <c r="S1624" i="1"/>
  <c r="K1624" i="1"/>
  <c r="S1623" i="1"/>
  <c r="K1623" i="1"/>
  <c r="P1622" i="1"/>
  <c r="S1622" i="1" s="1"/>
  <c r="K1622" i="1"/>
  <c r="P1621" i="1"/>
  <c r="S1621" i="1" s="1"/>
  <c r="K1621" i="1"/>
  <c r="S1620" i="1"/>
  <c r="K1620" i="1"/>
  <c r="S1619" i="1"/>
  <c r="K1619" i="1"/>
  <c r="P1618" i="1"/>
  <c r="S1618" i="1" s="1"/>
  <c r="K1618" i="1"/>
  <c r="S1617" i="1"/>
  <c r="K1617" i="1"/>
  <c r="S1615" i="1"/>
  <c r="K1615" i="1"/>
  <c r="S1613" i="1"/>
  <c r="K1613" i="1"/>
  <c r="S1612" i="1"/>
  <c r="K1612" i="1"/>
  <c r="S1611" i="1"/>
  <c r="K1611" i="1"/>
  <c r="P1610" i="1"/>
  <c r="S1610" i="1" s="1"/>
  <c r="K1610" i="1"/>
  <c r="S1609" i="1"/>
  <c r="K1609" i="1"/>
  <c r="P1608" i="1"/>
  <c r="S1608" i="1" s="1"/>
  <c r="K1608" i="1"/>
  <c r="P1607" i="1"/>
  <c r="S1607" i="1" s="1"/>
  <c r="K1607" i="1"/>
  <c r="S1602" i="1"/>
  <c r="K1602" i="1"/>
  <c r="P1601" i="1"/>
  <c r="S1601" i="1" s="1"/>
  <c r="K1601" i="1"/>
  <c r="S1600" i="1"/>
  <c r="K1600" i="1"/>
  <c r="P1599" i="1"/>
  <c r="S1599" i="1" s="1"/>
  <c r="K1599" i="1"/>
  <c r="S1598" i="1"/>
  <c r="K1598" i="1"/>
  <c r="S1597" i="1"/>
  <c r="K1597" i="1"/>
  <c r="P1594" i="1"/>
  <c r="S1594" i="1" s="1"/>
  <c r="K1594" i="1"/>
  <c r="P1593" i="1"/>
  <c r="S1593" i="1" s="1"/>
  <c r="K1593" i="1"/>
  <c r="S1590" i="1"/>
  <c r="K1590" i="1"/>
  <c r="S1589" i="1"/>
  <c r="K1589" i="1"/>
  <c r="P1588" i="1"/>
  <c r="S1588" i="1" s="1"/>
  <c r="K1588" i="1"/>
  <c r="P1586" i="1"/>
  <c r="S1586" i="1" s="1"/>
  <c r="K1586" i="1"/>
  <c r="S1585" i="1"/>
  <c r="K1585" i="1"/>
  <c r="S1583" i="1"/>
  <c r="K1583" i="1"/>
  <c r="S1581" i="1"/>
  <c r="K1581" i="1"/>
  <c r="S1580" i="1"/>
  <c r="K1580" i="1"/>
  <c r="S1579" i="1"/>
  <c r="K1579" i="1"/>
  <c r="S1578" i="1"/>
  <c r="K1578" i="1"/>
  <c r="P1575" i="1"/>
  <c r="S1575" i="1" s="1"/>
  <c r="K1575" i="1"/>
  <c r="S1574" i="1"/>
  <c r="K1574" i="1"/>
  <c r="S1571" i="1"/>
  <c r="K1571" i="1"/>
  <c r="S1570" i="1"/>
  <c r="K1570" i="1"/>
  <c r="P1569" i="1"/>
  <c r="S1569" i="1" s="1"/>
  <c r="K1569" i="1"/>
  <c r="S1566" i="1"/>
  <c r="K1566" i="1"/>
  <c r="S1564" i="1"/>
  <c r="K1564" i="1"/>
  <c r="S1563" i="1"/>
  <c r="K1563" i="1"/>
  <c r="S1561" i="1"/>
  <c r="K1561" i="1"/>
  <c r="S1559" i="1"/>
  <c r="K1559" i="1"/>
  <c r="P1558" i="1"/>
  <c r="S1558" i="1" s="1"/>
  <c r="K1558" i="1"/>
  <c r="S1557" i="1"/>
  <c r="K1557" i="1"/>
  <c r="S1556" i="1"/>
  <c r="K1556" i="1"/>
  <c r="S1555" i="1"/>
  <c r="K1555" i="1"/>
  <c r="S1551" i="1"/>
  <c r="K1551" i="1"/>
  <c r="S1550" i="1"/>
  <c r="K1550" i="1"/>
  <c r="S1547" i="1"/>
  <c r="K1547" i="1"/>
  <c r="S1543" i="1"/>
  <c r="K1543" i="1"/>
  <c r="S1542" i="1"/>
  <c r="K1542" i="1"/>
  <c r="P1541" i="1"/>
  <c r="S1541" i="1" s="1"/>
  <c r="K1541" i="1"/>
  <c r="S1540" i="1"/>
  <c r="K1540" i="1"/>
  <c r="S1538" i="1"/>
  <c r="K1538" i="1"/>
  <c r="S1537" i="1"/>
  <c r="K1537" i="1"/>
  <c r="S1534" i="1"/>
  <c r="K1534" i="1"/>
  <c r="S1533" i="1"/>
  <c r="K1533" i="1"/>
  <c r="S1532" i="1"/>
  <c r="K1532" i="1"/>
  <c r="S1530" i="1"/>
  <c r="K1530" i="1"/>
  <c r="P1529" i="1"/>
  <c r="S1529" i="1" s="1"/>
  <c r="K1529" i="1"/>
  <c r="S1528" i="1"/>
  <c r="K1528" i="1"/>
  <c r="S1527" i="1"/>
  <c r="K1527" i="1"/>
  <c r="S1525" i="1"/>
  <c r="K1525" i="1"/>
  <c r="S1523" i="1"/>
  <c r="K1523" i="1"/>
  <c r="S1522" i="1"/>
  <c r="K1522" i="1"/>
  <c r="S1520" i="1"/>
  <c r="K1520" i="1"/>
  <c r="P1519" i="1"/>
  <c r="S1519" i="1" s="1"/>
  <c r="K1519" i="1"/>
  <c r="S1518" i="1"/>
  <c r="K1518" i="1"/>
  <c r="S1516" i="1"/>
  <c r="K1516" i="1"/>
  <c r="S1515" i="1"/>
  <c r="K1515" i="1"/>
  <c r="S1514" i="1"/>
  <c r="K1514" i="1"/>
  <c r="P1513" i="1"/>
  <c r="S1513" i="1" s="1"/>
  <c r="K1513" i="1"/>
  <c r="S1511" i="1"/>
  <c r="K1511" i="1"/>
  <c r="S1510" i="1"/>
  <c r="K1510" i="1"/>
  <c r="P1509" i="1"/>
  <c r="S1509" i="1" s="1"/>
  <c r="K1509" i="1"/>
  <c r="S1508" i="1"/>
  <c r="K1508" i="1"/>
  <c r="S1507" i="1"/>
  <c r="K1507" i="1"/>
  <c r="S1506" i="1"/>
  <c r="K1506" i="1"/>
  <c r="S1505" i="1"/>
  <c r="K1505" i="1"/>
  <c r="S1503" i="1"/>
  <c r="K1503" i="1"/>
  <c r="S1502" i="1"/>
  <c r="K1502" i="1"/>
  <c r="S1501" i="1"/>
  <c r="K1501" i="1"/>
  <c r="S1500" i="1"/>
  <c r="K1500" i="1"/>
  <c r="S1497" i="1"/>
  <c r="K1497" i="1"/>
  <c r="S1495" i="1"/>
  <c r="K1495" i="1"/>
  <c r="S1494" i="1"/>
  <c r="K1494" i="1"/>
  <c r="S1493" i="1"/>
  <c r="K1493" i="1"/>
  <c r="S1492" i="1"/>
  <c r="K1492" i="1"/>
  <c r="S1487" i="1"/>
  <c r="K1487" i="1"/>
  <c r="P1486" i="1"/>
  <c r="S1486" i="1" s="1"/>
  <c r="K1486" i="1"/>
  <c r="S1485" i="1"/>
  <c r="K1485" i="1"/>
  <c r="S1483" i="1"/>
  <c r="K1483" i="1"/>
  <c r="S1482" i="1"/>
  <c r="K1482" i="1"/>
  <c r="S1481" i="1"/>
  <c r="K1481" i="1"/>
  <c r="S1479" i="1"/>
  <c r="K1479" i="1"/>
  <c r="S1478" i="1"/>
  <c r="K1478" i="1"/>
  <c r="S1477" i="1"/>
  <c r="K1477" i="1"/>
  <c r="S1476" i="1"/>
  <c r="K1476" i="1"/>
  <c r="P1475" i="1"/>
  <c r="S1475" i="1" s="1"/>
  <c r="K1475" i="1"/>
  <c r="S1473" i="1"/>
  <c r="K1473" i="1"/>
  <c r="S1472" i="1"/>
  <c r="K1472" i="1"/>
  <c r="P1470" i="1"/>
  <c r="S1470" i="1" s="1"/>
  <c r="K1470" i="1"/>
  <c r="S1469" i="1"/>
  <c r="K1469" i="1"/>
  <c r="S1468" i="1"/>
  <c r="K1468" i="1"/>
  <c r="S1467" i="1"/>
  <c r="K1467" i="1"/>
  <c r="P1466" i="1"/>
  <c r="S1466" i="1" s="1"/>
  <c r="K1466" i="1"/>
  <c r="S1465" i="1"/>
  <c r="K1465" i="1"/>
  <c r="S1464" i="1"/>
  <c r="K1464" i="1"/>
  <c r="S1463" i="1"/>
  <c r="K1463" i="1"/>
  <c r="S1460" i="1"/>
  <c r="K1460" i="1"/>
  <c r="S1459" i="1"/>
  <c r="K1459" i="1"/>
  <c r="S1458" i="1"/>
  <c r="P1458" i="1"/>
  <c r="K1458" i="1"/>
  <c r="S1457" i="1"/>
  <c r="K1457" i="1"/>
  <c r="S1456" i="1"/>
  <c r="K1456" i="1"/>
  <c r="S1454" i="1"/>
  <c r="K1454" i="1"/>
  <c r="S1452" i="1"/>
  <c r="K1452" i="1"/>
  <c r="S1451" i="1"/>
  <c r="K1451" i="1"/>
  <c r="P1449" i="1"/>
  <c r="S1449" i="1" s="1"/>
  <c r="K1449" i="1"/>
  <c r="S1448" i="1"/>
  <c r="K1448" i="1"/>
  <c r="S1446" i="1"/>
  <c r="K1446" i="1"/>
  <c r="S1445" i="1"/>
  <c r="K1445" i="1"/>
  <c r="P1443" i="1"/>
  <c r="S1443" i="1" s="1"/>
  <c r="K1443" i="1"/>
  <c r="S1442" i="1"/>
  <c r="K1442" i="1"/>
  <c r="S1439" i="1"/>
  <c r="K1439" i="1"/>
  <c r="S1438" i="1"/>
  <c r="K1438" i="1"/>
  <c r="S1437" i="1"/>
  <c r="K1437" i="1"/>
  <c r="S1434" i="1"/>
  <c r="K1434" i="1"/>
  <c r="S1433" i="1"/>
  <c r="K1433" i="1"/>
  <c r="S1432" i="1"/>
  <c r="K1432" i="1"/>
  <c r="P1429" i="1"/>
  <c r="S1429" i="1" s="1"/>
  <c r="K1429" i="1"/>
  <c r="S1428" i="1"/>
  <c r="K1428" i="1"/>
  <c r="S1427" i="1"/>
  <c r="K1427" i="1"/>
  <c r="S1426" i="1"/>
  <c r="K1426" i="1"/>
  <c r="S1424" i="1"/>
  <c r="K1424" i="1"/>
  <c r="S1423" i="1"/>
  <c r="K1423" i="1"/>
  <c r="P1422" i="1"/>
  <c r="S1422" i="1" s="1"/>
  <c r="K1422" i="1"/>
  <c r="S1421" i="1"/>
  <c r="K1421" i="1"/>
  <c r="P1420" i="1"/>
  <c r="S1420" i="1" s="1"/>
  <c r="K1420" i="1"/>
  <c r="P1419" i="1"/>
  <c r="S1419" i="1" s="1"/>
  <c r="K1419" i="1"/>
  <c r="S1418" i="1"/>
  <c r="K1418" i="1"/>
  <c r="S1417" i="1"/>
  <c r="K1417" i="1"/>
  <c r="S1416" i="1"/>
  <c r="K1416" i="1"/>
  <c r="S1415" i="1"/>
  <c r="K1415" i="1"/>
  <c r="S1414" i="1"/>
  <c r="K1414" i="1"/>
  <c r="S1412" i="1"/>
  <c r="K1412" i="1"/>
  <c r="P1411" i="1"/>
  <c r="S1411" i="1" s="1"/>
  <c r="K1411" i="1"/>
  <c r="S1409" i="1"/>
  <c r="K1409" i="1"/>
  <c r="S1408" i="1"/>
  <c r="K1408" i="1"/>
  <c r="S1406" i="1"/>
  <c r="K1406" i="1"/>
  <c r="S1405" i="1"/>
  <c r="K1405" i="1"/>
  <c r="S1404" i="1"/>
  <c r="K1404" i="1"/>
  <c r="S1402" i="1"/>
  <c r="K1402" i="1"/>
  <c r="S1401" i="1"/>
  <c r="K1401" i="1"/>
  <c r="S1400" i="1"/>
  <c r="K1400" i="1"/>
  <c r="S1399" i="1"/>
  <c r="K1399" i="1"/>
  <c r="S1398" i="1"/>
  <c r="K1398" i="1"/>
  <c r="S1396" i="1"/>
  <c r="K1396" i="1"/>
  <c r="S1394" i="1"/>
  <c r="K1394" i="1"/>
  <c r="S1393" i="1"/>
  <c r="K1393" i="1"/>
  <c r="S1392" i="1"/>
  <c r="K1392" i="1"/>
  <c r="S1391" i="1"/>
  <c r="K1391" i="1"/>
  <c r="S1390" i="1"/>
  <c r="K1390" i="1"/>
  <c r="S1388" i="1"/>
  <c r="K1388" i="1"/>
  <c r="S1386" i="1"/>
  <c r="K1386" i="1"/>
  <c r="S1385" i="1"/>
  <c r="K1385" i="1"/>
  <c r="S1384" i="1"/>
  <c r="K1384" i="1"/>
  <c r="P1383" i="1"/>
  <c r="S1383" i="1" s="1"/>
  <c r="K1383" i="1"/>
  <c r="S1382" i="1"/>
  <c r="K1382" i="1"/>
  <c r="S1381" i="1"/>
  <c r="K1381" i="1"/>
  <c r="S1380" i="1"/>
  <c r="K1380" i="1"/>
  <c r="S1379" i="1"/>
  <c r="K1379" i="1"/>
  <c r="S1378" i="1"/>
  <c r="K1378" i="1"/>
  <c r="P1377" i="1"/>
  <c r="S1377" i="1" s="1"/>
  <c r="K1377" i="1"/>
  <c r="S1376" i="1"/>
  <c r="K1376" i="1"/>
  <c r="P1375" i="1"/>
  <c r="S1375" i="1" s="1"/>
  <c r="K1375" i="1"/>
  <c r="S1372" i="1"/>
  <c r="K1372" i="1"/>
  <c r="P1371" i="1"/>
  <c r="S1371" i="1" s="1"/>
  <c r="K1371" i="1"/>
  <c r="P1370" i="1"/>
  <c r="S1370" i="1" s="1"/>
  <c r="K1370" i="1"/>
  <c r="S1369" i="1"/>
  <c r="K1369" i="1"/>
  <c r="P1368" i="1"/>
  <c r="S1368" i="1" s="1"/>
  <c r="K1368" i="1"/>
  <c r="S1366" i="1"/>
  <c r="K1366" i="1"/>
  <c r="S1365" i="1"/>
  <c r="K1365" i="1"/>
  <c r="S1362" i="1"/>
  <c r="K1362" i="1"/>
  <c r="S1361" i="1"/>
  <c r="K1361" i="1"/>
  <c r="S1359" i="1"/>
  <c r="K1359" i="1"/>
  <c r="S1356" i="1"/>
  <c r="K1356" i="1"/>
  <c r="S1355" i="1"/>
  <c r="K1355" i="1"/>
  <c r="P1354" i="1"/>
  <c r="S1354" i="1" s="1"/>
  <c r="K1354" i="1"/>
  <c r="S1353" i="1"/>
  <c r="K1353" i="1"/>
  <c r="P1352" i="1"/>
  <c r="S1352" i="1" s="1"/>
  <c r="K1352" i="1"/>
  <c r="S1350" i="1"/>
  <c r="K1350" i="1"/>
  <c r="P1349" i="1"/>
  <c r="S1349" i="1" s="1"/>
  <c r="K1349" i="1"/>
  <c r="S1348" i="1"/>
  <c r="K1348" i="1"/>
  <c r="S1347" i="1"/>
  <c r="K1347" i="1"/>
  <c r="S1346" i="1"/>
  <c r="K1346" i="1"/>
  <c r="S1345" i="1"/>
  <c r="K1345" i="1"/>
  <c r="S1344" i="1"/>
  <c r="K1344" i="1"/>
  <c r="S1343" i="1"/>
  <c r="K1343" i="1"/>
  <c r="S1342" i="1"/>
  <c r="K1342" i="1"/>
  <c r="S1341" i="1"/>
  <c r="K1341" i="1"/>
  <c r="S1339" i="1"/>
  <c r="K1339" i="1"/>
  <c r="P1338" i="1"/>
  <c r="S1338" i="1" s="1"/>
  <c r="K1338" i="1"/>
  <c r="S1337" i="1"/>
  <c r="K1337" i="1"/>
  <c r="S1336" i="1"/>
  <c r="K1336" i="1"/>
  <c r="P1335" i="1"/>
  <c r="S1335" i="1" s="1"/>
  <c r="K1335" i="1"/>
  <c r="S1333" i="1"/>
  <c r="K1333" i="1"/>
  <c r="S1331" i="1"/>
  <c r="K1331" i="1"/>
  <c r="S1330" i="1"/>
  <c r="K1330" i="1"/>
  <c r="S1328" i="1"/>
  <c r="K1328" i="1"/>
  <c r="P1327" i="1"/>
  <c r="S1327" i="1" s="1"/>
  <c r="K1327" i="1"/>
  <c r="P1326" i="1"/>
  <c r="S1326" i="1" s="1"/>
  <c r="K1326" i="1"/>
  <c r="S1324" i="1"/>
  <c r="K1324" i="1"/>
  <c r="S1323" i="1"/>
  <c r="K1323" i="1"/>
  <c r="S1321" i="1"/>
  <c r="K1321" i="1"/>
  <c r="S1320" i="1"/>
  <c r="K1320" i="1"/>
  <c r="S1319" i="1"/>
  <c r="K1319" i="1"/>
  <c r="S1318" i="1"/>
  <c r="K1318" i="1"/>
  <c r="S1316" i="1"/>
  <c r="K1316" i="1"/>
  <c r="S1315" i="1"/>
  <c r="K1315" i="1"/>
  <c r="P1314" i="1"/>
  <c r="S1314" i="1" s="1"/>
  <c r="K1314" i="1"/>
  <c r="S1311" i="1"/>
  <c r="K1311" i="1"/>
  <c r="S1310" i="1"/>
  <c r="K1310" i="1"/>
  <c r="S1309" i="1"/>
  <c r="K1309" i="1"/>
  <c r="S1308" i="1"/>
  <c r="K1308" i="1"/>
  <c r="S1306" i="1"/>
  <c r="K1306" i="1"/>
  <c r="S1305" i="1"/>
  <c r="K1305" i="1"/>
  <c r="P1304" i="1"/>
  <c r="S1304" i="1" s="1"/>
  <c r="K1304" i="1"/>
  <c r="S1303" i="1"/>
  <c r="K1303" i="1"/>
  <c r="S1301" i="1"/>
  <c r="K1301" i="1"/>
  <c r="S1300" i="1"/>
  <c r="K1300" i="1"/>
  <c r="S1299" i="1"/>
  <c r="K1299" i="1"/>
  <c r="S1297" i="1"/>
  <c r="K1297" i="1"/>
  <c r="S1294" i="1"/>
  <c r="K1294" i="1"/>
  <c r="S1291" i="1"/>
  <c r="K1291" i="1"/>
  <c r="S1290" i="1"/>
  <c r="K1290" i="1"/>
  <c r="S1288" i="1"/>
  <c r="K1288" i="1"/>
  <c r="S1287" i="1"/>
  <c r="K1287" i="1"/>
  <c r="S1285" i="1"/>
  <c r="K1285" i="1"/>
  <c r="S1284" i="1"/>
  <c r="K1284" i="1"/>
  <c r="S1281" i="1"/>
  <c r="K1281" i="1"/>
  <c r="S1280" i="1"/>
  <c r="K1280" i="1"/>
  <c r="S1279" i="1"/>
  <c r="K1279" i="1"/>
  <c r="S1278" i="1"/>
  <c r="K1278" i="1"/>
  <c r="S1276" i="1"/>
  <c r="K1276" i="1"/>
  <c r="S1275" i="1"/>
  <c r="K1275" i="1"/>
  <c r="S1271" i="1"/>
  <c r="K1271" i="1"/>
  <c r="S1270" i="1"/>
  <c r="K1270" i="1"/>
  <c r="S1267" i="1"/>
  <c r="K1267" i="1"/>
  <c r="S1266" i="1"/>
  <c r="K1266" i="1"/>
  <c r="S1263" i="1"/>
  <c r="K1263" i="1"/>
  <c r="S1262" i="1"/>
  <c r="K1262" i="1"/>
  <c r="P1258" i="1"/>
  <c r="S1258" i="1" s="1"/>
  <c r="K1258" i="1"/>
  <c r="S1257" i="1"/>
  <c r="K1257" i="1"/>
  <c r="P1256" i="1"/>
  <c r="S1256" i="1" s="1"/>
  <c r="K1256" i="1"/>
  <c r="S1255" i="1"/>
  <c r="K1255" i="1"/>
  <c r="S1254" i="1"/>
  <c r="K1254" i="1"/>
  <c r="S1252" i="1"/>
  <c r="K1252" i="1"/>
  <c r="S1249" i="1"/>
  <c r="K1249" i="1"/>
  <c r="S1248" i="1"/>
  <c r="K1248" i="1"/>
  <c r="S1247" i="1"/>
  <c r="K1247" i="1"/>
  <c r="S1244" i="1"/>
  <c r="K1244" i="1"/>
  <c r="S1243" i="1"/>
  <c r="K1243" i="1"/>
  <c r="S1241" i="1"/>
  <c r="K1241" i="1"/>
  <c r="S1240" i="1"/>
  <c r="K1240" i="1"/>
  <c r="S1239" i="1"/>
  <c r="K1239" i="1"/>
  <c r="S1238" i="1"/>
  <c r="K1238" i="1"/>
  <c r="S1237" i="1"/>
  <c r="K1237" i="1"/>
  <c r="S1235" i="1"/>
  <c r="K1235" i="1"/>
  <c r="S1234" i="1"/>
  <c r="K1234" i="1"/>
  <c r="S1233" i="1"/>
  <c r="K1233" i="1"/>
  <c r="S1232" i="1"/>
  <c r="K1232" i="1"/>
  <c r="P1231" i="1"/>
  <c r="S1231" i="1" s="1"/>
  <c r="K1231" i="1"/>
  <c r="P1230" i="1"/>
  <c r="S1230" i="1" s="1"/>
  <c r="K1230" i="1"/>
  <c r="S1229" i="1"/>
  <c r="K1229" i="1"/>
  <c r="S1227" i="1"/>
  <c r="K1227" i="1"/>
  <c r="S1225" i="1"/>
  <c r="K1225" i="1"/>
  <c r="S1224" i="1"/>
  <c r="K1224" i="1"/>
  <c r="S1222" i="1"/>
  <c r="K1222" i="1"/>
  <c r="S1221" i="1"/>
  <c r="K1221" i="1"/>
  <c r="S1220" i="1"/>
  <c r="K1220" i="1"/>
  <c r="S1217" i="1"/>
  <c r="K1217" i="1"/>
  <c r="S1216" i="1"/>
  <c r="K1216" i="1"/>
  <c r="S1215" i="1"/>
  <c r="K1215" i="1"/>
  <c r="S1214" i="1"/>
  <c r="K1214" i="1"/>
  <c r="S1212" i="1"/>
  <c r="K1212" i="1"/>
  <c r="S1210" i="1"/>
  <c r="K1210" i="1"/>
  <c r="S1208" i="1"/>
  <c r="K1208" i="1"/>
  <c r="S1207" i="1"/>
  <c r="K1207" i="1"/>
  <c r="S1206" i="1"/>
  <c r="K1206" i="1"/>
  <c r="S1205" i="1"/>
  <c r="K1205" i="1"/>
  <c r="S1204" i="1"/>
  <c r="K1204" i="1"/>
  <c r="S1202" i="1"/>
  <c r="K1202" i="1"/>
  <c r="S1201" i="1"/>
  <c r="K1201" i="1"/>
  <c r="S1200" i="1"/>
  <c r="K1200" i="1"/>
  <c r="S1199" i="1"/>
  <c r="K1199" i="1"/>
  <c r="S1198" i="1"/>
  <c r="K1198" i="1"/>
  <c r="S1195" i="1"/>
  <c r="K1195" i="1"/>
  <c r="S1194" i="1"/>
  <c r="K1194" i="1"/>
  <c r="S1193" i="1"/>
  <c r="K1193" i="1"/>
  <c r="S1192" i="1"/>
  <c r="K1192" i="1"/>
  <c r="S1190" i="1"/>
  <c r="K1190" i="1"/>
  <c r="S1187" i="1"/>
  <c r="K1187" i="1"/>
  <c r="S1186" i="1"/>
  <c r="K1186" i="1"/>
  <c r="P1184" i="1"/>
  <c r="S1184" i="1" s="1"/>
  <c r="K1184" i="1"/>
  <c r="P1183" i="1"/>
  <c r="S1183" i="1" s="1"/>
  <c r="K1183" i="1"/>
  <c r="S1178" i="1"/>
  <c r="K1178" i="1"/>
  <c r="S1175" i="1"/>
  <c r="K1175" i="1"/>
  <c r="S1174" i="1"/>
  <c r="K1174" i="1"/>
  <c r="S1173" i="1"/>
  <c r="K1173" i="1"/>
  <c r="S1171" i="1"/>
  <c r="K1171" i="1"/>
  <c r="S1170" i="1"/>
  <c r="K1170" i="1"/>
  <c r="S1169" i="1"/>
  <c r="K1169" i="1"/>
  <c r="P1167" i="1"/>
  <c r="S1167" i="1" s="1"/>
  <c r="K1167" i="1"/>
  <c r="S1164" i="1"/>
  <c r="K1164" i="1"/>
  <c r="S1162" i="1"/>
  <c r="K1162" i="1"/>
  <c r="S1161" i="1"/>
  <c r="K1161" i="1"/>
  <c r="S1159" i="1"/>
  <c r="K1159" i="1"/>
  <c r="S1158" i="1"/>
  <c r="K1158" i="1"/>
  <c r="S1156" i="1"/>
  <c r="K1156" i="1"/>
  <c r="S1155" i="1"/>
  <c r="K1155" i="1"/>
  <c r="S1153" i="1"/>
  <c r="K1153" i="1"/>
  <c r="S1152" i="1"/>
  <c r="K1152" i="1"/>
  <c r="S1151" i="1"/>
  <c r="K1151" i="1"/>
  <c r="S1149" i="1"/>
  <c r="K1149" i="1"/>
  <c r="S1148" i="1"/>
  <c r="K1148" i="1"/>
  <c r="S1146" i="1"/>
  <c r="K1146" i="1"/>
  <c r="S1145" i="1"/>
  <c r="K1145" i="1"/>
  <c r="S1144" i="1"/>
  <c r="K1144" i="1"/>
  <c r="S1143" i="1"/>
  <c r="K1143" i="1"/>
  <c r="S1141" i="1"/>
  <c r="K1141" i="1"/>
  <c r="S1140" i="1"/>
  <c r="K1140" i="1"/>
  <c r="S1138" i="1"/>
  <c r="K1138" i="1"/>
  <c r="S1137" i="1"/>
  <c r="K1137" i="1"/>
  <c r="S1136" i="1"/>
  <c r="K1136" i="1"/>
  <c r="S1132" i="1"/>
  <c r="K1132" i="1"/>
  <c r="P1130" i="1"/>
  <c r="S1130" i="1" s="1"/>
  <c r="K1130" i="1"/>
  <c r="S1128" i="1"/>
  <c r="K1128" i="1"/>
  <c r="S1125" i="1"/>
  <c r="K1125" i="1"/>
  <c r="S1124" i="1"/>
  <c r="K1124" i="1"/>
  <c r="S1123" i="1"/>
  <c r="K1123" i="1"/>
  <c r="S1122" i="1"/>
  <c r="K1122" i="1"/>
  <c r="S1119" i="1"/>
  <c r="K1119" i="1"/>
  <c r="S1118" i="1"/>
  <c r="K1118" i="1"/>
  <c r="P1117" i="1"/>
  <c r="S1117" i="1" s="1"/>
  <c r="K1117" i="1"/>
  <c r="S1116" i="1"/>
  <c r="K1116" i="1"/>
  <c r="S1115" i="1"/>
  <c r="K1115" i="1"/>
  <c r="P1114" i="1"/>
  <c r="S1114" i="1" s="1"/>
  <c r="K1114" i="1"/>
  <c r="P1113" i="1"/>
  <c r="S1113" i="1" s="1"/>
  <c r="K1113" i="1"/>
  <c r="S1112" i="1"/>
  <c r="K1112" i="1"/>
  <c r="S1111" i="1"/>
  <c r="K1111" i="1"/>
  <c r="S1110" i="1"/>
  <c r="K1110" i="1"/>
  <c r="P1109" i="1"/>
  <c r="S1109" i="1" s="1"/>
  <c r="K1109" i="1"/>
  <c r="S1108" i="1"/>
  <c r="K1108" i="1"/>
  <c r="S1106" i="1"/>
  <c r="K1106" i="1"/>
  <c r="P1105" i="1"/>
  <c r="S1105" i="1" s="1"/>
  <c r="K1105" i="1"/>
  <c r="S1104" i="1"/>
  <c r="K1104" i="1"/>
  <c r="S1103" i="1"/>
  <c r="K1103" i="1"/>
  <c r="S1101" i="1"/>
  <c r="K1101" i="1"/>
  <c r="S1100" i="1"/>
  <c r="K1100" i="1"/>
  <c r="S1099" i="1"/>
  <c r="K1099" i="1"/>
  <c r="S1098" i="1"/>
  <c r="K1098" i="1"/>
  <c r="S1097" i="1"/>
  <c r="K1097" i="1"/>
  <c r="S1095" i="1"/>
  <c r="K1095" i="1"/>
  <c r="S1094" i="1"/>
  <c r="K1094" i="1"/>
  <c r="S1093" i="1"/>
  <c r="K1093" i="1"/>
  <c r="S1092" i="1"/>
  <c r="K1092" i="1"/>
  <c r="S1090" i="1"/>
  <c r="K1090" i="1"/>
  <c r="P1089" i="1"/>
  <c r="S1089" i="1" s="1"/>
  <c r="K1089" i="1"/>
  <c r="S1088" i="1"/>
  <c r="K1088" i="1"/>
  <c r="S1086" i="1"/>
  <c r="K1086" i="1"/>
  <c r="P1085" i="1"/>
  <c r="S1085" i="1" s="1"/>
  <c r="K1085" i="1"/>
  <c r="S1084" i="1"/>
  <c r="K1084" i="1"/>
  <c r="P1083" i="1"/>
  <c r="S1083" i="1" s="1"/>
  <c r="K1083" i="1"/>
  <c r="S1082" i="1"/>
  <c r="K1082" i="1"/>
  <c r="S1080" i="1"/>
  <c r="K1080" i="1"/>
  <c r="S1079" i="1"/>
  <c r="K1079" i="1"/>
  <c r="S1078" i="1"/>
  <c r="K1078" i="1"/>
  <c r="S1077" i="1"/>
  <c r="K1077" i="1"/>
  <c r="S1075" i="1"/>
  <c r="K1075" i="1"/>
  <c r="S1074" i="1"/>
  <c r="K1074" i="1"/>
  <c r="P1071" i="1"/>
  <c r="S1071" i="1" s="1"/>
  <c r="K1071" i="1"/>
  <c r="S1070" i="1"/>
  <c r="K1070" i="1"/>
  <c r="S1069" i="1"/>
  <c r="K1069" i="1"/>
  <c r="S1068" i="1"/>
  <c r="K1068" i="1"/>
  <c r="S1067" i="1"/>
  <c r="K1067" i="1"/>
  <c r="S1065" i="1"/>
  <c r="K1065" i="1"/>
  <c r="S1064" i="1"/>
  <c r="K1064" i="1"/>
  <c r="S1063" i="1"/>
  <c r="K1063" i="1"/>
  <c r="S1062" i="1"/>
  <c r="K1062" i="1"/>
  <c r="S1061" i="1"/>
  <c r="K1061" i="1"/>
  <c r="S1059" i="1"/>
  <c r="K1059" i="1"/>
  <c r="S1055" i="1"/>
  <c r="K1055" i="1"/>
  <c r="S1054" i="1"/>
  <c r="K1054" i="1"/>
  <c r="S1053" i="1"/>
  <c r="K1053" i="1"/>
  <c r="P1052" i="1"/>
  <c r="S1052" i="1" s="1"/>
  <c r="K1052" i="1"/>
  <c r="P1051" i="1"/>
  <c r="S1051" i="1" s="1"/>
  <c r="K1051" i="1"/>
  <c r="S1050" i="1"/>
  <c r="K1050" i="1"/>
  <c r="P1049" i="1"/>
  <c r="S1049" i="1" s="1"/>
  <c r="K1049" i="1"/>
  <c r="S1047" i="1"/>
  <c r="K1047" i="1"/>
  <c r="S1044" i="1"/>
  <c r="K1044" i="1"/>
  <c r="S1042" i="1"/>
  <c r="K1042" i="1"/>
  <c r="S1041" i="1"/>
  <c r="K1041" i="1"/>
  <c r="S1039" i="1"/>
  <c r="K1039" i="1"/>
  <c r="S1038" i="1"/>
  <c r="K1038" i="1"/>
  <c r="S1037" i="1"/>
  <c r="K1037" i="1"/>
  <c r="S1035" i="1"/>
  <c r="K1035" i="1"/>
  <c r="S1034" i="1"/>
  <c r="K1034" i="1"/>
  <c r="S1033" i="1"/>
  <c r="K1033" i="1"/>
  <c r="S1031" i="1"/>
  <c r="K1031" i="1"/>
  <c r="S1029" i="1"/>
  <c r="K1029" i="1"/>
  <c r="S1028" i="1"/>
  <c r="K1028" i="1"/>
  <c r="S1027" i="1"/>
  <c r="K1027" i="1"/>
  <c r="P1025" i="1"/>
  <c r="S1025" i="1" s="1"/>
  <c r="K1025" i="1"/>
  <c r="S1022" i="1"/>
  <c r="K1022" i="1"/>
  <c r="P1021" i="1"/>
  <c r="S1021" i="1" s="1"/>
  <c r="K1021" i="1"/>
  <c r="P1020" i="1"/>
  <c r="S1020" i="1" s="1"/>
  <c r="K1020" i="1"/>
  <c r="S1019" i="1"/>
  <c r="K1019" i="1"/>
  <c r="S1018" i="1"/>
  <c r="K1018" i="1"/>
  <c r="S1017" i="1"/>
  <c r="K1017" i="1"/>
  <c r="S1016" i="1"/>
  <c r="K1016" i="1"/>
  <c r="S1012" i="1"/>
  <c r="K1012" i="1"/>
  <c r="S1011" i="1"/>
  <c r="K1011" i="1"/>
  <c r="S1010" i="1"/>
  <c r="K1010" i="1"/>
  <c r="P1009" i="1"/>
  <c r="S1009" i="1" s="1"/>
  <c r="K1009" i="1"/>
  <c r="S1008" i="1"/>
  <c r="K1008" i="1"/>
  <c r="S1007" i="1"/>
  <c r="K1007" i="1"/>
  <c r="S1006" i="1"/>
  <c r="K1006" i="1"/>
  <c r="S1004" i="1"/>
  <c r="K1004" i="1"/>
  <c r="S1000" i="1"/>
  <c r="K1000" i="1"/>
  <c r="P999" i="1"/>
  <c r="S999" i="1" s="1"/>
  <c r="K999" i="1"/>
  <c r="S998" i="1"/>
  <c r="K998" i="1"/>
  <c r="S996" i="1"/>
  <c r="K996" i="1"/>
  <c r="S995" i="1"/>
  <c r="K995" i="1"/>
  <c r="S994" i="1"/>
  <c r="K994" i="1"/>
  <c r="S992" i="1"/>
  <c r="K992" i="1"/>
  <c r="P991" i="1"/>
  <c r="S991" i="1" s="1"/>
  <c r="K991" i="1"/>
  <c r="S990" i="1"/>
  <c r="K990" i="1"/>
  <c r="S989" i="1"/>
  <c r="K989" i="1"/>
  <c r="S988" i="1"/>
  <c r="K988" i="1"/>
  <c r="S986" i="1"/>
  <c r="K986" i="1"/>
  <c r="P983" i="1"/>
  <c r="S983" i="1" s="1"/>
  <c r="K983" i="1"/>
  <c r="S981" i="1"/>
  <c r="K981" i="1"/>
  <c r="S980" i="1"/>
  <c r="K980" i="1"/>
  <c r="S978" i="1"/>
  <c r="K978" i="1"/>
  <c r="S977" i="1"/>
  <c r="K977" i="1"/>
  <c r="S976" i="1"/>
  <c r="K976" i="1"/>
  <c r="P974" i="1"/>
  <c r="S974" i="1" s="1"/>
  <c r="K974" i="1"/>
  <c r="S971" i="1"/>
  <c r="K971" i="1"/>
  <c r="S969" i="1"/>
  <c r="K969" i="1"/>
  <c r="S968" i="1"/>
  <c r="K968" i="1"/>
  <c r="S966" i="1"/>
  <c r="K966" i="1"/>
  <c r="S965" i="1"/>
  <c r="K965" i="1"/>
  <c r="S964" i="1"/>
  <c r="K964" i="1"/>
  <c r="S963" i="1"/>
  <c r="K963" i="1"/>
  <c r="P962" i="1"/>
  <c r="S962" i="1" s="1"/>
  <c r="K962" i="1"/>
  <c r="S958" i="1"/>
  <c r="K958" i="1"/>
  <c r="S957" i="1"/>
  <c r="K957" i="1"/>
  <c r="P956" i="1"/>
  <c r="S956" i="1" s="1"/>
  <c r="K956" i="1"/>
  <c r="S955" i="1"/>
  <c r="K955" i="1"/>
  <c r="S953" i="1"/>
  <c r="K953" i="1"/>
  <c r="S952" i="1"/>
  <c r="K952" i="1"/>
  <c r="S951" i="1"/>
  <c r="K951" i="1"/>
  <c r="P950" i="1"/>
  <c r="S950" i="1" s="1"/>
  <c r="K950" i="1"/>
  <c r="S949" i="1"/>
  <c r="K949" i="1"/>
  <c r="P948" i="1"/>
  <c r="S948" i="1" s="1"/>
  <c r="K948" i="1"/>
  <c r="S947" i="1"/>
  <c r="K947" i="1"/>
  <c r="P946" i="1"/>
  <c r="S946" i="1" s="1"/>
  <c r="K946" i="1"/>
  <c r="S944" i="1"/>
  <c r="K944" i="1"/>
  <c r="P943" i="1"/>
  <c r="S943" i="1" s="1"/>
  <c r="K943" i="1"/>
  <c r="S942" i="1"/>
  <c r="K942" i="1"/>
  <c r="S938" i="1"/>
  <c r="K938" i="1"/>
  <c r="S937" i="1"/>
  <c r="K937" i="1"/>
  <c r="S935" i="1"/>
  <c r="K935" i="1"/>
  <c r="S934" i="1"/>
  <c r="K934" i="1"/>
  <c r="S933" i="1"/>
  <c r="K933" i="1"/>
  <c r="S932" i="1"/>
  <c r="K932" i="1"/>
  <c r="S930" i="1"/>
  <c r="K930" i="1"/>
  <c r="S928" i="1"/>
  <c r="K928" i="1"/>
  <c r="P927" i="1"/>
  <c r="S927" i="1" s="1"/>
  <c r="K927" i="1"/>
  <c r="S926" i="1"/>
  <c r="K926" i="1"/>
  <c r="S924" i="1"/>
  <c r="K924" i="1"/>
  <c r="S923" i="1"/>
  <c r="K923" i="1"/>
  <c r="S922" i="1"/>
  <c r="P922" i="1"/>
  <c r="K922" i="1"/>
  <c r="S921" i="1"/>
  <c r="K921" i="1"/>
  <c r="S920" i="1"/>
  <c r="K920" i="1"/>
  <c r="S918" i="1"/>
  <c r="K918" i="1"/>
  <c r="S917" i="1"/>
  <c r="K917" i="1"/>
  <c r="P916" i="1"/>
  <c r="S916" i="1" s="1"/>
  <c r="K916" i="1"/>
  <c r="P915" i="1"/>
  <c r="S915" i="1" s="1"/>
  <c r="K915" i="1"/>
  <c r="P914" i="1"/>
  <c r="S914" i="1" s="1"/>
  <c r="K914" i="1"/>
  <c r="S912" i="1"/>
  <c r="K912" i="1"/>
  <c r="S911" i="1"/>
  <c r="K911" i="1"/>
  <c r="S910" i="1"/>
  <c r="K910" i="1"/>
  <c r="S909" i="1"/>
  <c r="K909" i="1"/>
  <c r="S908" i="1"/>
  <c r="K908" i="1"/>
  <c r="S907" i="1"/>
  <c r="K907" i="1"/>
  <c r="S905" i="1"/>
  <c r="K905" i="1"/>
  <c r="S904" i="1"/>
  <c r="K904" i="1"/>
  <c r="S903" i="1"/>
  <c r="K903" i="1"/>
  <c r="P902" i="1"/>
  <c r="S902" i="1" s="1"/>
  <c r="K902" i="1"/>
  <c r="S901" i="1"/>
  <c r="K901" i="1"/>
  <c r="S899" i="1"/>
  <c r="K899" i="1"/>
  <c r="S898" i="1"/>
  <c r="K898" i="1"/>
  <c r="S897" i="1"/>
  <c r="K897" i="1"/>
  <c r="S895" i="1"/>
  <c r="K895" i="1"/>
  <c r="S893" i="1"/>
  <c r="K893" i="1"/>
  <c r="S892" i="1"/>
  <c r="K892" i="1"/>
  <c r="S891" i="1"/>
  <c r="K891" i="1"/>
  <c r="S890" i="1"/>
  <c r="K890" i="1"/>
  <c r="S889" i="1"/>
  <c r="K889" i="1"/>
  <c r="P888" i="1"/>
  <c r="S888" i="1" s="1"/>
  <c r="K888" i="1"/>
  <c r="S887" i="1"/>
  <c r="K887" i="1"/>
  <c r="S885" i="1"/>
  <c r="K885" i="1"/>
  <c r="P884" i="1"/>
  <c r="S884" i="1" s="1"/>
  <c r="K884" i="1"/>
  <c r="S883" i="1"/>
  <c r="K883" i="1"/>
  <c r="P882" i="1"/>
  <c r="S882" i="1" s="1"/>
  <c r="K882" i="1"/>
  <c r="S881" i="1"/>
  <c r="K881" i="1"/>
  <c r="S880" i="1"/>
  <c r="K880" i="1"/>
  <c r="S878" i="1"/>
  <c r="K878" i="1"/>
  <c r="S877" i="1"/>
  <c r="K877" i="1"/>
  <c r="S876" i="1"/>
  <c r="K876" i="1"/>
  <c r="S875" i="1"/>
  <c r="K875" i="1"/>
  <c r="P874" i="1"/>
  <c r="S874" i="1" s="1"/>
  <c r="K874" i="1"/>
  <c r="S869" i="1"/>
  <c r="K869" i="1"/>
  <c r="S868" i="1"/>
  <c r="K868" i="1"/>
  <c r="S867" i="1"/>
  <c r="K867" i="1"/>
  <c r="S866" i="1"/>
  <c r="K866" i="1"/>
  <c r="S865" i="1"/>
  <c r="K865" i="1"/>
  <c r="S863" i="1"/>
  <c r="K863" i="1"/>
  <c r="S860" i="1"/>
  <c r="K860" i="1"/>
  <c r="S859" i="1"/>
  <c r="K859" i="1"/>
  <c r="S858" i="1"/>
  <c r="K858" i="1"/>
  <c r="S857" i="1"/>
  <c r="K857" i="1"/>
  <c r="S856" i="1"/>
  <c r="K856" i="1"/>
  <c r="S853" i="1"/>
  <c r="K853" i="1"/>
  <c r="P848" i="1"/>
  <c r="S848" i="1" s="1"/>
  <c r="K848" i="1"/>
  <c r="S847" i="1"/>
  <c r="K847" i="1"/>
  <c r="S846" i="1"/>
  <c r="K846" i="1"/>
  <c r="S843" i="1"/>
  <c r="K843" i="1"/>
  <c r="P841" i="1"/>
  <c r="S841" i="1" s="1"/>
  <c r="K841" i="1"/>
  <c r="P837" i="1"/>
  <c r="S837" i="1" s="1"/>
  <c r="K837" i="1"/>
  <c r="P833" i="1"/>
  <c r="S833" i="1" s="1"/>
  <c r="K833" i="1"/>
  <c r="S832" i="1"/>
  <c r="K832" i="1"/>
  <c r="S831" i="1"/>
  <c r="K831" i="1"/>
  <c r="S830" i="1"/>
  <c r="K830" i="1"/>
  <c r="P829" i="1"/>
  <c r="S829" i="1" s="1"/>
  <c r="K829" i="1"/>
  <c r="S828" i="1"/>
  <c r="K828" i="1"/>
  <c r="S826" i="1"/>
  <c r="K826" i="1"/>
  <c r="S825" i="1"/>
  <c r="K825" i="1"/>
  <c r="S824" i="1"/>
  <c r="K824" i="1"/>
  <c r="S823" i="1"/>
  <c r="K823" i="1"/>
  <c r="P822" i="1"/>
  <c r="S822" i="1" s="1"/>
  <c r="K822" i="1"/>
  <c r="S821" i="1"/>
  <c r="K821" i="1"/>
  <c r="S820" i="1"/>
  <c r="K820" i="1"/>
  <c r="S819" i="1"/>
  <c r="K819" i="1"/>
  <c r="P818" i="1"/>
  <c r="S818" i="1" s="1"/>
  <c r="K818" i="1"/>
  <c r="S817" i="1"/>
  <c r="K817" i="1"/>
  <c r="S816" i="1"/>
  <c r="K816" i="1"/>
  <c r="S815" i="1"/>
  <c r="K815" i="1"/>
  <c r="S814" i="1"/>
  <c r="K814" i="1"/>
  <c r="S811" i="1"/>
  <c r="K811" i="1"/>
  <c r="P810" i="1"/>
  <c r="S810" i="1" s="1"/>
  <c r="K810" i="1"/>
  <c r="S808" i="1"/>
  <c r="K808" i="1"/>
  <c r="S807" i="1"/>
  <c r="K807" i="1"/>
  <c r="S806" i="1"/>
  <c r="K806" i="1"/>
  <c r="S804" i="1"/>
  <c r="K804" i="1"/>
  <c r="S803" i="1"/>
  <c r="K803" i="1"/>
  <c r="S802" i="1"/>
  <c r="K802" i="1"/>
  <c r="S801" i="1"/>
  <c r="K801" i="1"/>
  <c r="S800" i="1"/>
  <c r="K800" i="1"/>
  <c r="S799" i="1"/>
  <c r="K799" i="1"/>
  <c r="S796" i="1"/>
  <c r="K796" i="1"/>
  <c r="S794" i="1"/>
  <c r="K794" i="1"/>
  <c r="S792" i="1"/>
  <c r="K792" i="1"/>
  <c r="S791" i="1"/>
  <c r="K791" i="1"/>
  <c r="S790" i="1"/>
  <c r="K790" i="1"/>
  <c r="S785" i="1"/>
  <c r="K785" i="1"/>
  <c r="S784" i="1"/>
  <c r="K784" i="1"/>
  <c r="P782" i="1"/>
  <c r="S782" i="1" s="1"/>
  <c r="K782" i="1"/>
  <c r="S781" i="1"/>
  <c r="K781" i="1"/>
  <c r="S780" i="1"/>
  <c r="K780" i="1"/>
  <c r="S779" i="1"/>
  <c r="K779" i="1"/>
  <c r="S777" i="1"/>
  <c r="K777" i="1"/>
  <c r="S775" i="1"/>
  <c r="K775" i="1"/>
  <c r="S772" i="1"/>
  <c r="K772" i="1"/>
  <c r="P769" i="1"/>
  <c r="S769" i="1" s="1"/>
  <c r="K769" i="1"/>
  <c r="S768" i="1"/>
  <c r="K768" i="1"/>
  <c r="P767" i="1"/>
  <c r="S767" i="1" s="1"/>
  <c r="K767" i="1"/>
  <c r="S765" i="1"/>
  <c r="K765" i="1"/>
  <c r="S764" i="1"/>
  <c r="K764" i="1"/>
  <c r="P763" i="1"/>
  <c r="S763" i="1" s="1"/>
  <c r="K763" i="1"/>
  <c r="S759" i="1"/>
  <c r="K759" i="1"/>
  <c r="P757" i="1"/>
  <c r="S757" i="1" s="1"/>
  <c r="K757" i="1"/>
  <c r="S756" i="1"/>
  <c r="K756" i="1"/>
  <c r="S755" i="1"/>
  <c r="K755" i="1"/>
  <c r="S754" i="1"/>
  <c r="K754" i="1"/>
  <c r="S753" i="1"/>
  <c r="K753" i="1"/>
  <c r="S750" i="1"/>
  <c r="K750" i="1"/>
  <c r="S749" i="1"/>
  <c r="K749" i="1"/>
  <c r="S748" i="1"/>
  <c r="K748" i="1"/>
  <c r="S746" i="1"/>
  <c r="K746" i="1"/>
  <c r="S744" i="1"/>
  <c r="K744" i="1"/>
  <c r="P743" i="1"/>
  <c r="S743" i="1" s="1"/>
  <c r="K743" i="1"/>
  <c r="S740" i="1"/>
  <c r="K740" i="1"/>
  <c r="P739" i="1"/>
  <c r="S739" i="1" s="1"/>
  <c r="K739" i="1"/>
  <c r="S738" i="1"/>
  <c r="K738" i="1"/>
  <c r="S736" i="1"/>
  <c r="K736" i="1"/>
  <c r="S735" i="1"/>
  <c r="K735" i="1"/>
  <c r="S734" i="1"/>
  <c r="K734" i="1"/>
  <c r="P733" i="1"/>
  <c r="S733" i="1" s="1"/>
  <c r="K733" i="1"/>
  <c r="S732" i="1"/>
  <c r="K732" i="1"/>
  <c r="S731" i="1"/>
  <c r="K731" i="1"/>
  <c r="S730" i="1"/>
  <c r="K730" i="1"/>
  <c r="S729" i="1"/>
  <c r="K729" i="1"/>
  <c r="P728" i="1"/>
  <c r="S728" i="1" s="1"/>
  <c r="K728" i="1"/>
  <c r="S726" i="1"/>
  <c r="K726" i="1"/>
  <c r="S723" i="1"/>
  <c r="K723" i="1"/>
  <c r="S722" i="1"/>
  <c r="K722" i="1"/>
  <c r="S721" i="1"/>
  <c r="K721" i="1"/>
  <c r="S720" i="1"/>
  <c r="K720" i="1"/>
  <c r="S719" i="1"/>
  <c r="K719" i="1"/>
  <c r="S718" i="1"/>
  <c r="K718" i="1"/>
  <c r="P717" i="1"/>
  <c r="S717" i="1" s="1"/>
  <c r="K717" i="1"/>
  <c r="S715" i="1"/>
  <c r="K715" i="1"/>
  <c r="S714" i="1"/>
  <c r="K714" i="1"/>
  <c r="S713" i="1"/>
  <c r="K713" i="1"/>
  <c r="S712" i="1"/>
  <c r="K712" i="1"/>
  <c r="S711" i="1"/>
  <c r="K711" i="1"/>
  <c r="P710" i="1"/>
  <c r="S710" i="1" s="1"/>
  <c r="K710" i="1"/>
  <c r="P709" i="1"/>
  <c r="S709" i="1" s="1"/>
  <c r="K709" i="1"/>
  <c r="S708" i="1"/>
  <c r="K708" i="1"/>
  <c r="S707" i="1"/>
  <c r="K707" i="1"/>
  <c r="S706" i="1"/>
  <c r="K706" i="1"/>
  <c r="S705" i="1"/>
  <c r="K705" i="1"/>
  <c r="S704" i="1"/>
  <c r="K704" i="1"/>
  <c r="S702" i="1"/>
  <c r="K702" i="1"/>
  <c r="S701" i="1"/>
  <c r="K701" i="1"/>
  <c r="S698" i="1"/>
  <c r="K698" i="1"/>
  <c r="P697" i="1"/>
  <c r="S697" i="1" s="1"/>
  <c r="K697" i="1"/>
  <c r="S695" i="1"/>
  <c r="K695" i="1"/>
  <c r="S694" i="1"/>
  <c r="K694" i="1"/>
  <c r="S693" i="1"/>
  <c r="K693" i="1"/>
  <c r="S692" i="1"/>
  <c r="K692" i="1"/>
  <c r="S691" i="1"/>
  <c r="K691" i="1"/>
  <c r="S689" i="1"/>
  <c r="K689" i="1"/>
  <c r="P688" i="1"/>
  <c r="S688" i="1" s="1"/>
  <c r="K688" i="1"/>
  <c r="S687" i="1"/>
  <c r="K687" i="1"/>
  <c r="S686" i="1"/>
  <c r="K686" i="1"/>
  <c r="S685" i="1"/>
  <c r="K685" i="1"/>
  <c r="S684" i="1"/>
  <c r="K684" i="1"/>
  <c r="S683" i="1"/>
  <c r="K683" i="1"/>
  <c r="S682" i="1"/>
  <c r="K682" i="1"/>
  <c r="S681" i="1"/>
  <c r="K681" i="1"/>
  <c r="S680" i="1"/>
  <c r="K680" i="1"/>
  <c r="P676" i="1"/>
  <c r="S676" i="1" s="1"/>
  <c r="K676" i="1"/>
  <c r="S675" i="1"/>
  <c r="K675" i="1"/>
  <c r="S674" i="1"/>
  <c r="K674" i="1"/>
  <c r="S673" i="1"/>
  <c r="K673" i="1"/>
  <c r="P671" i="1"/>
  <c r="S671" i="1" s="1"/>
  <c r="K671" i="1"/>
  <c r="S670" i="1"/>
  <c r="K670" i="1"/>
  <c r="S667" i="1"/>
  <c r="K667" i="1"/>
  <c r="P666" i="1"/>
  <c r="S666" i="1" s="1"/>
  <c r="K666" i="1"/>
  <c r="S665" i="1"/>
  <c r="K665" i="1"/>
  <c r="P664" i="1"/>
  <c r="S664" i="1" s="1"/>
  <c r="K664" i="1"/>
  <c r="S663" i="1"/>
  <c r="K663" i="1"/>
  <c r="S660" i="1"/>
  <c r="K660" i="1"/>
  <c r="S659" i="1"/>
  <c r="K659" i="1"/>
  <c r="S658" i="1"/>
  <c r="K658" i="1"/>
  <c r="S657" i="1"/>
  <c r="K657" i="1"/>
  <c r="S656" i="1"/>
  <c r="K656" i="1"/>
  <c r="S655" i="1"/>
  <c r="K655" i="1"/>
  <c r="S652" i="1"/>
  <c r="K652" i="1"/>
  <c r="S651" i="1"/>
  <c r="K651" i="1"/>
  <c r="P650" i="1"/>
  <c r="S650" i="1" s="1"/>
  <c r="K650" i="1"/>
  <c r="P649" i="1"/>
  <c r="S649" i="1" s="1"/>
  <c r="K649" i="1"/>
  <c r="S648" i="1"/>
  <c r="K648" i="1"/>
  <c r="S647" i="1"/>
  <c r="K647" i="1"/>
  <c r="S646" i="1"/>
  <c r="K646" i="1"/>
  <c r="S643" i="1"/>
  <c r="K643" i="1"/>
  <c r="P642" i="1"/>
  <c r="S642" i="1" s="1"/>
  <c r="K642" i="1"/>
  <c r="S641" i="1"/>
  <c r="K641" i="1"/>
  <c r="P640" i="1"/>
  <c r="S640" i="1" s="1"/>
  <c r="K640" i="1"/>
  <c r="S639" i="1"/>
  <c r="K639" i="1"/>
  <c r="S637" i="1"/>
  <c r="K637" i="1"/>
  <c r="S633" i="1"/>
  <c r="K633" i="1"/>
  <c r="S632" i="1"/>
  <c r="K632" i="1"/>
  <c r="S630" i="1"/>
  <c r="K630" i="1"/>
  <c r="S629" i="1"/>
  <c r="K629" i="1"/>
  <c r="S628" i="1"/>
  <c r="K628" i="1"/>
  <c r="P627" i="1"/>
  <c r="S627" i="1" s="1"/>
  <c r="K627" i="1"/>
  <c r="S626" i="1"/>
  <c r="K626" i="1"/>
  <c r="S625" i="1"/>
  <c r="K625" i="1"/>
  <c r="S623" i="1"/>
  <c r="K623" i="1"/>
  <c r="S621" i="1"/>
  <c r="K621" i="1"/>
  <c r="S619" i="1"/>
  <c r="K619" i="1"/>
  <c r="S618" i="1"/>
  <c r="K618" i="1"/>
  <c r="S616" i="1"/>
  <c r="K616" i="1"/>
  <c r="P614" i="1"/>
  <c r="S614" i="1" s="1"/>
  <c r="K614" i="1"/>
  <c r="S612" i="1"/>
  <c r="K612" i="1"/>
  <c r="P610" i="1"/>
  <c r="S610" i="1" s="1"/>
  <c r="K610" i="1"/>
  <c r="P608" i="1"/>
  <c r="S608" i="1" s="1"/>
  <c r="K608" i="1"/>
  <c r="S605" i="1"/>
  <c r="K605" i="1"/>
  <c r="P604" i="1"/>
  <c r="S604" i="1" s="1"/>
  <c r="K604" i="1"/>
  <c r="S601" i="1"/>
  <c r="K601" i="1"/>
  <c r="S598" i="1"/>
  <c r="K598" i="1"/>
  <c r="P596" i="1"/>
  <c r="S596" i="1" s="1"/>
  <c r="K596" i="1"/>
  <c r="S595" i="1"/>
  <c r="K595" i="1"/>
  <c r="S593" i="1"/>
  <c r="K593" i="1"/>
  <c r="S592" i="1"/>
  <c r="K592" i="1"/>
  <c r="S591" i="1"/>
  <c r="K591" i="1"/>
  <c r="P590" i="1"/>
  <c r="S590" i="1" s="1"/>
  <c r="K590" i="1"/>
  <c r="S589" i="1"/>
  <c r="K589" i="1"/>
  <c r="S588" i="1"/>
  <c r="K588" i="1"/>
  <c r="S584" i="1"/>
  <c r="K584" i="1"/>
  <c r="S583" i="1"/>
  <c r="K583" i="1"/>
  <c r="P582" i="1"/>
  <c r="S582" i="1" s="1"/>
  <c r="K582" i="1"/>
  <c r="S581" i="1"/>
  <c r="K581" i="1"/>
  <c r="P580" i="1"/>
  <c r="S580" i="1" s="1"/>
  <c r="K580" i="1"/>
  <c r="S577" i="1"/>
  <c r="K577" i="1"/>
  <c r="S575" i="1"/>
  <c r="K575" i="1"/>
  <c r="S568" i="1"/>
  <c r="K568" i="1"/>
  <c r="S566" i="1"/>
  <c r="K566" i="1"/>
  <c r="S563" i="1"/>
  <c r="K563" i="1"/>
  <c r="S561" i="1"/>
  <c r="K561" i="1"/>
  <c r="S560" i="1"/>
  <c r="K560" i="1"/>
  <c r="S559" i="1"/>
  <c r="K559" i="1"/>
  <c r="S558" i="1"/>
  <c r="K558" i="1"/>
  <c r="S556" i="1"/>
  <c r="K556" i="1"/>
  <c r="S555" i="1"/>
  <c r="K555" i="1"/>
  <c r="S552" i="1"/>
  <c r="K552" i="1"/>
  <c r="S551" i="1"/>
  <c r="K551" i="1"/>
  <c r="S549" i="1"/>
  <c r="K549" i="1"/>
  <c r="S548" i="1"/>
  <c r="K548" i="1"/>
  <c r="S547" i="1"/>
  <c r="K547" i="1"/>
  <c r="S546" i="1"/>
  <c r="K546" i="1"/>
  <c r="S545" i="1"/>
  <c r="K545" i="1"/>
  <c r="S544" i="1"/>
  <c r="K544" i="1"/>
  <c r="S541" i="1"/>
  <c r="K541" i="1"/>
  <c r="P540" i="1"/>
  <c r="S540" i="1" s="1"/>
  <c r="K540" i="1"/>
  <c r="S539" i="1"/>
  <c r="K539" i="1"/>
  <c r="S537" i="1"/>
  <c r="K537" i="1"/>
  <c r="S536" i="1"/>
  <c r="K536" i="1"/>
  <c r="S532" i="1"/>
  <c r="K532" i="1"/>
  <c r="S531" i="1"/>
  <c r="K531" i="1"/>
  <c r="S530" i="1"/>
  <c r="K530" i="1"/>
  <c r="P529" i="1"/>
  <c r="S529" i="1" s="1"/>
  <c r="K529" i="1"/>
  <c r="S527" i="1"/>
  <c r="K527" i="1"/>
  <c r="S526" i="1"/>
  <c r="K526" i="1"/>
  <c r="S525" i="1"/>
  <c r="K525" i="1"/>
  <c r="S524" i="1"/>
  <c r="K524" i="1"/>
  <c r="S523" i="1"/>
  <c r="K523" i="1"/>
  <c r="S521" i="1"/>
  <c r="K521" i="1"/>
  <c r="P517" i="1"/>
  <c r="S517" i="1" s="1"/>
  <c r="K517" i="1"/>
  <c r="S515" i="1"/>
  <c r="K515" i="1"/>
  <c r="S514" i="1"/>
  <c r="K514" i="1"/>
  <c r="S511" i="1"/>
  <c r="K511" i="1"/>
  <c r="S509" i="1"/>
  <c r="K509" i="1"/>
  <c r="S508" i="1"/>
  <c r="K508" i="1"/>
  <c r="S504" i="1"/>
  <c r="K504" i="1"/>
  <c r="S501" i="1"/>
  <c r="K501" i="1"/>
  <c r="P500" i="1"/>
  <c r="S500" i="1" s="1"/>
  <c r="K500" i="1"/>
  <c r="S499" i="1"/>
  <c r="K499" i="1"/>
  <c r="S497" i="1"/>
  <c r="K497" i="1"/>
  <c r="P496" i="1"/>
  <c r="S496" i="1" s="1"/>
  <c r="K496" i="1"/>
  <c r="S495" i="1"/>
  <c r="K495" i="1"/>
  <c r="S494" i="1"/>
  <c r="K494" i="1"/>
  <c r="S493" i="1"/>
  <c r="K493" i="1"/>
  <c r="S492" i="1"/>
  <c r="K492" i="1"/>
  <c r="S491" i="1"/>
  <c r="K491" i="1"/>
  <c r="S490" i="1"/>
  <c r="K490" i="1"/>
  <c r="S489" i="1"/>
  <c r="K489" i="1"/>
  <c r="S488" i="1"/>
  <c r="K488" i="1"/>
  <c r="S487" i="1"/>
  <c r="K487" i="1"/>
  <c r="P485" i="1"/>
  <c r="S485" i="1" s="1"/>
  <c r="K485" i="1"/>
  <c r="S481" i="1"/>
  <c r="K481" i="1"/>
  <c r="S480" i="1"/>
  <c r="K480" i="1"/>
  <c r="S479" i="1"/>
  <c r="K479" i="1"/>
  <c r="S473" i="1"/>
  <c r="K473" i="1"/>
  <c r="S472" i="1"/>
  <c r="K472" i="1"/>
  <c r="S471" i="1"/>
  <c r="K471" i="1"/>
  <c r="P468" i="1"/>
  <c r="S468" i="1" s="1"/>
  <c r="K468" i="1"/>
  <c r="S467" i="1"/>
  <c r="K467" i="1"/>
  <c r="S466" i="1"/>
  <c r="K466" i="1"/>
  <c r="S465" i="1"/>
  <c r="K465" i="1"/>
  <c r="P464" i="1"/>
  <c r="S464" i="1" s="1"/>
  <c r="K464" i="1"/>
  <c r="P461" i="1"/>
  <c r="S461" i="1" s="1"/>
  <c r="K461" i="1"/>
  <c r="S460" i="1"/>
  <c r="K460" i="1"/>
  <c r="S459" i="1"/>
  <c r="K459" i="1"/>
  <c r="S457" i="1"/>
  <c r="K457" i="1"/>
  <c r="S456" i="1"/>
  <c r="K456" i="1"/>
  <c r="P455" i="1"/>
  <c r="S455" i="1" s="1"/>
  <c r="K455" i="1"/>
  <c r="P454" i="1"/>
  <c r="S454" i="1" s="1"/>
  <c r="K454" i="1"/>
  <c r="P452" i="1"/>
  <c r="S452" i="1" s="1"/>
  <c r="K452" i="1"/>
  <c r="S451" i="1"/>
  <c r="K451" i="1"/>
  <c r="S450" i="1"/>
  <c r="K450" i="1"/>
  <c r="S449" i="1"/>
  <c r="K449" i="1"/>
  <c r="S448" i="1"/>
  <c r="K448" i="1"/>
  <c r="P447" i="1"/>
  <c r="S447" i="1" s="1"/>
  <c r="K447" i="1"/>
  <c r="P443" i="1"/>
  <c r="S443" i="1" s="1"/>
  <c r="K443" i="1"/>
  <c r="S441" i="1"/>
  <c r="K441" i="1"/>
  <c r="S440" i="1"/>
  <c r="K440" i="1"/>
  <c r="S437" i="1"/>
  <c r="K437" i="1"/>
  <c r="P435" i="1"/>
  <c r="S435" i="1" s="1"/>
  <c r="K435" i="1"/>
  <c r="P434" i="1"/>
  <c r="S434" i="1" s="1"/>
  <c r="K434" i="1"/>
  <c r="P433" i="1"/>
  <c r="S433" i="1" s="1"/>
  <c r="K433" i="1"/>
  <c r="S432" i="1"/>
  <c r="K432" i="1"/>
  <c r="S431" i="1"/>
  <c r="K431" i="1"/>
  <c r="S430" i="1"/>
  <c r="K430" i="1"/>
  <c r="S429" i="1"/>
  <c r="K429" i="1"/>
  <c r="S428" i="1"/>
  <c r="K428" i="1"/>
  <c r="S427" i="1"/>
  <c r="K427" i="1"/>
  <c r="S426" i="1"/>
  <c r="K426" i="1"/>
  <c r="S425" i="1"/>
  <c r="K425" i="1"/>
  <c r="S423" i="1"/>
  <c r="K423" i="1"/>
  <c r="P421" i="1"/>
  <c r="S421" i="1" s="1"/>
  <c r="K421" i="1"/>
  <c r="P420" i="1"/>
  <c r="S420" i="1" s="1"/>
  <c r="K420" i="1"/>
  <c r="S419" i="1"/>
  <c r="K419" i="1"/>
  <c r="S416" i="1"/>
  <c r="K416" i="1"/>
  <c r="S413" i="1"/>
  <c r="K413" i="1"/>
  <c r="S412" i="1"/>
  <c r="K412" i="1"/>
  <c r="S410" i="1"/>
  <c r="K410" i="1"/>
  <c r="S408" i="1"/>
  <c r="K408" i="1"/>
  <c r="P407" i="1"/>
  <c r="S407" i="1" s="1"/>
  <c r="K407" i="1"/>
  <c r="S405" i="1"/>
  <c r="K405" i="1"/>
  <c r="S404" i="1"/>
  <c r="K404" i="1"/>
  <c r="S403" i="1"/>
  <c r="K403" i="1"/>
  <c r="S402" i="1"/>
  <c r="K402" i="1"/>
  <c r="S400" i="1"/>
  <c r="K400" i="1"/>
  <c r="S399" i="1"/>
  <c r="K399" i="1"/>
  <c r="S398" i="1"/>
  <c r="K398" i="1"/>
  <c r="P396" i="1"/>
  <c r="S396" i="1" s="1"/>
  <c r="K396" i="1"/>
  <c r="S395" i="1"/>
  <c r="K395" i="1"/>
  <c r="S394" i="1"/>
  <c r="K394" i="1"/>
  <c r="S392" i="1"/>
  <c r="K392" i="1"/>
  <c r="S391" i="1"/>
  <c r="K391" i="1"/>
  <c r="P389" i="1"/>
  <c r="S389" i="1" s="1"/>
  <c r="K389" i="1"/>
  <c r="S388" i="1"/>
  <c r="K388" i="1"/>
  <c r="S386" i="1"/>
  <c r="K386" i="1"/>
  <c r="S384" i="1"/>
  <c r="K384" i="1"/>
  <c r="S383" i="1"/>
  <c r="K383" i="1"/>
  <c r="S382" i="1"/>
  <c r="K382" i="1"/>
  <c r="S381" i="1"/>
  <c r="K381" i="1"/>
  <c r="S380" i="1"/>
  <c r="K380" i="1"/>
  <c r="S379" i="1"/>
  <c r="K379" i="1"/>
  <c r="S378" i="1"/>
  <c r="K378" i="1"/>
  <c r="P377" i="1"/>
  <c r="S377" i="1" s="1"/>
  <c r="K377" i="1"/>
  <c r="S376" i="1"/>
  <c r="K376" i="1"/>
  <c r="P375" i="1"/>
  <c r="S375" i="1" s="1"/>
  <c r="K375" i="1"/>
  <c r="S374" i="1"/>
  <c r="K374" i="1"/>
  <c r="S373" i="1"/>
  <c r="K373" i="1"/>
  <c r="S372" i="1"/>
  <c r="K372" i="1"/>
  <c r="P371" i="1"/>
  <c r="S371" i="1" s="1"/>
  <c r="K371" i="1"/>
  <c r="P370" i="1"/>
  <c r="S370" i="1" s="1"/>
  <c r="K370" i="1"/>
  <c r="S369" i="1"/>
  <c r="K369" i="1"/>
  <c r="S365" i="1"/>
  <c r="K365" i="1"/>
  <c r="P364" i="1"/>
  <c r="S364" i="1" s="1"/>
  <c r="K364" i="1"/>
  <c r="P360" i="1"/>
  <c r="S360" i="1" s="1"/>
  <c r="K360" i="1"/>
  <c r="S359" i="1"/>
  <c r="K359" i="1"/>
  <c r="S357" i="1"/>
  <c r="K357" i="1"/>
  <c r="S356" i="1"/>
  <c r="K356" i="1"/>
  <c r="P353" i="1"/>
  <c r="S353" i="1" s="1"/>
  <c r="K353" i="1"/>
  <c r="S352" i="1"/>
  <c r="K352" i="1"/>
  <c r="S351" i="1"/>
  <c r="K351" i="1"/>
  <c r="P350" i="1"/>
  <c r="S350" i="1" s="1"/>
  <c r="K350" i="1"/>
  <c r="S347" i="1"/>
  <c r="K347" i="1"/>
  <c r="S345" i="1"/>
  <c r="K345" i="1"/>
  <c r="S343" i="1"/>
  <c r="K343" i="1"/>
  <c r="S342" i="1"/>
  <c r="K342" i="1"/>
  <c r="S340" i="1"/>
  <c r="K340" i="1"/>
  <c r="S339" i="1"/>
  <c r="K339" i="1"/>
  <c r="S338" i="1"/>
  <c r="K338" i="1"/>
  <c r="S337" i="1"/>
  <c r="K337" i="1"/>
  <c r="S335" i="1"/>
  <c r="K335" i="1"/>
  <c r="S333" i="1"/>
  <c r="K333" i="1"/>
  <c r="S332" i="1"/>
  <c r="K332" i="1"/>
  <c r="S331" i="1"/>
  <c r="K331" i="1"/>
  <c r="S330" i="1"/>
  <c r="K330" i="1"/>
  <c r="S329" i="1"/>
  <c r="K329" i="1"/>
  <c r="S325" i="1"/>
  <c r="K325" i="1"/>
  <c r="S323" i="1"/>
  <c r="K323" i="1"/>
  <c r="S322" i="1"/>
  <c r="K322" i="1"/>
  <c r="P321" i="1"/>
  <c r="S321" i="1" s="1"/>
  <c r="K321" i="1"/>
  <c r="S317" i="1"/>
  <c r="K317" i="1"/>
  <c r="P316" i="1"/>
  <c r="S316" i="1" s="1"/>
  <c r="K316" i="1"/>
  <c r="P314" i="1"/>
  <c r="S314" i="1" s="1"/>
  <c r="K314" i="1"/>
  <c r="S313" i="1"/>
  <c r="K313" i="1"/>
  <c r="S312" i="1"/>
  <c r="K312" i="1"/>
  <c r="S311" i="1"/>
  <c r="K311" i="1"/>
  <c r="S309" i="1"/>
  <c r="K309" i="1"/>
  <c r="S308" i="1"/>
  <c r="K308" i="1"/>
  <c r="S306" i="1"/>
  <c r="K306" i="1"/>
  <c r="S304" i="1"/>
  <c r="K304" i="1"/>
  <c r="S303" i="1"/>
  <c r="K303" i="1"/>
  <c r="S302" i="1"/>
  <c r="K302" i="1"/>
  <c r="S301" i="1"/>
  <c r="K301" i="1"/>
  <c r="S299" i="1"/>
  <c r="K299" i="1"/>
  <c r="S296" i="1"/>
  <c r="K296" i="1"/>
  <c r="S294" i="1"/>
  <c r="K294" i="1"/>
  <c r="P293" i="1"/>
  <c r="S293" i="1" s="1"/>
  <c r="K293" i="1"/>
  <c r="S292" i="1"/>
  <c r="K292" i="1"/>
  <c r="S290" i="1"/>
  <c r="K290" i="1"/>
  <c r="S288" i="1"/>
  <c r="K288" i="1"/>
  <c r="S287" i="1"/>
  <c r="K287" i="1"/>
  <c r="S286" i="1"/>
  <c r="K286" i="1"/>
  <c r="S285" i="1"/>
  <c r="K285" i="1"/>
  <c r="S283" i="1"/>
  <c r="K283" i="1"/>
  <c r="S280" i="1"/>
  <c r="K280" i="1"/>
  <c r="S279" i="1"/>
  <c r="K279" i="1"/>
  <c r="S278" i="1"/>
  <c r="K278" i="1"/>
  <c r="S277" i="1"/>
  <c r="K277" i="1"/>
  <c r="S273" i="1"/>
  <c r="K273" i="1"/>
  <c r="S272" i="1"/>
  <c r="K272" i="1"/>
  <c r="S271" i="1"/>
  <c r="K271" i="1"/>
  <c r="P270" i="1"/>
  <c r="S270" i="1" s="1"/>
  <c r="K270" i="1"/>
  <c r="S268" i="1"/>
  <c r="K268" i="1"/>
  <c r="S267" i="1"/>
  <c r="K267" i="1"/>
  <c r="S265" i="1"/>
  <c r="K265" i="1"/>
  <c r="S264" i="1"/>
  <c r="K264" i="1"/>
  <c r="S263" i="1"/>
  <c r="K263" i="1"/>
  <c r="S262" i="1"/>
  <c r="K262" i="1"/>
  <c r="S261" i="1"/>
  <c r="K261" i="1"/>
  <c r="P259" i="1"/>
  <c r="S259" i="1" s="1"/>
  <c r="K259" i="1"/>
  <c r="S258" i="1"/>
  <c r="K258" i="1"/>
  <c r="S257" i="1"/>
  <c r="K257" i="1"/>
  <c r="S254" i="1"/>
  <c r="K254" i="1"/>
  <c r="S253" i="1"/>
  <c r="K253" i="1"/>
  <c r="S250" i="1"/>
  <c r="K250" i="1"/>
  <c r="S248" i="1"/>
  <c r="K248" i="1"/>
  <c r="S247" i="1"/>
  <c r="K247" i="1"/>
  <c r="S244" i="1"/>
  <c r="K244" i="1"/>
  <c r="P243" i="1"/>
  <c r="S243" i="1" s="1"/>
  <c r="K243" i="1"/>
  <c r="P241" i="1"/>
  <c r="S241" i="1" s="1"/>
  <c r="K241" i="1"/>
  <c r="P240" i="1"/>
  <c r="S240" i="1" s="1"/>
  <c r="K240" i="1"/>
  <c r="S239" i="1"/>
  <c r="K239" i="1"/>
  <c r="S238" i="1"/>
  <c r="K238" i="1"/>
  <c r="S237" i="1"/>
  <c r="K237" i="1"/>
  <c r="S232" i="1"/>
  <c r="K232" i="1"/>
  <c r="P230" i="1"/>
  <c r="S230" i="1" s="1"/>
  <c r="K230" i="1"/>
  <c r="S229" i="1"/>
  <c r="K229" i="1"/>
  <c r="S226" i="1"/>
  <c r="K226" i="1"/>
  <c r="P225" i="1"/>
  <c r="S225" i="1" s="1"/>
  <c r="K225" i="1"/>
  <c r="S221" i="1"/>
  <c r="K221" i="1"/>
  <c r="S218" i="1"/>
  <c r="K218" i="1"/>
  <c r="S217" i="1"/>
  <c r="K217" i="1"/>
  <c r="S215" i="1"/>
  <c r="K215" i="1"/>
  <c r="S213" i="1"/>
  <c r="K213" i="1"/>
  <c r="P212" i="1"/>
  <c r="S212" i="1" s="1"/>
  <c r="K212" i="1"/>
  <c r="S211" i="1"/>
  <c r="K211" i="1"/>
  <c r="S210" i="1"/>
  <c r="K210" i="1"/>
  <c r="S209" i="1"/>
  <c r="K209" i="1"/>
  <c r="P208" i="1"/>
  <c r="S208" i="1" s="1"/>
  <c r="K208" i="1"/>
  <c r="S206" i="1"/>
  <c r="K206" i="1"/>
  <c r="S204" i="1"/>
  <c r="K204" i="1"/>
  <c r="S201" i="1"/>
  <c r="K201" i="1"/>
  <c r="S200" i="1"/>
  <c r="K200" i="1"/>
  <c r="P198" i="1"/>
  <c r="S198" i="1" s="1"/>
  <c r="K198" i="1"/>
  <c r="S197" i="1"/>
  <c r="K197" i="1"/>
  <c r="S191" i="1"/>
  <c r="K191" i="1"/>
  <c r="S190" i="1"/>
  <c r="K190" i="1"/>
  <c r="S188" i="1"/>
  <c r="K188" i="1"/>
  <c r="S187" i="1"/>
  <c r="K187" i="1"/>
  <c r="S186" i="1"/>
  <c r="K186" i="1"/>
  <c r="S185" i="1"/>
  <c r="K185" i="1"/>
  <c r="S184" i="1"/>
  <c r="K184" i="1"/>
  <c r="S183" i="1"/>
  <c r="K183" i="1"/>
  <c r="S182" i="1"/>
  <c r="K182" i="1"/>
  <c r="S181" i="1"/>
  <c r="K181" i="1"/>
  <c r="S180" i="1"/>
  <c r="K180" i="1"/>
  <c r="P178" i="1"/>
  <c r="S178" i="1" s="1"/>
  <c r="K178" i="1"/>
  <c r="S177" i="1"/>
  <c r="K177" i="1"/>
  <c r="S176" i="1"/>
  <c r="K176" i="1"/>
  <c r="P175" i="1"/>
  <c r="S175" i="1" s="1"/>
  <c r="K175" i="1"/>
  <c r="P174" i="1"/>
  <c r="S174" i="1" s="1"/>
  <c r="K174" i="1"/>
  <c r="S173" i="1"/>
  <c r="K173" i="1"/>
  <c r="S169" i="1"/>
  <c r="K169" i="1"/>
  <c r="S168" i="1"/>
  <c r="K168" i="1"/>
  <c r="S166" i="1"/>
  <c r="P166" i="1"/>
  <c r="K166" i="1"/>
  <c r="S165" i="1"/>
  <c r="K165" i="1"/>
  <c r="S164" i="1"/>
  <c r="K164" i="1"/>
  <c r="S163" i="1"/>
  <c r="K163" i="1"/>
  <c r="S161" i="1"/>
  <c r="K161" i="1"/>
  <c r="S160" i="1"/>
  <c r="K160" i="1"/>
  <c r="S158" i="1"/>
  <c r="K158" i="1"/>
  <c r="S157" i="1"/>
  <c r="K157" i="1"/>
  <c r="S154" i="1"/>
  <c r="K154" i="1"/>
  <c r="S153" i="1"/>
  <c r="K153" i="1"/>
  <c r="P152" i="1"/>
  <c r="S152" i="1" s="1"/>
  <c r="K152" i="1"/>
  <c r="S151" i="1"/>
  <c r="K151" i="1"/>
  <c r="P150" i="1"/>
  <c r="S150" i="1" s="1"/>
  <c r="K150" i="1"/>
  <c r="P148" i="1"/>
  <c r="S148" i="1" s="1"/>
  <c r="K148" i="1"/>
  <c r="S146" i="1"/>
  <c r="K146" i="1"/>
  <c r="P145" i="1"/>
  <c r="S145" i="1" s="1"/>
  <c r="K145" i="1"/>
  <c r="S144" i="1"/>
  <c r="K144" i="1"/>
  <c r="P143" i="1"/>
  <c r="S143" i="1" s="1"/>
  <c r="K143" i="1"/>
  <c r="P141" i="1"/>
  <c r="S141" i="1" s="1"/>
  <c r="K141" i="1"/>
  <c r="S140" i="1"/>
  <c r="K140" i="1"/>
  <c r="S138" i="1"/>
  <c r="K138" i="1"/>
  <c r="S137" i="1"/>
  <c r="K137" i="1"/>
  <c r="S136" i="1"/>
  <c r="K136" i="1"/>
  <c r="S132" i="1"/>
  <c r="K132" i="1"/>
  <c r="S131" i="1"/>
  <c r="K131" i="1"/>
  <c r="S129" i="1"/>
  <c r="K129" i="1"/>
  <c r="S128" i="1"/>
  <c r="K128" i="1"/>
  <c r="S127" i="1"/>
  <c r="K127" i="1"/>
  <c r="S126" i="1"/>
  <c r="K126" i="1"/>
  <c r="S124" i="1"/>
  <c r="K124" i="1"/>
  <c r="S122" i="1"/>
  <c r="K122" i="1"/>
  <c r="S121" i="1"/>
  <c r="K121" i="1"/>
  <c r="S119" i="1"/>
  <c r="K119" i="1"/>
  <c r="S118" i="1"/>
  <c r="K118" i="1"/>
  <c r="S117" i="1"/>
  <c r="K117" i="1"/>
  <c r="S115" i="1"/>
  <c r="K115" i="1"/>
  <c r="S114" i="1"/>
  <c r="K114" i="1"/>
  <c r="S113" i="1"/>
  <c r="K113" i="1"/>
  <c r="S112" i="1"/>
  <c r="K112" i="1"/>
  <c r="S109" i="1"/>
  <c r="K109" i="1"/>
  <c r="S108" i="1"/>
  <c r="K108" i="1"/>
  <c r="S107" i="1"/>
  <c r="K107" i="1"/>
  <c r="S106" i="1"/>
  <c r="K106" i="1"/>
  <c r="S103" i="1"/>
  <c r="K103" i="1"/>
  <c r="S102" i="1"/>
  <c r="K102" i="1"/>
  <c r="P101" i="1"/>
  <c r="S101" i="1" s="1"/>
  <c r="K101" i="1"/>
  <c r="S100" i="1"/>
  <c r="K100" i="1"/>
  <c r="S99" i="1"/>
  <c r="K99" i="1"/>
  <c r="P97" i="1"/>
  <c r="S97" i="1" s="1"/>
  <c r="K97" i="1"/>
  <c r="P96" i="1"/>
  <c r="S96" i="1" s="1"/>
  <c r="K96" i="1"/>
  <c r="S95" i="1"/>
  <c r="K95" i="1"/>
  <c r="S94" i="1"/>
  <c r="K94" i="1"/>
  <c r="S91" i="1"/>
  <c r="K91" i="1"/>
  <c r="S90" i="1"/>
  <c r="K90" i="1"/>
  <c r="S89" i="1"/>
  <c r="K89" i="1"/>
  <c r="S87" i="1"/>
  <c r="K87" i="1"/>
  <c r="S85" i="1"/>
  <c r="K85" i="1"/>
  <c r="S84" i="1"/>
  <c r="K84" i="1"/>
  <c r="S83" i="1"/>
  <c r="K83" i="1"/>
  <c r="S82" i="1"/>
  <c r="K82" i="1"/>
  <c r="P81" i="1"/>
  <c r="S81" i="1" s="1"/>
  <c r="K81" i="1"/>
  <c r="S80" i="1"/>
  <c r="K80" i="1"/>
  <c r="S79" i="1"/>
  <c r="K79" i="1"/>
  <c r="S77" i="1"/>
  <c r="K77" i="1"/>
  <c r="P75" i="1"/>
  <c r="S75" i="1" s="1"/>
  <c r="K75" i="1"/>
  <c r="S73" i="1"/>
  <c r="K73" i="1"/>
  <c r="S70" i="1"/>
  <c r="K70" i="1"/>
  <c r="S68" i="1"/>
  <c r="K68" i="1"/>
  <c r="S67" i="1"/>
  <c r="K67" i="1"/>
  <c r="S66" i="1"/>
  <c r="K66" i="1"/>
  <c r="S65" i="1"/>
  <c r="K65" i="1"/>
  <c r="S64" i="1"/>
  <c r="K64" i="1"/>
  <c r="S63" i="1"/>
  <c r="K63" i="1"/>
  <c r="P62" i="1"/>
  <c r="S62" i="1" s="1"/>
  <c r="K62" i="1"/>
  <c r="S60" i="1"/>
  <c r="K60" i="1"/>
  <c r="S59" i="1"/>
  <c r="K59" i="1"/>
  <c r="S58" i="1"/>
  <c r="K58" i="1"/>
  <c r="P57" i="1"/>
  <c r="S57" i="1" s="1"/>
  <c r="K57" i="1"/>
  <c r="P56" i="1"/>
  <c r="S56" i="1" s="1"/>
  <c r="K56" i="1"/>
  <c r="S55" i="1"/>
  <c r="P55" i="1"/>
  <c r="K55" i="1"/>
  <c r="P54" i="1"/>
  <c r="S54" i="1" s="1"/>
  <c r="K54" i="1"/>
  <c r="S53" i="1"/>
  <c r="K53" i="1"/>
  <c r="S52" i="1"/>
  <c r="K52" i="1"/>
  <c r="S51" i="1"/>
  <c r="K51" i="1"/>
  <c r="P50" i="1"/>
  <c r="S50" i="1" s="1"/>
  <c r="K50" i="1"/>
  <c r="S49" i="1"/>
  <c r="K49" i="1"/>
  <c r="S48" i="1"/>
  <c r="K48" i="1"/>
  <c r="S47" i="1"/>
  <c r="K47" i="1"/>
  <c r="S46" i="1"/>
  <c r="K46" i="1"/>
  <c r="S44" i="1"/>
  <c r="K44" i="1"/>
  <c r="P43" i="1"/>
  <c r="S43" i="1" s="1"/>
  <c r="K43" i="1"/>
  <c r="S41" i="1"/>
  <c r="K41" i="1"/>
  <c r="S39" i="1"/>
  <c r="K39" i="1"/>
  <c r="S38" i="1"/>
  <c r="K38" i="1"/>
  <c r="S35" i="1"/>
  <c r="K35" i="1"/>
  <c r="S34" i="1"/>
  <c r="K34" i="1"/>
  <c r="S33" i="1"/>
  <c r="K33" i="1"/>
  <c r="S31" i="1"/>
  <c r="K31" i="1"/>
  <c r="S30" i="1"/>
  <c r="K30" i="1"/>
  <c r="S29" i="1"/>
  <c r="K29" i="1"/>
  <c r="S28" i="1"/>
  <c r="K28" i="1"/>
  <c r="S26" i="1"/>
  <c r="K26" i="1"/>
  <c r="S25" i="1"/>
  <c r="K25" i="1"/>
  <c r="S24" i="1"/>
  <c r="K24" i="1"/>
  <c r="S23" i="1"/>
  <c r="K23" i="1"/>
  <c r="S20" i="1"/>
  <c r="K20" i="1"/>
  <c r="S16" i="1"/>
  <c r="K16" i="1"/>
  <c r="S13" i="1"/>
  <c r="K13" i="1"/>
  <c r="S12" i="1"/>
  <c r="K12" i="1"/>
  <c r="S11" i="1"/>
  <c r="K11" i="1"/>
  <c r="S8" i="1"/>
  <c r="K8" i="1"/>
  <c r="S7" i="1"/>
  <c r="K7" i="1"/>
  <c r="S6" i="1"/>
  <c r="K6" i="1"/>
  <c r="S4" i="1"/>
  <c r="K4" i="1"/>
  <c r="S2" i="1"/>
  <c r="K2" i="1"/>
</calcChain>
</file>

<file path=xl/sharedStrings.xml><?xml version="1.0" encoding="utf-8"?>
<sst xmlns="http://schemas.openxmlformats.org/spreadsheetml/2006/main" count="12854" uniqueCount="274">
  <si>
    <t xml:space="preserve">YEAR </t>
  </si>
  <si>
    <t>SITE</t>
  </si>
  <si>
    <t>Condition</t>
  </si>
  <si>
    <t>ENTRY</t>
  </si>
  <si>
    <t>REP</t>
  </si>
  <si>
    <t>BLK</t>
  </si>
  <si>
    <t>GEN</t>
  </si>
  <si>
    <t>PLS</t>
  </si>
  <si>
    <t>DP</t>
  </si>
  <si>
    <t>DS</t>
  </si>
  <si>
    <t>ASI</t>
  </si>
  <si>
    <t>PHT</t>
  </si>
  <si>
    <t>EHT</t>
  </si>
  <si>
    <t>HC</t>
  </si>
  <si>
    <t>PA</t>
  </si>
  <si>
    <t>PH</t>
  </si>
  <si>
    <t>FW</t>
  </si>
  <si>
    <t>EH</t>
  </si>
  <si>
    <t>EPP</t>
  </si>
  <si>
    <t>EA</t>
  </si>
  <si>
    <t>GM</t>
  </si>
  <si>
    <t>GY</t>
  </si>
  <si>
    <t>STG</t>
  </si>
  <si>
    <t>Arusha</t>
  </si>
  <si>
    <t>Optimum</t>
  </si>
  <si>
    <t>SMLW-3 x IITA 1876</t>
  </si>
  <si>
    <t>SMLW-3 x IITA 1878</t>
  </si>
  <si>
    <t>SMLW-3 x SAM 50 Male</t>
  </si>
  <si>
    <t>SMLW-4 x IITA 1876</t>
  </si>
  <si>
    <t>SMLW-4 x IITA 1878</t>
  </si>
  <si>
    <t>SMLW-4 x SAM 50 Male</t>
  </si>
  <si>
    <t>SMLW-5 x IITA 1876</t>
  </si>
  <si>
    <t>SMLW-5 x IITA 1878</t>
  </si>
  <si>
    <t>SMLW-5 x SAM 50 Male</t>
  </si>
  <si>
    <t>SMLW-6 x IITA 1876</t>
  </si>
  <si>
    <t>SMLW-6 x IITA 1878</t>
  </si>
  <si>
    <t>SMLW-6 x SAM 50 Male</t>
  </si>
  <si>
    <t>SMLW-7 x IITA 1876</t>
  </si>
  <si>
    <t>SMLW-7 x IITA 1878</t>
  </si>
  <si>
    <t>SMLW-7 x SAM 50 Male</t>
  </si>
  <si>
    <t>SMLW-9 x IITA 1876</t>
  </si>
  <si>
    <t>SMLW-9 x IITA 1878</t>
  </si>
  <si>
    <t>SMLW-9 x SAM 50 Male</t>
  </si>
  <si>
    <t xml:space="preserve">SMLW-10 x IITA 1876 </t>
  </si>
  <si>
    <t xml:space="preserve">SMLW-10 x IITA 1878 </t>
  </si>
  <si>
    <t xml:space="preserve">SMLW-10 x SAM 50 Male </t>
  </si>
  <si>
    <t>SMLW-11 x IITA 1876</t>
  </si>
  <si>
    <t>SMLW-11 x IITA 1878</t>
  </si>
  <si>
    <t>SMLW-11 x SAM 50 Male</t>
  </si>
  <si>
    <t>SMLW-14 x IITA 1876</t>
  </si>
  <si>
    <t>SMLW-14 x IITA 1878</t>
  </si>
  <si>
    <t>SMLW-14 x SAM 50 Male</t>
  </si>
  <si>
    <t>SMLW-16 x IITA 1876</t>
  </si>
  <si>
    <t>SMLW-16 x IITA 1878</t>
  </si>
  <si>
    <t>SMLW-16 x SAM 50 Male</t>
  </si>
  <si>
    <t>SMLW-17 x IITA 1876</t>
  </si>
  <si>
    <t>SMLW-17 x IITA 1878</t>
  </si>
  <si>
    <t>SMLW-17 x SAM 50 Male</t>
  </si>
  <si>
    <t>SMLW-19 x IITA 1876</t>
  </si>
  <si>
    <t>SMLW-19 x IITA 1878</t>
  </si>
  <si>
    <t>SMLW-19 x SAM 50 Male</t>
  </si>
  <si>
    <t>SMLW-20 x IITA 1876</t>
  </si>
  <si>
    <t>SMLW-20 x IITA 1878</t>
  </si>
  <si>
    <t>SMLW-20 x SAM 50 Male</t>
  </si>
  <si>
    <t>SMLW-21 x IITA 1876</t>
  </si>
  <si>
    <t>SMLW-21 x IITA 1878</t>
  </si>
  <si>
    <t>SMLW-21 x SAM 50 Male</t>
  </si>
  <si>
    <t>SMLW-22 x IITA 1876</t>
  </si>
  <si>
    <t>SMLW-22 x IITA 1878</t>
  </si>
  <si>
    <t>SMLW-22 x SAM 50 Male</t>
  </si>
  <si>
    <t>SMLW-23 x IITA 1876</t>
  </si>
  <si>
    <t>SMLW-23 x IITA 1878</t>
  </si>
  <si>
    <t>SMLW-23 x SAM 50 Male</t>
  </si>
  <si>
    <t>SMLW-24 x IITA 1876</t>
  </si>
  <si>
    <t>SMLW-24 x IITA 1878</t>
  </si>
  <si>
    <t>SMLW-24 x SAM 50 Male</t>
  </si>
  <si>
    <t>SMLW-25 x IITA 1876</t>
  </si>
  <si>
    <t>SMLW-25 x IITA 1878</t>
  </si>
  <si>
    <t>SMLW-25 x SAM 50 Male</t>
  </si>
  <si>
    <t>SMLW-26 x IITA 1876</t>
  </si>
  <si>
    <t>SMLW-26 x IITA 1878</t>
  </si>
  <si>
    <t>SMLW-26 x SAM 50 Male</t>
  </si>
  <si>
    <t>SMLW-27 x IITA 1876</t>
  </si>
  <si>
    <t>SMLW-27 x IITA 1878</t>
  </si>
  <si>
    <t>SMLW-27 x SAM 50 Male</t>
  </si>
  <si>
    <t>SMLW-33 x IITA 1876</t>
  </si>
  <si>
    <t>SMLW-33 x IITA 1878</t>
  </si>
  <si>
    <t>SMLW-33 x SAM 50 Male</t>
  </si>
  <si>
    <t>SMLW-34 x IITA 1876</t>
  </si>
  <si>
    <t>SMLW-34 x IITA 1878</t>
  </si>
  <si>
    <t>SMLW-34 x SAM 50 Male</t>
  </si>
  <si>
    <t>SMLW-37 x IITA 1876</t>
  </si>
  <si>
    <t>SMLW-37 x IITA 1878</t>
  </si>
  <si>
    <t>SMLW-37 x SAM 50 Male</t>
  </si>
  <si>
    <t>SMLW-43 x IITA 1876</t>
  </si>
  <si>
    <t>SMLW-43 x IITA 1878</t>
  </si>
  <si>
    <t>SMLW-43 x SAM 50 Male</t>
  </si>
  <si>
    <t>SMLW-44 x IITA 1876</t>
  </si>
  <si>
    <t>SMLW-44 x IITA 1878</t>
  </si>
  <si>
    <t>SMLW-44 x SAM 50 Male</t>
  </si>
  <si>
    <t>SMLW-48 x IITA 1876</t>
  </si>
  <si>
    <t>SMLW-48 x IITA 1878</t>
  </si>
  <si>
    <t>SMLW-48 x SAM 50 Male</t>
  </si>
  <si>
    <t>SMLW-50 x IITA 1876</t>
  </si>
  <si>
    <t>SMLW-50 x IITA 1878</t>
  </si>
  <si>
    <t>SMLW-50 x SAM 50 Male</t>
  </si>
  <si>
    <t>SMLW-51 x IITA 1876</t>
  </si>
  <si>
    <t>SMLW-51 x IITA 1878</t>
  </si>
  <si>
    <t>SMLW-51 x SAM 50 Male</t>
  </si>
  <si>
    <t>SMLW-52 x IITA 1876</t>
  </si>
  <si>
    <t>SMLW-52 x IITA 1878</t>
  </si>
  <si>
    <t>SMLW-52 x SAM 50 Male</t>
  </si>
  <si>
    <t>SMLW-53 x IITA 1876</t>
  </si>
  <si>
    <t>SMLW-53 x IITA 1878</t>
  </si>
  <si>
    <t>SMLW-53 x SAM 50 Male</t>
  </si>
  <si>
    <t>SMLW-57 x IITA 1876</t>
  </si>
  <si>
    <t>SMLW-57 x IITA 1878</t>
  </si>
  <si>
    <t>SMLW-57 x SAM 50 Male</t>
  </si>
  <si>
    <t>SMLW-58 x IITA 1876</t>
  </si>
  <si>
    <t>SMLW-58 x IITA 1878</t>
  </si>
  <si>
    <t>SMLW-58 x SAM 50 Male</t>
  </si>
  <si>
    <t>SMLW-64 x IITA 1876</t>
  </si>
  <si>
    <t>SMLW-64 x IITA 1878</t>
  </si>
  <si>
    <t>SMLW-64 x SAM 50 Male</t>
  </si>
  <si>
    <t>SMLW-69 x IITA 1876</t>
  </si>
  <si>
    <t>SMLW-69 x IITA 1878</t>
  </si>
  <si>
    <t>SMLW-69 x SAM 50 Male</t>
  </si>
  <si>
    <t>SMLW-70 x IITA 1876</t>
  </si>
  <si>
    <t>SMLW-70 x IITA 1878</t>
  </si>
  <si>
    <t>SMLW-70 x SAM 50 Male</t>
  </si>
  <si>
    <t>SMLW-74 x IITA 1876</t>
  </si>
  <si>
    <t>SMLW-74 x IITA 1878</t>
  </si>
  <si>
    <t>SMLW-74 x SAM 50 Male</t>
  </si>
  <si>
    <t>SMLW-75 x IITA 1876</t>
  </si>
  <si>
    <t>SMLW-75 x IITA 1878</t>
  </si>
  <si>
    <t>SMLW-75 x SAM 50 Male</t>
  </si>
  <si>
    <t>SMLW- 77 x IITA 1876</t>
  </si>
  <si>
    <t>SMLW- 77 x IITA 1878</t>
  </si>
  <si>
    <t>SMLW- 77 x SAM 50 Male</t>
  </si>
  <si>
    <t>SMLW-78 x IITA 1876</t>
  </si>
  <si>
    <t>SMLW-78 x IITA 1878</t>
  </si>
  <si>
    <t>SMLW-78 x SAM 50 Male</t>
  </si>
  <si>
    <t>SMLW-84 x IITA 1876</t>
  </si>
  <si>
    <t>SMLW-84 x IITA 1878</t>
  </si>
  <si>
    <t>SMLW-84 x SAM 50 Male</t>
  </si>
  <si>
    <t>SMLW-86 x IITA 1876</t>
  </si>
  <si>
    <t>SMLW-86 x IITA 1878</t>
  </si>
  <si>
    <t>SMLW-86 x SAM 50 Male</t>
  </si>
  <si>
    <t>SMLW-91 x IITA 1876</t>
  </si>
  <si>
    <t>SMLW-91 x IITA 1878</t>
  </si>
  <si>
    <t>SMLW-91 x SAM 50 Male</t>
  </si>
  <si>
    <t>SMLW-93 x IITA 1876</t>
  </si>
  <si>
    <t>SMLW-93 x IITA 1878</t>
  </si>
  <si>
    <t>SMLW-93 x SAM 50 Male</t>
  </si>
  <si>
    <t>SMLW-96 x IITA 1876</t>
  </si>
  <si>
    <t>SMLW-96 x IITA 1878</t>
  </si>
  <si>
    <t>SMLW-96 x SAM 50 Male</t>
  </si>
  <si>
    <t xml:space="preserve">SMLW-99 x IITA 1876 </t>
  </si>
  <si>
    <t xml:space="preserve">SMLW-99 x IITA 1878 </t>
  </si>
  <si>
    <t>SMLW-99 x IITA 1878</t>
  </si>
  <si>
    <t xml:space="preserve">SMLW-99 x SAM 50 Male </t>
  </si>
  <si>
    <t>SMLW-100 x IITA 1876</t>
  </si>
  <si>
    <t>SMLW-100 x IITA 1878</t>
  </si>
  <si>
    <t>SMLW-100 x SAM 50 Male</t>
  </si>
  <si>
    <t>SMLW-101 x IITA 1876</t>
  </si>
  <si>
    <t>SMLW-101 x IITA 1878</t>
  </si>
  <si>
    <t>SMLW-101 x SAM 50 Male</t>
  </si>
  <si>
    <t>SMLW-102 x IITA 1876</t>
  </si>
  <si>
    <t>SMLW-102 x IITA 1878</t>
  </si>
  <si>
    <t>SMLW-102 x SAM 50 Male</t>
  </si>
  <si>
    <t>SMLW-104 x IITA 1876</t>
  </si>
  <si>
    <t>SMLW-104 x IITA 1878</t>
  </si>
  <si>
    <t>SMLW-104 x SAM 50 Male</t>
  </si>
  <si>
    <t>SMLW-105 x IITA 1876</t>
  </si>
  <si>
    <t>SMLW-105 x IITA 1878</t>
  </si>
  <si>
    <t>SMLW-105 x SAM 50 Male</t>
  </si>
  <si>
    <t>SMLW-106 x IITA 1876</t>
  </si>
  <si>
    <t>SMLW-106 x IITA 1878</t>
  </si>
  <si>
    <t>SMLW-106 x SAM 50 Male</t>
  </si>
  <si>
    <t>SMLW-107 x IITA 1876</t>
  </si>
  <si>
    <t>SMLW-107 x IITA 1878</t>
  </si>
  <si>
    <t>SMLW-107 x SAM 50 Male</t>
  </si>
  <si>
    <t>SMLW-108 x IITA 1876</t>
  </si>
  <si>
    <t>SMLW-108 x IITA 1878</t>
  </si>
  <si>
    <t>SMLW-108 x SAM 50 Male</t>
  </si>
  <si>
    <t>SMLW-119 x IITA 1876</t>
  </si>
  <si>
    <t>SMLW-119 x IITA 1878</t>
  </si>
  <si>
    <t>SMLW-119 x SAM 50 Male</t>
  </si>
  <si>
    <t>SMLW-120 x IITA 1876</t>
  </si>
  <si>
    <t>SMLW-120 x IITA 1878</t>
  </si>
  <si>
    <t>SMLW-120 x SAM 50 Male</t>
  </si>
  <si>
    <t>SMLW-121 x IITA 1876</t>
  </si>
  <si>
    <t>SMLW-121 x IITA 1878</t>
  </si>
  <si>
    <t>SMLW-121 x SAM 50 Male</t>
  </si>
  <si>
    <t>SMLW-122 x IITA 1876</t>
  </si>
  <si>
    <t>SMLW-122 x IITA 1878</t>
  </si>
  <si>
    <t>SMLW-122 x SAM 50 Male</t>
  </si>
  <si>
    <t>SMLW-127 x IITA 1876</t>
  </si>
  <si>
    <t>SMLW-127 x IITA 1878</t>
  </si>
  <si>
    <t>SMLW-127 x SAM 50 Male</t>
  </si>
  <si>
    <t>SMLW-134 x IITA 1876</t>
  </si>
  <si>
    <t>SMLW-134 x IITA 1878</t>
  </si>
  <si>
    <t>SMLW-134 x SAM 50 Male</t>
  </si>
  <si>
    <t>SMLW-135 x IITA 1876</t>
  </si>
  <si>
    <t>SMLW-135 x IITA 1878</t>
  </si>
  <si>
    <t>SMLW-135 x SAM 50 Male</t>
  </si>
  <si>
    <t>SMLW-140 x IITA 1876</t>
  </si>
  <si>
    <t>SMLW-140 x IITA 1878</t>
  </si>
  <si>
    <t>SMLW-140 x SAM 50 Male</t>
  </si>
  <si>
    <t>SMLW-143 x IITA 1876</t>
  </si>
  <si>
    <t>SMLW-143 x IITA 1878</t>
  </si>
  <si>
    <t>SMLW-143 x SAM 50 Male</t>
  </si>
  <si>
    <t>SMLW-144 x IITA 1876</t>
  </si>
  <si>
    <t>SMLW-144 x IITA 1878</t>
  </si>
  <si>
    <t>SMLW-144 x SAM 50 Male</t>
  </si>
  <si>
    <t>SMLW-145 x IITA 1876</t>
  </si>
  <si>
    <t>SMLW-145 x IITA 1878</t>
  </si>
  <si>
    <t>SMLW-145 x SAM 50 Male</t>
  </si>
  <si>
    <t>SMLW-146 x IITA 1876</t>
  </si>
  <si>
    <t>SMLW-146 x IITA 1878</t>
  </si>
  <si>
    <t>SMLW-146 x SAM 50 Male</t>
  </si>
  <si>
    <t>SMLW-147 x IITA 1876</t>
  </si>
  <si>
    <t>SMLW-147 x IITA 1878</t>
  </si>
  <si>
    <t>SMLW-147 x SAM 50 Male</t>
  </si>
  <si>
    <t>SMLW-150 x IITA 1876</t>
  </si>
  <si>
    <t>SMLW-150 x IITA 1878</t>
  </si>
  <si>
    <t>SMLW-150 x SAM 50 Male</t>
  </si>
  <si>
    <t>SMLW-155 x IITA 1876</t>
  </si>
  <si>
    <t>SMLW-155 x IITA 1878</t>
  </si>
  <si>
    <t>SMLW-155 x SAM 50 Male</t>
  </si>
  <si>
    <t>SMLW-156 x IITA 1876</t>
  </si>
  <si>
    <t>SMLW-156 x IITA 1878</t>
  </si>
  <si>
    <t>SMLW-156 x SAM 50 Male</t>
  </si>
  <si>
    <t>SMLW-157 x IITA 1876</t>
  </si>
  <si>
    <t>SMLW-157 x IITA 1878</t>
  </si>
  <si>
    <t>SMLW-157 x SAM 50 Male</t>
  </si>
  <si>
    <t>SMLW-158 x IITA 1876</t>
  </si>
  <si>
    <t>SMLW-158 x IITA 1878</t>
  </si>
  <si>
    <t>SMLW-158 x SAM 50 Male</t>
  </si>
  <si>
    <t>SMLW-160 x IITA 1876</t>
  </si>
  <si>
    <t>SMLW-160 x IITA 1878</t>
  </si>
  <si>
    <t>SMLW-160 x SAM 50 Male</t>
  </si>
  <si>
    <t>SMLW-162 x IITA 1876</t>
  </si>
  <si>
    <t>SMLW-162 x IITA 1878</t>
  </si>
  <si>
    <t>SMLW-162 x SAM 50 Male</t>
  </si>
  <si>
    <t>SMLW-163 x IITA 1876</t>
  </si>
  <si>
    <t>SMLW-163 x IITA 1878</t>
  </si>
  <si>
    <t>SMLW-163 x SAM 50 Male</t>
  </si>
  <si>
    <t>SMLW-165 x IITA 1876</t>
  </si>
  <si>
    <t>SMLW-165 x IITA 1878</t>
  </si>
  <si>
    <t>SMLW-165 x SAM 50 Male</t>
  </si>
  <si>
    <t>SMLW-167 x IITA 1876</t>
  </si>
  <si>
    <t>SMLW-167 x IITA 1878</t>
  </si>
  <si>
    <t>SMLW-167 x SAM 50 Male</t>
  </si>
  <si>
    <t>SMLW-169 x IITA 1876</t>
  </si>
  <si>
    <t>SMLW-169 x IITA 1878</t>
  </si>
  <si>
    <t>SMLW-169 x SAM 50 Male</t>
  </si>
  <si>
    <t>SMLW-183 x IITA 1876</t>
  </si>
  <si>
    <t>SMLW-183 x IITA 1878</t>
  </si>
  <si>
    <t>SMLW-183 x SAM 50 Male</t>
  </si>
  <si>
    <t xml:space="preserve">SMLW- 159 x IITA 1876 </t>
  </si>
  <si>
    <t xml:space="preserve">SMLW- 159 x IITA 1878 </t>
  </si>
  <si>
    <t xml:space="preserve">SMLW- 159 x SAM 50 Male </t>
  </si>
  <si>
    <t>SMLW-10 x IITA 1876</t>
  </si>
  <si>
    <t>SMLW-10 x IITA 1878</t>
  </si>
  <si>
    <t>SMLW-10 x SAM 50 Male</t>
  </si>
  <si>
    <t>SMLW-99 x IITA 1876</t>
  </si>
  <si>
    <t>SMLW-99 x SAM 50 Male</t>
  </si>
  <si>
    <t>SMLW- 159 x IITA 1876</t>
  </si>
  <si>
    <t>SMLW- 159 x IITA 1878</t>
  </si>
  <si>
    <t>SMLW- 159 x SAM 50 Male</t>
  </si>
  <si>
    <t>Low-N</t>
  </si>
  <si>
    <t>Drought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</si>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</sst>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2"/>
      <color theme="1"/>
      <name val="Aptos Narrow"/>
      <family val="2"/>
      <scheme val="minor"/>
    </font>
    <font>
      <sz val="10"/>
      <color indexed="8"/>
      <name val="Times New Roman"/>
      <family val="1"/>
    </font>
    <font>
      <sz val="1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xf>
    <xf numFmtId="164" fontId="1" fillId="0" borderId="0" xfId="0" applyNumberFormat="1"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17B97-7E9F-5C4D-A899-99744E4C6119}">
  <dimension ref="A1:W4267"/>
  <sheetViews>
    <sheetView tabSelected="1" topLeftCell="B1" workbookViewId="0">
      <selection activeCell="T88" sqref="T88 T104 T307 T517 T527 T565 L678 T854 T900 T1163 T1245 T1264 T1283 T1573 T1648 T1824 T1967 T1981 T2198 T2209 T2306 N2441 T2747 T2875 T3012 T3052 T3195 T3210 T3281 W3565 T3845 R3866 T4208"/>
    </sheetView>
  </sheetViews>
  <sheetFormatPr baseColWidth="10" defaultRowHeight="16" x14ac:dyDescent="0.2"/>
  <cols>
    <col min="7" max="7" width="22.5" bestFit="1"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v>2020</v>
      </c>
      <c r="B2" t="s">
        <v>23</v>
      </c>
      <c r="C2" t="s">
        <v>24</v>
      </c>
      <c r="D2">
        <v>1</v>
      </c>
      <c r="E2">
        <v>1</v>
      </c>
      <c r="F2">
        <v>3</v>
      </c>
      <c r="G2" t="s">
        <v>25</v>
      </c>
      <c r="H2" s="1">
        <v>8</v>
      </c>
      <c r="I2" s="1">
        <v>67</v>
      </c>
      <c r="J2" s="1">
        <v>70</v>
      </c>
      <c r="K2" s="1">
        <f>J2-I2</f>
        <v>3</v>
      </c>
      <c r="L2" s="1">
        <v>53</v>
      </c>
      <c r="M2" s="1">
        <v>35</v>
      </c>
      <c r="N2" s="1">
        <v>3</v>
      </c>
      <c r="O2" s="1">
        <v>5</v>
      </c>
      <c r="P2" s="1">
        <v>1</v>
      </c>
      <c r="Q2" s="2">
        <v>6.6000000000000003E-2</v>
      </c>
      <c r="R2" s="1">
        <v>1</v>
      </c>
      <c r="S2" s="1">
        <f>R2/P2</f>
        <v>1</v>
      </c>
      <c r="T2" s="1">
        <v>5</v>
      </c>
      <c r="U2" s="1">
        <v>12.5</v>
      </c>
      <c r="V2" s="1">
        <v>241.56862745098039</v>
      </c>
      <c r="W2" s="1">
        <v>6</v>
      </c>
    </row>
    <row r="3" spans="1:23" x14ac:dyDescent="0.2">
      <c r="A3">
        <v>2020</v>
      </c>
      <c r="B3" t="s">
        <v>23</v>
      </c>
      <c r="C3" t="s">
        <v>24</v>
      </c>
      <c r="D3">
        <v>1</v>
      </c>
      <c r="E3">
        <v>2</v>
      </c>
      <c r="F3">
        <v>5</v>
      </c>
      <c r="G3" t="s">
        <v>25</v>
      </c>
      <c r="H3">
        <v>15</v>
      </c>
      <c r="I3">
        <v>55</v>
      </c>
      <c r="J3">
        <v>59</v>
      </c>
      <c r="K3">
        <v>4</v>
      </c>
      <c r="L3">
        <v>200</v>
      </c>
      <c r="M3">
        <v>62</v>
      </c>
      <c r="N3">
        <v>2</v>
      </c>
      <c r="O3">
        <v>2.5</v>
      </c>
      <c r="P3">
        <v>13</v>
      </c>
      <c r="Q3">
        <v>0.5</v>
      </c>
      <c r="R3">
        <v>12</v>
      </c>
      <c r="S3">
        <v>0.92307692307692313</v>
      </c>
      <c r="T3">
        <v>3</v>
      </c>
      <c r="U3">
        <v>8.8000000000000007</v>
      </c>
      <c r="V3">
        <v>1907.4509803921569</v>
      </c>
      <c r="W3">
        <v>2</v>
      </c>
    </row>
    <row r="4" spans="1:23" x14ac:dyDescent="0.2">
      <c r="A4">
        <v>2020</v>
      </c>
      <c r="B4" t="s">
        <v>23</v>
      </c>
      <c r="C4" t="s">
        <v>24</v>
      </c>
      <c r="D4">
        <v>2</v>
      </c>
      <c r="E4">
        <v>1</v>
      </c>
      <c r="F4">
        <v>8</v>
      </c>
      <c r="G4" t="s">
        <v>26</v>
      </c>
      <c r="H4" s="1">
        <v>10</v>
      </c>
      <c r="I4" s="1">
        <v>68</v>
      </c>
      <c r="J4" s="1">
        <v>72</v>
      </c>
      <c r="K4" s="1">
        <f>J4-I4</f>
        <v>4</v>
      </c>
      <c r="L4" s="1">
        <v>60</v>
      </c>
      <c r="M4" s="1">
        <v>25</v>
      </c>
      <c r="N4" s="1">
        <v>3</v>
      </c>
      <c r="O4" s="1">
        <v>5</v>
      </c>
      <c r="P4" s="1">
        <v>2</v>
      </c>
      <c r="Q4" s="2">
        <v>0.04</v>
      </c>
      <c r="R4" s="1">
        <v>2</v>
      </c>
      <c r="S4" s="1">
        <f>R4/P4</f>
        <v>1</v>
      </c>
      <c r="T4" s="1">
        <v>5</v>
      </c>
      <c r="U4" s="1">
        <v>12.5</v>
      </c>
      <c r="V4" s="1">
        <v>146.40522875816995</v>
      </c>
      <c r="W4" s="1">
        <v>6</v>
      </c>
    </row>
    <row r="5" spans="1:23" x14ac:dyDescent="0.2">
      <c r="A5">
        <v>2020</v>
      </c>
      <c r="B5" t="s">
        <v>23</v>
      </c>
      <c r="C5" t="s">
        <v>24</v>
      </c>
      <c r="D5">
        <v>2</v>
      </c>
      <c r="E5">
        <v>2</v>
      </c>
      <c r="F5">
        <v>9</v>
      </c>
      <c r="G5" t="s">
        <v>26</v>
      </c>
      <c r="H5">
        <v>16</v>
      </c>
      <c r="I5">
        <v>58</v>
      </c>
      <c r="J5">
        <v>62</v>
      </c>
      <c r="K5">
        <v>4</v>
      </c>
      <c r="L5">
        <v>195</v>
      </c>
      <c r="M5">
        <v>57</v>
      </c>
      <c r="N5">
        <v>1</v>
      </c>
      <c r="O5">
        <v>1.5</v>
      </c>
      <c r="P5">
        <v>12</v>
      </c>
      <c r="Q5">
        <v>1.5</v>
      </c>
      <c r="R5">
        <v>16</v>
      </c>
      <c r="S5">
        <v>1.3333333333333333</v>
      </c>
      <c r="T5">
        <v>2</v>
      </c>
      <c r="U5">
        <v>10.3</v>
      </c>
      <c r="V5">
        <v>5628.2352941176468</v>
      </c>
      <c r="W5">
        <v>2</v>
      </c>
    </row>
    <row r="6" spans="1:23" x14ac:dyDescent="0.2">
      <c r="A6">
        <v>2020</v>
      </c>
      <c r="B6" t="s">
        <v>23</v>
      </c>
      <c r="C6" t="s">
        <v>24</v>
      </c>
      <c r="D6">
        <v>3</v>
      </c>
      <c r="E6">
        <v>1</v>
      </c>
      <c r="F6">
        <v>14</v>
      </c>
      <c r="G6" t="s">
        <v>27</v>
      </c>
      <c r="H6" s="1">
        <v>8</v>
      </c>
      <c r="I6" s="1">
        <v>62</v>
      </c>
      <c r="J6" s="1">
        <v>66</v>
      </c>
      <c r="K6" s="1">
        <f>J6-I6</f>
        <v>4</v>
      </c>
      <c r="L6" s="1">
        <v>110</v>
      </c>
      <c r="M6" s="1">
        <v>35</v>
      </c>
      <c r="N6" s="1">
        <v>2.5</v>
      </c>
      <c r="O6" s="1">
        <v>4.5</v>
      </c>
      <c r="P6" s="1">
        <v>5</v>
      </c>
      <c r="Q6" s="2">
        <v>5.3399999999999996E-2</v>
      </c>
      <c r="R6" s="1">
        <v>4</v>
      </c>
      <c r="S6" s="1">
        <f>R6/P6</f>
        <v>0.8</v>
      </c>
      <c r="T6" s="1">
        <v>5</v>
      </c>
      <c r="U6" s="1">
        <v>12.5</v>
      </c>
      <c r="V6" s="1">
        <v>195.45098039215682</v>
      </c>
      <c r="W6" s="1">
        <v>6</v>
      </c>
    </row>
    <row r="7" spans="1:23" x14ac:dyDescent="0.2">
      <c r="A7">
        <v>2020</v>
      </c>
      <c r="B7" t="s">
        <v>23</v>
      </c>
      <c r="C7" t="s">
        <v>24</v>
      </c>
      <c r="D7">
        <v>3</v>
      </c>
      <c r="E7">
        <v>2</v>
      </c>
      <c r="F7">
        <v>8</v>
      </c>
      <c r="G7" t="s">
        <v>27</v>
      </c>
      <c r="H7" s="1">
        <v>2</v>
      </c>
      <c r="I7" s="1">
        <v>67</v>
      </c>
      <c r="J7" s="1">
        <v>71</v>
      </c>
      <c r="K7" s="1">
        <f>J7-I7</f>
        <v>4</v>
      </c>
      <c r="L7" s="1">
        <v>109</v>
      </c>
      <c r="M7" s="1">
        <v>43</v>
      </c>
      <c r="N7" s="1">
        <v>2</v>
      </c>
      <c r="O7" s="1">
        <v>3.5</v>
      </c>
      <c r="P7" s="1">
        <v>2</v>
      </c>
      <c r="Q7" s="2">
        <v>0.19400000000000001</v>
      </c>
      <c r="R7" s="1">
        <v>2</v>
      </c>
      <c r="S7" s="1">
        <f>R7/P7</f>
        <v>1</v>
      </c>
      <c r="T7" s="1">
        <v>2.5</v>
      </c>
      <c r="U7" s="1">
        <v>12.5</v>
      </c>
      <c r="V7" s="1">
        <v>710.06535947712428</v>
      </c>
      <c r="W7" s="1">
        <v>2</v>
      </c>
    </row>
    <row r="8" spans="1:23" x14ac:dyDescent="0.2">
      <c r="A8">
        <v>2020</v>
      </c>
      <c r="B8" t="s">
        <v>23</v>
      </c>
      <c r="C8" t="s">
        <v>24</v>
      </c>
      <c r="D8">
        <v>4</v>
      </c>
      <c r="E8">
        <v>1</v>
      </c>
      <c r="F8">
        <v>7</v>
      </c>
      <c r="G8" t="s">
        <v>28</v>
      </c>
      <c r="H8" s="1">
        <v>8</v>
      </c>
      <c r="I8" s="1">
        <v>64</v>
      </c>
      <c r="J8" s="1">
        <v>67</v>
      </c>
      <c r="K8" s="1">
        <f>J8-I8</f>
        <v>3</v>
      </c>
      <c r="L8" s="1">
        <v>141</v>
      </c>
      <c r="M8" s="1">
        <v>70</v>
      </c>
      <c r="N8" s="1">
        <v>3</v>
      </c>
      <c r="O8" s="1">
        <v>1</v>
      </c>
      <c r="P8" s="1">
        <v>8</v>
      </c>
      <c r="Q8" s="2">
        <v>5.7375000000000002E-2</v>
      </c>
      <c r="R8" s="1">
        <v>4</v>
      </c>
      <c r="S8" s="1">
        <f>R8/P8</f>
        <v>0.5</v>
      </c>
      <c r="T8" s="1">
        <v>4</v>
      </c>
      <c r="U8" s="1">
        <v>12.5</v>
      </c>
      <c r="V8" s="1">
        <v>210</v>
      </c>
      <c r="W8" s="1">
        <v>2</v>
      </c>
    </row>
    <row r="9" spans="1:23" x14ac:dyDescent="0.2">
      <c r="A9">
        <v>2020</v>
      </c>
      <c r="B9" t="s">
        <v>23</v>
      </c>
      <c r="C9" t="s">
        <v>24</v>
      </c>
      <c r="D9">
        <v>4</v>
      </c>
      <c r="E9">
        <v>2</v>
      </c>
      <c r="F9">
        <v>12</v>
      </c>
      <c r="G9" t="s">
        <v>28</v>
      </c>
      <c r="H9">
        <v>8</v>
      </c>
      <c r="I9">
        <v>55</v>
      </c>
      <c r="J9">
        <v>57</v>
      </c>
      <c r="K9">
        <v>2</v>
      </c>
      <c r="L9">
        <v>135</v>
      </c>
      <c r="M9">
        <v>72</v>
      </c>
      <c r="N9">
        <v>3</v>
      </c>
      <c r="O9">
        <v>3</v>
      </c>
      <c r="P9">
        <v>8</v>
      </c>
      <c r="Q9">
        <v>1.526</v>
      </c>
      <c r="R9">
        <v>10</v>
      </c>
      <c r="S9">
        <v>1.25</v>
      </c>
      <c r="T9">
        <v>2</v>
      </c>
      <c r="U9">
        <v>12.5</v>
      </c>
      <c r="V9">
        <v>5585.3594771241833</v>
      </c>
      <c r="W9">
        <v>2</v>
      </c>
    </row>
    <row r="10" spans="1:23" x14ac:dyDescent="0.2">
      <c r="A10">
        <v>2020</v>
      </c>
      <c r="B10" t="s">
        <v>23</v>
      </c>
      <c r="C10" t="s">
        <v>24</v>
      </c>
      <c r="D10">
        <v>5</v>
      </c>
      <c r="E10">
        <v>1</v>
      </c>
      <c r="F10">
        <v>8</v>
      </c>
      <c r="G10" t="s">
        <v>29</v>
      </c>
      <c r="H10">
        <v>16</v>
      </c>
      <c r="I10">
        <v>50</v>
      </c>
      <c r="J10">
        <v>54</v>
      </c>
      <c r="K10">
        <v>4</v>
      </c>
      <c r="L10">
        <v>141</v>
      </c>
      <c r="M10">
        <v>54</v>
      </c>
      <c r="N10">
        <v>2</v>
      </c>
      <c r="O10">
        <v>2</v>
      </c>
      <c r="P10">
        <v>13</v>
      </c>
      <c r="Q10">
        <v>1.1000000000000001</v>
      </c>
      <c r="R10">
        <v>12</v>
      </c>
      <c r="S10">
        <v>0.92307692307692313</v>
      </c>
      <c r="T10">
        <v>4</v>
      </c>
      <c r="U10">
        <v>9.4</v>
      </c>
      <c r="V10">
        <v>4168.7843137254904</v>
      </c>
      <c r="W10">
        <v>2</v>
      </c>
    </row>
    <row r="11" spans="1:23" x14ac:dyDescent="0.2">
      <c r="A11">
        <v>2020</v>
      </c>
      <c r="B11" t="s">
        <v>23</v>
      </c>
      <c r="C11" t="s">
        <v>24</v>
      </c>
      <c r="D11">
        <v>5</v>
      </c>
      <c r="E11">
        <v>2</v>
      </c>
      <c r="F11">
        <v>9</v>
      </c>
      <c r="G11" t="s">
        <v>29</v>
      </c>
      <c r="H11" s="1">
        <v>10</v>
      </c>
      <c r="I11" s="1">
        <v>63</v>
      </c>
      <c r="J11" s="1">
        <v>68</v>
      </c>
      <c r="K11" s="1">
        <f>J11-I11</f>
        <v>5</v>
      </c>
      <c r="L11" s="1">
        <v>136</v>
      </c>
      <c r="M11" s="1">
        <v>63</v>
      </c>
      <c r="N11" s="1">
        <v>2</v>
      </c>
      <c r="O11" s="1">
        <v>4</v>
      </c>
      <c r="P11" s="1">
        <v>7</v>
      </c>
      <c r="Q11" s="2">
        <v>0.16200000000000001</v>
      </c>
      <c r="R11" s="1">
        <v>7</v>
      </c>
      <c r="S11" s="1">
        <f>R11/P11</f>
        <v>1</v>
      </c>
      <c r="T11" s="1">
        <v>3.5</v>
      </c>
      <c r="U11" s="1">
        <v>12.5</v>
      </c>
      <c r="V11" s="1">
        <v>592.94117647058818</v>
      </c>
      <c r="W11" s="1">
        <v>6</v>
      </c>
    </row>
    <row r="12" spans="1:23" x14ac:dyDescent="0.2">
      <c r="A12">
        <v>2020</v>
      </c>
      <c r="B12" t="s">
        <v>23</v>
      </c>
      <c r="C12" t="s">
        <v>24</v>
      </c>
      <c r="D12">
        <v>6</v>
      </c>
      <c r="E12">
        <v>1</v>
      </c>
      <c r="F12">
        <v>7</v>
      </c>
      <c r="G12" t="s">
        <v>30</v>
      </c>
      <c r="H12" s="1">
        <v>10</v>
      </c>
      <c r="I12" s="1">
        <v>67</v>
      </c>
      <c r="J12" s="1">
        <v>72</v>
      </c>
      <c r="K12" s="1">
        <f>J12-I12</f>
        <v>5</v>
      </c>
      <c r="L12" s="1">
        <v>95</v>
      </c>
      <c r="M12" s="1">
        <v>35</v>
      </c>
      <c r="N12" s="1">
        <v>1.5</v>
      </c>
      <c r="O12" s="1">
        <v>5</v>
      </c>
      <c r="P12" s="1">
        <v>3</v>
      </c>
      <c r="Q12" s="2">
        <v>0.12</v>
      </c>
      <c r="R12" s="1">
        <v>2</v>
      </c>
      <c r="S12" s="1">
        <f>R12/P12</f>
        <v>0.66666666666666663</v>
      </c>
      <c r="T12" s="1">
        <v>5</v>
      </c>
      <c r="U12" s="1">
        <v>12.5</v>
      </c>
      <c r="V12" s="1">
        <v>439.21568627450984</v>
      </c>
      <c r="W12" s="1">
        <v>6</v>
      </c>
    </row>
    <row r="13" spans="1:23" x14ac:dyDescent="0.2">
      <c r="A13">
        <v>2020</v>
      </c>
      <c r="B13" t="s">
        <v>23</v>
      </c>
      <c r="C13" t="s">
        <v>24</v>
      </c>
      <c r="D13">
        <v>6</v>
      </c>
      <c r="E13">
        <v>2</v>
      </c>
      <c r="F13">
        <v>12</v>
      </c>
      <c r="G13" t="s">
        <v>30</v>
      </c>
      <c r="H13" s="1">
        <v>4</v>
      </c>
      <c r="I13" s="1">
        <v>64</v>
      </c>
      <c r="J13" s="1">
        <v>68</v>
      </c>
      <c r="K13" s="1">
        <f>J13-I13</f>
        <v>4</v>
      </c>
      <c r="L13" s="1">
        <v>127</v>
      </c>
      <c r="M13" s="1">
        <v>51</v>
      </c>
      <c r="N13" s="1">
        <v>2</v>
      </c>
      <c r="O13" s="1">
        <v>4.5</v>
      </c>
      <c r="P13" s="1">
        <v>4</v>
      </c>
      <c r="Q13" s="2">
        <v>8.1000000000000003E-2</v>
      </c>
      <c r="R13" s="1">
        <v>4</v>
      </c>
      <c r="S13" s="1">
        <f>R13/P13</f>
        <v>1</v>
      </c>
      <c r="T13" s="1">
        <v>5</v>
      </c>
      <c r="U13" s="1">
        <v>12.5</v>
      </c>
      <c r="V13" s="1">
        <v>296.47058823529409</v>
      </c>
      <c r="W13" s="1">
        <v>5</v>
      </c>
    </row>
    <row r="14" spans="1:23" x14ac:dyDescent="0.2">
      <c r="A14">
        <v>2020</v>
      </c>
      <c r="B14" t="s">
        <v>23</v>
      </c>
      <c r="C14" t="s">
        <v>24</v>
      </c>
      <c r="D14">
        <v>7</v>
      </c>
      <c r="E14">
        <v>1</v>
      </c>
      <c r="F14">
        <v>4</v>
      </c>
      <c r="G14" t="s">
        <v>31</v>
      </c>
      <c r="H14">
        <v>16</v>
      </c>
      <c r="I14">
        <v>57</v>
      </c>
      <c r="J14">
        <v>58</v>
      </c>
      <c r="K14">
        <v>1</v>
      </c>
      <c r="L14">
        <v>185</v>
      </c>
      <c r="M14">
        <v>61</v>
      </c>
      <c r="N14">
        <v>1</v>
      </c>
      <c r="O14">
        <v>2</v>
      </c>
      <c r="P14">
        <v>14</v>
      </c>
      <c r="Q14">
        <v>0.8</v>
      </c>
      <c r="R14">
        <v>9</v>
      </c>
      <c r="S14">
        <v>0.6428571428571429</v>
      </c>
      <c r="T14">
        <v>2</v>
      </c>
      <c r="U14">
        <v>9.5</v>
      </c>
      <c r="V14">
        <v>3028.4967320261439</v>
      </c>
      <c r="W14">
        <v>2</v>
      </c>
    </row>
    <row r="15" spans="1:23" x14ac:dyDescent="0.2">
      <c r="A15">
        <v>2020</v>
      </c>
      <c r="B15" t="s">
        <v>23</v>
      </c>
      <c r="C15" t="s">
        <v>24</v>
      </c>
      <c r="D15">
        <v>7</v>
      </c>
      <c r="E15">
        <v>2</v>
      </c>
      <c r="F15">
        <v>14</v>
      </c>
      <c r="G15" t="s">
        <v>31</v>
      </c>
      <c r="H15">
        <v>4</v>
      </c>
      <c r="I15">
        <v>59</v>
      </c>
      <c r="J15">
        <v>62</v>
      </c>
      <c r="K15">
        <v>3</v>
      </c>
      <c r="L15">
        <v>167</v>
      </c>
      <c r="M15">
        <v>90</v>
      </c>
      <c r="N15">
        <v>1.5</v>
      </c>
      <c r="O15">
        <v>2</v>
      </c>
      <c r="P15">
        <v>4</v>
      </c>
      <c r="Q15">
        <v>0.5</v>
      </c>
      <c r="R15">
        <v>4</v>
      </c>
      <c r="S15">
        <v>1</v>
      </c>
      <c r="T15">
        <v>2.5</v>
      </c>
      <c r="U15">
        <v>12.5</v>
      </c>
      <c r="V15">
        <v>1830.0653594771243</v>
      </c>
      <c r="W15">
        <v>1</v>
      </c>
    </row>
    <row r="16" spans="1:23" x14ac:dyDescent="0.2">
      <c r="A16">
        <v>2020</v>
      </c>
      <c r="B16" t="s">
        <v>23</v>
      </c>
      <c r="C16" t="s">
        <v>24</v>
      </c>
      <c r="D16">
        <v>8</v>
      </c>
      <c r="E16">
        <v>1</v>
      </c>
      <c r="F16">
        <v>2</v>
      </c>
      <c r="G16" t="s">
        <v>32</v>
      </c>
      <c r="H16" s="1">
        <v>7</v>
      </c>
      <c r="I16" s="1">
        <v>57</v>
      </c>
      <c r="J16" s="1">
        <v>61</v>
      </c>
      <c r="K16" s="1">
        <f>J16-I16</f>
        <v>4</v>
      </c>
      <c r="L16" s="1">
        <v>128</v>
      </c>
      <c r="M16" s="1">
        <v>72</v>
      </c>
      <c r="N16" s="1">
        <v>2</v>
      </c>
      <c r="O16" s="1">
        <v>3.5</v>
      </c>
      <c r="P16" s="1">
        <v>7</v>
      </c>
      <c r="Q16" s="2">
        <v>0.11855999999999998</v>
      </c>
      <c r="R16" s="1">
        <v>2</v>
      </c>
      <c r="S16" s="1">
        <f>R16/P16</f>
        <v>0.2857142857142857</v>
      </c>
      <c r="T16" s="1">
        <v>5</v>
      </c>
      <c r="U16" s="1">
        <v>8.4</v>
      </c>
      <c r="V16" s="1">
        <v>454.27852549019605</v>
      </c>
      <c r="W16" s="1">
        <v>2</v>
      </c>
    </row>
    <row r="17" spans="1:23" x14ac:dyDescent="0.2">
      <c r="A17">
        <v>2020</v>
      </c>
      <c r="B17" t="s">
        <v>23</v>
      </c>
      <c r="C17" t="s">
        <v>24</v>
      </c>
      <c r="D17">
        <v>8</v>
      </c>
      <c r="E17">
        <v>2</v>
      </c>
      <c r="F17">
        <v>11</v>
      </c>
      <c r="G17" t="s">
        <v>32</v>
      </c>
      <c r="H17">
        <v>14</v>
      </c>
      <c r="I17">
        <v>58</v>
      </c>
      <c r="J17">
        <v>60</v>
      </c>
      <c r="K17">
        <v>2</v>
      </c>
      <c r="L17">
        <v>147</v>
      </c>
      <c r="M17">
        <v>54</v>
      </c>
      <c r="N17">
        <v>2</v>
      </c>
      <c r="O17">
        <v>2</v>
      </c>
      <c r="P17">
        <v>13</v>
      </c>
      <c r="Q17">
        <v>0.5</v>
      </c>
      <c r="R17">
        <v>10</v>
      </c>
      <c r="S17">
        <v>0.76923076923076927</v>
      </c>
      <c r="T17">
        <v>1</v>
      </c>
      <c r="U17">
        <v>10.4</v>
      </c>
      <c r="V17">
        <v>1873.9869281045749</v>
      </c>
      <c r="W17">
        <v>1</v>
      </c>
    </row>
    <row r="18" spans="1:23" x14ac:dyDescent="0.2">
      <c r="A18">
        <v>2020</v>
      </c>
      <c r="B18" t="s">
        <v>23</v>
      </c>
      <c r="C18" t="s">
        <v>24</v>
      </c>
      <c r="D18">
        <v>9</v>
      </c>
      <c r="E18">
        <v>1</v>
      </c>
      <c r="F18">
        <v>5</v>
      </c>
      <c r="G18" t="s">
        <v>33</v>
      </c>
      <c r="H18">
        <v>16</v>
      </c>
      <c r="I18">
        <v>55</v>
      </c>
      <c r="J18">
        <v>57</v>
      </c>
      <c r="K18">
        <v>2</v>
      </c>
      <c r="L18">
        <v>144</v>
      </c>
      <c r="M18">
        <v>80</v>
      </c>
      <c r="N18">
        <v>2</v>
      </c>
      <c r="O18">
        <v>1.5</v>
      </c>
      <c r="P18">
        <v>10</v>
      </c>
      <c r="Q18">
        <v>1</v>
      </c>
      <c r="R18">
        <v>9</v>
      </c>
      <c r="S18">
        <v>0.9</v>
      </c>
      <c r="T18">
        <v>2</v>
      </c>
      <c r="U18">
        <v>11.1</v>
      </c>
      <c r="V18">
        <v>3718.6928104575168</v>
      </c>
      <c r="W18">
        <v>2</v>
      </c>
    </row>
    <row r="19" spans="1:23" x14ac:dyDescent="0.2">
      <c r="A19">
        <v>2020</v>
      </c>
      <c r="B19" t="s">
        <v>23</v>
      </c>
      <c r="C19" t="s">
        <v>24</v>
      </c>
      <c r="D19">
        <v>9</v>
      </c>
      <c r="E19">
        <v>2</v>
      </c>
      <c r="F19">
        <v>9</v>
      </c>
      <c r="G19" t="s">
        <v>33</v>
      </c>
      <c r="H19">
        <v>6</v>
      </c>
      <c r="I19">
        <v>58</v>
      </c>
      <c r="J19">
        <v>60</v>
      </c>
      <c r="K19">
        <v>2</v>
      </c>
      <c r="L19">
        <v>104</v>
      </c>
      <c r="M19">
        <v>22</v>
      </c>
      <c r="N19">
        <v>2</v>
      </c>
      <c r="O19">
        <v>3</v>
      </c>
      <c r="P19">
        <v>6</v>
      </c>
      <c r="Q19">
        <v>0.6</v>
      </c>
      <c r="R19">
        <v>5</v>
      </c>
      <c r="S19">
        <v>0.83333333333333337</v>
      </c>
      <c r="T19">
        <v>2.5</v>
      </c>
      <c r="U19">
        <v>12.5</v>
      </c>
      <c r="V19">
        <v>2196.0784313725489</v>
      </c>
      <c r="W19">
        <v>1</v>
      </c>
    </row>
    <row r="20" spans="1:23" x14ac:dyDescent="0.2">
      <c r="A20">
        <v>2020</v>
      </c>
      <c r="B20" t="s">
        <v>23</v>
      </c>
      <c r="C20" t="s">
        <v>24</v>
      </c>
      <c r="D20">
        <v>10</v>
      </c>
      <c r="E20">
        <v>1</v>
      </c>
      <c r="F20">
        <v>5</v>
      </c>
      <c r="G20" t="s">
        <v>34</v>
      </c>
      <c r="H20" s="3">
        <v>16</v>
      </c>
      <c r="I20" s="3">
        <v>66</v>
      </c>
      <c r="J20" s="3">
        <v>70</v>
      </c>
      <c r="K20" s="3">
        <f>J20-I20</f>
        <v>4</v>
      </c>
      <c r="L20" s="3">
        <v>139</v>
      </c>
      <c r="M20" s="3">
        <v>83</v>
      </c>
      <c r="N20" s="3">
        <v>2</v>
      </c>
      <c r="O20" s="3">
        <v>3</v>
      </c>
      <c r="P20" s="3">
        <v>16</v>
      </c>
      <c r="Q20" s="4">
        <v>0.54</v>
      </c>
      <c r="R20" s="3">
        <v>12</v>
      </c>
      <c r="S20" s="3">
        <f>R20/P20</f>
        <v>0.75</v>
      </c>
      <c r="T20" s="3">
        <v>2</v>
      </c>
      <c r="U20" s="3">
        <v>12.5</v>
      </c>
      <c r="V20" s="3">
        <v>1976.4705882352941</v>
      </c>
      <c r="W20" s="3">
        <v>2</v>
      </c>
    </row>
    <row r="21" spans="1:23" x14ac:dyDescent="0.2">
      <c r="A21">
        <v>2020</v>
      </c>
      <c r="B21" t="s">
        <v>23</v>
      </c>
      <c r="C21" t="s">
        <v>24</v>
      </c>
      <c r="D21">
        <v>10</v>
      </c>
      <c r="E21">
        <v>2</v>
      </c>
      <c r="F21">
        <v>9</v>
      </c>
      <c r="G21" t="s">
        <v>34</v>
      </c>
      <c r="H21">
        <v>10</v>
      </c>
      <c r="I21">
        <v>62</v>
      </c>
      <c r="J21">
        <v>65</v>
      </c>
      <c r="K21">
        <v>3</v>
      </c>
      <c r="L21">
        <v>155</v>
      </c>
      <c r="M21">
        <v>90</v>
      </c>
      <c r="N21">
        <v>1.5</v>
      </c>
      <c r="O21">
        <v>3.5</v>
      </c>
      <c r="P21">
        <v>10</v>
      </c>
      <c r="Q21">
        <v>1</v>
      </c>
      <c r="R21">
        <v>10</v>
      </c>
      <c r="S21">
        <v>1</v>
      </c>
      <c r="T21">
        <v>3.5</v>
      </c>
      <c r="U21">
        <v>12.5</v>
      </c>
      <c r="V21">
        <v>3660.1307189542486</v>
      </c>
      <c r="W21">
        <v>1</v>
      </c>
    </row>
    <row r="22" spans="1:23" x14ac:dyDescent="0.2">
      <c r="A22">
        <v>2020</v>
      </c>
      <c r="B22" t="s">
        <v>23</v>
      </c>
      <c r="C22" t="s">
        <v>24</v>
      </c>
      <c r="D22">
        <v>11</v>
      </c>
      <c r="E22">
        <v>1</v>
      </c>
      <c r="F22">
        <v>2</v>
      </c>
      <c r="G22" t="s">
        <v>35</v>
      </c>
      <c r="H22">
        <v>6</v>
      </c>
      <c r="I22">
        <v>56</v>
      </c>
      <c r="J22">
        <v>58</v>
      </c>
      <c r="K22">
        <v>2</v>
      </c>
      <c r="L22">
        <v>62</v>
      </c>
      <c r="M22">
        <v>25</v>
      </c>
      <c r="N22">
        <v>3</v>
      </c>
      <c r="O22">
        <v>3</v>
      </c>
      <c r="P22">
        <v>6</v>
      </c>
      <c r="Q22">
        <v>0.84499999999999997</v>
      </c>
      <c r="R22">
        <v>6</v>
      </c>
      <c r="S22">
        <v>1</v>
      </c>
      <c r="T22">
        <v>3</v>
      </c>
      <c r="U22">
        <v>12.5</v>
      </c>
      <c r="V22">
        <v>3092.8104575163397</v>
      </c>
      <c r="W22">
        <v>1</v>
      </c>
    </row>
    <row r="23" spans="1:23" x14ac:dyDescent="0.2">
      <c r="A23">
        <v>2020</v>
      </c>
      <c r="B23" t="s">
        <v>23</v>
      </c>
      <c r="C23" t="s">
        <v>24</v>
      </c>
      <c r="D23">
        <v>11</v>
      </c>
      <c r="E23">
        <v>2</v>
      </c>
      <c r="F23">
        <v>12</v>
      </c>
      <c r="G23" t="s">
        <v>35</v>
      </c>
      <c r="H23" s="1">
        <v>13</v>
      </c>
      <c r="I23" s="1">
        <v>64</v>
      </c>
      <c r="J23" s="1">
        <v>70</v>
      </c>
      <c r="K23" s="1">
        <f>J23-I23</f>
        <v>6</v>
      </c>
      <c r="L23" s="1">
        <v>93</v>
      </c>
      <c r="M23" s="1">
        <v>51</v>
      </c>
      <c r="N23" s="1">
        <v>2</v>
      </c>
      <c r="O23" s="1">
        <v>4.5</v>
      </c>
      <c r="P23" s="1">
        <v>8</v>
      </c>
      <c r="Q23" s="2">
        <v>0.152</v>
      </c>
      <c r="R23" s="1">
        <v>7</v>
      </c>
      <c r="S23" s="1">
        <f>R23/P23</f>
        <v>0.875</v>
      </c>
      <c r="T23" s="1">
        <v>4</v>
      </c>
      <c r="U23" s="1">
        <v>12.5</v>
      </c>
      <c r="V23" s="1">
        <v>556.33986928104571</v>
      </c>
      <c r="W23" s="1">
        <v>4</v>
      </c>
    </row>
    <row r="24" spans="1:23" x14ac:dyDescent="0.2">
      <c r="A24">
        <v>2020</v>
      </c>
      <c r="B24" t="s">
        <v>23</v>
      </c>
      <c r="C24" t="s">
        <v>24</v>
      </c>
      <c r="D24">
        <v>12</v>
      </c>
      <c r="E24">
        <v>1</v>
      </c>
      <c r="F24">
        <v>14</v>
      </c>
      <c r="G24" t="s">
        <v>36</v>
      </c>
      <c r="H24" s="1">
        <v>1</v>
      </c>
      <c r="I24" s="1">
        <v>64</v>
      </c>
      <c r="J24" s="1">
        <v>69</v>
      </c>
      <c r="K24" s="1">
        <f>J24-I24</f>
        <v>5</v>
      </c>
      <c r="L24" s="1">
        <v>32</v>
      </c>
      <c r="M24" s="1">
        <v>70</v>
      </c>
      <c r="N24" s="1">
        <v>1</v>
      </c>
      <c r="O24" s="1">
        <v>2.5</v>
      </c>
      <c r="P24" s="1">
        <v>1</v>
      </c>
      <c r="Q24" s="2">
        <v>4.9500000000000002E-2</v>
      </c>
      <c r="R24" s="1">
        <v>1</v>
      </c>
      <c r="S24" s="1">
        <f>R24/P24</f>
        <v>1</v>
      </c>
      <c r="T24" s="1">
        <v>2</v>
      </c>
      <c r="U24" s="1">
        <v>12.5</v>
      </c>
      <c r="V24" s="1">
        <v>181.17647058823528</v>
      </c>
      <c r="W24" s="1">
        <v>3</v>
      </c>
    </row>
    <row r="25" spans="1:23" x14ac:dyDescent="0.2">
      <c r="A25">
        <v>2020</v>
      </c>
      <c r="B25" t="s">
        <v>23</v>
      </c>
      <c r="C25" t="s">
        <v>24</v>
      </c>
      <c r="D25">
        <v>12</v>
      </c>
      <c r="E25">
        <v>2</v>
      </c>
      <c r="F25">
        <v>5</v>
      </c>
      <c r="G25" t="s">
        <v>36</v>
      </c>
      <c r="H25" s="1">
        <v>5</v>
      </c>
      <c r="I25" s="1">
        <v>65</v>
      </c>
      <c r="J25" s="1">
        <v>70</v>
      </c>
      <c r="K25" s="1">
        <f>J25-I25</f>
        <v>5</v>
      </c>
      <c r="L25" s="1">
        <v>106</v>
      </c>
      <c r="M25" s="1">
        <v>45</v>
      </c>
      <c r="N25" s="1">
        <v>2</v>
      </c>
      <c r="O25" s="1">
        <v>4.5</v>
      </c>
      <c r="P25" s="1">
        <v>3</v>
      </c>
      <c r="Q25" s="2">
        <v>5.1999999999999998E-2</v>
      </c>
      <c r="R25" s="1">
        <v>1</v>
      </c>
      <c r="S25" s="1">
        <f>R25/P25</f>
        <v>0.33333333333333331</v>
      </c>
      <c r="T25" s="1">
        <v>5</v>
      </c>
      <c r="U25" s="1">
        <v>12.5</v>
      </c>
      <c r="V25" s="1">
        <v>190.32679738562092</v>
      </c>
      <c r="W25" s="1">
        <v>5</v>
      </c>
    </row>
    <row r="26" spans="1:23" x14ac:dyDescent="0.2">
      <c r="A26">
        <v>2020</v>
      </c>
      <c r="B26" t="s">
        <v>23</v>
      </c>
      <c r="C26" t="s">
        <v>24</v>
      </c>
      <c r="D26">
        <v>13</v>
      </c>
      <c r="E26">
        <v>1</v>
      </c>
      <c r="F26">
        <v>11</v>
      </c>
      <c r="G26" t="s">
        <v>37</v>
      </c>
      <c r="H26" s="1">
        <v>10</v>
      </c>
      <c r="I26" s="1">
        <v>68</v>
      </c>
      <c r="J26" s="1">
        <v>71</v>
      </c>
      <c r="K26" s="1">
        <f>J26-I26</f>
        <v>3</v>
      </c>
      <c r="L26" s="1">
        <v>148</v>
      </c>
      <c r="M26" s="1">
        <v>43</v>
      </c>
      <c r="N26" s="1">
        <v>3</v>
      </c>
      <c r="O26" s="1">
        <v>4</v>
      </c>
      <c r="P26" s="1">
        <v>5</v>
      </c>
      <c r="Q26" s="2">
        <v>0.183</v>
      </c>
      <c r="R26" s="1">
        <v>8</v>
      </c>
      <c r="S26" s="1">
        <f>R26/P26</f>
        <v>1.6</v>
      </c>
      <c r="T26" s="1">
        <v>5</v>
      </c>
      <c r="U26" s="1">
        <v>12.5</v>
      </c>
      <c r="V26" s="1">
        <v>669.8039215686274</v>
      </c>
      <c r="W26" s="1">
        <v>5</v>
      </c>
    </row>
    <row r="27" spans="1:23" x14ac:dyDescent="0.2">
      <c r="A27">
        <v>2020</v>
      </c>
      <c r="B27" t="s">
        <v>23</v>
      </c>
      <c r="C27" t="s">
        <v>24</v>
      </c>
      <c r="D27">
        <v>13</v>
      </c>
      <c r="E27">
        <v>2</v>
      </c>
      <c r="F27">
        <v>14</v>
      </c>
      <c r="G27" t="s">
        <v>37</v>
      </c>
      <c r="H27">
        <v>3</v>
      </c>
      <c r="I27">
        <v>59</v>
      </c>
      <c r="J27">
        <v>62</v>
      </c>
      <c r="K27">
        <v>3</v>
      </c>
      <c r="L27">
        <v>84</v>
      </c>
      <c r="M27">
        <v>50</v>
      </c>
      <c r="N27">
        <v>1.5</v>
      </c>
      <c r="O27">
        <v>2</v>
      </c>
      <c r="P27">
        <v>3</v>
      </c>
      <c r="Q27">
        <v>0.1</v>
      </c>
      <c r="R27">
        <v>3</v>
      </c>
      <c r="S27">
        <v>1</v>
      </c>
      <c r="T27">
        <v>2.5</v>
      </c>
      <c r="U27">
        <v>12.5</v>
      </c>
      <c r="V27">
        <v>366.01307189542484</v>
      </c>
      <c r="W27">
        <v>2</v>
      </c>
    </row>
    <row r="28" spans="1:23" x14ac:dyDescent="0.2">
      <c r="A28">
        <v>2020</v>
      </c>
      <c r="B28" t="s">
        <v>23</v>
      </c>
      <c r="C28" t="s">
        <v>24</v>
      </c>
      <c r="D28">
        <v>14</v>
      </c>
      <c r="E28">
        <v>1</v>
      </c>
      <c r="F28">
        <v>3</v>
      </c>
      <c r="G28" t="s">
        <v>38</v>
      </c>
      <c r="H28" s="1">
        <v>8</v>
      </c>
      <c r="I28" s="1">
        <v>67</v>
      </c>
      <c r="J28" s="1">
        <v>70</v>
      </c>
      <c r="K28" s="1">
        <f>J28-I28</f>
        <v>3</v>
      </c>
      <c r="L28" s="1">
        <v>136</v>
      </c>
      <c r="M28" s="1">
        <v>55</v>
      </c>
      <c r="N28" s="1">
        <v>2</v>
      </c>
      <c r="O28" s="1">
        <v>4.5</v>
      </c>
      <c r="P28" s="1">
        <v>4</v>
      </c>
      <c r="Q28" s="2">
        <v>0.216</v>
      </c>
      <c r="R28" s="1">
        <v>4</v>
      </c>
      <c r="S28" s="1">
        <f>R28/P28</f>
        <v>1</v>
      </c>
      <c r="T28" s="1">
        <v>3.5</v>
      </c>
      <c r="U28" s="1">
        <v>12.5</v>
      </c>
      <c r="V28" s="1">
        <v>790.58823529411757</v>
      </c>
      <c r="W28" s="1">
        <v>5</v>
      </c>
    </row>
    <row r="29" spans="1:23" x14ac:dyDescent="0.2">
      <c r="A29">
        <v>2020</v>
      </c>
      <c r="B29" t="s">
        <v>23</v>
      </c>
      <c r="C29" t="s">
        <v>24</v>
      </c>
      <c r="D29">
        <v>14</v>
      </c>
      <c r="E29">
        <v>2</v>
      </c>
      <c r="F29">
        <v>2</v>
      </c>
      <c r="G29" t="s">
        <v>38</v>
      </c>
      <c r="H29" s="1">
        <v>11</v>
      </c>
      <c r="I29" s="1">
        <v>64</v>
      </c>
      <c r="J29" s="1">
        <v>68</v>
      </c>
      <c r="K29" s="1">
        <f>J29-I29</f>
        <v>4</v>
      </c>
      <c r="L29" s="1">
        <v>155</v>
      </c>
      <c r="M29" s="1">
        <v>93</v>
      </c>
      <c r="N29" s="1">
        <v>2</v>
      </c>
      <c r="O29" s="1">
        <v>2.5</v>
      </c>
      <c r="P29" s="1">
        <v>10</v>
      </c>
      <c r="Q29" s="2">
        <v>0.20884499999999998</v>
      </c>
      <c r="R29" s="1">
        <v>9</v>
      </c>
      <c r="S29" s="1">
        <f>R29/P29</f>
        <v>0.9</v>
      </c>
      <c r="T29" s="1">
        <v>5</v>
      </c>
      <c r="U29" s="1">
        <v>12.5</v>
      </c>
      <c r="V29" s="1">
        <v>764.40000000000009</v>
      </c>
      <c r="W29" s="1">
        <v>4</v>
      </c>
    </row>
    <row r="30" spans="1:23" x14ac:dyDescent="0.2">
      <c r="A30">
        <v>2020</v>
      </c>
      <c r="B30" t="s">
        <v>23</v>
      </c>
      <c r="C30" t="s">
        <v>24</v>
      </c>
      <c r="D30">
        <v>15</v>
      </c>
      <c r="E30">
        <v>1</v>
      </c>
      <c r="F30">
        <v>2</v>
      </c>
      <c r="G30" t="s">
        <v>39</v>
      </c>
      <c r="H30" s="1">
        <v>6</v>
      </c>
      <c r="I30" s="1">
        <v>67</v>
      </c>
      <c r="J30" s="1">
        <v>70</v>
      </c>
      <c r="K30" s="1">
        <f>J30-I30</f>
        <v>3</v>
      </c>
      <c r="L30" s="1">
        <v>91</v>
      </c>
      <c r="M30" s="1">
        <v>32</v>
      </c>
      <c r="N30" s="1">
        <v>2</v>
      </c>
      <c r="O30" s="1">
        <v>3.5</v>
      </c>
      <c r="P30" s="1">
        <v>6</v>
      </c>
      <c r="Q30" s="2">
        <v>0.62</v>
      </c>
      <c r="R30" s="1">
        <v>5</v>
      </c>
      <c r="S30" s="1">
        <f>R30/P30</f>
        <v>0.83333333333333337</v>
      </c>
      <c r="T30" s="1">
        <v>2.5</v>
      </c>
      <c r="U30" s="1">
        <v>12.5</v>
      </c>
      <c r="V30" s="1">
        <v>2269.2810457516339</v>
      </c>
      <c r="W30" s="1">
        <v>4</v>
      </c>
    </row>
    <row r="31" spans="1:23" x14ac:dyDescent="0.2">
      <c r="A31">
        <v>2020</v>
      </c>
      <c r="B31" t="s">
        <v>23</v>
      </c>
      <c r="C31" t="s">
        <v>24</v>
      </c>
      <c r="D31">
        <v>15</v>
      </c>
      <c r="E31">
        <v>2</v>
      </c>
      <c r="F31">
        <v>1</v>
      </c>
      <c r="G31" t="s">
        <v>39</v>
      </c>
      <c r="H31" s="1">
        <v>4</v>
      </c>
      <c r="I31" s="1">
        <v>60</v>
      </c>
      <c r="J31" s="1">
        <v>63</v>
      </c>
      <c r="K31" s="1">
        <f>J31-I31</f>
        <v>3</v>
      </c>
      <c r="L31" s="1">
        <v>185</v>
      </c>
      <c r="M31" s="1">
        <v>90</v>
      </c>
      <c r="N31" s="1">
        <v>2</v>
      </c>
      <c r="O31" s="1">
        <v>2.5</v>
      </c>
      <c r="P31" s="1">
        <v>3</v>
      </c>
      <c r="Q31" s="2">
        <v>0.35339999999999999</v>
      </c>
      <c r="R31" s="1">
        <v>3</v>
      </c>
      <c r="S31" s="1">
        <f>R31/P31</f>
        <v>1</v>
      </c>
      <c r="T31" s="1">
        <v>5</v>
      </c>
      <c r="U31" s="1">
        <v>8.1999999999999993</v>
      </c>
      <c r="V31" s="1">
        <v>1357.0559999999998</v>
      </c>
      <c r="W31" s="1">
        <v>3</v>
      </c>
    </row>
    <row r="32" spans="1:23" x14ac:dyDescent="0.2">
      <c r="A32">
        <v>2020</v>
      </c>
      <c r="B32" t="s">
        <v>23</v>
      </c>
      <c r="C32" t="s">
        <v>24</v>
      </c>
      <c r="D32">
        <v>16</v>
      </c>
      <c r="E32">
        <v>1</v>
      </c>
      <c r="F32">
        <v>11</v>
      </c>
      <c r="G32" t="s">
        <v>40</v>
      </c>
      <c r="H32">
        <v>5</v>
      </c>
      <c r="I32">
        <v>57</v>
      </c>
      <c r="J32">
        <v>59</v>
      </c>
      <c r="K32">
        <v>2</v>
      </c>
      <c r="L32">
        <v>59</v>
      </c>
      <c r="M32">
        <v>23</v>
      </c>
      <c r="N32">
        <v>3</v>
      </c>
      <c r="O32">
        <v>3</v>
      </c>
      <c r="P32">
        <v>3</v>
      </c>
      <c r="Q32">
        <v>0.16200000000000001</v>
      </c>
      <c r="R32">
        <v>3</v>
      </c>
      <c r="S32">
        <v>1</v>
      </c>
      <c r="T32">
        <v>4</v>
      </c>
      <c r="U32">
        <v>12.5</v>
      </c>
      <c r="V32">
        <v>592.94117647058818</v>
      </c>
      <c r="W32">
        <v>1</v>
      </c>
    </row>
    <row r="33" spans="1:23" x14ac:dyDescent="0.2">
      <c r="A33">
        <v>2020</v>
      </c>
      <c r="B33" t="s">
        <v>23</v>
      </c>
      <c r="C33" t="s">
        <v>24</v>
      </c>
      <c r="D33">
        <v>16</v>
      </c>
      <c r="E33">
        <v>2</v>
      </c>
      <c r="F33">
        <v>3</v>
      </c>
      <c r="G33" t="s">
        <v>40</v>
      </c>
      <c r="H33" s="1">
        <v>8</v>
      </c>
      <c r="I33" s="1">
        <v>61</v>
      </c>
      <c r="J33" s="1">
        <v>64</v>
      </c>
      <c r="K33" s="1">
        <f>J33-I33</f>
        <v>3</v>
      </c>
      <c r="L33" s="1">
        <v>95</v>
      </c>
      <c r="M33" s="1">
        <v>25</v>
      </c>
      <c r="N33" s="1">
        <v>2</v>
      </c>
      <c r="O33" s="1">
        <v>4.5</v>
      </c>
      <c r="P33" s="1">
        <v>1</v>
      </c>
      <c r="Q33" s="2">
        <v>3.875E-2</v>
      </c>
      <c r="R33" s="1">
        <v>1</v>
      </c>
      <c r="S33" s="1">
        <f>R33/P33</f>
        <v>1</v>
      </c>
      <c r="T33" s="1">
        <v>5</v>
      </c>
      <c r="U33" s="1">
        <v>12.5</v>
      </c>
      <c r="V33" s="1">
        <v>141.83006535947712</v>
      </c>
      <c r="W33" s="1">
        <v>6</v>
      </c>
    </row>
    <row r="34" spans="1:23" x14ac:dyDescent="0.2">
      <c r="A34">
        <v>2020</v>
      </c>
      <c r="B34" t="s">
        <v>23</v>
      </c>
      <c r="C34" t="s">
        <v>24</v>
      </c>
      <c r="D34">
        <v>17</v>
      </c>
      <c r="E34">
        <v>1</v>
      </c>
      <c r="F34">
        <v>10</v>
      </c>
      <c r="G34" t="s">
        <v>41</v>
      </c>
      <c r="H34" s="1">
        <v>8</v>
      </c>
      <c r="I34" s="1">
        <v>70</v>
      </c>
      <c r="J34" s="1">
        <v>71</v>
      </c>
      <c r="K34" s="1">
        <f>J34-I34</f>
        <v>1</v>
      </c>
      <c r="L34" s="1">
        <v>125</v>
      </c>
      <c r="M34" s="1">
        <v>46</v>
      </c>
      <c r="N34" s="1">
        <v>4</v>
      </c>
      <c r="O34" s="1">
        <v>5</v>
      </c>
      <c r="P34" s="1">
        <v>1</v>
      </c>
      <c r="Q34" s="2">
        <v>3.5999999999999997E-2</v>
      </c>
      <c r="R34" s="1">
        <v>1</v>
      </c>
      <c r="S34" s="1">
        <f>R34/P34</f>
        <v>1</v>
      </c>
      <c r="T34" s="1">
        <v>5</v>
      </c>
      <c r="U34" s="1">
        <v>12.5</v>
      </c>
      <c r="V34" s="1">
        <v>131.76470588235296</v>
      </c>
      <c r="W34" s="1">
        <v>6</v>
      </c>
    </row>
    <row r="35" spans="1:23" x14ac:dyDescent="0.2">
      <c r="A35">
        <v>2020</v>
      </c>
      <c r="B35" t="s">
        <v>23</v>
      </c>
      <c r="C35" t="s">
        <v>24</v>
      </c>
      <c r="D35">
        <v>17</v>
      </c>
      <c r="E35">
        <v>2</v>
      </c>
      <c r="F35">
        <v>2</v>
      </c>
      <c r="G35" t="s">
        <v>41</v>
      </c>
      <c r="H35" s="1">
        <v>7</v>
      </c>
      <c r="I35" s="1">
        <v>64</v>
      </c>
      <c r="J35" s="1">
        <v>67</v>
      </c>
      <c r="K35" s="1">
        <f>J35-I35</f>
        <v>3</v>
      </c>
      <c r="L35" s="1">
        <v>197</v>
      </c>
      <c r="M35" s="1">
        <v>75</v>
      </c>
      <c r="N35" s="1">
        <v>2</v>
      </c>
      <c r="O35" s="1">
        <v>2</v>
      </c>
      <c r="P35" s="1">
        <v>7</v>
      </c>
      <c r="Q35" s="2">
        <v>0.17097500000000002</v>
      </c>
      <c r="R35" s="1">
        <v>5</v>
      </c>
      <c r="S35" s="1">
        <f>R35/P35</f>
        <v>0.7142857142857143</v>
      </c>
      <c r="T35" s="1">
        <v>5</v>
      </c>
      <c r="U35" s="1">
        <v>12.5</v>
      </c>
      <c r="V35" s="1">
        <v>625.79084967320262</v>
      </c>
      <c r="W35" s="1">
        <v>4</v>
      </c>
    </row>
    <row r="36" spans="1:23" x14ac:dyDescent="0.2">
      <c r="A36">
        <v>2020</v>
      </c>
      <c r="B36" t="s">
        <v>23</v>
      </c>
      <c r="C36" t="s">
        <v>24</v>
      </c>
      <c r="D36">
        <v>18</v>
      </c>
      <c r="E36">
        <v>1</v>
      </c>
      <c r="F36">
        <v>13</v>
      </c>
      <c r="G36" t="s">
        <v>42</v>
      </c>
      <c r="H36">
        <v>8</v>
      </c>
      <c r="I36">
        <v>63</v>
      </c>
      <c r="J36">
        <v>69</v>
      </c>
      <c r="K36">
        <v>6</v>
      </c>
      <c r="L36">
        <v>115</v>
      </c>
      <c r="M36">
        <v>37</v>
      </c>
      <c r="N36">
        <v>4</v>
      </c>
      <c r="O36">
        <v>5</v>
      </c>
      <c r="P36">
        <v>7</v>
      </c>
      <c r="Q36">
        <v>0.13300000000000001</v>
      </c>
      <c r="R36">
        <v>2</v>
      </c>
      <c r="S36">
        <v>0.2857142857142857</v>
      </c>
      <c r="T36">
        <v>4</v>
      </c>
      <c r="U36">
        <v>12.5</v>
      </c>
      <c r="V36">
        <v>486.79738562091512</v>
      </c>
      <c r="W36">
        <v>1</v>
      </c>
    </row>
    <row r="37" spans="1:23" x14ac:dyDescent="0.2">
      <c r="A37">
        <v>2020</v>
      </c>
      <c r="B37" t="s">
        <v>23</v>
      </c>
      <c r="C37" t="s">
        <v>24</v>
      </c>
      <c r="D37">
        <v>18</v>
      </c>
      <c r="E37">
        <v>2</v>
      </c>
      <c r="F37">
        <v>15</v>
      </c>
      <c r="G37" t="s">
        <v>42</v>
      </c>
      <c r="H37">
        <v>6</v>
      </c>
      <c r="I37">
        <v>55</v>
      </c>
      <c r="J37">
        <v>57</v>
      </c>
      <c r="K37">
        <v>2</v>
      </c>
      <c r="L37">
        <v>82</v>
      </c>
      <c r="M37">
        <v>27</v>
      </c>
      <c r="N37">
        <v>3</v>
      </c>
      <c r="O37">
        <v>3</v>
      </c>
      <c r="P37">
        <v>6</v>
      </c>
      <c r="Q37">
        <v>0.152</v>
      </c>
      <c r="R37">
        <v>2</v>
      </c>
      <c r="S37">
        <v>0.33333333333333331</v>
      </c>
      <c r="T37">
        <v>4</v>
      </c>
      <c r="U37">
        <v>12.5</v>
      </c>
      <c r="V37">
        <v>556.33986928104571</v>
      </c>
      <c r="W37">
        <v>1</v>
      </c>
    </row>
    <row r="38" spans="1:23" x14ac:dyDescent="0.2">
      <c r="A38">
        <v>2020</v>
      </c>
      <c r="B38" t="s">
        <v>23</v>
      </c>
      <c r="C38" t="s">
        <v>24</v>
      </c>
      <c r="D38">
        <v>19</v>
      </c>
      <c r="E38">
        <v>1</v>
      </c>
      <c r="F38">
        <v>13</v>
      </c>
      <c r="G38" t="s">
        <v>43</v>
      </c>
      <c r="H38" s="1">
        <v>12</v>
      </c>
      <c r="I38" s="1">
        <v>67</v>
      </c>
      <c r="J38" s="1">
        <v>72</v>
      </c>
      <c r="K38" s="1">
        <f>J38-I38</f>
        <v>5</v>
      </c>
      <c r="L38" s="1">
        <v>94</v>
      </c>
      <c r="M38" s="1">
        <v>31</v>
      </c>
      <c r="N38" s="1">
        <v>2</v>
      </c>
      <c r="O38" s="1">
        <v>4</v>
      </c>
      <c r="P38" s="1">
        <v>8</v>
      </c>
      <c r="Q38" s="2">
        <v>0.29199999999999998</v>
      </c>
      <c r="R38" s="1">
        <v>8</v>
      </c>
      <c r="S38" s="1">
        <f>R38/P38</f>
        <v>1</v>
      </c>
      <c r="T38" s="1">
        <v>3.5</v>
      </c>
      <c r="U38" s="1">
        <v>12.5</v>
      </c>
      <c r="V38" s="1">
        <v>1068.7581699346404</v>
      </c>
      <c r="W38" s="1">
        <v>5</v>
      </c>
    </row>
    <row r="39" spans="1:23" x14ac:dyDescent="0.2">
      <c r="A39">
        <v>2020</v>
      </c>
      <c r="B39" t="s">
        <v>23</v>
      </c>
      <c r="C39" t="s">
        <v>24</v>
      </c>
      <c r="D39">
        <v>19</v>
      </c>
      <c r="E39">
        <v>2</v>
      </c>
      <c r="F39">
        <v>6</v>
      </c>
      <c r="G39" t="s">
        <v>43</v>
      </c>
      <c r="H39" s="1">
        <v>10</v>
      </c>
      <c r="I39" s="1">
        <v>66</v>
      </c>
      <c r="J39" s="1">
        <v>69</v>
      </c>
      <c r="K39" s="1">
        <f>J39-I39</f>
        <v>3</v>
      </c>
      <c r="L39" s="1">
        <v>103</v>
      </c>
      <c r="M39" s="1">
        <v>32</v>
      </c>
      <c r="N39" s="1">
        <v>3</v>
      </c>
      <c r="O39" s="1">
        <v>4</v>
      </c>
      <c r="P39" s="1">
        <v>5</v>
      </c>
      <c r="Q39" s="2">
        <v>0.26</v>
      </c>
      <c r="R39" s="1">
        <v>5</v>
      </c>
      <c r="S39" s="1">
        <f>R39/P39</f>
        <v>1</v>
      </c>
      <c r="T39" s="1">
        <v>3.5</v>
      </c>
      <c r="U39" s="1">
        <v>12.5</v>
      </c>
      <c r="V39" s="1">
        <v>951.63398692810449</v>
      </c>
      <c r="W39" s="1">
        <v>4</v>
      </c>
    </row>
    <row r="40" spans="1:23" x14ac:dyDescent="0.2">
      <c r="A40">
        <v>2020</v>
      </c>
      <c r="B40" t="s">
        <v>23</v>
      </c>
      <c r="C40" t="s">
        <v>24</v>
      </c>
      <c r="D40">
        <v>20</v>
      </c>
      <c r="E40">
        <v>1</v>
      </c>
      <c r="F40">
        <v>6</v>
      </c>
      <c r="G40" t="s">
        <v>44</v>
      </c>
      <c r="H40">
        <v>3</v>
      </c>
      <c r="I40">
        <v>53</v>
      </c>
      <c r="J40">
        <v>57</v>
      </c>
      <c r="K40">
        <v>4</v>
      </c>
      <c r="L40">
        <v>55</v>
      </c>
      <c r="M40">
        <v>16</v>
      </c>
      <c r="N40">
        <v>2</v>
      </c>
      <c r="O40">
        <v>4</v>
      </c>
      <c r="P40">
        <v>3</v>
      </c>
      <c r="Q40">
        <v>0.14899999999999999</v>
      </c>
      <c r="R40">
        <v>3</v>
      </c>
      <c r="S40">
        <v>1</v>
      </c>
      <c r="T40">
        <v>2</v>
      </c>
      <c r="U40">
        <v>12.5</v>
      </c>
      <c r="V40">
        <v>545.35947712418294</v>
      </c>
      <c r="W40">
        <v>1</v>
      </c>
    </row>
    <row r="41" spans="1:23" x14ac:dyDescent="0.2">
      <c r="A41">
        <v>2020</v>
      </c>
      <c r="B41" t="s">
        <v>23</v>
      </c>
      <c r="C41" t="s">
        <v>24</v>
      </c>
      <c r="D41">
        <v>20</v>
      </c>
      <c r="E41">
        <v>2</v>
      </c>
      <c r="F41">
        <v>4</v>
      </c>
      <c r="G41" t="s">
        <v>44</v>
      </c>
      <c r="H41" s="1">
        <v>9</v>
      </c>
      <c r="I41" s="1">
        <v>63</v>
      </c>
      <c r="J41" s="1">
        <v>67</v>
      </c>
      <c r="K41" s="1">
        <f>J41-I41</f>
        <v>4</v>
      </c>
      <c r="L41" s="1">
        <v>136</v>
      </c>
      <c r="M41" s="1">
        <v>54</v>
      </c>
      <c r="N41" s="1">
        <v>3</v>
      </c>
      <c r="O41" s="1">
        <v>4.5</v>
      </c>
      <c r="P41" s="1">
        <v>6</v>
      </c>
      <c r="Q41" s="2">
        <v>8.0399999999999985E-2</v>
      </c>
      <c r="R41" s="1">
        <v>6</v>
      </c>
      <c r="S41" s="1">
        <f>R41/P41</f>
        <v>1</v>
      </c>
      <c r="T41" s="1">
        <v>3.5</v>
      </c>
      <c r="U41" s="1">
        <v>12.5</v>
      </c>
      <c r="V41" s="1">
        <v>294.27450980392155</v>
      </c>
      <c r="W41" s="1">
        <v>5</v>
      </c>
    </row>
    <row r="42" spans="1:23" x14ac:dyDescent="0.2">
      <c r="A42">
        <v>2020</v>
      </c>
      <c r="B42" t="s">
        <v>23</v>
      </c>
      <c r="C42" t="s">
        <v>24</v>
      </c>
      <c r="D42">
        <v>21</v>
      </c>
      <c r="E42">
        <v>1</v>
      </c>
      <c r="F42">
        <v>6</v>
      </c>
      <c r="G42" t="s">
        <v>45</v>
      </c>
      <c r="H42">
        <v>1</v>
      </c>
      <c r="I42">
        <v>56</v>
      </c>
      <c r="J42">
        <v>58</v>
      </c>
      <c r="K42">
        <v>2</v>
      </c>
      <c r="L42">
        <v>110</v>
      </c>
      <c r="M42">
        <v>41</v>
      </c>
      <c r="N42">
        <v>4</v>
      </c>
      <c r="O42">
        <v>3</v>
      </c>
      <c r="P42">
        <v>1</v>
      </c>
      <c r="Q42">
        <v>0.112</v>
      </c>
      <c r="R42">
        <v>2</v>
      </c>
      <c r="S42">
        <v>2</v>
      </c>
      <c r="T42">
        <v>2</v>
      </c>
      <c r="U42">
        <v>12.5</v>
      </c>
      <c r="V42">
        <v>409.93464052287584</v>
      </c>
      <c r="W42">
        <v>2</v>
      </c>
    </row>
    <row r="43" spans="1:23" x14ac:dyDescent="0.2">
      <c r="A43">
        <v>2020</v>
      </c>
      <c r="B43" t="s">
        <v>23</v>
      </c>
      <c r="C43" t="s">
        <v>24</v>
      </c>
      <c r="D43">
        <v>21</v>
      </c>
      <c r="E43">
        <v>2</v>
      </c>
      <c r="F43">
        <v>5</v>
      </c>
      <c r="G43" t="s">
        <v>45</v>
      </c>
      <c r="H43" s="1">
        <v>10</v>
      </c>
      <c r="I43" s="1">
        <v>62</v>
      </c>
      <c r="J43" s="1">
        <v>67</v>
      </c>
      <c r="K43" s="1">
        <f>J43-I43</f>
        <v>5</v>
      </c>
      <c r="L43" s="1">
        <v>123</v>
      </c>
      <c r="M43" s="1">
        <v>61</v>
      </c>
      <c r="N43" s="1">
        <v>1</v>
      </c>
      <c r="O43" s="1">
        <v>3</v>
      </c>
      <c r="P43" s="1">
        <f>H43</f>
        <v>10</v>
      </c>
      <c r="Q43" s="2">
        <v>0.15075</v>
      </c>
      <c r="R43" s="1">
        <v>10</v>
      </c>
      <c r="S43" s="1">
        <f>R43/P43</f>
        <v>1</v>
      </c>
      <c r="T43" s="1">
        <v>5</v>
      </c>
      <c r="U43" s="1">
        <v>12.5</v>
      </c>
      <c r="V43" s="1">
        <v>551.76470588235293</v>
      </c>
      <c r="W43" s="1">
        <v>4</v>
      </c>
    </row>
    <row r="44" spans="1:23" x14ac:dyDescent="0.2">
      <c r="A44">
        <v>2020</v>
      </c>
      <c r="B44" t="s">
        <v>23</v>
      </c>
      <c r="C44" t="s">
        <v>24</v>
      </c>
      <c r="D44">
        <v>22</v>
      </c>
      <c r="E44">
        <v>1</v>
      </c>
      <c r="F44">
        <v>7</v>
      </c>
      <c r="G44" t="s">
        <v>46</v>
      </c>
      <c r="H44" s="1">
        <v>9</v>
      </c>
      <c r="I44" s="1">
        <v>62</v>
      </c>
      <c r="J44" s="1">
        <v>66</v>
      </c>
      <c r="K44" s="1">
        <f>J44-I44</f>
        <v>4</v>
      </c>
      <c r="L44" s="1">
        <v>162</v>
      </c>
      <c r="M44" s="1">
        <v>65</v>
      </c>
      <c r="N44" s="1">
        <v>1</v>
      </c>
      <c r="O44" s="1">
        <v>2.5</v>
      </c>
      <c r="P44" s="1">
        <v>9</v>
      </c>
      <c r="Q44" s="2">
        <v>0.192</v>
      </c>
      <c r="R44" s="1">
        <v>6</v>
      </c>
      <c r="S44" s="1">
        <f>R44/P44</f>
        <v>0.66666666666666663</v>
      </c>
      <c r="T44" s="1">
        <v>5</v>
      </c>
      <c r="U44" s="1">
        <v>12.5</v>
      </c>
      <c r="V44" s="1">
        <v>702.74509803921569</v>
      </c>
      <c r="W44" s="1">
        <v>6</v>
      </c>
    </row>
    <row r="45" spans="1:23" x14ac:dyDescent="0.2">
      <c r="A45">
        <v>2020</v>
      </c>
      <c r="B45" t="s">
        <v>23</v>
      </c>
      <c r="C45" t="s">
        <v>24</v>
      </c>
      <c r="D45">
        <v>22</v>
      </c>
      <c r="E45">
        <v>2</v>
      </c>
      <c r="F45">
        <v>6</v>
      </c>
      <c r="G45" t="s">
        <v>46</v>
      </c>
      <c r="H45">
        <v>12</v>
      </c>
      <c r="I45">
        <v>55</v>
      </c>
      <c r="J45">
        <v>58</v>
      </c>
      <c r="K45">
        <v>3</v>
      </c>
      <c r="L45">
        <v>175</v>
      </c>
      <c r="M45">
        <v>63</v>
      </c>
      <c r="N45">
        <v>2</v>
      </c>
      <c r="O45">
        <v>2</v>
      </c>
      <c r="P45">
        <v>9</v>
      </c>
      <c r="Q45">
        <v>0.3</v>
      </c>
      <c r="R45">
        <v>5</v>
      </c>
      <c r="S45">
        <v>0.55555555555555558</v>
      </c>
      <c r="T45">
        <v>5</v>
      </c>
      <c r="U45">
        <v>8.9</v>
      </c>
      <c r="V45">
        <v>1143.2156862745096</v>
      </c>
      <c r="W45">
        <v>1</v>
      </c>
    </row>
    <row r="46" spans="1:23" x14ac:dyDescent="0.2">
      <c r="A46">
        <v>2020</v>
      </c>
      <c r="B46" t="s">
        <v>23</v>
      </c>
      <c r="C46" t="s">
        <v>24</v>
      </c>
      <c r="D46">
        <v>23</v>
      </c>
      <c r="E46">
        <v>1</v>
      </c>
      <c r="F46">
        <v>14</v>
      </c>
      <c r="G46" t="s">
        <v>47</v>
      </c>
      <c r="H46" s="1">
        <v>7</v>
      </c>
      <c r="I46" s="1">
        <v>66</v>
      </c>
      <c r="J46" s="1">
        <v>67</v>
      </c>
      <c r="K46" s="1">
        <f t="shared" ref="K46:K60" si="0">J46-I46</f>
        <v>1</v>
      </c>
      <c r="L46" s="1">
        <v>133</v>
      </c>
      <c r="M46" s="1">
        <v>56</v>
      </c>
      <c r="N46" s="1">
        <v>1.5</v>
      </c>
      <c r="O46" s="1">
        <v>3</v>
      </c>
      <c r="P46" s="1">
        <v>6</v>
      </c>
      <c r="Q46" s="2">
        <v>0.19500000000000001</v>
      </c>
      <c r="R46" s="1">
        <v>5</v>
      </c>
      <c r="S46" s="1">
        <f t="shared" ref="S46:S60" si="1">R46/P46</f>
        <v>0.83333333333333337</v>
      </c>
      <c r="T46" s="1">
        <v>3</v>
      </c>
      <c r="U46" s="1">
        <v>12.5</v>
      </c>
      <c r="V46" s="1">
        <v>713.72549019607845</v>
      </c>
      <c r="W46" s="1">
        <v>3</v>
      </c>
    </row>
    <row r="47" spans="1:23" x14ac:dyDescent="0.2">
      <c r="A47">
        <v>2020</v>
      </c>
      <c r="B47" t="s">
        <v>23</v>
      </c>
      <c r="C47" t="s">
        <v>24</v>
      </c>
      <c r="D47">
        <v>23</v>
      </c>
      <c r="E47">
        <v>2</v>
      </c>
      <c r="F47">
        <v>7</v>
      </c>
      <c r="G47" t="s">
        <v>47</v>
      </c>
      <c r="H47" s="1">
        <v>14</v>
      </c>
      <c r="I47" s="1">
        <v>66</v>
      </c>
      <c r="J47" s="1">
        <v>69</v>
      </c>
      <c r="K47" s="1">
        <f t="shared" si="0"/>
        <v>3</v>
      </c>
      <c r="L47" s="1">
        <v>195</v>
      </c>
      <c r="M47" s="1">
        <v>90</v>
      </c>
      <c r="N47" s="1">
        <v>2</v>
      </c>
      <c r="O47" s="1">
        <v>2</v>
      </c>
      <c r="P47" s="1">
        <v>10</v>
      </c>
      <c r="Q47" s="2">
        <v>0.6</v>
      </c>
      <c r="R47" s="1">
        <v>10</v>
      </c>
      <c r="S47" s="1">
        <f t="shared" si="1"/>
        <v>1</v>
      </c>
      <c r="T47" s="1">
        <v>3</v>
      </c>
      <c r="U47" s="1">
        <v>7.4</v>
      </c>
      <c r="V47" s="1">
        <v>2324.0784313725489</v>
      </c>
      <c r="W47" s="1">
        <v>5</v>
      </c>
    </row>
    <row r="48" spans="1:23" x14ac:dyDescent="0.2">
      <c r="A48">
        <v>2020</v>
      </c>
      <c r="B48" t="s">
        <v>23</v>
      </c>
      <c r="C48" t="s">
        <v>24</v>
      </c>
      <c r="D48">
        <v>24</v>
      </c>
      <c r="E48">
        <v>1</v>
      </c>
      <c r="F48">
        <v>2</v>
      </c>
      <c r="G48" t="s">
        <v>48</v>
      </c>
      <c r="H48" s="1">
        <v>3</v>
      </c>
      <c r="I48" s="1">
        <v>64</v>
      </c>
      <c r="J48" s="1">
        <v>69</v>
      </c>
      <c r="K48" s="1">
        <f t="shared" si="0"/>
        <v>5</v>
      </c>
      <c r="L48" s="1">
        <v>135</v>
      </c>
      <c r="M48" s="1">
        <v>46</v>
      </c>
      <c r="N48" s="1">
        <v>2</v>
      </c>
      <c r="O48" s="1">
        <v>3</v>
      </c>
      <c r="P48" s="1">
        <v>3</v>
      </c>
      <c r="Q48" s="2">
        <v>0.36099999999999999</v>
      </c>
      <c r="R48" s="1">
        <v>4</v>
      </c>
      <c r="S48" s="1">
        <f t="shared" si="1"/>
        <v>1.3333333333333333</v>
      </c>
      <c r="T48" s="1">
        <v>1.5</v>
      </c>
      <c r="U48" s="1">
        <v>12.5</v>
      </c>
      <c r="V48" s="1">
        <v>1321.3071895424837</v>
      </c>
      <c r="W48" s="1">
        <v>2</v>
      </c>
    </row>
    <row r="49" spans="1:23" x14ac:dyDescent="0.2">
      <c r="A49">
        <v>2020</v>
      </c>
      <c r="B49" t="s">
        <v>23</v>
      </c>
      <c r="C49" t="s">
        <v>24</v>
      </c>
      <c r="D49">
        <v>24</v>
      </c>
      <c r="E49">
        <v>2</v>
      </c>
      <c r="F49">
        <v>3</v>
      </c>
      <c r="G49" t="s">
        <v>48</v>
      </c>
      <c r="H49" s="1">
        <v>10</v>
      </c>
      <c r="I49" s="1">
        <v>69</v>
      </c>
      <c r="J49" s="1">
        <v>74</v>
      </c>
      <c r="K49" s="1">
        <f t="shared" si="0"/>
        <v>5</v>
      </c>
      <c r="L49" s="1">
        <v>154</v>
      </c>
      <c r="M49" s="1">
        <v>56</v>
      </c>
      <c r="N49" s="1">
        <v>2</v>
      </c>
      <c r="O49" s="1">
        <v>4.5</v>
      </c>
      <c r="P49" s="1">
        <v>8</v>
      </c>
      <c r="Q49" s="2">
        <v>0.14799999999999999</v>
      </c>
      <c r="R49" s="1">
        <v>6</v>
      </c>
      <c r="S49" s="1">
        <f t="shared" si="1"/>
        <v>0.75</v>
      </c>
      <c r="T49" s="1">
        <v>5</v>
      </c>
      <c r="U49" s="1">
        <v>12.5</v>
      </c>
      <c r="V49" s="1">
        <v>541.69934640522877</v>
      </c>
      <c r="W49" s="1">
        <v>5</v>
      </c>
    </row>
    <row r="50" spans="1:23" x14ac:dyDescent="0.2">
      <c r="A50">
        <v>2020</v>
      </c>
      <c r="B50" t="s">
        <v>23</v>
      </c>
      <c r="C50" t="s">
        <v>24</v>
      </c>
      <c r="D50">
        <v>25</v>
      </c>
      <c r="E50">
        <v>1</v>
      </c>
      <c r="F50">
        <v>5</v>
      </c>
      <c r="G50" t="s">
        <v>49</v>
      </c>
      <c r="H50" s="1">
        <v>12</v>
      </c>
      <c r="I50" s="1">
        <v>66</v>
      </c>
      <c r="J50" s="1">
        <v>69</v>
      </c>
      <c r="K50" s="1">
        <f t="shared" si="0"/>
        <v>3</v>
      </c>
      <c r="L50" s="1">
        <v>153</v>
      </c>
      <c r="M50" s="1">
        <v>82</v>
      </c>
      <c r="N50" s="1">
        <v>2</v>
      </c>
      <c r="O50" s="1">
        <v>3</v>
      </c>
      <c r="P50" s="1">
        <f>H50</f>
        <v>12</v>
      </c>
      <c r="Q50" s="2">
        <v>9.7875000000000004E-2</v>
      </c>
      <c r="R50" s="1">
        <v>12</v>
      </c>
      <c r="S50" s="1">
        <f t="shared" si="1"/>
        <v>1</v>
      </c>
      <c r="T50" s="1">
        <v>5</v>
      </c>
      <c r="U50" s="1">
        <v>12.5</v>
      </c>
      <c r="V50" s="1">
        <v>358.23529411764707</v>
      </c>
      <c r="W50" s="1">
        <v>5</v>
      </c>
    </row>
    <row r="51" spans="1:23" x14ac:dyDescent="0.2">
      <c r="A51">
        <v>2020</v>
      </c>
      <c r="B51" t="s">
        <v>23</v>
      </c>
      <c r="C51" t="s">
        <v>24</v>
      </c>
      <c r="D51">
        <v>25</v>
      </c>
      <c r="E51">
        <v>2</v>
      </c>
      <c r="F51">
        <v>7</v>
      </c>
      <c r="G51" t="s">
        <v>49</v>
      </c>
      <c r="H51" s="1">
        <v>3</v>
      </c>
      <c r="I51" s="1">
        <v>61</v>
      </c>
      <c r="J51" s="1">
        <v>64</v>
      </c>
      <c r="K51" s="1">
        <f t="shared" si="0"/>
        <v>3</v>
      </c>
      <c r="L51" s="1">
        <v>125</v>
      </c>
      <c r="M51" s="1">
        <v>46</v>
      </c>
      <c r="N51" s="1">
        <v>2</v>
      </c>
      <c r="O51" s="1">
        <v>4.5</v>
      </c>
      <c r="P51" s="1">
        <v>3</v>
      </c>
      <c r="Q51" s="2">
        <v>7.8750000000000001E-2</v>
      </c>
      <c r="R51" s="1">
        <v>3</v>
      </c>
      <c r="S51" s="1">
        <f t="shared" si="1"/>
        <v>1</v>
      </c>
      <c r="T51" s="1">
        <v>5</v>
      </c>
      <c r="U51" s="1">
        <v>12.5</v>
      </c>
      <c r="V51" s="1">
        <v>288.23529411764707</v>
      </c>
      <c r="W51" s="1">
        <v>6</v>
      </c>
    </row>
    <row r="52" spans="1:23" x14ac:dyDescent="0.2">
      <c r="A52">
        <v>2020</v>
      </c>
      <c r="B52" t="s">
        <v>23</v>
      </c>
      <c r="C52" t="s">
        <v>24</v>
      </c>
      <c r="D52">
        <v>26</v>
      </c>
      <c r="E52">
        <v>1</v>
      </c>
      <c r="F52">
        <v>3</v>
      </c>
      <c r="G52" t="s">
        <v>50</v>
      </c>
      <c r="H52" s="1">
        <v>4</v>
      </c>
      <c r="I52" s="1">
        <v>65</v>
      </c>
      <c r="J52" s="1">
        <v>68</v>
      </c>
      <c r="K52" s="1">
        <f t="shared" si="0"/>
        <v>3</v>
      </c>
      <c r="L52" s="1">
        <v>147</v>
      </c>
      <c r="M52" s="1">
        <v>71</v>
      </c>
      <c r="N52" s="1">
        <v>1.5</v>
      </c>
      <c r="O52" s="1">
        <v>4</v>
      </c>
      <c r="P52" s="1">
        <v>4</v>
      </c>
      <c r="Q52" s="2">
        <v>0.24</v>
      </c>
      <c r="R52" s="1">
        <v>4</v>
      </c>
      <c r="S52" s="1">
        <f t="shared" si="1"/>
        <v>1</v>
      </c>
      <c r="T52" s="1">
        <v>3</v>
      </c>
      <c r="U52" s="1">
        <v>12.5</v>
      </c>
      <c r="V52" s="1">
        <v>878.43137254901967</v>
      </c>
      <c r="W52" s="1">
        <v>4</v>
      </c>
    </row>
    <row r="53" spans="1:23" x14ac:dyDescent="0.2">
      <c r="A53">
        <v>2020</v>
      </c>
      <c r="B53" t="s">
        <v>23</v>
      </c>
      <c r="C53" t="s">
        <v>24</v>
      </c>
      <c r="D53">
        <v>26</v>
      </c>
      <c r="E53">
        <v>2</v>
      </c>
      <c r="F53">
        <v>10</v>
      </c>
      <c r="G53" t="s">
        <v>50</v>
      </c>
      <c r="H53" s="1">
        <v>12</v>
      </c>
      <c r="I53" s="1">
        <v>59</v>
      </c>
      <c r="J53" s="1">
        <v>64</v>
      </c>
      <c r="K53" s="1">
        <f t="shared" si="0"/>
        <v>5</v>
      </c>
      <c r="L53" s="1">
        <v>172</v>
      </c>
      <c r="M53" s="1">
        <v>102</v>
      </c>
      <c r="N53" s="1">
        <v>2</v>
      </c>
      <c r="O53" s="1">
        <v>2</v>
      </c>
      <c r="P53" s="1">
        <v>8</v>
      </c>
      <c r="Q53" s="2">
        <v>0.125</v>
      </c>
      <c r="R53" s="1">
        <v>11</v>
      </c>
      <c r="S53" s="1">
        <f t="shared" si="1"/>
        <v>1.375</v>
      </c>
      <c r="T53" s="1">
        <v>5</v>
      </c>
      <c r="U53" s="1">
        <v>7.8</v>
      </c>
      <c r="V53" s="1">
        <v>482.09150326797385</v>
      </c>
      <c r="W53" s="1">
        <v>6</v>
      </c>
    </row>
    <row r="54" spans="1:23" x14ac:dyDescent="0.2">
      <c r="A54">
        <v>2020</v>
      </c>
      <c r="B54" t="s">
        <v>23</v>
      </c>
      <c r="C54" t="s">
        <v>24</v>
      </c>
      <c r="D54">
        <v>27</v>
      </c>
      <c r="E54">
        <v>1</v>
      </c>
      <c r="F54">
        <v>13</v>
      </c>
      <c r="G54" t="s">
        <v>51</v>
      </c>
      <c r="H54" s="1">
        <v>13</v>
      </c>
      <c r="I54" s="1">
        <v>61</v>
      </c>
      <c r="J54" s="1">
        <v>66</v>
      </c>
      <c r="K54" s="1">
        <f t="shared" si="0"/>
        <v>5</v>
      </c>
      <c r="L54" s="1">
        <v>163</v>
      </c>
      <c r="M54" s="1">
        <v>70</v>
      </c>
      <c r="N54" s="1">
        <v>3</v>
      </c>
      <c r="O54" s="1">
        <v>4</v>
      </c>
      <c r="P54" s="1">
        <f>H54-2</f>
        <v>11</v>
      </c>
      <c r="Q54" s="2">
        <v>0.18</v>
      </c>
      <c r="R54" s="1">
        <v>8</v>
      </c>
      <c r="S54" s="1">
        <f t="shared" si="1"/>
        <v>0.72727272727272729</v>
      </c>
      <c r="T54" s="1">
        <v>5</v>
      </c>
      <c r="U54" s="1">
        <v>12.5</v>
      </c>
      <c r="V54" s="1">
        <v>658.82352941176464</v>
      </c>
      <c r="W54" s="1">
        <v>5</v>
      </c>
    </row>
    <row r="55" spans="1:23" x14ac:dyDescent="0.2">
      <c r="A55">
        <v>2020</v>
      </c>
      <c r="B55" t="s">
        <v>23</v>
      </c>
      <c r="C55" t="s">
        <v>24</v>
      </c>
      <c r="D55">
        <v>27</v>
      </c>
      <c r="E55">
        <v>2</v>
      </c>
      <c r="F55">
        <v>1</v>
      </c>
      <c r="G55" t="s">
        <v>51</v>
      </c>
      <c r="H55" s="1">
        <v>10</v>
      </c>
      <c r="I55" s="1">
        <v>62</v>
      </c>
      <c r="J55" s="1">
        <v>67</v>
      </c>
      <c r="K55" s="1">
        <f t="shared" si="0"/>
        <v>5</v>
      </c>
      <c r="L55" s="1">
        <v>123</v>
      </c>
      <c r="M55" s="1">
        <v>61</v>
      </c>
      <c r="N55" s="1">
        <v>1</v>
      </c>
      <c r="O55" s="1">
        <v>3</v>
      </c>
      <c r="P55" s="1">
        <f>H55</f>
        <v>10</v>
      </c>
      <c r="Q55" s="2">
        <v>0.15075</v>
      </c>
      <c r="R55" s="1">
        <v>10</v>
      </c>
      <c r="S55" s="1">
        <f t="shared" si="1"/>
        <v>1</v>
      </c>
      <c r="T55" s="1">
        <v>5</v>
      </c>
      <c r="U55" s="1">
        <v>12.5</v>
      </c>
      <c r="V55" s="1">
        <v>551.76470588235293</v>
      </c>
      <c r="W55" s="1">
        <v>4</v>
      </c>
    </row>
    <row r="56" spans="1:23" x14ac:dyDescent="0.2">
      <c r="A56">
        <v>2020</v>
      </c>
      <c r="B56" t="s">
        <v>23</v>
      </c>
      <c r="C56" t="s">
        <v>24</v>
      </c>
      <c r="D56">
        <v>28</v>
      </c>
      <c r="E56">
        <v>1</v>
      </c>
      <c r="F56">
        <v>2</v>
      </c>
      <c r="G56" t="s">
        <v>52</v>
      </c>
      <c r="H56" s="1">
        <v>14</v>
      </c>
      <c r="I56" s="1">
        <v>58</v>
      </c>
      <c r="J56" s="1">
        <v>62</v>
      </c>
      <c r="K56" s="1">
        <f t="shared" si="0"/>
        <v>4</v>
      </c>
      <c r="L56" s="1">
        <v>178</v>
      </c>
      <c r="M56" s="1">
        <v>117</v>
      </c>
      <c r="N56" s="1">
        <v>2</v>
      </c>
      <c r="O56" s="1">
        <v>3</v>
      </c>
      <c r="P56" s="1">
        <f>H56</f>
        <v>14</v>
      </c>
      <c r="Q56" s="2">
        <v>0.38250000000000001</v>
      </c>
      <c r="R56" s="1">
        <v>10</v>
      </c>
      <c r="S56" s="1">
        <f t="shared" si="1"/>
        <v>0.7142857142857143</v>
      </c>
      <c r="T56" s="1">
        <v>5</v>
      </c>
      <c r="U56" s="1">
        <v>12.5</v>
      </c>
      <c r="V56" s="1">
        <v>1400</v>
      </c>
      <c r="W56" s="1">
        <v>4</v>
      </c>
    </row>
    <row r="57" spans="1:23" x14ac:dyDescent="0.2">
      <c r="A57">
        <v>2020</v>
      </c>
      <c r="B57" t="s">
        <v>23</v>
      </c>
      <c r="C57" t="s">
        <v>24</v>
      </c>
      <c r="D57">
        <v>28</v>
      </c>
      <c r="E57">
        <v>2</v>
      </c>
      <c r="F57">
        <v>14</v>
      </c>
      <c r="G57" t="s">
        <v>52</v>
      </c>
      <c r="H57" s="1">
        <v>14</v>
      </c>
      <c r="I57" s="1">
        <v>56</v>
      </c>
      <c r="J57" s="1">
        <v>59</v>
      </c>
      <c r="K57" s="1">
        <f t="shared" si="0"/>
        <v>3</v>
      </c>
      <c r="L57" s="1">
        <v>170</v>
      </c>
      <c r="M57" s="1">
        <v>101</v>
      </c>
      <c r="N57" s="1">
        <v>2</v>
      </c>
      <c r="O57" s="1">
        <v>2</v>
      </c>
      <c r="P57" s="1">
        <f>H57</f>
        <v>14</v>
      </c>
      <c r="Q57" s="2">
        <v>6.9187499999999999E-2</v>
      </c>
      <c r="R57" s="1">
        <v>14</v>
      </c>
      <c r="S57" s="1">
        <f t="shared" si="1"/>
        <v>1</v>
      </c>
      <c r="T57" s="1">
        <v>4</v>
      </c>
      <c r="U57" s="1">
        <v>12.5</v>
      </c>
      <c r="V57" s="1">
        <v>253.23529411764704</v>
      </c>
      <c r="W57" s="1">
        <v>4</v>
      </c>
    </row>
    <row r="58" spans="1:23" x14ac:dyDescent="0.2">
      <c r="A58">
        <v>2020</v>
      </c>
      <c r="B58" t="s">
        <v>23</v>
      </c>
      <c r="C58" t="s">
        <v>24</v>
      </c>
      <c r="D58">
        <v>29</v>
      </c>
      <c r="E58">
        <v>1</v>
      </c>
      <c r="F58">
        <v>14</v>
      </c>
      <c r="G58" t="s">
        <v>53</v>
      </c>
      <c r="H58" s="1">
        <v>9</v>
      </c>
      <c r="I58" s="1">
        <v>64</v>
      </c>
      <c r="J58" s="1">
        <v>67</v>
      </c>
      <c r="K58" s="1">
        <f t="shared" si="0"/>
        <v>3</v>
      </c>
      <c r="L58" s="1">
        <v>117</v>
      </c>
      <c r="M58" s="1">
        <v>53</v>
      </c>
      <c r="N58" s="1">
        <v>2</v>
      </c>
      <c r="O58" s="1">
        <v>4</v>
      </c>
      <c r="P58" s="1">
        <v>2</v>
      </c>
      <c r="Q58" s="2">
        <v>0.14030000000000001</v>
      </c>
      <c r="R58" s="1">
        <v>2</v>
      </c>
      <c r="S58" s="1">
        <f t="shared" si="1"/>
        <v>1</v>
      </c>
      <c r="T58" s="1">
        <v>5</v>
      </c>
      <c r="U58" s="1">
        <v>12.5</v>
      </c>
      <c r="V58" s="1">
        <v>513.51633986928107</v>
      </c>
      <c r="W58" s="1">
        <v>5</v>
      </c>
    </row>
    <row r="59" spans="1:23" x14ac:dyDescent="0.2">
      <c r="A59">
        <v>2020</v>
      </c>
      <c r="B59" t="s">
        <v>23</v>
      </c>
      <c r="C59" t="s">
        <v>24</v>
      </c>
      <c r="D59">
        <v>29</v>
      </c>
      <c r="E59">
        <v>2</v>
      </c>
      <c r="F59">
        <v>7</v>
      </c>
      <c r="G59" t="s">
        <v>53</v>
      </c>
      <c r="H59" s="1">
        <v>9</v>
      </c>
      <c r="I59" s="1">
        <v>67</v>
      </c>
      <c r="J59" s="1">
        <v>72</v>
      </c>
      <c r="K59" s="1">
        <f t="shared" si="0"/>
        <v>5</v>
      </c>
      <c r="L59" s="1">
        <v>162</v>
      </c>
      <c r="M59" s="1">
        <v>85</v>
      </c>
      <c r="N59" s="1">
        <v>1</v>
      </c>
      <c r="O59" s="1">
        <v>1.5</v>
      </c>
      <c r="P59" s="1">
        <v>9</v>
      </c>
      <c r="Q59" s="2">
        <v>0.49260000000000004</v>
      </c>
      <c r="R59" s="1">
        <v>8</v>
      </c>
      <c r="S59" s="1">
        <f t="shared" si="1"/>
        <v>0.88888888888888884</v>
      </c>
      <c r="T59" s="1">
        <v>3</v>
      </c>
      <c r="U59" s="1">
        <v>12.5</v>
      </c>
      <c r="V59" s="1">
        <v>1802.980392156863</v>
      </c>
      <c r="W59" s="1">
        <v>4</v>
      </c>
    </row>
    <row r="60" spans="1:23" x14ac:dyDescent="0.2">
      <c r="A60">
        <v>2020</v>
      </c>
      <c r="B60" t="s">
        <v>23</v>
      </c>
      <c r="C60" t="s">
        <v>24</v>
      </c>
      <c r="D60">
        <v>30</v>
      </c>
      <c r="E60">
        <v>1</v>
      </c>
      <c r="F60">
        <v>7</v>
      </c>
      <c r="G60" t="s">
        <v>54</v>
      </c>
      <c r="H60" s="1">
        <v>5</v>
      </c>
      <c r="I60" s="1">
        <v>59</v>
      </c>
      <c r="J60" s="1">
        <v>64</v>
      </c>
      <c r="K60" s="1">
        <f t="shared" si="0"/>
        <v>5</v>
      </c>
      <c r="L60" s="1">
        <v>142</v>
      </c>
      <c r="M60" s="1">
        <v>85</v>
      </c>
      <c r="N60" s="1">
        <v>2</v>
      </c>
      <c r="O60" s="1">
        <v>2.5</v>
      </c>
      <c r="P60" s="1">
        <v>4</v>
      </c>
      <c r="Q60" s="2">
        <v>0.229875</v>
      </c>
      <c r="R60" s="1">
        <v>4</v>
      </c>
      <c r="S60" s="1">
        <f t="shared" si="1"/>
        <v>1</v>
      </c>
      <c r="T60" s="1">
        <v>2</v>
      </c>
      <c r="U60" s="1">
        <v>12.5</v>
      </c>
      <c r="V60" s="1">
        <v>841.37254901960785</v>
      </c>
      <c r="W60" s="1">
        <v>5</v>
      </c>
    </row>
    <row r="61" spans="1:23" x14ac:dyDescent="0.2">
      <c r="A61">
        <v>2020</v>
      </c>
      <c r="B61" t="s">
        <v>23</v>
      </c>
      <c r="C61" t="s">
        <v>24</v>
      </c>
      <c r="D61">
        <v>30</v>
      </c>
      <c r="E61">
        <v>2</v>
      </c>
      <c r="F61">
        <v>4</v>
      </c>
      <c r="G61" t="s">
        <v>54</v>
      </c>
      <c r="H61">
        <v>14</v>
      </c>
      <c r="I61">
        <v>54</v>
      </c>
      <c r="J61">
        <v>56</v>
      </c>
      <c r="K61">
        <v>2</v>
      </c>
      <c r="L61">
        <v>162</v>
      </c>
      <c r="M61">
        <v>80</v>
      </c>
      <c r="N61">
        <v>2</v>
      </c>
      <c r="O61">
        <v>2</v>
      </c>
      <c r="P61">
        <v>8</v>
      </c>
      <c r="Q61">
        <v>0.5</v>
      </c>
      <c r="R61">
        <v>5</v>
      </c>
      <c r="S61">
        <v>0.625</v>
      </c>
      <c r="T61">
        <v>3</v>
      </c>
      <c r="U61">
        <v>13</v>
      </c>
      <c r="V61">
        <v>1819.6078431372548</v>
      </c>
      <c r="W61">
        <v>2</v>
      </c>
    </row>
    <row r="62" spans="1:23" x14ac:dyDescent="0.2">
      <c r="A62">
        <v>2020</v>
      </c>
      <c r="B62" t="s">
        <v>23</v>
      </c>
      <c r="C62" t="s">
        <v>24</v>
      </c>
      <c r="D62">
        <v>31</v>
      </c>
      <c r="E62">
        <v>1</v>
      </c>
      <c r="F62">
        <v>6</v>
      </c>
      <c r="G62" t="s">
        <v>55</v>
      </c>
      <c r="H62" s="3">
        <v>12</v>
      </c>
      <c r="I62" s="3">
        <v>68</v>
      </c>
      <c r="J62" s="3">
        <v>72</v>
      </c>
      <c r="K62" s="3">
        <f t="shared" ref="K62:K68" si="2">J62-I62</f>
        <v>4</v>
      </c>
      <c r="L62" s="3">
        <v>179</v>
      </c>
      <c r="M62" s="3">
        <v>64</v>
      </c>
      <c r="N62" s="3">
        <v>2</v>
      </c>
      <c r="O62" s="3">
        <v>2.5</v>
      </c>
      <c r="P62" s="3">
        <f>H62</f>
        <v>12</v>
      </c>
      <c r="Q62" s="4">
        <v>0.13350000000000001</v>
      </c>
      <c r="R62" s="3">
        <v>9</v>
      </c>
      <c r="S62" s="3">
        <f t="shared" ref="S62:S68" si="3">R62/P62</f>
        <v>0.75</v>
      </c>
      <c r="T62" s="3">
        <v>5</v>
      </c>
      <c r="U62" s="3">
        <v>12.5</v>
      </c>
      <c r="V62" s="3">
        <v>488.62745098039221</v>
      </c>
      <c r="W62" s="3">
        <v>4</v>
      </c>
    </row>
    <row r="63" spans="1:23" x14ac:dyDescent="0.2">
      <c r="A63">
        <v>2020</v>
      </c>
      <c r="B63" t="s">
        <v>23</v>
      </c>
      <c r="C63" t="s">
        <v>24</v>
      </c>
      <c r="D63">
        <v>31</v>
      </c>
      <c r="E63">
        <v>2</v>
      </c>
      <c r="F63">
        <v>6</v>
      </c>
      <c r="G63" t="s">
        <v>55</v>
      </c>
      <c r="H63" s="1">
        <v>8</v>
      </c>
      <c r="I63" s="1">
        <v>72</v>
      </c>
      <c r="J63" s="1">
        <v>76</v>
      </c>
      <c r="K63" s="1">
        <f t="shared" si="2"/>
        <v>4</v>
      </c>
      <c r="L63" s="1">
        <v>156</v>
      </c>
      <c r="M63" s="1">
        <v>57</v>
      </c>
      <c r="N63" s="1">
        <v>3</v>
      </c>
      <c r="O63" s="1">
        <v>1</v>
      </c>
      <c r="P63" s="1">
        <v>8</v>
      </c>
      <c r="Q63" s="2">
        <v>0.14239999999999997</v>
      </c>
      <c r="R63" s="1">
        <v>4</v>
      </c>
      <c r="S63" s="1">
        <f t="shared" si="3"/>
        <v>0.5</v>
      </c>
      <c r="T63" s="1">
        <v>4</v>
      </c>
      <c r="U63" s="1">
        <v>12.5</v>
      </c>
      <c r="V63" s="1">
        <v>521.20261437908493</v>
      </c>
      <c r="W63" s="1">
        <v>2</v>
      </c>
    </row>
    <row r="64" spans="1:23" x14ac:dyDescent="0.2">
      <c r="A64">
        <v>2020</v>
      </c>
      <c r="B64" t="s">
        <v>23</v>
      </c>
      <c r="C64" t="s">
        <v>24</v>
      </c>
      <c r="D64">
        <v>32</v>
      </c>
      <c r="E64">
        <v>1</v>
      </c>
      <c r="F64">
        <v>12</v>
      </c>
      <c r="G64" t="s">
        <v>56</v>
      </c>
      <c r="H64" s="1">
        <v>7</v>
      </c>
      <c r="I64" s="1">
        <v>64</v>
      </c>
      <c r="J64" s="1">
        <v>69</v>
      </c>
      <c r="K64" s="1">
        <f t="shared" si="2"/>
        <v>5</v>
      </c>
      <c r="L64" s="1">
        <v>131</v>
      </c>
      <c r="M64" s="1">
        <v>51</v>
      </c>
      <c r="N64" s="1">
        <v>2</v>
      </c>
      <c r="O64" s="1">
        <v>4</v>
      </c>
      <c r="P64" s="1">
        <v>6</v>
      </c>
      <c r="Q64" s="2">
        <v>0.21</v>
      </c>
      <c r="R64" s="1">
        <v>8</v>
      </c>
      <c r="S64" s="1">
        <f t="shared" si="3"/>
        <v>1.3333333333333333</v>
      </c>
      <c r="T64" s="1">
        <v>3.5</v>
      </c>
      <c r="U64" s="1">
        <v>12.5</v>
      </c>
      <c r="V64" s="1">
        <v>768.62745098039215</v>
      </c>
      <c r="W64" s="1">
        <v>4</v>
      </c>
    </row>
    <row r="65" spans="1:23" x14ac:dyDescent="0.2">
      <c r="A65">
        <v>2020</v>
      </c>
      <c r="B65" t="s">
        <v>23</v>
      </c>
      <c r="C65" t="s">
        <v>24</v>
      </c>
      <c r="D65">
        <v>32</v>
      </c>
      <c r="E65">
        <v>2</v>
      </c>
      <c r="F65">
        <v>3</v>
      </c>
      <c r="G65" t="s">
        <v>56</v>
      </c>
      <c r="H65" s="1">
        <v>7</v>
      </c>
      <c r="I65" s="1">
        <v>60</v>
      </c>
      <c r="J65" s="1">
        <v>64</v>
      </c>
      <c r="K65" s="1">
        <f t="shared" si="2"/>
        <v>4</v>
      </c>
      <c r="L65" s="1">
        <v>138</v>
      </c>
      <c r="M65" s="1">
        <v>56</v>
      </c>
      <c r="N65" s="1">
        <v>2</v>
      </c>
      <c r="O65" s="1">
        <v>3</v>
      </c>
      <c r="P65" s="1">
        <v>7</v>
      </c>
      <c r="Q65" s="2">
        <v>0.35499999999999998</v>
      </c>
      <c r="R65" s="1">
        <v>8</v>
      </c>
      <c r="S65" s="1">
        <f t="shared" si="3"/>
        <v>1.1428571428571428</v>
      </c>
      <c r="T65" s="1">
        <v>2</v>
      </c>
      <c r="U65" s="1">
        <v>12.5</v>
      </c>
      <c r="V65" s="1">
        <v>1299.3464052287582</v>
      </c>
      <c r="W65" s="1">
        <v>3</v>
      </c>
    </row>
    <row r="66" spans="1:23" x14ac:dyDescent="0.2">
      <c r="A66">
        <v>2020</v>
      </c>
      <c r="B66" t="s">
        <v>23</v>
      </c>
      <c r="C66" t="s">
        <v>24</v>
      </c>
      <c r="D66">
        <v>33</v>
      </c>
      <c r="E66">
        <v>1</v>
      </c>
      <c r="F66">
        <v>8</v>
      </c>
      <c r="G66" t="s">
        <v>57</v>
      </c>
      <c r="H66" s="1">
        <v>1</v>
      </c>
      <c r="I66" s="1">
        <v>64</v>
      </c>
      <c r="J66" s="1">
        <v>68</v>
      </c>
      <c r="K66" s="1">
        <f t="shared" si="2"/>
        <v>4</v>
      </c>
      <c r="L66" s="1">
        <v>118</v>
      </c>
      <c r="M66" s="1">
        <v>25</v>
      </c>
      <c r="N66" s="1">
        <v>1.5</v>
      </c>
      <c r="O66" s="1">
        <v>5</v>
      </c>
      <c r="P66" s="1">
        <v>1</v>
      </c>
      <c r="Q66" s="2">
        <v>3.4000000000000002E-2</v>
      </c>
      <c r="R66" s="1">
        <v>1</v>
      </c>
      <c r="S66" s="1">
        <f t="shared" si="3"/>
        <v>1</v>
      </c>
      <c r="T66" s="1">
        <v>5</v>
      </c>
      <c r="U66" s="1">
        <v>12.5</v>
      </c>
      <c r="V66" s="1">
        <v>124.44444444444444</v>
      </c>
      <c r="W66" s="1">
        <v>6</v>
      </c>
    </row>
    <row r="67" spans="1:23" x14ac:dyDescent="0.2">
      <c r="A67">
        <v>2020</v>
      </c>
      <c r="B67" t="s">
        <v>23</v>
      </c>
      <c r="C67" t="s">
        <v>24</v>
      </c>
      <c r="D67">
        <v>33</v>
      </c>
      <c r="E67">
        <v>2</v>
      </c>
      <c r="F67">
        <v>13</v>
      </c>
      <c r="G67" t="s">
        <v>57</v>
      </c>
      <c r="H67" s="1">
        <v>10</v>
      </c>
      <c r="I67" s="1">
        <v>66</v>
      </c>
      <c r="J67" s="1">
        <v>71</v>
      </c>
      <c r="K67" s="1">
        <f t="shared" si="2"/>
        <v>5</v>
      </c>
      <c r="L67" s="1">
        <v>116</v>
      </c>
      <c r="M67" s="1">
        <v>41</v>
      </c>
      <c r="N67" s="1">
        <v>2</v>
      </c>
      <c r="O67" s="1">
        <v>4.5</v>
      </c>
      <c r="P67" s="1">
        <v>8</v>
      </c>
      <c r="Q67" s="2">
        <v>0.25600000000000001</v>
      </c>
      <c r="R67" s="1">
        <v>5</v>
      </c>
      <c r="S67" s="1">
        <f t="shared" si="3"/>
        <v>0.625</v>
      </c>
      <c r="T67" s="1">
        <v>3</v>
      </c>
      <c r="U67" s="1">
        <v>12.5</v>
      </c>
      <c r="V67" s="1">
        <v>936.99346405228766</v>
      </c>
      <c r="W67" s="1">
        <v>4</v>
      </c>
    </row>
    <row r="68" spans="1:23" x14ac:dyDescent="0.2">
      <c r="A68">
        <v>2020</v>
      </c>
      <c r="B68" t="s">
        <v>23</v>
      </c>
      <c r="C68" t="s">
        <v>24</v>
      </c>
      <c r="D68">
        <v>34</v>
      </c>
      <c r="E68">
        <v>1</v>
      </c>
      <c r="F68">
        <v>14</v>
      </c>
      <c r="G68" t="s">
        <v>58</v>
      </c>
      <c r="H68" s="1">
        <v>14</v>
      </c>
      <c r="I68" s="1">
        <v>63</v>
      </c>
      <c r="J68" s="1">
        <v>66</v>
      </c>
      <c r="K68" s="1">
        <f t="shared" si="2"/>
        <v>3</v>
      </c>
      <c r="L68" s="1">
        <v>141</v>
      </c>
      <c r="M68" s="1">
        <v>55</v>
      </c>
      <c r="N68" s="1">
        <v>3.5</v>
      </c>
      <c r="O68" s="1">
        <v>4</v>
      </c>
      <c r="P68" s="1">
        <v>10</v>
      </c>
      <c r="Q68" s="2">
        <v>0.3135</v>
      </c>
      <c r="R68" s="1">
        <v>8</v>
      </c>
      <c r="S68" s="1">
        <f t="shared" si="3"/>
        <v>0.8</v>
      </c>
      <c r="T68" s="1">
        <v>2.5</v>
      </c>
      <c r="U68" s="1">
        <v>12.5</v>
      </c>
      <c r="V68" s="1">
        <v>1147.4509803921569</v>
      </c>
      <c r="W68" s="1">
        <v>5</v>
      </c>
    </row>
    <row r="69" spans="1:23" x14ac:dyDescent="0.2">
      <c r="A69">
        <v>2020</v>
      </c>
      <c r="B69" t="s">
        <v>23</v>
      </c>
      <c r="C69" t="s">
        <v>24</v>
      </c>
      <c r="D69">
        <v>34</v>
      </c>
      <c r="E69">
        <v>2</v>
      </c>
      <c r="F69">
        <v>1</v>
      </c>
      <c r="G69" t="s">
        <v>58</v>
      </c>
      <c r="H69">
        <v>7</v>
      </c>
      <c r="I69">
        <v>55</v>
      </c>
      <c r="J69">
        <v>57</v>
      </c>
      <c r="K69">
        <v>2</v>
      </c>
      <c r="L69">
        <v>166</v>
      </c>
      <c r="M69">
        <v>71</v>
      </c>
      <c r="N69">
        <v>2</v>
      </c>
      <c r="O69">
        <v>2</v>
      </c>
      <c r="P69">
        <v>7</v>
      </c>
      <c r="Q69">
        <v>0.152</v>
      </c>
      <c r="R69">
        <v>7</v>
      </c>
      <c r="S69">
        <v>1</v>
      </c>
      <c r="T69">
        <v>3</v>
      </c>
      <c r="U69">
        <v>12.5</v>
      </c>
      <c r="V69">
        <v>556.33986928104571</v>
      </c>
      <c r="W69">
        <v>2</v>
      </c>
    </row>
    <row r="70" spans="1:23" x14ac:dyDescent="0.2">
      <c r="A70">
        <v>2020</v>
      </c>
      <c r="B70" t="s">
        <v>23</v>
      </c>
      <c r="C70" t="s">
        <v>24</v>
      </c>
      <c r="D70">
        <v>35</v>
      </c>
      <c r="E70">
        <v>1</v>
      </c>
      <c r="F70">
        <v>7</v>
      </c>
      <c r="G70" t="s">
        <v>59</v>
      </c>
      <c r="H70" s="1">
        <v>6</v>
      </c>
      <c r="I70" s="1">
        <v>62</v>
      </c>
      <c r="J70" s="1">
        <v>65</v>
      </c>
      <c r="K70" s="1">
        <f>J70-I70</f>
        <v>3</v>
      </c>
      <c r="L70" s="1">
        <v>51</v>
      </c>
      <c r="M70" s="1">
        <v>16</v>
      </c>
      <c r="N70" s="1">
        <v>3</v>
      </c>
      <c r="O70" s="1">
        <v>5</v>
      </c>
      <c r="P70" s="1">
        <v>2</v>
      </c>
      <c r="Q70" s="2">
        <v>0.01</v>
      </c>
      <c r="R70" s="1">
        <v>2</v>
      </c>
      <c r="S70" s="1">
        <f>R70/P70</f>
        <v>1</v>
      </c>
      <c r="T70" s="1">
        <v>5</v>
      </c>
      <c r="U70" s="1">
        <v>12.5</v>
      </c>
      <c r="V70" s="1">
        <v>36.601307189542489</v>
      </c>
      <c r="W70" s="1">
        <v>6</v>
      </c>
    </row>
    <row r="71" spans="1:23" x14ac:dyDescent="0.2">
      <c r="A71">
        <v>2020</v>
      </c>
      <c r="B71" t="s">
        <v>23</v>
      </c>
      <c r="C71" t="s">
        <v>24</v>
      </c>
      <c r="D71">
        <v>35</v>
      </c>
      <c r="E71">
        <v>2</v>
      </c>
      <c r="F71">
        <v>10</v>
      </c>
      <c r="G71" t="s">
        <v>59</v>
      </c>
      <c r="H71">
        <v>11</v>
      </c>
      <c r="I71">
        <v>60</v>
      </c>
      <c r="J71">
        <v>63</v>
      </c>
      <c r="K71">
        <v>3</v>
      </c>
      <c r="L71">
        <v>90</v>
      </c>
      <c r="M71">
        <v>22</v>
      </c>
      <c r="N71">
        <v>2</v>
      </c>
      <c r="O71">
        <v>3</v>
      </c>
      <c r="P71">
        <v>11</v>
      </c>
      <c r="Q71">
        <v>1.2</v>
      </c>
      <c r="R71">
        <v>12</v>
      </c>
      <c r="S71">
        <v>1.0909090909090908</v>
      </c>
      <c r="T71">
        <v>2.5</v>
      </c>
      <c r="U71">
        <v>12.5</v>
      </c>
      <c r="V71">
        <v>4392.1568627450979</v>
      </c>
      <c r="W71">
        <v>1</v>
      </c>
    </row>
    <row r="72" spans="1:23" x14ac:dyDescent="0.2">
      <c r="A72">
        <v>2020</v>
      </c>
      <c r="B72" t="s">
        <v>23</v>
      </c>
      <c r="C72" t="s">
        <v>24</v>
      </c>
      <c r="D72">
        <v>36</v>
      </c>
      <c r="E72">
        <v>1</v>
      </c>
      <c r="F72">
        <v>15</v>
      </c>
      <c r="G72" t="s">
        <v>60</v>
      </c>
      <c r="H72">
        <v>16</v>
      </c>
      <c r="I72">
        <v>56</v>
      </c>
      <c r="J72">
        <v>57</v>
      </c>
      <c r="K72">
        <v>1</v>
      </c>
      <c r="L72">
        <v>105</v>
      </c>
      <c r="M72">
        <v>60</v>
      </c>
      <c r="N72">
        <v>2</v>
      </c>
      <c r="O72">
        <v>3.5</v>
      </c>
      <c r="P72">
        <v>10</v>
      </c>
      <c r="Q72">
        <v>0.3</v>
      </c>
      <c r="R72">
        <v>9</v>
      </c>
      <c r="S72">
        <v>0.9</v>
      </c>
      <c r="T72">
        <v>4</v>
      </c>
      <c r="U72">
        <v>8.8000000000000007</v>
      </c>
      <c r="V72">
        <v>1144.4705882352941</v>
      </c>
      <c r="W72">
        <v>2</v>
      </c>
    </row>
    <row r="73" spans="1:23" x14ac:dyDescent="0.2">
      <c r="A73">
        <v>2020</v>
      </c>
      <c r="B73" t="s">
        <v>23</v>
      </c>
      <c r="C73" t="s">
        <v>24</v>
      </c>
      <c r="D73">
        <v>36</v>
      </c>
      <c r="E73">
        <v>2</v>
      </c>
      <c r="F73">
        <v>1</v>
      </c>
      <c r="G73" t="s">
        <v>60</v>
      </c>
      <c r="H73" s="3">
        <v>15</v>
      </c>
      <c r="I73" s="3">
        <v>62</v>
      </c>
      <c r="J73" s="3">
        <v>67</v>
      </c>
      <c r="K73" s="3">
        <f>J73-I73</f>
        <v>5</v>
      </c>
      <c r="L73" s="3">
        <v>178</v>
      </c>
      <c r="M73" s="3">
        <v>63</v>
      </c>
      <c r="N73" s="3">
        <v>2</v>
      </c>
      <c r="O73" s="3">
        <v>3.5</v>
      </c>
      <c r="P73" s="3">
        <v>12</v>
      </c>
      <c r="Q73" s="4">
        <v>0.19725000000000001</v>
      </c>
      <c r="R73" s="3">
        <v>8</v>
      </c>
      <c r="S73" s="3">
        <f>R73/P73</f>
        <v>0.66666666666666663</v>
      </c>
      <c r="T73" s="3">
        <v>5</v>
      </c>
      <c r="U73" s="3">
        <v>12.5</v>
      </c>
      <c r="V73" s="3">
        <v>721.96078431372564</v>
      </c>
      <c r="W73" s="3">
        <v>6</v>
      </c>
    </row>
    <row r="74" spans="1:23" x14ac:dyDescent="0.2">
      <c r="A74">
        <v>2020</v>
      </c>
      <c r="B74" t="s">
        <v>23</v>
      </c>
      <c r="C74" t="s">
        <v>24</v>
      </c>
      <c r="D74">
        <v>37</v>
      </c>
      <c r="E74">
        <v>1</v>
      </c>
      <c r="F74">
        <v>11</v>
      </c>
      <c r="G74" t="s">
        <v>61</v>
      </c>
      <c r="H74">
        <v>15</v>
      </c>
      <c r="I74">
        <v>56</v>
      </c>
      <c r="J74">
        <v>60</v>
      </c>
      <c r="K74">
        <v>4</v>
      </c>
      <c r="L74">
        <v>142</v>
      </c>
      <c r="M74">
        <v>90</v>
      </c>
      <c r="N74">
        <v>2</v>
      </c>
      <c r="O74">
        <v>2.5</v>
      </c>
      <c r="P74">
        <v>11</v>
      </c>
      <c r="Q74">
        <v>0.6</v>
      </c>
      <c r="R74">
        <v>10</v>
      </c>
      <c r="S74">
        <v>0.90909090909090906</v>
      </c>
      <c r="T74">
        <v>4</v>
      </c>
      <c r="U74">
        <v>11.2</v>
      </c>
      <c r="V74">
        <v>2228.705882352941</v>
      </c>
      <c r="W74">
        <v>2</v>
      </c>
    </row>
    <row r="75" spans="1:23" x14ac:dyDescent="0.2">
      <c r="A75">
        <v>2020</v>
      </c>
      <c r="B75" t="s">
        <v>23</v>
      </c>
      <c r="C75" t="s">
        <v>24</v>
      </c>
      <c r="D75">
        <v>37</v>
      </c>
      <c r="E75">
        <v>2</v>
      </c>
      <c r="F75">
        <v>1</v>
      </c>
      <c r="G75" t="s">
        <v>61</v>
      </c>
      <c r="H75" s="1">
        <v>14</v>
      </c>
      <c r="I75" s="1">
        <v>56</v>
      </c>
      <c r="J75" s="1">
        <v>59</v>
      </c>
      <c r="K75" s="1">
        <f>J75-I75</f>
        <v>3</v>
      </c>
      <c r="L75" s="1">
        <v>170</v>
      </c>
      <c r="M75" s="1">
        <v>101</v>
      </c>
      <c r="N75" s="1">
        <v>2</v>
      </c>
      <c r="O75" s="1">
        <v>2</v>
      </c>
      <c r="P75" s="1">
        <f>H75</f>
        <v>14</v>
      </c>
      <c r="Q75" s="2">
        <v>6.9187499999999999E-2</v>
      </c>
      <c r="R75" s="1">
        <v>14</v>
      </c>
      <c r="S75" s="1">
        <f>R75/P75</f>
        <v>1</v>
      </c>
      <c r="T75" s="1">
        <v>4</v>
      </c>
      <c r="U75" s="1">
        <v>12.5</v>
      </c>
      <c r="V75" s="1">
        <v>253.23529411764704</v>
      </c>
      <c r="W75" s="1">
        <v>4</v>
      </c>
    </row>
    <row r="76" spans="1:23" x14ac:dyDescent="0.2">
      <c r="A76">
        <v>2020</v>
      </c>
      <c r="B76" t="s">
        <v>23</v>
      </c>
      <c r="C76" t="s">
        <v>24</v>
      </c>
      <c r="D76">
        <v>38</v>
      </c>
      <c r="E76">
        <v>1</v>
      </c>
      <c r="F76">
        <v>4</v>
      </c>
      <c r="G76" t="s">
        <v>62</v>
      </c>
      <c r="H76">
        <v>11</v>
      </c>
      <c r="I76">
        <v>50</v>
      </c>
      <c r="J76">
        <v>52</v>
      </c>
      <c r="K76">
        <v>2</v>
      </c>
      <c r="L76">
        <v>136</v>
      </c>
      <c r="M76">
        <v>65</v>
      </c>
      <c r="N76">
        <v>2</v>
      </c>
      <c r="O76">
        <v>2</v>
      </c>
      <c r="P76">
        <v>13</v>
      </c>
      <c r="Q76">
        <v>0.3</v>
      </c>
      <c r="R76">
        <v>10</v>
      </c>
      <c r="S76">
        <v>0.76923076923076927</v>
      </c>
      <c r="T76">
        <v>3</v>
      </c>
      <c r="U76">
        <v>7.6</v>
      </c>
      <c r="V76">
        <v>1159.5294117647059</v>
      </c>
      <c r="W76">
        <v>2</v>
      </c>
    </row>
    <row r="77" spans="1:23" x14ac:dyDescent="0.2">
      <c r="A77">
        <v>2020</v>
      </c>
      <c r="B77" t="s">
        <v>23</v>
      </c>
      <c r="C77" t="s">
        <v>24</v>
      </c>
      <c r="D77">
        <v>38</v>
      </c>
      <c r="E77">
        <v>2</v>
      </c>
      <c r="F77">
        <v>11</v>
      </c>
      <c r="G77" t="s">
        <v>62</v>
      </c>
      <c r="H77" s="3">
        <v>7</v>
      </c>
      <c r="I77" s="3">
        <v>66</v>
      </c>
      <c r="J77" s="3">
        <v>68</v>
      </c>
      <c r="K77" s="3">
        <f>J77-I77</f>
        <v>2</v>
      </c>
      <c r="L77" s="3">
        <v>187</v>
      </c>
      <c r="M77" s="3">
        <v>92</v>
      </c>
      <c r="N77" s="3">
        <v>2</v>
      </c>
      <c r="O77" s="3">
        <v>2.5</v>
      </c>
      <c r="P77" s="3">
        <v>6</v>
      </c>
      <c r="Q77" s="4">
        <v>0.41599999999999998</v>
      </c>
      <c r="R77" s="3">
        <v>6</v>
      </c>
      <c r="S77" s="3">
        <f>R77/P77</f>
        <v>1</v>
      </c>
      <c r="T77" s="3">
        <v>4</v>
      </c>
      <c r="U77" s="3">
        <v>11.1</v>
      </c>
      <c r="V77" s="3">
        <v>1546.9762091503269</v>
      </c>
      <c r="W77" s="3">
        <v>5</v>
      </c>
    </row>
    <row r="78" spans="1:23" x14ac:dyDescent="0.2">
      <c r="A78">
        <v>2020</v>
      </c>
      <c r="B78" t="s">
        <v>23</v>
      </c>
      <c r="C78" t="s">
        <v>24</v>
      </c>
      <c r="D78">
        <v>39</v>
      </c>
      <c r="E78">
        <v>1</v>
      </c>
      <c r="F78">
        <v>7</v>
      </c>
      <c r="G78" t="s">
        <v>63</v>
      </c>
      <c r="H78">
        <v>13</v>
      </c>
      <c r="I78">
        <v>51</v>
      </c>
      <c r="J78">
        <v>52</v>
      </c>
      <c r="K78">
        <v>1</v>
      </c>
      <c r="L78">
        <v>186</v>
      </c>
      <c r="M78">
        <v>48</v>
      </c>
      <c r="N78">
        <v>2</v>
      </c>
      <c r="O78">
        <v>2</v>
      </c>
      <c r="P78">
        <v>9</v>
      </c>
      <c r="Q78">
        <v>0.5</v>
      </c>
      <c r="R78">
        <v>9</v>
      </c>
      <c r="S78">
        <v>1</v>
      </c>
      <c r="T78">
        <v>2</v>
      </c>
      <c r="U78">
        <v>9.6</v>
      </c>
      <c r="V78">
        <v>1890.7189542483659</v>
      </c>
      <c r="W78">
        <v>2</v>
      </c>
    </row>
    <row r="79" spans="1:23" x14ac:dyDescent="0.2">
      <c r="A79">
        <v>2020</v>
      </c>
      <c r="B79" t="s">
        <v>23</v>
      </c>
      <c r="C79" t="s">
        <v>24</v>
      </c>
      <c r="D79">
        <v>39</v>
      </c>
      <c r="E79">
        <v>2</v>
      </c>
      <c r="F79">
        <v>2</v>
      </c>
      <c r="G79" t="s">
        <v>63</v>
      </c>
      <c r="H79" s="1">
        <v>5</v>
      </c>
      <c r="I79" s="1">
        <v>57</v>
      </c>
      <c r="J79" s="1">
        <v>61</v>
      </c>
      <c r="K79" s="1">
        <f t="shared" ref="K79:K85" si="4">J79-I79</f>
        <v>4</v>
      </c>
      <c r="L79" s="1">
        <v>95</v>
      </c>
      <c r="M79" s="1">
        <v>39</v>
      </c>
      <c r="N79" s="1">
        <v>1.5</v>
      </c>
      <c r="O79" s="1">
        <v>4</v>
      </c>
      <c r="P79" s="1">
        <v>3</v>
      </c>
      <c r="Q79" s="2">
        <v>0.14599999999999999</v>
      </c>
      <c r="R79" s="1">
        <v>3</v>
      </c>
      <c r="S79" s="1">
        <f t="shared" ref="S79:S85" si="5">R79/P79</f>
        <v>1</v>
      </c>
      <c r="T79" s="1">
        <v>5</v>
      </c>
      <c r="U79" s="1">
        <v>12.5</v>
      </c>
      <c r="V79" s="1">
        <v>534.37908496732018</v>
      </c>
      <c r="W79" s="1">
        <v>4</v>
      </c>
    </row>
    <row r="80" spans="1:23" x14ac:dyDescent="0.2">
      <c r="A80">
        <v>2020</v>
      </c>
      <c r="B80" t="s">
        <v>23</v>
      </c>
      <c r="C80" t="s">
        <v>24</v>
      </c>
      <c r="D80">
        <v>40</v>
      </c>
      <c r="E80">
        <v>1</v>
      </c>
      <c r="F80">
        <v>14</v>
      </c>
      <c r="G80" t="s">
        <v>64</v>
      </c>
      <c r="H80" s="1">
        <v>3</v>
      </c>
      <c r="I80" s="1">
        <v>62</v>
      </c>
      <c r="J80" s="1">
        <v>66</v>
      </c>
      <c r="K80" s="1">
        <f t="shared" si="4"/>
        <v>4</v>
      </c>
      <c r="L80" s="1">
        <v>154</v>
      </c>
      <c r="M80" s="1">
        <v>55</v>
      </c>
      <c r="N80" s="1">
        <v>1.5</v>
      </c>
      <c r="O80" s="1">
        <v>4.5</v>
      </c>
      <c r="P80" s="1">
        <v>2</v>
      </c>
      <c r="Q80" s="2">
        <v>3.7399999999999996E-2</v>
      </c>
      <c r="R80" s="1">
        <v>1</v>
      </c>
      <c r="S80" s="1">
        <f t="shared" si="5"/>
        <v>0.5</v>
      </c>
      <c r="T80" s="1">
        <v>5</v>
      </c>
      <c r="U80" s="1">
        <v>12.5</v>
      </c>
      <c r="V80" s="1">
        <v>136.88888888888889</v>
      </c>
      <c r="W80" s="1">
        <v>3</v>
      </c>
    </row>
    <row r="81" spans="1:23" x14ac:dyDescent="0.2">
      <c r="A81">
        <v>2020</v>
      </c>
      <c r="B81" t="s">
        <v>23</v>
      </c>
      <c r="C81" t="s">
        <v>24</v>
      </c>
      <c r="D81">
        <v>40</v>
      </c>
      <c r="E81">
        <v>2</v>
      </c>
      <c r="F81">
        <v>8</v>
      </c>
      <c r="G81" t="s">
        <v>64</v>
      </c>
      <c r="H81" s="1">
        <v>3</v>
      </c>
      <c r="I81" s="1">
        <v>60</v>
      </c>
      <c r="J81" s="1">
        <v>65</v>
      </c>
      <c r="K81" s="1">
        <f t="shared" si="4"/>
        <v>5</v>
      </c>
      <c r="L81" s="1">
        <v>138</v>
      </c>
      <c r="M81" s="1">
        <v>93</v>
      </c>
      <c r="N81" s="1">
        <v>2</v>
      </c>
      <c r="O81" s="1">
        <v>2.5</v>
      </c>
      <c r="P81" s="1">
        <f>H81-1</f>
        <v>2</v>
      </c>
      <c r="Q81" s="2">
        <v>0.14324999999999999</v>
      </c>
      <c r="R81" s="1">
        <v>3</v>
      </c>
      <c r="S81" s="1">
        <f t="shared" si="5"/>
        <v>1.5</v>
      </c>
      <c r="T81" s="1">
        <v>2</v>
      </c>
      <c r="U81" s="1">
        <v>12.5</v>
      </c>
      <c r="V81" s="1">
        <v>524.31372549019613</v>
      </c>
      <c r="W81" s="1">
        <v>3</v>
      </c>
    </row>
    <row r="82" spans="1:23" x14ac:dyDescent="0.2">
      <c r="A82">
        <v>2020</v>
      </c>
      <c r="B82" t="s">
        <v>23</v>
      </c>
      <c r="C82" t="s">
        <v>24</v>
      </c>
      <c r="D82">
        <v>41</v>
      </c>
      <c r="E82">
        <v>1</v>
      </c>
      <c r="F82">
        <v>11</v>
      </c>
      <c r="G82" t="s">
        <v>65</v>
      </c>
      <c r="H82" s="1">
        <v>5</v>
      </c>
      <c r="I82" s="1">
        <v>58</v>
      </c>
      <c r="J82" s="1">
        <v>63</v>
      </c>
      <c r="K82" s="1">
        <f t="shared" si="4"/>
        <v>5</v>
      </c>
      <c r="L82" s="1">
        <v>60</v>
      </c>
      <c r="M82" s="1">
        <v>11</v>
      </c>
      <c r="N82" s="1">
        <v>1.5</v>
      </c>
      <c r="O82" s="1">
        <v>4.5</v>
      </c>
      <c r="P82" s="1">
        <v>4</v>
      </c>
      <c r="Q82" s="2">
        <v>3.5000000000000003E-2</v>
      </c>
      <c r="R82" s="1">
        <v>1</v>
      </c>
      <c r="S82" s="1">
        <f t="shared" si="5"/>
        <v>0.25</v>
      </c>
      <c r="T82" s="1">
        <v>5</v>
      </c>
      <c r="U82" s="1">
        <v>12.5</v>
      </c>
      <c r="V82" s="1">
        <v>128.10457516339872</v>
      </c>
      <c r="W82" s="1">
        <v>6</v>
      </c>
    </row>
    <row r="83" spans="1:23" x14ac:dyDescent="0.2">
      <c r="A83">
        <v>2020</v>
      </c>
      <c r="B83" t="s">
        <v>23</v>
      </c>
      <c r="C83" t="s">
        <v>24</v>
      </c>
      <c r="D83">
        <v>41</v>
      </c>
      <c r="E83">
        <v>2</v>
      </c>
      <c r="F83">
        <v>7</v>
      </c>
      <c r="G83" t="s">
        <v>65</v>
      </c>
      <c r="H83" s="1">
        <v>13</v>
      </c>
      <c r="I83" s="1">
        <v>61</v>
      </c>
      <c r="J83" s="1">
        <v>64</v>
      </c>
      <c r="K83" s="1">
        <f t="shared" si="4"/>
        <v>3</v>
      </c>
      <c r="L83" s="1">
        <v>155</v>
      </c>
      <c r="M83" s="1">
        <v>83</v>
      </c>
      <c r="N83" s="1">
        <v>2</v>
      </c>
      <c r="O83" s="1">
        <v>3</v>
      </c>
      <c r="P83" s="1">
        <v>10</v>
      </c>
      <c r="Q83" s="2">
        <v>0.30404999999999993</v>
      </c>
      <c r="R83" s="1">
        <v>10</v>
      </c>
      <c r="S83" s="1">
        <f t="shared" si="5"/>
        <v>1</v>
      </c>
      <c r="T83" s="1">
        <v>5</v>
      </c>
      <c r="U83" s="1">
        <v>9.1999999999999993</v>
      </c>
      <c r="V83" s="1">
        <v>1154.8335686274504</v>
      </c>
      <c r="W83" s="1">
        <v>5</v>
      </c>
    </row>
    <row r="84" spans="1:23" x14ac:dyDescent="0.2">
      <c r="A84">
        <v>2020</v>
      </c>
      <c r="B84" t="s">
        <v>23</v>
      </c>
      <c r="C84" t="s">
        <v>24</v>
      </c>
      <c r="D84">
        <v>42</v>
      </c>
      <c r="E84">
        <v>1</v>
      </c>
      <c r="F84">
        <v>6</v>
      </c>
      <c r="G84" t="s">
        <v>66</v>
      </c>
      <c r="H84" s="1">
        <v>12</v>
      </c>
      <c r="I84" s="1">
        <v>63</v>
      </c>
      <c r="J84" s="1">
        <v>66</v>
      </c>
      <c r="K84" s="1">
        <f t="shared" si="4"/>
        <v>3</v>
      </c>
      <c r="L84" s="1">
        <v>122</v>
      </c>
      <c r="M84" s="1">
        <v>48</v>
      </c>
      <c r="N84" s="1">
        <v>2.5</v>
      </c>
      <c r="O84" s="1">
        <v>4</v>
      </c>
      <c r="P84" s="1">
        <v>10</v>
      </c>
      <c r="Q84" s="2">
        <v>0.53400000000000003</v>
      </c>
      <c r="R84" s="1">
        <v>10</v>
      </c>
      <c r="S84" s="1">
        <f t="shared" si="5"/>
        <v>1</v>
      </c>
      <c r="T84" s="1">
        <v>4.5</v>
      </c>
      <c r="U84" s="1">
        <v>12.5</v>
      </c>
      <c r="V84" s="1">
        <v>1954.5098039215688</v>
      </c>
      <c r="W84" s="1">
        <v>4</v>
      </c>
    </row>
    <row r="85" spans="1:23" x14ac:dyDescent="0.2">
      <c r="A85">
        <v>2020</v>
      </c>
      <c r="B85" t="s">
        <v>23</v>
      </c>
      <c r="C85" t="s">
        <v>24</v>
      </c>
      <c r="D85">
        <v>42</v>
      </c>
      <c r="E85">
        <v>2</v>
      </c>
      <c r="F85">
        <v>6</v>
      </c>
      <c r="G85" t="s">
        <v>66</v>
      </c>
      <c r="H85" s="1">
        <v>7</v>
      </c>
      <c r="I85" s="1">
        <v>66</v>
      </c>
      <c r="J85" s="1">
        <v>70</v>
      </c>
      <c r="K85" s="1">
        <f t="shared" si="4"/>
        <v>4</v>
      </c>
      <c r="L85" s="1">
        <v>130</v>
      </c>
      <c r="M85" s="1">
        <v>65</v>
      </c>
      <c r="N85" s="1">
        <v>3</v>
      </c>
      <c r="O85" s="1">
        <v>4</v>
      </c>
      <c r="P85" s="1">
        <v>4</v>
      </c>
      <c r="Q85" s="2">
        <v>2.01E-2</v>
      </c>
      <c r="R85" s="1">
        <v>3</v>
      </c>
      <c r="S85" s="1">
        <f t="shared" si="5"/>
        <v>0.75</v>
      </c>
      <c r="T85" s="1">
        <v>5</v>
      </c>
      <c r="U85" s="1">
        <v>12.5</v>
      </c>
      <c r="V85" s="1">
        <v>73.568627450980387</v>
      </c>
      <c r="W85" s="1">
        <v>5</v>
      </c>
    </row>
    <row r="86" spans="1:23" x14ac:dyDescent="0.2">
      <c r="A86">
        <v>2020</v>
      </c>
      <c r="B86" t="s">
        <v>23</v>
      </c>
      <c r="C86" t="s">
        <v>24</v>
      </c>
      <c r="D86">
        <v>43</v>
      </c>
      <c r="E86">
        <v>1</v>
      </c>
      <c r="F86">
        <v>9</v>
      </c>
      <c r="G86" t="s">
        <v>67</v>
      </c>
      <c r="H86">
        <v>14</v>
      </c>
      <c r="I86">
        <v>58</v>
      </c>
      <c r="J86">
        <v>60</v>
      </c>
      <c r="K86">
        <v>2</v>
      </c>
      <c r="L86">
        <v>157</v>
      </c>
      <c r="M86">
        <v>44</v>
      </c>
      <c r="N86">
        <v>2</v>
      </c>
      <c r="O86">
        <v>1.5</v>
      </c>
      <c r="P86">
        <v>13</v>
      </c>
      <c r="Q86">
        <v>1.5</v>
      </c>
      <c r="R86">
        <v>13</v>
      </c>
      <c r="S86">
        <v>1</v>
      </c>
      <c r="T86">
        <v>3</v>
      </c>
      <c r="U86">
        <v>13.6</v>
      </c>
      <c r="V86">
        <v>5421.176470588236</v>
      </c>
      <c r="W86">
        <v>2</v>
      </c>
    </row>
    <row r="87" spans="1:23" x14ac:dyDescent="0.2">
      <c r="A87">
        <v>2020</v>
      </c>
      <c r="B87" t="s">
        <v>23</v>
      </c>
      <c r="C87" t="s">
        <v>24</v>
      </c>
      <c r="D87">
        <v>43</v>
      </c>
      <c r="E87">
        <v>2</v>
      </c>
      <c r="F87">
        <v>3</v>
      </c>
      <c r="G87" t="s">
        <v>67</v>
      </c>
      <c r="H87" s="1">
        <v>10</v>
      </c>
      <c r="I87" s="1">
        <v>62</v>
      </c>
      <c r="J87" s="1">
        <v>67</v>
      </c>
      <c r="K87" s="1">
        <f>J87-I87</f>
        <v>5</v>
      </c>
      <c r="L87" s="1">
        <v>60</v>
      </c>
      <c r="M87" s="1">
        <v>21</v>
      </c>
      <c r="N87" s="1">
        <v>2</v>
      </c>
      <c r="O87" s="1">
        <v>5</v>
      </c>
      <c r="P87" s="1">
        <v>5</v>
      </c>
      <c r="Q87" s="2">
        <v>7.8E-2</v>
      </c>
      <c r="R87" s="1">
        <v>2</v>
      </c>
      <c r="S87" s="1">
        <f>R87/P87</f>
        <v>0.4</v>
      </c>
      <c r="T87" s="1">
        <v>5</v>
      </c>
      <c r="U87" s="1">
        <v>12.5</v>
      </c>
      <c r="V87" s="1">
        <v>285.49019607843138</v>
      </c>
      <c r="W87" s="1">
        <v>5</v>
      </c>
    </row>
    <row r="88" spans="1:23" x14ac:dyDescent="0.2">
      <c r="A88">
        <v>2020</v>
      </c>
      <c r="B88" t="s">
        <v>23</v>
      </c>
      <c r="C88" t="s">
        <v>24</v>
      </c>
      <c r="D88">
        <v>44</v>
      </c>
      <c r="E88">
        <v>1</v>
      </c>
      <c r="F88">
        <v>12</v>
      </c>
      <c r="G88" t="s">
        <v>68</v>
      </c>
      <c r="H88">
        <v>5</v>
      </c>
      <c r="I88">
        <v>59</v>
      </c>
      <c r="J88">
        <v>62</v>
      </c>
      <c r="K88">
        <v>3</v>
      </c>
      <c r="L88">
        <v>135</v>
      </c>
      <c r="M88">
        <v>60</v>
      </c>
      <c r="N88">
        <v>1.5</v>
      </c>
      <c r="O88">
        <v>2.5</v>
      </c>
      <c r="P88">
        <v>5</v>
      </c>
      <c r="Q88">
        <v>0.3</v>
      </c>
      <c r="R88">
        <v>4</v>
      </c>
      <c r="S88">
        <v>0.8</v>
      </c>
      <c r="T88" t="s">
        <v>273</v>
      </c>
      <c r="U88">
        <v>12.5</v>
      </c>
      <c r="V88">
        <v>1098.0392156862745</v>
      </c>
      <c r="W88">
        <v>1</v>
      </c>
    </row>
    <row r="89" spans="1:23" x14ac:dyDescent="0.2">
      <c r="A89">
        <v>2020</v>
      </c>
      <c r="B89" t="s">
        <v>23</v>
      </c>
      <c r="C89" t="s">
        <v>24</v>
      </c>
      <c r="D89">
        <v>44</v>
      </c>
      <c r="E89">
        <v>2</v>
      </c>
      <c r="F89">
        <v>6</v>
      </c>
      <c r="G89" t="s">
        <v>68</v>
      </c>
      <c r="H89" s="1">
        <v>1</v>
      </c>
      <c r="I89" s="1">
        <v>69</v>
      </c>
      <c r="J89" s="1">
        <v>73</v>
      </c>
      <c r="K89" s="1">
        <f>J89-I89</f>
        <v>4</v>
      </c>
      <c r="L89" s="1">
        <v>121</v>
      </c>
      <c r="M89" s="1">
        <v>40</v>
      </c>
      <c r="N89" s="1">
        <v>1.5</v>
      </c>
      <c r="O89" s="1">
        <v>3.5</v>
      </c>
      <c r="P89" s="1">
        <v>1</v>
      </c>
      <c r="Q89" s="2">
        <v>6.9199999999999984E-2</v>
      </c>
      <c r="R89" s="1">
        <v>2</v>
      </c>
      <c r="S89" s="1">
        <f>R89/P89</f>
        <v>2</v>
      </c>
      <c r="T89" s="1">
        <v>5</v>
      </c>
      <c r="U89" s="1">
        <v>12.5</v>
      </c>
      <c r="V89" s="1">
        <v>253.28104575163394</v>
      </c>
      <c r="W89" s="1">
        <v>2</v>
      </c>
    </row>
    <row r="90" spans="1:23" x14ac:dyDescent="0.2">
      <c r="A90">
        <v>2020</v>
      </c>
      <c r="B90" t="s">
        <v>23</v>
      </c>
      <c r="C90" t="s">
        <v>24</v>
      </c>
      <c r="D90">
        <v>45</v>
      </c>
      <c r="E90">
        <v>1</v>
      </c>
      <c r="F90">
        <v>6</v>
      </c>
      <c r="G90" t="s">
        <v>69</v>
      </c>
      <c r="H90" s="3">
        <v>2</v>
      </c>
      <c r="I90" s="3">
        <v>68</v>
      </c>
      <c r="J90" s="3">
        <v>70</v>
      </c>
      <c r="K90" s="3">
        <f>J90-I90</f>
        <v>2</v>
      </c>
      <c r="L90" s="3">
        <v>107</v>
      </c>
      <c r="M90" s="3">
        <v>65</v>
      </c>
      <c r="N90" s="3">
        <v>1.5</v>
      </c>
      <c r="O90" s="3">
        <v>5</v>
      </c>
      <c r="P90" s="3">
        <v>1</v>
      </c>
      <c r="Q90" s="4">
        <v>1.4E-2</v>
      </c>
      <c r="R90" s="3">
        <v>1</v>
      </c>
      <c r="S90" s="3">
        <f>R90/P90</f>
        <v>1</v>
      </c>
      <c r="T90" s="3">
        <v>5</v>
      </c>
      <c r="U90" s="3">
        <v>12.5</v>
      </c>
      <c r="V90" s="3">
        <v>51.24183006535948</v>
      </c>
      <c r="W90" s="3">
        <v>4</v>
      </c>
    </row>
    <row r="91" spans="1:23" x14ac:dyDescent="0.2">
      <c r="A91">
        <v>2020</v>
      </c>
      <c r="B91" t="s">
        <v>23</v>
      </c>
      <c r="C91" t="s">
        <v>24</v>
      </c>
      <c r="D91">
        <v>45</v>
      </c>
      <c r="E91">
        <v>2</v>
      </c>
      <c r="F91">
        <v>15</v>
      </c>
      <c r="G91" t="s">
        <v>69</v>
      </c>
      <c r="H91" s="1">
        <v>10</v>
      </c>
      <c r="I91" s="1">
        <v>64</v>
      </c>
      <c r="J91" s="1">
        <v>68</v>
      </c>
      <c r="K91" s="1">
        <f>J91-I91</f>
        <v>4</v>
      </c>
      <c r="L91" s="1">
        <v>131</v>
      </c>
      <c r="M91" s="1">
        <v>75</v>
      </c>
      <c r="N91" s="1">
        <v>2</v>
      </c>
      <c r="O91" s="1">
        <v>4</v>
      </c>
      <c r="P91" s="1">
        <v>5</v>
      </c>
      <c r="Q91" s="2">
        <v>0.27107999999999999</v>
      </c>
      <c r="R91" s="1">
        <v>5</v>
      </c>
      <c r="S91" s="1">
        <f>R91/P91</f>
        <v>1</v>
      </c>
      <c r="T91" s="1">
        <v>5</v>
      </c>
      <c r="U91" s="1">
        <v>12.5</v>
      </c>
      <c r="V91" s="1">
        <v>992.1882352941177</v>
      </c>
      <c r="W91" s="1">
        <v>7</v>
      </c>
    </row>
    <row r="92" spans="1:23" x14ac:dyDescent="0.2">
      <c r="A92">
        <v>2020</v>
      </c>
      <c r="B92" t="s">
        <v>23</v>
      </c>
      <c r="C92" t="s">
        <v>24</v>
      </c>
      <c r="D92">
        <v>46</v>
      </c>
      <c r="E92">
        <v>1</v>
      </c>
      <c r="F92">
        <v>15</v>
      </c>
      <c r="G92" t="s">
        <v>70</v>
      </c>
      <c r="H92">
        <v>5</v>
      </c>
      <c r="I92">
        <v>57</v>
      </c>
      <c r="J92">
        <v>60</v>
      </c>
      <c r="K92">
        <v>3</v>
      </c>
      <c r="L92">
        <v>103</v>
      </c>
      <c r="M92">
        <v>36</v>
      </c>
      <c r="N92">
        <v>3</v>
      </c>
      <c r="O92">
        <v>4</v>
      </c>
      <c r="P92">
        <v>4</v>
      </c>
      <c r="Q92">
        <v>0.123</v>
      </c>
      <c r="R92">
        <v>4</v>
      </c>
      <c r="S92">
        <v>1</v>
      </c>
      <c r="T92">
        <v>3</v>
      </c>
      <c r="U92">
        <v>12.5</v>
      </c>
      <c r="V92">
        <v>450.1960784313726</v>
      </c>
      <c r="W92">
        <v>2</v>
      </c>
    </row>
    <row r="93" spans="1:23" x14ac:dyDescent="0.2">
      <c r="A93">
        <v>2020</v>
      </c>
      <c r="B93" t="s">
        <v>23</v>
      </c>
      <c r="C93" t="s">
        <v>24</v>
      </c>
      <c r="D93">
        <v>46</v>
      </c>
      <c r="E93">
        <v>2</v>
      </c>
      <c r="F93">
        <v>8</v>
      </c>
      <c r="G93" t="s">
        <v>70</v>
      </c>
      <c r="H93">
        <v>15</v>
      </c>
      <c r="I93">
        <v>52</v>
      </c>
      <c r="J93">
        <v>55</v>
      </c>
      <c r="K93">
        <v>3</v>
      </c>
      <c r="L93">
        <v>150</v>
      </c>
      <c r="M93">
        <v>74</v>
      </c>
      <c r="N93">
        <v>2</v>
      </c>
      <c r="O93">
        <v>1.5</v>
      </c>
      <c r="P93">
        <v>13</v>
      </c>
      <c r="Q93">
        <v>1</v>
      </c>
      <c r="R93">
        <v>11</v>
      </c>
      <c r="S93">
        <v>0.84615384615384615</v>
      </c>
      <c r="T93">
        <v>3</v>
      </c>
      <c r="U93">
        <v>8</v>
      </c>
      <c r="V93">
        <v>3848.3660130718949</v>
      </c>
      <c r="W93">
        <v>1</v>
      </c>
    </row>
    <row r="94" spans="1:23" x14ac:dyDescent="0.2">
      <c r="A94">
        <v>2020</v>
      </c>
      <c r="B94" t="s">
        <v>23</v>
      </c>
      <c r="C94" t="s">
        <v>24</v>
      </c>
      <c r="D94">
        <v>47</v>
      </c>
      <c r="E94">
        <v>1</v>
      </c>
      <c r="F94">
        <v>1</v>
      </c>
      <c r="G94" t="s">
        <v>71</v>
      </c>
      <c r="H94" s="1">
        <v>7</v>
      </c>
      <c r="I94" s="1">
        <v>61</v>
      </c>
      <c r="J94" s="1">
        <v>66</v>
      </c>
      <c r="K94" s="1">
        <f>J94-I94</f>
        <v>5</v>
      </c>
      <c r="L94" s="1">
        <v>90</v>
      </c>
      <c r="M94" s="1">
        <v>25</v>
      </c>
      <c r="N94" s="1">
        <v>3</v>
      </c>
      <c r="O94" s="1">
        <v>5</v>
      </c>
      <c r="P94" s="1">
        <v>3</v>
      </c>
      <c r="Q94" s="2">
        <v>0.107</v>
      </c>
      <c r="R94" s="1">
        <v>3</v>
      </c>
      <c r="S94" s="1">
        <f>R94/P94</f>
        <v>1</v>
      </c>
      <c r="T94" s="1">
        <v>5</v>
      </c>
      <c r="U94" s="1">
        <v>12.5</v>
      </c>
      <c r="V94" s="1">
        <v>391.63398692810449</v>
      </c>
      <c r="W94" s="1">
        <v>5</v>
      </c>
    </row>
    <row r="95" spans="1:23" x14ac:dyDescent="0.2">
      <c r="A95">
        <v>2020</v>
      </c>
      <c r="B95" t="s">
        <v>23</v>
      </c>
      <c r="C95" t="s">
        <v>24</v>
      </c>
      <c r="D95">
        <v>47</v>
      </c>
      <c r="E95">
        <v>2</v>
      </c>
      <c r="F95">
        <v>14</v>
      </c>
      <c r="G95" t="s">
        <v>71</v>
      </c>
      <c r="H95" s="1">
        <v>6</v>
      </c>
      <c r="I95" s="1">
        <v>62</v>
      </c>
      <c r="J95" s="1">
        <v>66</v>
      </c>
      <c r="K95" s="1">
        <f>J95-I95</f>
        <v>4</v>
      </c>
      <c r="L95" s="1">
        <v>156</v>
      </c>
      <c r="M95" s="1">
        <v>65</v>
      </c>
      <c r="N95" s="1">
        <v>2</v>
      </c>
      <c r="O95" s="1">
        <v>3.5</v>
      </c>
      <c r="P95" s="1">
        <v>4</v>
      </c>
      <c r="Q95" s="2">
        <v>4.6799999999999994E-2</v>
      </c>
      <c r="R95" s="1">
        <v>2</v>
      </c>
      <c r="S95" s="1">
        <f>R95/P95</f>
        <v>0.5</v>
      </c>
      <c r="T95" s="1">
        <v>3.5</v>
      </c>
      <c r="U95" s="1">
        <v>12.5</v>
      </c>
      <c r="V95" s="1">
        <v>171.29411764705884</v>
      </c>
      <c r="W95" s="1">
        <v>5</v>
      </c>
    </row>
    <row r="96" spans="1:23" x14ac:dyDescent="0.2">
      <c r="A96">
        <v>2020</v>
      </c>
      <c r="B96" t="s">
        <v>23</v>
      </c>
      <c r="C96" t="s">
        <v>24</v>
      </c>
      <c r="D96">
        <v>48</v>
      </c>
      <c r="E96">
        <v>1</v>
      </c>
      <c r="F96">
        <v>15</v>
      </c>
      <c r="G96" t="s">
        <v>72</v>
      </c>
      <c r="H96" s="3">
        <v>7</v>
      </c>
      <c r="I96" s="3">
        <v>69</v>
      </c>
      <c r="J96" s="3">
        <v>72</v>
      </c>
      <c r="K96" s="3">
        <f>J96-I96</f>
        <v>3</v>
      </c>
      <c r="L96" s="3">
        <v>188</v>
      </c>
      <c r="M96" s="3">
        <v>71</v>
      </c>
      <c r="N96" s="3">
        <v>2</v>
      </c>
      <c r="O96" s="3">
        <v>2.5</v>
      </c>
      <c r="P96" s="3">
        <f>H96-1</f>
        <v>6</v>
      </c>
      <c r="Q96" s="4">
        <v>5.7000000000000002E-2</v>
      </c>
      <c r="R96" s="3">
        <v>5</v>
      </c>
      <c r="S96" s="3">
        <f>R96/P96</f>
        <v>0.83333333333333337</v>
      </c>
      <c r="T96" s="3">
        <v>3</v>
      </c>
      <c r="U96" s="3">
        <v>12.5</v>
      </c>
      <c r="V96" s="3">
        <v>208.62745098039215</v>
      </c>
      <c r="W96" s="3">
        <v>4</v>
      </c>
    </row>
    <row r="97" spans="1:23" x14ac:dyDescent="0.2">
      <c r="A97">
        <v>2020</v>
      </c>
      <c r="B97" t="s">
        <v>23</v>
      </c>
      <c r="C97" t="s">
        <v>24</v>
      </c>
      <c r="D97">
        <v>48</v>
      </c>
      <c r="E97">
        <v>2</v>
      </c>
      <c r="F97">
        <v>11</v>
      </c>
      <c r="G97" t="s">
        <v>72</v>
      </c>
      <c r="H97" s="1">
        <v>8</v>
      </c>
      <c r="I97" s="1">
        <v>62</v>
      </c>
      <c r="J97" s="1">
        <v>68</v>
      </c>
      <c r="K97" s="1">
        <f>J97-I97</f>
        <v>6</v>
      </c>
      <c r="L97" s="1">
        <v>125</v>
      </c>
      <c r="M97" s="1">
        <v>60</v>
      </c>
      <c r="N97" s="1">
        <v>2</v>
      </c>
      <c r="O97" s="1">
        <v>3.5</v>
      </c>
      <c r="P97" s="1">
        <f>H97-1</f>
        <v>7</v>
      </c>
      <c r="Q97" s="2">
        <v>8.6749999999999994E-2</v>
      </c>
      <c r="R97" s="1">
        <v>4</v>
      </c>
      <c r="S97" s="1">
        <f>R97/P97</f>
        <v>0.5714285714285714</v>
      </c>
      <c r="T97" s="1">
        <v>5</v>
      </c>
      <c r="U97" s="1">
        <v>12.5</v>
      </c>
      <c r="V97" s="1">
        <v>317.51633986928101</v>
      </c>
      <c r="W97" s="1">
        <v>5</v>
      </c>
    </row>
    <row r="98" spans="1:23" x14ac:dyDescent="0.2">
      <c r="A98">
        <v>2020</v>
      </c>
      <c r="B98" t="s">
        <v>23</v>
      </c>
      <c r="C98" t="s">
        <v>24</v>
      </c>
      <c r="D98">
        <v>49</v>
      </c>
      <c r="E98">
        <v>1</v>
      </c>
      <c r="F98">
        <v>3</v>
      </c>
      <c r="G98" t="s">
        <v>73</v>
      </c>
      <c r="H98">
        <v>8</v>
      </c>
      <c r="I98">
        <v>63</v>
      </c>
      <c r="J98">
        <v>65</v>
      </c>
      <c r="K98">
        <v>2</v>
      </c>
      <c r="L98">
        <v>149</v>
      </c>
      <c r="M98">
        <v>77</v>
      </c>
      <c r="N98">
        <v>1.5</v>
      </c>
      <c r="O98">
        <v>3.5</v>
      </c>
      <c r="P98">
        <v>8</v>
      </c>
      <c r="Q98">
        <v>0.8</v>
      </c>
      <c r="R98">
        <v>8</v>
      </c>
      <c r="S98">
        <v>1</v>
      </c>
      <c r="T98">
        <v>3.5</v>
      </c>
      <c r="U98">
        <v>12.5</v>
      </c>
      <c r="V98">
        <v>2928.1045751633987</v>
      </c>
      <c r="W98">
        <v>2</v>
      </c>
    </row>
    <row r="99" spans="1:23" x14ac:dyDescent="0.2">
      <c r="A99">
        <v>2020</v>
      </c>
      <c r="B99" t="s">
        <v>23</v>
      </c>
      <c r="C99" t="s">
        <v>24</v>
      </c>
      <c r="D99">
        <v>49</v>
      </c>
      <c r="E99">
        <v>2</v>
      </c>
      <c r="F99">
        <v>5</v>
      </c>
      <c r="G99" t="s">
        <v>73</v>
      </c>
      <c r="H99" s="1">
        <v>9</v>
      </c>
      <c r="I99" s="1">
        <v>67</v>
      </c>
      <c r="J99" s="1">
        <v>72</v>
      </c>
      <c r="K99" s="1">
        <f>J99-I99</f>
        <v>5</v>
      </c>
      <c r="L99" s="1">
        <v>132</v>
      </c>
      <c r="M99" s="1">
        <v>45</v>
      </c>
      <c r="N99" s="1">
        <v>2</v>
      </c>
      <c r="O99" s="1">
        <v>3.5</v>
      </c>
      <c r="P99" s="1">
        <v>7</v>
      </c>
      <c r="Q99" s="2">
        <v>4.4999999999999998E-2</v>
      </c>
      <c r="R99" s="1">
        <v>2</v>
      </c>
      <c r="S99" s="1">
        <f>R99/P99</f>
        <v>0.2857142857142857</v>
      </c>
      <c r="T99" s="1">
        <v>5</v>
      </c>
      <c r="U99" s="1">
        <v>12.5</v>
      </c>
      <c r="V99" s="1">
        <v>164.70588235294116</v>
      </c>
      <c r="W99" s="1">
        <v>6</v>
      </c>
    </row>
    <row r="100" spans="1:23" x14ac:dyDescent="0.2">
      <c r="A100">
        <v>2020</v>
      </c>
      <c r="B100" t="s">
        <v>23</v>
      </c>
      <c r="C100" t="s">
        <v>24</v>
      </c>
      <c r="D100">
        <v>50</v>
      </c>
      <c r="E100">
        <v>1</v>
      </c>
      <c r="F100">
        <v>11</v>
      </c>
      <c r="G100" t="s">
        <v>74</v>
      </c>
      <c r="H100" s="3">
        <v>8</v>
      </c>
      <c r="I100" s="3">
        <v>70</v>
      </c>
      <c r="J100" s="3">
        <v>72</v>
      </c>
      <c r="K100" s="3">
        <f>J100-I100</f>
        <v>2</v>
      </c>
      <c r="L100" s="3">
        <v>137</v>
      </c>
      <c r="M100" s="3">
        <v>73</v>
      </c>
      <c r="N100" s="3">
        <v>2</v>
      </c>
      <c r="O100" s="3">
        <v>1.5</v>
      </c>
      <c r="P100" s="3">
        <v>5</v>
      </c>
      <c r="Q100" s="4">
        <v>0.12</v>
      </c>
      <c r="R100" s="3">
        <v>4</v>
      </c>
      <c r="S100" s="3">
        <f>R100/P100</f>
        <v>0.8</v>
      </c>
      <c r="T100" s="3">
        <v>5</v>
      </c>
      <c r="U100" s="3">
        <v>12.5</v>
      </c>
      <c r="V100" s="3">
        <v>439.21568627450984</v>
      </c>
      <c r="W100" s="3">
        <v>4</v>
      </c>
    </row>
    <row r="101" spans="1:23" x14ac:dyDescent="0.2">
      <c r="A101">
        <v>2020</v>
      </c>
      <c r="B101" t="s">
        <v>23</v>
      </c>
      <c r="C101" t="s">
        <v>24</v>
      </c>
      <c r="D101">
        <v>50</v>
      </c>
      <c r="E101">
        <v>2</v>
      </c>
      <c r="F101">
        <v>12</v>
      </c>
      <c r="G101" t="s">
        <v>74</v>
      </c>
      <c r="H101" s="1">
        <v>12</v>
      </c>
      <c r="I101" s="1">
        <v>66</v>
      </c>
      <c r="J101" s="1">
        <v>67</v>
      </c>
      <c r="K101" s="1">
        <f>J101-I101</f>
        <v>1</v>
      </c>
      <c r="L101" s="1">
        <v>110</v>
      </c>
      <c r="M101" s="1">
        <v>65</v>
      </c>
      <c r="N101" s="1">
        <v>3</v>
      </c>
      <c r="O101" s="1">
        <v>3.5</v>
      </c>
      <c r="P101" s="1">
        <f>H101-2</f>
        <v>10</v>
      </c>
      <c r="Q101" s="2">
        <v>0.24074999999999999</v>
      </c>
      <c r="R101" s="1">
        <v>10</v>
      </c>
      <c r="S101" s="1">
        <f>R101/P101</f>
        <v>1</v>
      </c>
      <c r="T101" s="1">
        <v>5</v>
      </c>
      <c r="U101" s="1">
        <v>12.5</v>
      </c>
      <c r="V101" s="1">
        <v>881.17647058823536</v>
      </c>
      <c r="W101" s="1">
        <v>5</v>
      </c>
    </row>
    <row r="102" spans="1:23" x14ac:dyDescent="0.2">
      <c r="A102">
        <v>2020</v>
      </c>
      <c r="B102" t="s">
        <v>23</v>
      </c>
      <c r="C102" t="s">
        <v>24</v>
      </c>
      <c r="D102">
        <v>51</v>
      </c>
      <c r="E102">
        <v>1</v>
      </c>
      <c r="F102">
        <v>2</v>
      </c>
      <c r="G102" t="s">
        <v>75</v>
      </c>
      <c r="H102" s="1">
        <v>9</v>
      </c>
      <c r="I102" s="1">
        <v>59</v>
      </c>
      <c r="J102" s="1">
        <v>64</v>
      </c>
      <c r="K102" s="1">
        <f>J102-I102</f>
        <v>5</v>
      </c>
      <c r="L102" s="1">
        <v>153</v>
      </c>
      <c r="M102" s="1">
        <v>85</v>
      </c>
      <c r="N102" s="1">
        <v>2</v>
      </c>
      <c r="O102" s="1">
        <v>2</v>
      </c>
      <c r="P102" s="1">
        <v>9</v>
      </c>
      <c r="Q102" s="2">
        <v>0.4</v>
      </c>
      <c r="R102" s="1">
        <v>9</v>
      </c>
      <c r="S102" s="1">
        <f>R102/P102</f>
        <v>1</v>
      </c>
      <c r="T102" s="1">
        <v>3</v>
      </c>
      <c r="U102" s="1">
        <v>7.8</v>
      </c>
      <c r="V102" s="1">
        <v>1542.6928104575163</v>
      </c>
      <c r="W102" s="1">
        <v>4</v>
      </c>
    </row>
    <row r="103" spans="1:23" x14ac:dyDescent="0.2">
      <c r="A103">
        <v>2020</v>
      </c>
      <c r="B103" t="s">
        <v>23</v>
      </c>
      <c r="C103" t="s">
        <v>24</v>
      </c>
      <c r="D103">
        <v>51</v>
      </c>
      <c r="E103">
        <v>2</v>
      </c>
      <c r="F103">
        <v>13</v>
      </c>
      <c r="G103" t="s">
        <v>75</v>
      </c>
      <c r="H103" s="1">
        <v>2</v>
      </c>
      <c r="I103" s="1">
        <v>68</v>
      </c>
      <c r="J103" s="1">
        <v>73</v>
      </c>
      <c r="K103" s="1">
        <f>J103-I103</f>
        <v>5</v>
      </c>
      <c r="L103" s="1">
        <v>66</v>
      </c>
      <c r="M103" s="1">
        <v>37</v>
      </c>
      <c r="N103" s="1">
        <v>1.5</v>
      </c>
      <c r="O103" s="1">
        <v>5</v>
      </c>
      <c r="P103" s="1">
        <v>2</v>
      </c>
      <c r="Q103" s="2">
        <v>8.2000000000000003E-2</v>
      </c>
      <c r="R103" s="1">
        <v>2</v>
      </c>
      <c r="S103" s="1">
        <f>R103/P103</f>
        <v>1</v>
      </c>
      <c r="T103" s="1">
        <v>4</v>
      </c>
      <c r="U103" s="1">
        <v>12.5</v>
      </c>
      <c r="V103" s="1">
        <v>300.13071895424832</v>
      </c>
      <c r="W103" s="1">
        <v>2</v>
      </c>
    </row>
    <row r="104" spans="1:23" x14ac:dyDescent="0.2">
      <c r="A104">
        <v>2020</v>
      </c>
      <c r="B104" t="s">
        <v>23</v>
      </c>
      <c r="C104" t="s">
        <v>24</v>
      </c>
      <c r="D104">
        <v>52</v>
      </c>
      <c r="E104">
        <v>1</v>
      </c>
      <c r="F104">
        <v>4</v>
      </c>
      <c r="G104" t="s">
        <v>76</v>
      </c>
      <c r="H104">
        <v>1</v>
      </c>
      <c r="I104">
        <v>63</v>
      </c>
      <c r="J104">
        <v>65</v>
      </c>
      <c r="K104">
        <v>2</v>
      </c>
      <c r="L104">
        <v>145</v>
      </c>
      <c r="M104">
        <v>63</v>
      </c>
      <c r="N104">
        <v>1.5</v>
      </c>
      <c r="O104">
        <v>2.5</v>
      </c>
      <c r="P104">
        <v>1</v>
      </c>
      <c r="Q104">
        <v>0.1</v>
      </c>
      <c r="R104">
        <v>1</v>
      </c>
      <c r="S104">
        <v>1</v>
      </c>
      <c r="T104" t="s">
        <v>273</v>
      </c>
      <c r="U104">
        <v>12.5</v>
      </c>
      <c r="V104">
        <v>366.01307189542484</v>
      </c>
      <c r="W104">
        <v>1</v>
      </c>
    </row>
    <row r="105" spans="1:23" x14ac:dyDescent="0.2">
      <c r="A105">
        <v>2020</v>
      </c>
      <c r="B105" t="s">
        <v>23</v>
      </c>
      <c r="C105" t="s">
        <v>24</v>
      </c>
      <c r="D105">
        <v>52</v>
      </c>
      <c r="E105">
        <v>2</v>
      </c>
      <c r="F105">
        <v>8</v>
      </c>
      <c r="G105" t="s">
        <v>76</v>
      </c>
      <c r="H105">
        <v>16</v>
      </c>
      <c r="I105">
        <v>56</v>
      </c>
      <c r="J105">
        <v>60</v>
      </c>
      <c r="K105">
        <v>4</v>
      </c>
      <c r="L105">
        <v>146</v>
      </c>
      <c r="M105">
        <v>56</v>
      </c>
      <c r="N105">
        <v>1</v>
      </c>
      <c r="O105">
        <v>2</v>
      </c>
      <c r="P105">
        <v>16</v>
      </c>
      <c r="Q105">
        <v>1.6579999999999999</v>
      </c>
      <c r="R105">
        <v>16</v>
      </c>
      <c r="S105">
        <v>1</v>
      </c>
      <c r="T105">
        <v>3</v>
      </c>
      <c r="U105">
        <v>12.5</v>
      </c>
      <c r="V105">
        <v>6068.4967320261439</v>
      </c>
      <c r="W105">
        <v>1</v>
      </c>
    </row>
    <row r="106" spans="1:23" x14ac:dyDescent="0.2">
      <c r="A106">
        <v>2020</v>
      </c>
      <c r="B106" t="s">
        <v>23</v>
      </c>
      <c r="C106" t="s">
        <v>24</v>
      </c>
      <c r="D106">
        <v>53</v>
      </c>
      <c r="E106">
        <v>1</v>
      </c>
      <c r="F106">
        <v>1</v>
      </c>
      <c r="G106" t="s">
        <v>77</v>
      </c>
      <c r="H106" s="1">
        <v>10</v>
      </c>
      <c r="I106" s="1">
        <v>59</v>
      </c>
      <c r="J106" s="1">
        <v>63</v>
      </c>
      <c r="K106" s="1">
        <f>J106-I106</f>
        <v>4</v>
      </c>
      <c r="L106" s="1">
        <v>110</v>
      </c>
      <c r="M106" s="1">
        <v>36</v>
      </c>
      <c r="N106" s="1">
        <v>1.5</v>
      </c>
      <c r="O106" s="1">
        <v>4.5</v>
      </c>
      <c r="P106" s="1">
        <v>6</v>
      </c>
      <c r="Q106" s="2">
        <v>0.1784</v>
      </c>
      <c r="R106" s="1">
        <v>6</v>
      </c>
      <c r="S106" s="1">
        <f>R106/P106</f>
        <v>1</v>
      </c>
      <c r="T106" s="1">
        <v>5</v>
      </c>
      <c r="U106" s="1">
        <v>12.5</v>
      </c>
      <c r="V106" s="1">
        <v>652.96732026143798</v>
      </c>
      <c r="W106" s="1">
        <v>5</v>
      </c>
    </row>
    <row r="107" spans="1:23" x14ac:dyDescent="0.2">
      <c r="A107">
        <v>2020</v>
      </c>
      <c r="B107" t="s">
        <v>23</v>
      </c>
      <c r="C107" t="s">
        <v>24</v>
      </c>
      <c r="D107">
        <v>53</v>
      </c>
      <c r="E107">
        <v>2</v>
      </c>
      <c r="F107">
        <v>9</v>
      </c>
      <c r="G107" t="s">
        <v>77</v>
      </c>
      <c r="H107" s="1">
        <v>10</v>
      </c>
      <c r="I107" s="1">
        <v>55</v>
      </c>
      <c r="J107" s="1">
        <v>58</v>
      </c>
      <c r="K107" s="1">
        <f>J107-I107</f>
        <v>3</v>
      </c>
      <c r="L107" s="1">
        <v>144</v>
      </c>
      <c r="M107" s="1">
        <v>50</v>
      </c>
      <c r="N107" s="1">
        <v>3</v>
      </c>
      <c r="O107" s="1">
        <v>4</v>
      </c>
      <c r="P107" s="1">
        <v>10</v>
      </c>
      <c r="Q107" s="2">
        <v>0.38150000000000001</v>
      </c>
      <c r="R107" s="1">
        <v>10</v>
      </c>
      <c r="S107" s="1">
        <f>R107/P107</f>
        <v>1</v>
      </c>
      <c r="T107" s="1">
        <v>3</v>
      </c>
      <c r="U107" s="1">
        <v>12.5</v>
      </c>
      <c r="V107" s="1">
        <v>1396.3398692810458</v>
      </c>
      <c r="W107" s="1">
        <v>2</v>
      </c>
    </row>
    <row r="108" spans="1:23" x14ac:dyDescent="0.2">
      <c r="A108">
        <v>2020</v>
      </c>
      <c r="B108" t="s">
        <v>23</v>
      </c>
      <c r="C108" t="s">
        <v>24</v>
      </c>
      <c r="D108">
        <v>54</v>
      </c>
      <c r="E108">
        <v>1</v>
      </c>
      <c r="F108">
        <v>1</v>
      </c>
      <c r="G108" t="s">
        <v>78</v>
      </c>
      <c r="H108" s="1">
        <v>7</v>
      </c>
      <c r="I108" s="1">
        <v>64</v>
      </c>
      <c r="J108" s="1">
        <v>68</v>
      </c>
      <c r="K108" s="1">
        <f>J108-I108</f>
        <v>4</v>
      </c>
      <c r="L108" s="1">
        <v>143</v>
      </c>
      <c r="M108" s="1">
        <v>70</v>
      </c>
      <c r="N108" s="1">
        <v>2</v>
      </c>
      <c r="O108" s="1">
        <v>3.5</v>
      </c>
      <c r="P108" s="1">
        <v>7</v>
      </c>
      <c r="Q108" s="2">
        <v>3.9375E-2</v>
      </c>
      <c r="R108" s="1">
        <v>2</v>
      </c>
      <c r="S108" s="1">
        <f>R108/P108</f>
        <v>0.2857142857142857</v>
      </c>
      <c r="T108" s="1">
        <v>5</v>
      </c>
      <c r="U108" s="1">
        <v>12.5</v>
      </c>
      <c r="V108" s="1">
        <v>144.11764705882354</v>
      </c>
      <c r="W108" s="1">
        <v>4</v>
      </c>
    </row>
    <row r="109" spans="1:23" x14ac:dyDescent="0.2">
      <c r="A109">
        <v>2020</v>
      </c>
      <c r="B109" t="s">
        <v>23</v>
      </c>
      <c r="C109" t="s">
        <v>24</v>
      </c>
      <c r="D109">
        <v>54</v>
      </c>
      <c r="E109">
        <v>2</v>
      </c>
      <c r="F109">
        <v>11</v>
      </c>
      <c r="G109" t="s">
        <v>78</v>
      </c>
      <c r="H109" s="1">
        <v>7</v>
      </c>
      <c r="I109" s="1">
        <v>67</v>
      </c>
      <c r="J109" s="1">
        <v>72</v>
      </c>
      <c r="K109" s="1">
        <f>J109-I109</f>
        <v>5</v>
      </c>
      <c r="L109" s="1">
        <v>118</v>
      </c>
      <c r="M109" s="1">
        <v>90</v>
      </c>
      <c r="N109" s="1">
        <v>2</v>
      </c>
      <c r="O109" s="1">
        <v>3.5</v>
      </c>
      <c r="P109" s="1">
        <v>2</v>
      </c>
      <c r="Q109" s="2">
        <v>6.1199999999999997E-2</v>
      </c>
      <c r="R109" s="1">
        <v>3</v>
      </c>
      <c r="S109" s="1">
        <f>R109/P109</f>
        <v>1.5</v>
      </c>
      <c r="T109" s="1">
        <v>5</v>
      </c>
      <c r="U109" s="1">
        <v>12.5</v>
      </c>
      <c r="V109" s="1">
        <v>224</v>
      </c>
      <c r="W109" s="1">
        <v>5</v>
      </c>
    </row>
    <row r="110" spans="1:23" x14ac:dyDescent="0.2">
      <c r="A110">
        <v>2020</v>
      </c>
      <c r="B110" t="s">
        <v>23</v>
      </c>
      <c r="C110" t="s">
        <v>24</v>
      </c>
      <c r="D110">
        <v>55</v>
      </c>
      <c r="E110">
        <v>1</v>
      </c>
      <c r="F110">
        <v>15</v>
      </c>
      <c r="G110" t="s">
        <v>79</v>
      </c>
      <c r="H110">
        <v>12</v>
      </c>
      <c r="I110">
        <v>51</v>
      </c>
      <c r="J110">
        <v>55</v>
      </c>
      <c r="K110">
        <v>4</v>
      </c>
      <c r="L110">
        <v>155</v>
      </c>
      <c r="M110">
        <v>48</v>
      </c>
      <c r="N110">
        <v>2</v>
      </c>
      <c r="O110">
        <v>2</v>
      </c>
      <c r="P110">
        <v>9</v>
      </c>
      <c r="Q110">
        <v>0.5</v>
      </c>
      <c r="R110">
        <v>6</v>
      </c>
      <c r="S110">
        <v>0.66666666666666663</v>
      </c>
      <c r="T110">
        <v>2</v>
      </c>
      <c r="U110">
        <v>11.6</v>
      </c>
      <c r="V110">
        <v>1848.8888888888889</v>
      </c>
      <c r="W110">
        <v>2</v>
      </c>
    </row>
    <row r="111" spans="1:23" x14ac:dyDescent="0.2">
      <c r="A111">
        <v>2020</v>
      </c>
      <c r="B111" t="s">
        <v>23</v>
      </c>
      <c r="C111" t="s">
        <v>24</v>
      </c>
      <c r="D111">
        <v>55</v>
      </c>
      <c r="E111">
        <v>2</v>
      </c>
      <c r="F111">
        <v>12</v>
      </c>
      <c r="G111" t="s">
        <v>79</v>
      </c>
      <c r="H111">
        <v>12</v>
      </c>
      <c r="I111">
        <v>54</v>
      </c>
      <c r="J111">
        <v>60</v>
      </c>
      <c r="K111">
        <v>6</v>
      </c>
      <c r="L111">
        <v>122</v>
      </c>
      <c r="M111">
        <v>78</v>
      </c>
      <c r="N111">
        <v>2</v>
      </c>
      <c r="O111">
        <v>2.5</v>
      </c>
      <c r="P111">
        <v>9</v>
      </c>
      <c r="Q111">
        <v>0.5</v>
      </c>
      <c r="R111">
        <v>6</v>
      </c>
      <c r="S111">
        <v>0.66666666666666663</v>
      </c>
      <c r="T111">
        <v>3</v>
      </c>
      <c r="U111">
        <v>11.3</v>
      </c>
      <c r="V111">
        <v>1855.1633986928105</v>
      </c>
      <c r="W111">
        <v>2</v>
      </c>
    </row>
    <row r="112" spans="1:23" x14ac:dyDescent="0.2">
      <c r="A112">
        <v>2020</v>
      </c>
      <c r="B112" t="s">
        <v>23</v>
      </c>
      <c r="C112" t="s">
        <v>24</v>
      </c>
      <c r="D112">
        <v>56</v>
      </c>
      <c r="E112">
        <v>1</v>
      </c>
      <c r="F112">
        <v>15</v>
      </c>
      <c r="G112" t="s">
        <v>80</v>
      </c>
      <c r="H112" s="1">
        <v>9</v>
      </c>
      <c r="I112" s="1">
        <v>65</v>
      </c>
      <c r="J112" s="1">
        <v>70</v>
      </c>
      <c r="K112" s="1">
        <f>J112-I112</f>
        <v>5</v>
      </c>
      <c r="L112" s="1">
        <v>83</v>
      </c>
      <c r="M112" s="1">
        <v>53</v>
      </c>
      <c r="N112" s="1">
        <v>2</v>
      </c>
      <c r="O112" s="1">
        <v>4</v>
      </c>
      <c r="P112" s="1">
        <v>2</v>
      </c>
      <c r="Q112" s="2">
        <v>0.2205</v>
      </c>
      <c r="R112" s="1">
        <v>2</v>
      </c>
      <c r="S112" s="1">
        <f>R112/P112</f>
        <v>1</v>
      </c>
      <c r="T112" s="1">
        <v>5</v>
      </c>
      <c r="U112" s="1">
        <v>12.5</v>
      </c>
      <c r="V112" s="1">
        <v>807.05882352941182</v>
      </c>
      <c r="W112" s="1">
        <v>5</v>
      </c>
    </row>
    <row r="113" spans="1:23" x14ac:dyDescent="0.2">
      <c r="A113">
        <v>2020</v>
      </c>
      <c r="B113" t="s">
        <v>23</v>
      </c>
      <c r="C113" t="s">
        <v>24</v>
      </c>
      <c r="D113">
        <v>56</v>
      </c>
      <c r="E113">
        <v>2</v>
      </c>
      <c r="F113">
        <v>2</v>
      </c>
      <c r="G113" t="s">
        <v>80</v>
      </c>
      <c r="H113" s="1">
        <v>10</v>
      </c>
      <c r="I113" s="1">
        <v>66</v>
      </c>
      <c r="J113" s="1">
        <v>69</v>
      </c>
      <c r="K113" s="1">
        <f>J113-I113</f>
        <v>3</v>
      </c>
      <c r="L113" s="1">
        <v>119</v>
      </c>
      <c r="M113" s="1">
        <v>41</v>
      </c>
      <c r="N113" s="1">
        <v>1.5</v>
      </c>
      <c r="O113" s="1">
        <v>3.5</v>
      </c>
      <c r="P113" s="1">
        <v>10</v>
      </c>
      <c r="Q113" s="2">
        <v>0.68799999999999994</v>
      </c>
      <c r="R113" s="1">
        <v>9</v>
      </c>
      <c r="S113" s="1">
        <f>R113/P113</f>
        <v>0.9</v>
      </c>
      <c r="T113" s="1">
        <v>2.5</v>
      </c>
      <c r="U113" s="1">
        <v>12.5</v>
      </c>
      <c r="V113" s="1">
        <v>2518.169934640523</v>
      </c>
      <c r="W113" s="1">
        <v>1</v>
      </c>
    </row>
    <row r="114" spans="1:23" x14ac:dyDescent="0.2">
      <c r="A114">
        <v>2020</v>
      </c>
      <c r="B114" t="s">
        <v>23</v>
      </c>
      <c r="C114" t="s">
        <v>24</v>
      </c>
      <c r="D114">
        <v>57</v>
      </c>
      <c r="E114">
        <v>1</v>
      </c>
      <c r="F114">
        <v>6</v>
      </c>
      <c r="G114" t="s">
        <v>81</v>
      </c>
      <c r="H114" s="1">
        <v>6</v>
      </c>
      <c r="I114" s="1">
        <v>54</v>
      </c>
      <c r="J114" s="1">
        <v>59</v>
      </c>
      <c r="K114" s="1">
        <f>J114-I114</f>
        <v>5</v>
      </c>
      <c r="L114" s="1">
        <v>100</v>
      </c>
      <c r="M114" s="1">
        <v>63</v>
      </c>
      <c r="N114" s="1">
        <v>2</v>
      </c>
      <c r="O114" s="1">
        <v>3.5</v>
      </c>
      <c r="P114" s="1">
        <v>5</v>
      </c>
      <c r="Q114" s="2">
        <v>5.5875000000000001E-2</v>
      </c>
      <c r="R114" s="1">
        <v>4</v>
      </c>
      <c r="S114" s="1">
        <f>R114/P114</f>
        <v>0.8</v>
      </c>
      <c r="T114" s="1">
        <v>5</v>
      </c>
      <c r="U114" s="1">
        <v>12.5</v>
      </c>
      <c r="V114" s="1">
        <v>204.50980392156868</v>
      </c>
      <c r="W114" s="1">
        <v>5</v>
      </c>
    </row>
    <row r="115" spans="1:23" x14ac:dyDescent="0.2">
      <c r="A115">
        <v>2020</v>
      </c>
      <c r="B115" t="s">
        <v>23</v>
      </c>
      <c r="C115" t="s">
        <v>24</v>
      </c>
      <c r="D115">
        <v>57</v>
      </c>
      <c r="E115">
        <v>2</v>
      </c>
      <c r="F115">
        <v>13</v>
      </c>
      <c r="G115" t="s">
        <v>81</v>
      </c>
      <c r="H115" s="1">
        <v>10</v>
      </c>
      <c r="I115" s="1">
        <v>63</v>
      </c>
      <c r="J115" s="1">
        <v>68</v>
      </c>
      <c r="K115" s="1">
        <f>J115-I115</f>
        <v>5</v>
      </c>
      <c r="L115" s="1">
        <v>174</v>
      </c>
      <c r="M115" s="1">
        <v>69</v>
      </c>
      <c r="N115" s="1">
        <v>2</v>
      </c>
      <c r="O115" s="1">
        <v>3.5</v>
      </c>
      <c r="P115" s="1">
        <v>5</v>
      </c>
      <c r="Q115" s="2">
        <v>8.2000000000000003E-2</v>
      </c>
      <c r="R115" s="1">
        <v>1</v>
      </c>
      <c r="S115" s="1">
        <f>R115/P115</f>
        <v>0.2</v>
      </c>
      <c r="T115" s="1">
        <v>2</v>
      </c>
      <c r="U115" s="1">
        <v>12.5</v>
      </c>
      <c r="V115" s="1">
        <v>300.13071895424832</v>
      </c>
      <c r="W115" s="1">
        <v>4</v>
      </c>
    </row>
    <row r="116" spans="1:23" x14ac:dyDescent="0.2">
      <c r="A116">
        <v>2020</v>
      </c>
      <c r="B116" t="s">
        <v>23</v>
      </c>
      <c r="C116" t="s">
        <v>24</v>
      </c>
      <c r="D116">
        <v>58</v>
      </c>
      <c r="E116">
        <v>1</v>
      </c>
      <c r="F116">
        <v>10</v>
      </c>
      <c r="G116" t="s">
        <v>82</v>
      </c>
      <c r="H116">
        <v>10</v>
      </c>
      <c r="I116">
        <v>55</v>
      </c>
      <c r="J116">
        <v>57</v>
      </c>
      <c r="K116">
        <v>2</v>
      </c>
      <c r="L116">
        <v>186</v>
      </c>
      <c r="M116">
        <v>61</v>
      </c>
      <c r="N116">
        <v>1</v>
      </c>
      <c r="O116">
        <v>2</v>
      </c>
      <c r="P116">
        <v>10</v>
      </c>
      <c r="Q116">
        <v>0.245</v>
      </c>
      <c r="R116">
        <v>10</v>
      </c>
      <c r="S116">
        <v>1</v>
      </c>
      <c r="T116">
        <v>3</v>
      </c>
      <c r="U116">
        <v>12.5</v>
      </c>
      <c r="V116">
        <v>896.7320261437909</v>
      </c>
      <c r="W116">
        <v>1</v>
      </c>
    </row>
    <row r="117" spans="1:23" x14ac:dyDescent="0.2">
      <c r="A117">
        <v>2020</v>
      </c>
      <c r="B117" t="s">
        <v>23</v>
      </c>
      <c r="C117" t="s">
        <v>24</v>
      </c>
      <c r="D117">
        <v>58</v>
      </c>
      <c r="E117">
        <v>2</v>
      </c>
      <c r="F117">
        <v>4</v>
      </c>
      <c r="G117" t="s">
        <v>82</v>
      </c>
      <c r="H117" s="1">
        <v>7</v>
      </c>
      <c r="I117" s="1">
        <v>62</v>
      </c>
      <c r="J117" s="1">
        <v>67</v>
      </c>
      <c r="K117" s="1">
        <f>J117-I117</f>
        <v>5</v>
      </c>
      <c r="L117" s="1">
        <v>110</v>
      </c>
      <c r="M117" s="1">
        <v>37</v>
      </c>
      <c r="N117" s="1">
        <v>2</v>
      </c>
      <c r="O117" s="1">
        <v>4</v>
      </c>
      <c r="P117" s="1">
        <v>6</v>
      </c>
      <c r="Q117" s="2">
        <v>0.24</v>
      </c>
      <c r="R117" s="1">
        <v>4</v>
      </c>
      <c r="S117" s="1">
        <f>R117/P117</f>
        <v>0.66666666666666663</v>
      </c>
      <c r="T117" s="1">
        <v>3.5</v>
      </c>
      <c r="U117" s="1">
        <v>12.5</v>
      </c>
      <c r="V117" s="1">
        <v>878.43137254901967</v>
      </c>
      <c r="W117" s="1">
        <v>3</v>
      </c>
    </row>
    <row r="118" spans="1:23" x14ac:dyDescent="0.2">
      <c r="A118">
        <v>2020</v>
      </c>
      <c r="B118" t="s">
        <v>23</v>
      </c>
      <c r="C118" t="s">
        <v>24</v>
      </c>
      <c r="D118">
        <v>59</v>
      </c>
      <c r="E118">
        <v>1</v>
      </c>
      <c r="F118">
        <v>5</v>
      </c>
      <c r="G118" t="s">
        <v>83</v>
      </c>
      <c r="H118" s="1">
        <v>10</v>
      </c>
      <c r="I118" s="1">
        <v>64</v>
      </c>
      <c r="J118" s="1">
        <v>67</v>
      </c>
      <c r="K118" s="1">
        <f>J118-I118</f>
        <v>3</v>
      </c>
      <c r="L118" s="1">
        <v>123</v>
      </c>
      <c r="M118" s="1">
        <v>41</v>
      </c>
      <c r="N118" s="1">
        <v>2</v>
      </c>
      <c r="O118" s="1">
        <v>4</v>
      </c>
      <c r="P118" s="1">
        <v>6</v>
      </c>
      <c r="Q118" s="2">
        <v>0.2</v>
      </c>
      <c r="R118" s="1">
        <v>5</v>
      </c>
      <c r="S118" s="1">
        <f>R118/P118</f>
        <v>0.83333333333333337</v>
      </c>
      <c r="T118" s="1">
        <v>4</v>
      </c>
      <c r="U118" s="1">
        <v>12.5</v>
      </c>
      <c r="V118" s="1">
        <v>732.02614379084969</v>
      </c>
      <c r="W118" s="1">
        <v>4</v>
      </c>
    </row>
    <row r="119" spans="1:23" x14ac:dyDescent="0.2">
      <c r="A119">
        <v>2020</v>
      </c>
      <c r="B119" t="s">
        <v>23</v>
      </c>
      <c r="C119" t="s">
        <v>24</v>
      </c>
      <c r="D119">
        <v>59</v>
      </c>
      <c r="E119">
        <v>2</v>
      </c>
      <c r="F119">
        <v>9</v>
      </c>
      <c r="G119" t="s">
        <v>83</v>
      </c>
      <c r="H119" s="1">
        <v>11</v>
      </c>
      <c r="I119" s="1">
        <v>65</v>
      </c>
      <c r="J119" s="1">
        <v>69</v>
      </c>
      <c r="K119" s="1">
        <f>J119-I119</f>
        <v>4</v>
      </c>
      <c r="L119" s="1">
        <v>176</v>
      </c>
      <c r="M119" s="1">
        <v>73</v>
      </c>
      <c r="N119" s="1">
        <v>2</v>
      </c>
      <c r="O119" s="1">
        <v>2.5</v>
      </c>
      <c r="P119" s="1">
        <v>11</v>
      </c>
      <c r="Q119" s="2">
        <v>0.20050000000000001</v>
      </c>
      <c r="R119" s="1">
        <v>9</v>
      </c>
      <c r="S119" s="1">
        <f>R119/P119</f>
        <v>0.81818181818181823</v>
      </c>
      <c r="T119" s="1">
        <v>5</v>
      </c>
      <c r="U119" s="1">
        <v>12.5</v>
      </c>
      <c r="V119" s="1">
        <v>733.85620915032678</v>
      </c>
      <c r="W119" s="1">
        <v>6</v>
      </c>
    </row>
    <row r="120" spans="1:23" x14ac:dyDescent="0.2">
      <c r="A120">
        <v>2020</v>
      </c>
      <c r="B120" t="s">
        <v>23</v>
      </c>
      <c r="C120" t="s">
        <v>24</v>
      </c>
      <c r="D120">
        <v>60</v>
      </c>
      <c r="E120">
        <v>1</v>
      </c>
      <c r="F120">
        <v>4</v>
      </c>
      <c r="G120" t="s">
        <v>84</v>
      </c>
      <c r="H120">
        <v>13</v>
      </c>
      <c r="I120">
        <v>54</v>
      </c>
      <c r="J120">
        <v>58</v>
      </c>
      <c r="K120">
        <v>4</v>
      </c>
      <c r="L120">
        <v>161</v>
      </c>
      <c r="M120">
        <v>32</v>
      </c>
      <c r="N120">
        <v>3</v>
      </c>
      <c r="O120">
        <v>4</v>
      </c>
      <c r="P120">
        <v>10</v>
      </c>
      <c r="Q120">
        <v>1.2909999999999999</v>
      </c>
      <c r="R120">
        <v>8</v>
      </c>
      <c r="S120">
        <v>0.8</v>
      </c>
      <c r="T120">
        <v>3</v>
      </c>
      <c r="U120">
        <v>12.5</v>
      </c>
      <c r="V120">
        <v>4725.2287581699347</v>
      </c>
      <c r="W120">
        <v>1</v>
      </c>
    </row>
    <row r="121" spans="1:23" x14ac:dyDescent="0.2">
      <c r="A121">
        <v>2020</v>
      </c>
      <c r="B121" t="s">
        <v>23</v>
      </c>
      <c r="C121" t="s">
        <v>24</v>
      </c>
      <c r="D121">
        <v>60</v>
      </c>
      <c r="E121">
        <v>2</v>
      </c>
      <c r="F121">
        <v>8</v>
      </c>
      <c r="G121" t="s">
        <v>84</v>
      </c>
      <c r="H121" s="1">
        <v>10</v>
      </c>
      <c r="I121" s="1">
        <v>67</v>
      </c>
      <c r="J121" s="1">
        <v>73</v>
      </c>
      <c r="K121" s="1">
        <f>J121-I121</f>
        <v>6</v>
      </c>
      <c r="L121" s="1">
        <v>125</v>
      </c>
      <c r="M121" s="1">
        <v>35</v>
      </c>
      <c r="N121" s="1">
        <v>2</v>
      </c>
      <c r="O121" s="1">
        <v>4.5</v>
      </c>
      <c r="P121" s="1">
        <v>6</v>
      </c>
      <c r="Q121" s="2">
        <v>0.124</v>
      </c>
      <c r="R121" s="1">
        <v>4</v>
      </c>
      <c r="S121" s="1">
        <f>R121/P121</f>
        <v>0.66666666666666663</v>
      </c>
      <c r="T121" s="1">
        <v>5</v>
      </c>
      <c r="U121" s="1">
        <v>12.5</v>
      </c>
      <c r="V121" s="1">
        <v>453.85620915032678</v>
      </c>
      <c r="W121" s="1">
        <v>4</v>
      </c>
    </row>
    <row r="122" spans="1:23" x14ac:dyDescent="0.2">
      <c r="A122">
        <v>2020</v>
      </c>
      <c r="B122" t="s">
        <v>23</v>
      </c>
      <c r="C122" t="s">
        <v>24</v>
      </c>
      <c r="D122">
        <v>61</v>
      </c>
      <c r="E122">
        <v>1</v>
      </c>
      <c r="F122">
        <v>3</v>
      </c>
      <c r="G122" t="s">
        <v>85</v>
      </c>
      <c r="H122" s="1">
        <v>11</v>
      </c>
      <c r="I122" s="1">
        <v>57</v>
      </c>
      <c r="J122" s="1">
        <v>61</v>
      </c>
      <c r="K122" s="1">
        <f>J122-I122</f>
        <v>4</v>
      </c>
      <c r="L122" s="1">
        <v>147</v>
      </c>
      <c r="M122" s="1">
        <v>78</v>
      </c>
      <c r="N122" s="1">
        <v>2</v>
      </c>
      <c r="O122" s="1">
        <v>3.5</v>
      </c>
      <c r="P122" s="1">
        <v>7</v>
      </c>
      <c r="Q122" s="2">
        <v>5.9355000000000005E-2</v>
      </c>
      <c r="R122" s="1">
        <v>8</v>
      </c>
      <c r="S122" s="1">
        <f>R122/P122</f>
        <v>1.1428571428571428</v>
      </c>
      <c r="T122" s="1">
        <v>5</v>
      </c>
      <c r="U122" s="1">
        <v>12.5</v>
      </c>
      <c r="V122" s="1">
        <v>217.24705882352944</v>
      </c>
      <c r="W122" s="1">
        <v>6</v>
      </c>
    </row>
    <row r="123" spans="1:23" x14ac:dyDescent="0.2">
      <c r="A123">
        <v>2020</v>
      </c>
      <c r="B123" t="s">
        <v>23</v>
      </c>
      <c r="C123" t="s">
        <v>24</v>
      </c>
      <c r="D123">
        <v>61</v>
      </c>
      <c r="E123">
        <v>2</v>
      </c>
      <c r="F123">
        <v>13</v>
      </c>
      <c r="G123" t="s">
        <v>85</v>
      </c>
      <c r="H123">
        <v>15</v>
      </c>
      <c r="I123">
        <v>57</v>
      </c>
      <c r="J123">
        <v>60</v>
      </c>
      <c r="K123">
        <v>3</v>
      </c>
      <c r="L123">
        <v>139</v>
      </c>
      <c r="M123">
        <v>68</v>
      </c>
      <c r="N123">
        <v>1</v>
      </c>
      <c r="O123">
        <v>1.5</v>
      </c>
      <c r="P123">
        <v>14</v>
      </c>
      <c r="Q123">
        <v>1.4</v>
      </c>
      <c r="R123">
        <v>14</v>
      </c>
      <c r="S123">
        <v>1</v>
      </c>
      <c r="T123">
        <v>3</v>
      </c>
      <c r="U123">
        <v>11.2</v>
      </c>
      <c r="V123">
        <v>5200.3137254901958</v>
      </c>
      <c r="W123">
        <v>1</v>
      </c>
    </row>
    <row r="124" spans="1:23" x14ac:dyDescent="0.2">
      <c r="A124">
        <v>2020</v>
      </c>
      <c r="B124" t="s">
        <v>23</v>
      </c>
      <c r="C124" t="s">
        <v>24</v>
      </c>
      <c r="D124">
        <v>62</v>
      </c>
      <c r="E124">
        <v>1</v>
      </c>
      <c r="F124">
        <v>13</v>
      </c>
      <c r="G124" t="s">
        <v>86</v>
      </c>
      <c r="H124" s="1">
        <v>7</v>
      </c>
      <c r="I124" s="1">
        <v>67</v>
      </c>
      <c r="J124" s="1">
        <v>70</v>
      </c>
      <c r="K124" s="1">
        <f>J124-I124</f>
        <v>3</v>
      </c>
      <c r="L124" s="1">
        <v>163</v>
      </c>
      <c r="M124" s="1">
        <v>75</v>
      </c>
      <c r="N124" s="1">
        <v>2</v>
      </c>
      <c r="O124" s="1">
        <v>2</v>
      </c>
      <c r="P124" s="1">
        <v>7</v>
      </c>
      <c r="Q124" s="2">
        <v>0.25130000000000002</v>
      </c>
      <c r="R124" s="1">
        <v>5</v>
      </c>
      <c r="S124" s="1">
        <f>R124/P124</f>
        <v>0.7142857142857143</v>
      </c>
      <c r="T124" s="1">
        <v>5</v>
      </c>
      <c r="U124" s="1">
        <v>12.5</v>
      </c>
      <c r="V124" s="1">
        <v>919.79084967320284</v>
      </c>
      <c r="W124" s="1">
        <v>4</v>
      </c>
    </row>
    <row r="125" spans="1:23" x14ac:dyDescent="0.2">
      <c r="A125">
        <v>2020</v>
      </c>
      <c r="B125" t="s">
        <v>23</v>
      </c>
      <c r="C125" t="s">
        <v>24</v>
      </c>
      <c r="D125">
        <v>62</v>
      </c>
      <c r="E125">
        <v>2</v>
      </c>
      <c r="F125">
        <v>14</v>
      </c>
      <c r="G125" t="s">
        <v>86</v>
      </c>
      <c r="H125">
        <v>9</v>
      </c>
      <c r="I125">
        <v>56</v>
      </c>
      <c r="J125">
        <v>59</v>
      </c>
      <c r="K125">
        <v>3</v>
      </c>
      <c r="L125">
        <v>162</v>
      </c>
      <c r="M125">
        <v>75</v>
      </c>
      <c r="N125">
        <v>1.5</v>
      </c>
      <c r="O125">
        <v>2</v>
      </c>
      <c r="P125">
        <v>9</v>
      </c>
      <c r="Q125">
        <v>0.4</v>
      </c>
      <c r="R125">
        <v>9</v>
      </c>
      <c r="S125">
        <v>1</v>
      </c>
      <c r="T125">
        <v>2.5</v>
      </c>
      <c r="U125">
        <v>12.5</v>
      </c>
      <c r="V125">
        <v>1464.0522875816994</v>
      </c>
      <c r="W125">
        <v>1</v>
      </c>
    </row>
    <row r="126" spans="1:23" x14ac:dyDescent="0.2">
      <c r="A126">
        <v>2020</v>
      </c>
      <c r="B126" t="s">
        <v>23</v>
      </c>
      <c r="C126" t="s">
        <v>24</v>
      </c>
      <c r="D126">
        <v>63</v>
      </c>
      <c r="E126">
        <v>1</v>
      </c>
      <c r="F126">
        <v>9</v>
      </c>
      <c r="G126" t="s">
        <v>87</v>
      </c>
      <c r="H126" s="1">
        <v>6</v>
      </c>
      <c r="I126" s="1">
        <v>65</v>
      </c>
      <c r="J126" s="1">
        <v>70</v>
      </c>
      <c r="K126" s="1">
        <f>J126-I126</f>
        <v>5</v>
      </c>
      <c r="L126" s="1">
        <v>56</v>
      </c>
      <c r="M126" s="1">
        <v>20</v>
      </c>
      <c r="N126" s="1">
        <v>2</v>
      </c>
      <c r="O126" s="1">
        <v>5</v>
      </c>
      <c r="P126" s="1">
        <v>2</v>
      </c>
      <c r="Q126" s="2">
        <v>0.15</v>
      </c>
      <c r="R126" s="1">
        <v>2</v>
      </c>
      <c r="S126" s="1">
        <f>R126/P126</f>
        <v>1</v>
      </c>
      <c r="T126" s="1">
        <v>5</v>
      </c>
      <c r="U126" s="1">
        <v>12.5</v>
      </c>
      <c r="V126" s="1">
        <v>549.01960784313724</v>
      </c>
      <c r="W126" s="1">
        <v>6</v>
      </c>
    </row>
    <row r="127" spans="1:23" x14ac:dyDescent="0.2">
      <c r="A127">
        <v>2020</v>
      </c>
      <c r="B127" t="s">
        <v>23</v>
      </c>
      <c r="C127" t="s">
        <v>24</v>
      </c>
      <c r="D127">
        <v>63</v>
      </c>
      <c r="E127">
        <v>2</v>
      </c>
      <c r="F127">
        <v>1</v>
      </c>
      <c r="G127" t="s">
        <v>87</v>
      </c>
      <c r="H127" s="1">
        <v>3</v>
      </c>
      <c r="I127" s="1">
        <v>64</v>
      </c>
      <c r="J127" s="1">
        <v>68</v>
      </c>
      <c r="K127" s="1">
        <f>J127-I127</f>
        <v>4</v>
      </c>
      <c r="L127" s="1">
        <v>145</v>
      </c>
      <c r="M127" s="1">
        <v>58</v>
      </c>
      <c r="N127" s="1">
        <v>3</v>
      </c>
      <c r="O127" s="1">
        <v>3.5</v>
      </c>
      <c r="P127" s="1">
        <v>3</v>
      </c>
      <c r="Q127" s="2">
        <v>0.17880000000000001</v>
      </c>
      <c r="R127" s="1">
        <v>3</v>
      </c>
      <c r="S127" s="1">
        <f>R127/P127</f>
        <v>1</v>
      </c>
      <c r="T127" s="1">
        <v>5</v>
      </c>
      <c r="U127" s="1">
        <v>12.5</v>
      </c>
      <c r="V127" s="1">
        <v>654.43137254901967</v>
      </c>
      <c r="W127" s="1">
        <v>5</v>
      </c>
    </row>
    <row r="128" spans="1:23" x14ac:dyDescent="0.2">
      <c r="A128">
        <v>2020</v>
      </c>
      <c r="B128" t="s">
        <v>23</v>
      </c>
      <c r="C128" t="s">
        <v>24</v>
      </c>
      <c r="D128">
        <v>64</v>
      </c>
      <c r="E128">
        <v>1</v>
      </c>
      <c r="F128">
        <v>3</v>
      </c>
      <c r="G128" t="s">
        <v>88</v>
      </c>
      <c r="H128" s="1">
        <v>10</v>
      </c>
      <c r="I128" s="1">
        <v>66</v>
      </c>
      <c r="J128" s="1">
        <v>71</v>
      </c>
      <c r="K128" s="1">
        <f>J128-I128</f>
        <v>5</v>
      </c>
      <c r="L128" s="1">
        <v>85</v>
      </c>
      <c r="M128" s="1">
        <v>40</v>
      </c>
      <c r="N128" s="1">
        <v>2</v>
      </c>
      <c r="O128" s="1">
        <v>4.5</v>
      </c>
      <c r="P128" s="1">
        <v>8</v>
      </c>
      <c r="Q128" s="2">
        <v>0.29599999999999999</v>
      </c>
      <c r="R128" s="1">
        <v>5</v>
      </c>
      <c r="S128" s="1">
        <f>R128/P128</f>
        <v>0.625</v>
      </c>
      <c r="T128" s="1">
        <v>3</v>
      </c>
      <c r="U128" s="1">
        <v>12.5</v>
      </c>
      <c r="V128" s="1">
        <v>1083.3986928104575</v>
      </c>
      <c r="W128" s="1">
        <v>4</v>
      </c>
    </row>
    <row r="129" spans="1:23" x14ac:dyDescent="0.2">
      <c r="A129">
        <v>2020</v>
      </c>
      <c r="B129" t="s">
        <v>23</v>
      </c>
      <c r="C129" t="s">
        <v>24</v>
      </c>
      <c r="D129">
        <v>64</v>
      </c>
      <c r="E129">
        <v>2</v>
      </c>
      <c r="F129">
        <v>6</v>
      </c>
      <c r="G129" t="s">
        <v>88</v>
      </c>
      <c r="H129" s="1">
        <v>2</v>
      </c>
      <c r="I129" s="1">
        <v>65</v>
      </c>
      <c r="J129" s="1">
        <v>66</v>
      </c>
      <c r="K129" s="1">
        <f>J129-I129</f>
        <v>1</v>
      </c>
      <c r="L129" s="1">
        <v>60</v>
      </c>
      <c r="M129" s="1">
        <v>15</v>
      </c>
      <c r="N129" s="1">
        <v>3</v>
      </c>
      <c r="O129" s="1">
        <v>5</v>
      </c>
      <c r="P129" s="1">
        <v>1</v>
      </c>
      <c r="Q129" s="2">
        <v>3.15E-2</v>
      </c>
      <c r="R129" s="1">
        <v>1</v>
      </c>
      <c r="S129" s="1">
        <f>R129/P129</f>
        <v>1</v>
      </c>
      <c r="T129" s="1">
        <v>5</v>
      </c>
      <c r="U129" s="1">
        <v>12.5</v>
      </c>
      <c r="V129" s="1">
        <v>115.29411764705884</v>
      </c>
      <c r="W129" s="1">
        <v>6</v>
      </c>
    </row>
    <row r="130" spans="1:23" x14ac:dyDescent="0.2">
      <c r="A130">
        <v>2020</v>
      </c>
      <c r="B130" t="s">
        <v>23</v>
      </c>
      <c r="C130" t="s">
        <v>24</v>
      </c>
      <c r="D130">
        <v>65</v>
      </c>
      <c r="E130">
        <v>1</v>
      </c>
      <c r="F130">
        <v>9</v>
      </c>
      <c r="G130" t="s">
        <v>89</v>
      </c>
      <c r="H130">
        <v>10</v>
      </c>
      <c r="I130">
        <v>60</v>
      </c>
      <c r="J130">
        <v>63</v>
      </c>
      <c r="K130">
        <v>3</v>
      </c>
      <c r="L130">
        <v>122</v>
      </c>
      <c r="M130">
        <v>70</v>
      </c>
      <c r="N130">
        <v>2</v>
      </c>
      <c r="O130">
        <v>3</v>
      </c>
      <c r="P130">
        <v>10</v>
      </c>
      <c r="Q130">
        <v>1</v>
      </c>
      <c r="R130">
        <v>9</v>
      </c>
      <c r="S130">
        <v>0.9</v>
      </c>
      <c r="T130">
        <v>2</v>
      </c>
      <c r="U130">
        <v>12.5</v>
      </c>
      <c r="V130">
        <v>3660.1307189542486</v>
      </c>
      <c r="W130">
        <v>1</v>
      </c>
    </row>
    <row r="131" spans="1:23" x14ac:dyDescent="0.2">
      <c r="A131">
        <v>2020</v>
      </c>
      <c r="B131" t="s">
        <v>23</v>
      </c>
      <c r="C131" t="s">
        <v>24</v>
      </c>
      <c r="D131">
        <v>65</v>
      </c>
      <c r="E131">
        <v>2</v>
      </c>
      <c r="F131">
        <v>10</v>
      </c>
      <c r="G131" t="s">
        <v>89</v>
      </c>
      <c r="H131" s="1">
        <v>6</v>
      </c>
      <c r="I131" s="1">
        <v>59</v>
      </c>
      <c r="J131" s="1">
        <v>62</v>
      </c>
      <c r="K131" s="1">
        <f>J131-I131</f>
        <v>3</v>
      </c>
      <c r="L131" s="1">
        <v>110</v>
      </c>
      <c r="M131" s="1">
        <v>29</v>
      </c>
      <c r="N131" s="1">
        <v>1.5</v>
      </c>
      <c r="O131" s="1">
        <v>4.5</v>
      </c>
      <c r="P131" s="1">
        <v>5</v>
      </c>
      <c r="Q131" s="2">
        <v>5.7500000000000002E-2</v>
      </c>
      <c r="R131" s="1">
        <v>5</v>
      </c>
      <c r="S131" s="1">
        <f>R131/P131</f>
        <v>1</v>
      </c>
      <c r="T131" s="1">
        <v>5</v>
      </c>
      <c r="U131" s="1">
        <v>12.5</v>
      </c>
      <c r="V131" s="1">
        <v>210.45751633986927</v>
      </c>
      <c r="W131" s="1">
        <v>5</v>
      </c>
    </row>
    <row r="132" spans="1:23" x14ac:dyDescent="0.2">
      <c r="A132">
        <v>2020</v>
      </c>
      <c r="B132" t="s">
        <v>23</v>
      </c>
      <c r="C132" t="s">
        <v>24</v>
      </c>
      <c r="D132">
        <v>66</v>
      </c>
      <c r="E132">
        <v>1</v>
      </c>
      <c r="F132">
        <v>11</v>
      </c>
      <c r="G132" t="s">
        <v>90</v>
      </c>
      <c r="H132" s="1">
        <v>3</v>
      </c>
      <c r="I132" s="1">
        <v>64</v>
      </c>
      <c r="J132" s="1">
        <v>68</v>
      </c>
      <c r="K132" s="1">
        <f>J132-I132</f>
        <v>4</v>
      </c>
      <c r="L132" s="1">
        <v>92</v>
      </c>
      <c r="M132" s="1">
        <v>25</v>
      </c>
      <c r="N132" s="1">
        <v>1.5</v>
      </c>
      <c r="O132" s="1">
        <v>5</v>
      </c>
      <c r="P132" s="1">
        <v>4</v>
      </c>
      <c r="Q132" s="2">
        <v>3.56E-2</v>
      </c>
      <c r="R132" s="1">
        <v>2</v>
      </c>
      <c r="S132" s="1">
        <f>R132/P132</f>
        <v>0.5</v>
      </c>
      <c r="T132" s="1">
        <v>5</v>
      </c>
      <c r="U132" s="1">
        <v>12.5</v>
      </c>
      <c r="V132" s="1">
        <v>130.30065359477123</v>
      </c>
      <c r="W132" s="1">
        <v>8</v>
      </c>
    </row>
    <row r="133" spans="1:23" x14ac:dyDescent="0.2">
      <c r="A133">
        <v>2020</v>
      </c>
      <c r="B133" t="s">
        <v>23</v>
      </c>
      <c r="C133" t="s">
        <v>24</v>
      </c>
      <c r="D133">
        <v>66</v>
      </c>
      <c r="E133">
        <v>2</v>
      </c>
      <c r="F133">
        <v>10</v>
      </c>
      <c r="G133" t="s">
        <v>90</v>
      </c>
      <c r="H133">
        <v>9</v>
      </c>
      <c r="I133">
        <v>66</v>
      </c>
      <c r="J133">
        <v>69</v>
      </c>
      <c r="K133">
        <v>3</v>
      </c>
      <c r="L133">
        <v>145</v>
      </c>
      <c r="M133">
        <v>80</v>
      </c>
      <c r="N133">
        <v>1.5</v>
      </c>
      <c r="O133">
        <v>2</v>
      </c>
      <c r="P133">
        <v>9</v>
      </c>
      <c r="Q133">
        <v>0.5</v>
      </c>
      <c r="R133">
        <v>10</v>
      </c>
      <c r="S133">
        <v>1.1111111111111112</v>
      </c>
      <c r="T133">
        <v>3</v>
      </c>
      <c r="U133">
        <v>12.5</v>
      </c>
      <c r="V133">
        <v>1830.0653594771243</v>
      </c>
      <c r="W133">
        <v>1</v>
      </c>
    </row>
    <row r="134" spans="1:23" x14ac:dyDescent="0.2">
      <c r="A134">
        <v>2020</v>
      </c>
      <c r="B134" t="s">
        <v>23</v>
      </c>
      <c r="C134" t="s">
        <v>24</v>
      </c>
      <c r="D134">
        <v>67</v>
      </c>
      <c r="E134">
        <v>1</v>
      </c>
      <c r="F134">
        <v>10</v>
      </c>
      <c r="G134" t="s">
        <v>91</v>
      </c>
      <c r="H134">
        <v>16</v>
      </c>
      <c r="I134">
        <v>55</v>
      </c>
      <c r="J134">
        <v>57</v>
      </c>
      <c r="K134">
        <v>2</v>
      </c>
      <c r="L134">
        <v>167</v>
      </c>
      <c r="M134">
        <v>75</v>
      </c>
      <c r="N134">
        <v>2</v>
      </c>
      <c r="O134">
        <v>2</v>
      </c>
      <c r="P134">
        <v>15</v>
      </c>
      <c r="Q134">
        <v>1.3</v>
      </c>
      <c r="R134">
        <v>13</v>
      </c>
      <c r="S134">
        <v>0.8666666666666667</v>
      </c>
      <c r="T134">
        <v>3</v>
      </c>
      <c r="U134">
        <v>13.4</v>
      </c>
      <c r="V134">
        <v>4709.2287581699347</v>
      </c>
      <c r="W134">
        <v>2</v>
      </c>
    </row>
    <row r="135" spans="1:23" x14ac:dyDescent="0.2">
      <c r="A135">
        <v>2020</v>
      </c>
      <c r="B135" t="s">
        <v>23</v>
      </c>
      <c r="C135" t="s">
        <v>24</v>
      </c>
      <c r="D135">
        <v>67</v>
      </c>
      <c r="E135">
        <v>2</v>
      </c>
      <c r="F135">
        <v>15</v>
      </c>
      <c r="G135" t="s">
        <v>91</v>
      </c>
      <c r="H135">
        <v>1</v>
      </c>
      <c r="I135">
        <v>56</v>
      </c>
      <c r="J135">
        <v>60</v>
      </c>
      <c r="K135">
        <v>4</v>
      </c>
      <c r="L135">
        <v>133</v>
      </c>
      <c r="M135">
        <v>49</v>
      </c>
      <c r="N135">
        <v>3</v>
      </c>
      <c r="O135">
        <v>3</v>
      </c>
      <c r="P135">
        <v>1</v>
      </c>
      <c r="Q135">
        <v>0.13100000000000001</v>
      </c>
      <c r="R135">
        <v>2</v>
      </c>
      <c r="S135">
        <v>2</v>
      </c>
      <c r="T135">
        <v>2</v>
      </c>
      <c r="U135">
        <v>12.5</v>
      </c>
      <c r="V135">
        <v>479.47712418300648</v>
      </c>
      <c r="W135">
        <v>2</v>
      </c>
    </row>
    <row r="136" spans="1:23" x14ac:dyDescent="0.2">
      <c r="A136">
        <v>2020</v>
      </c>
      <c r="B136" t="s">
        <v>23</v>
      </c>
      <c r="C136" t="s">
        <v>24</v>
      </c>
      <c r="D136">
        <v>68</v>
      </c>
      <c r="E136">
        <v>1</v>
      </c>
      <c r="F136">
        <v>11</v>
      </c>
      <c r="G136" t="s">
        <v>92</v>
      </c>
      <c r="H136" s="1">
        <v>10</v>
      </c>
      <c r="I136" s="1">
        <v>64</v>
      </c>
      <c r="J136" s="1">
        <v>68</v>
      </c>
      <c r="K136" s="1">
        <f>J136-I136</f>
        <v>4</v>
      </c>
      <c r="L136" s="1">
        <v>69</v>
      </c>
      <c r="M136" s="1">
        <v>32</v>
      </c>
      <c r="N136" s="1">
        <v>3</v>
      </c>
      <c r="O136" s="1">
        <v>4</v>
      </c>
      <c r="P136" s="1">
        <v>5</v>
      </c>
      <c r="Q136" s="2">
        <v>0.14000000000000001</v>
      </c>
      <c r="R136" s="1">
        <v>5</v>
      </c>
      <c r="S136" s="1">
        <f>R136/P136</f>
        <v>1</v>
      </c>
      <c r="T136" s="1">
        <v>3.5</v>
      </c>
      <c r="U136" s="1">
        <v>12.5</v>
      </c>
      <c r="V136" s="1">
        <v>512.41830065359488</v>
      </c>
      <c r="W136" s="1">
        <v>4</v>
      </c>
    </row>
    <row r="137" spans="1:23" x14ac:dyDescent="0.2">
      <c r="A137">
        <v>2020</v>
      </c>
      <c r="B137" t="s">
        <v>23</v>
      </c>
      <c r="C137" t="s">
        <v>24</v>
      </c>
      <c r="D137">
        <v>68</v>
      </c>
      <c r="E137">
        <v>2</v>
      </c>
      <c r="F137">
        <v>6</v>
      </c>
      <c r="G137" t="s">
        <v>92</v>
      </c>
      <c r="H137" s="1">
        <v>10</v>
      </c>
      <c r="I137" s="1">
        <v>58</v>
      </c>
      <c r="J137" s="1">
        <v>61</v>
      </c>
      <c r="K137" s="1">
        <f>J137-I137</f>
        <v>3</v>
      </c>
      <c r="L137" s="1">
        <v>129</v>
      </c>
      <c r="M137" s="1">
        <v>30</v>
      </c>
      <c r="N137" s="1">
        <v>3</v>
      </c>
      <c r="O137" s="1">
        <v>4</v>
      </c>
      <c r="P137" s="1">
        <v>6</v>
      </c>
      <c r="Q137" s="2">
        <v>0.14899999999999999</v>
      </c>
      <c r="R137" s="1">
        <v>6</v>
      </c>
      <c r="S137" s="1">
        <f>R137/P137</f>
        <v>1</v>
      </c>
      <c r="T137" s="1">
        <v>3.5</v>
      </c>
      <c r="U137" s="1">
        <v>12.5</v>
      </c>
      <c r="V137" s="1">
        <v>545.35947712418294</v>
      </c>
      <c r="W137" s="1">
        <v>5</v>
      </c>
    </row>
    <row r="138" spans="1:23" x14ac:dyDescent="0.2">
      <c r="A138">
        <v>2020</v>
      </c>
      <c r="B138" t="s">
        <v>23</v>
      </c>
      <c r="C138" t="s">
        <v>24</v>
      </c>
      <c r="D138">
        <v>69</v>
      </c>
      <c r="E138">
        <v>1</v>
      </c>
      <c r="F138">
        <v>7</v>
      </c>
      <c r="G138" t="s">
        <v>93</v>
      </c>
      <c r="H138" s="1">
        <v>11</v>
      </c>
      <c r="I138" s="1">
        <v>56</v>
      </c>
      <c r="J138" s="1">
        <v>60</v>
      </c>
      <c r="K138" s="1">
        <f>J138-I138</f>
        <v>4</v>
      </c>
      <c r="L138" s="1">
        <v>125</v>
      </c>
      <c r="M138" s="1">
        <v>53</v>
      </c>
      <c r="N138" s="1">
        <v>2</v>
      </c>
      <c r="O138" s="1">
        <v>3.5</v>
      </c>
      <c r="P138" s="1">
        <v>4</v>
      </c>
      <c r="Q138" s="2">
        <v>1.7999999999999999E-2</v>
      </c>
      <c r="R138" s="1">
        <v>1</v>
      </c>
      <c r="S138" s="1">
        <f>R138/P138</f>
        <v>0.25</v>
      </c>
      <c r="T138" s="1">
        <v>5</v>
      </c>
      <c r="U138" s="1">
        <v>12.5</v>
      </c>
      <c r="V138" s="1">
        <v>65.882352941176478</v>
      </c>
      <c r="W138" s="1">
        <v>6</v>
      </c>
    </row>
    <row r="139" spans="1:23" x14ac:dyDescent="0.2">
      <c r="A139">
        <v>2020</v>
      </c>
      <c r="B139" t="s">
        <v>23</v>
      </c>
      <c r="C139" t="s">
        <v>24</v>
      </c>
      <c r="D139">
        <v>69</v>
      </c>
      <c r="E139">
        <v>2</v>
      </c>
      <c r="F139">
        <v>5</v>
      </c>
      <c r="G139" t="s">
        <v>93</v>
      </c>
      <c r="H139">
        <v>9</v>
      </c>
      <c r="I139">
        <v>60</v>
      </c>
      <c r="J139">
        <v>63</v>
      </c>
      <c r="K139">
        <v>3</v>
      </c>
      <c r="L139">
        <v>90</v>
      </c>
      <c r="M139">
        <v>22</v>
      </c>
      <c r="N139">
        <v>1</v>
      </c>
      <c r="O139">
        <v>2</v>
      </c>
      <c r="P139">
        <v>9</v>
      </c>
      <c r="Q139">
        <v>0.222</v>
      </c>
      <c r="R139">
        <v>9</v>
      </c>
      <c r="S139">
        <v>1</v>
      </c>
      <c r="T139">
        <v>3</v>
      </c>
      <c r="U139">
        <v>12.5</v>
      </c>
      <c r="V139">
        <v>812.54901960784309</v>
      </c>
      <c r="W139">
        <v>1</v>
      </c>
    </row>
    <row r="140" spans="1:23" x14ac:dyDescent="0.2">
      <c r="A140">
        <v>2020</v>
      </c>
      <c r="B140" t="s">
        <v>23</v>
      </c>
      <c r="C140" t="s">
        <v>24</v>
      </c>
      <c r="D140">
        <v>70</v>
      </c>
      <c r="E140">
        <v>1</v>
      </c>
      <c r="F140">
        <v>4</v>
      </c>
      <c r="G140" t="s">
        <v>94</v>
      </c>
      <c r="H140" s="1">
        <v>7</v>
      </c>
      <c r="I140" s="1">
        <v>64</v>
      </c>
      <c r="J140" s="1">
        <v>69</v>
      </c>
      <c r="K140" s="1">
        <f>J140-I140</f>
        <v>5</v>
      </c>
      <c r="L140" s="1">
        <v>147</v>
      </c>
      <c r="M140" s="1">
        <v>60</v>
      </c>
      <c r="N140" s="1">
        <v>3</v>
      </c>
      <c r="O140" s="1">
        <v>3.5</v>
      </c>
      <c r="P140" s="1">
        <v>4</v>
      </c>
      <c r="Q140" s="2">
        <v>0.46700000000000003</v>
      </c>
      <c r="R140" s="1">
        <v>4</v>
      </c>
      <c r="S140" s="1">
        <f>R140/P140</f>
        <v>1</v>
      </c>
      <c r="T140" s="1">
        <v>5</v>
      </c>
      <c r="U140" s="1">
        <v>8</v>
      </c>
      <c r="V140" s="1">
        <v>1797.1869281045756</v>
      </c>
      <c r="W140" s="1">
        <v>4</v>
      </c>
    </row>
    <row r="141" spans="1:23" x14ac:dyDescent="0.2">
      <c r="A141">
        <v>2020</v>
      </c>
      <c r="B141" t="s">
        <v>23</v>
      </c>
      <c r="C141" t="s">
        <v>24</v>
      </c>
      <c r="D141">
        <v>70</v>
      </c>
      <c r="E141">
        <v>2</v>
      </c>
      <c r="F141">
        <v>8</v>
      </c>
      <c r="G141" t="s">
        <v>94</v>
      </c>
      <c r="H141" s="1">
        <v>10</v>
      </c>
      <c r="I141" s="1">
        <v>64</v>
      </c>
      <c r="J141" s="1">
        <v>68</v>
      </c>
      <c r="K141" s="1">
        <f>J141-I141</f>
        <v>4</v>
      </c>
      <c r="L141" s="1">
        <v>170</v>
      </c>
      <c r="M141" s="1">
        <v>108</v>
      </c>
      <c r="N141" s="1">
        <v>2</v>
      </c>
      <c r="O141" s="1">
        <v>2.5</v>
      </c>
      <c r="P141" s="1">
        <f>H141</f>
        <v>10</v>
      </c>
      <c r="Q141" s="2">
        <v>0.42749999999999999</v>
      </c>
      <c r="R141" s="1">
        <v>6</v>
      </c>
      <c r="S141" s="1">
        <f>R141/P141</f>
        <v>0.6</v>
      </c>
      <c r="T141" s="1">
        <v>3</v>
      </c>
      <c r="U141" s="1">
        <v>12.5</v>
      </c>
      <c r="V141" s="1">
        <v>1564.7058823529412</v>
      </c>
      <c r="W141" s="1">
        <v>3</v>
      </c>
    </row>
    <row r="142" spans="1:23" x14ac:dyDescent="0.2">
      <c r="A142">
        <v>2020</v>
      </c>
      <c r="B142" t="s">
        <v>23</v>
      </c>
      <c r="C142" t="s">
        <v>24</v>
      </c>
      <c r="D142">
        <v>71</v>
      </c>
      <c r="E142">
        <v>1</v>
      </c>
      <c r="F142">
        <v>10</v>
      </c>
      <c r="G142" t="s">
        <v>95</v>
      </c>
      <c r="H142">
        <v>1</v>
      </c>
      <c r="I142">
        <v>55</v>
      </c>
      <c r="J142">
        <v>57</v>
      </c>
      <c r="K142">
        <v>2</v>
      </c>
      <c r="L142">
        <v>62</v>
      </c>
      <c r="M142">
        <v>18</v>
      </c>
      <c r="N142">
        <v>2</v>
      </c>
      <c r="O142">
        <v>4</v>
      </c>
      <c r="P142">
        <v>1</v>
      </c>
      <c r="Q142">
        <v>0.121</v>
      </c>
      <c r="R142">
        <v>1</v>
      </c>
      <c r="S142">
        <v>1</v>
      </c>
      <c r="T142">
        <v>2</v>
      </c>
      <c r="U142">
        <v>12.5</v>
      </c>
      <c r="V142">
        <v>442.87581699346407</v>
      </c>
      <c r="W142">
        <v>1</v>
      </c>
    </row>
    <row r="143" spans="1:23" x14ac:dyDescent="0.2">
      <c r="A143">
        <v>2020</v>
      </c>
      <c r="B143" t="s">
        <v>23</v>
      </c>
      <c r="C143" t="s">
        <v>24</v>
      </c>
      <c r="D143">
        <v>71</v>
      </c>
      <c r="E143">
        <v>2</v>
      </c>
      <c r="F143">
        <v>12</v>
      </c>
      <c r="G143" t="s">
        <v>95</v>
      </c>
      <c r="H143" s="1">
        <v>10</v>
      </c>
      <c r="I143" s="1">
        <v>63</v>
      </c>
      <c r="J143" s="1">
        <v>67</v>
      </c>
      <c r="K143" s="1">
        <f>J143-I143</f>
        <v>4</v>
      </c>
      <c r="L143" s="1">
        <v>190</v>
      </c>
      <c r="M143" s="1">
        <v>102</v>
      </c>
      <c r="N143" s="1">
        <v>2</v>
      </c>
      <c r="O143" s="1">
        <v>3.5</v>
      </c>
      <c r="P143" s="1">
        <f>H143</f>
        <v>10</v>
      </c>
      <c r="Q143" s="2">
        <v>0.14849999999999999</v>
      </c>
      <c r="R143" s="1">
        <v>7</v>
      </c>
      <c r="S143" s="1">
        <f>R143/P143</f>
        <v>0.7</v>
      </c>
      <c r="T143" s="1">
        <v>5</v>
      </c>
      <c r="U143" s="1">
        <v>12.5</v>
      </c>
      <c r="V143" s="1">
        <v>543.52941176470586</v>
      </c>
      <c r="W143" s="1">
        <v>6</v>
      </c>
    </row>
    <row r="144" spans="1:23" x14ac:dyDescent="0.2">
      <c r="A144">
        <v>2020</v>
      </c>
      <c r="B144" t="s">
        <v>23</v>
      </c>
      <c r="C144" t="s">
        <v>24</v>
      </c>
      <c r="D144">
        <v>72</v>
      </c>
      <c r="E144">
        <v>1</v>
      </c>
      <c r="F144">
        <v>6</v>
      </c>
      <c r="G144" t="s">
        <v>96</v>
      </c>
      <c r="H144" s="1">
        <v>11</v>
      </c>
      <c r="I144" s="1">
        <v>60</v>
      </c>
      <c r="J144" s="1">
        <v>64</v>
      </c>
      <c r="K144" s="1">
        <f>J144-I144</f>
        <v>4</v>
      </c>
      <c r="L144" s="1">
        <v>162</v>
      </c>
      <c r="M144" s="1">
        <v>88</v>
      </c>
      <c r="N144" s="1">
        <v>2</v>
      </c>
      <c r="O144" s="1">
        <v>3</v>
      </c>
      <c r="P144" s="1">
        <v>10</v>
      </c>
      <c r="Q144" s="2">
        <v>0.60419999999999996</v>
      </c>
      <c r="R144" s="1">
        <v>9</v>
      </c>
      <c r="S144" s="1">
        <f>R144/P144</f>
        <v>0.9</v>
      </c>
      <c r="T144" s="1">
        <v>5</v>
      </c>
      <c r="U144" s="1">
        <v>7.9</v>
      </c>
      <c r="V144" s="1">
        <v>2327.7101176470587</v>
      </c>
      <c r="W144" s="1">
        <v>3</v>
      </c>
    </row>
    <row r="145" spans="1:23" x14ac:dyDescent="0.2">
      <c r="A145">
        <v>2020</v>
      </c>
      <c r="B145" t="s">
        <v>23</v>
      </c>
      <c r="C145" t="s">
        <v>24</v>
      </c>
      <c r="D145">
        <v>72</v>
      </c>
      <c r="E145">
        <v>2</v>
      </c>
      <c r="F145">
        <v>10</v>
      </c>
      <c r="G145" t="s">
        <v>96</v>
      </c>
      <c r="H145" s="1">
        <v>13</v>
      </c>
      <c r="I145" s="1">
        <v>58</v>
      </c>
      <c r="J145" s="1">
        <v>61</v>
      </c>
      <c r="K145" s="1">
        <f>J145-I145</f>
        <v>3</v>
      </c>
      <c r="L145" s="1">
        <v>108</v>
      </c>
      <c r="M145" s="1">
        <v>56</v>
      </c>
      <c r="N145" s="1">
        <v>3</v>
      </c>
      <c r="O145" s="1">
        <v>4</v>
      </c>
      <c r="P145" s="1">
        <f>H145</f>
        <v>13</v>
      </c>
      <c r="Q145" s="2">
        <v>7.3687500000000003E-2</v>
      </c>
      <c r="R145" s="1">
        <v>10</v>
      </c>
      <c r="S145" s="1">
        <f>R145/P145</f>
        <v>0.76923076923076927</v>
      </c>
      <c r="T145" s="1">
        <v>5</v>
      </c>
      <c r="U145" s="1">
        <v>12.5</v>
      </c>
      <c r="V145" s="1">
        <v>269.70588235294122</v>
      </c>
      <c r="W145" s="1">
        <v>5</v>
      </c>
    </row>
    <row r="146" spans="1:23" x14ac:dyDescent="0.2">
      <c r="A146">
        <v>2020</v>
      </c>
      <c r="B146" t="s">
        <v>23</v>
      </c>
      <c r="C146" t="s">
        <v>24</v>
      </c>
      <c r="D146">
        <v>73</v>
      </c>
      <c r="E146">
        <v>1</v>
      </c>
      <c r="F146">
        <v>9</v>
      </c>
      <c r="G146" t="s">
        <v>97</v>
      </c>
      <c r="H146" s="1">
        <v>8</v>
      </c>
      <c r="I146" s="1">
        <v>63</v>
      </c>
      <c r="J146" s="1">
        <v>66</v>
      </c>
      <c r="K146" s="1">
        <f>J146-I146</f>
        <v>3</v>
      </c>
      <c r="L146" s="1">
        <v>88</v>
      </c>
      <c r="M146" s="1">
        <v>36</v>
      </c>
      <c r="N146" s="1">
        <v>3</v>
      </c>
      <c r="O146" s="1">
        <v>4</v>
      </c>
      <c r="P146" s="1">
        <v>7</v>
      </c>
      <c r="Q146" s="2">
        <v>0.52500000000000002</v>
      </c>
      <c r="R146" s="1">
        <v>5</v>
      </c>
      <c r="S146" s="1">
        <f>R146/P146</f>
        <v>0.7142857142857143</v>
      </c>
      <c r="T146" s="1">
        <v>4</v>
      </c>
      <c r="U146" s="1">
        <v>12.5</v>
      </c>
      <c r="V146" s="1">
        <v>1921.5686274509806</v>
      </c>
      <c r="W146" s="1">
        <v>5</v>
      </c>
    </row>
    <row r="147" spans="1:23" x14ac:dyDescent="0.2">
      <c r="A147">
        <v>2020</v>
      </c>
      <c r="B147" t="s">
        <v>23</v>
      </c>
      <c r="C147" t="s">
        <v>24</v>
      </c>
      <c r="D147">
        <v>73</v>
      </c>
      <c r="E147">
        <v>2</v>
      </c>
      <c r="F147">
        <v>13</v>
      </c>
      <c r="G147" t="s">
        <v>97</v>
      </c>
      <c r="H147">
        <v>15</v>
      </c>
      <c r="I147">
        <v>53</v>
      </c>
      <c r="J147">
        <v>57</v>
      </c>
      <c r="K147">
        <v>4</v>
      </c>
      <c r="L147">
        <v>151</v>
      </c>
      <c r="M147">
        <v>78</v>
      </c>
      <c r="N147">
        <v>2</v>
      </c>
      <c r="O147">
        <v>2</v>
      </c>
      <c r="P147">
        <v>11</v>
      </c>
      <c r="Q147">
        <v>1</v>
      </c>
      <c r="R147">
        <v>11</v>
      </c>
      <c r="S147">
        <v>1</v>
      </c>
      <c r="T147">
        <v>2</v>
      </c>
      <c r="U147">
        <v>8.1</v>
      </c>
      <c r="V147">
        <v>3844.1830065359482</v>
      </c>
      <c r="W147">
        <v>1</v>
      </c>
    </row>
    <row r="148" spans="1:23" x14ac:dyDescent="0.2">
      <c r="A148">
        <v>2020</v>
      </c>
      <c r="B148" t="s">
        <v>23</v>
      </c>
      <c r="C148" t="s">
        <v>24</v>
      </c>
      <c r="D148">
        <v>74</v>
      </c>
      <c r="E148">
        <v>1</v>
      </c>
      <c r="F148">
        <v>1</v>
      </c>
      <c r="G148" t="s">
        <v>98</v>
      </c>
      <c r="H148" s="1">
        <v>14</v>
      </c>
      <c r="I148" s="1">
        <v>62</v>
      </c>
      <c r="J148" s="1">
        <v>67</v>
      </c>
      <c r="K148" s="1">
        <f>J148-I148</f>
        <v>5</v>
      </c>
      <c r="L148" s="1">
        <v>132</v>
      </c>
      <c r="M148" s="1">
        <v>83</v>
      </c>
      <c r="N148" s="1">
        <v>2</v>
      </c>
      <c r="O148" s="1">
        <v>3</v>
      </c>
      <c r="P148" s="1">
        <f>H148</f>
        <v>14</v>
      </c>
      <c r="Q148" s="2">
        <v>0.42899999999999999</v>
      </c>
      <c r="R148" s="1">
        <v>14</v>
      </c>
      <c r="S148" s="1">
        <f>R148/P148</f>
        <v>1</v>
      </c>
      <c r="T148" s="1">
        <v>5</v>
      </c>
      <c r="U148" s="1">
        <v>12.5</v>
      </c>
      <c r="V148" s="1">
        <v>1570.1960784313726</v>
      </c>
      <c r="W148" s="1">
        <v>5</v>
      </c>
    </row>
    <row r="149" spans="1:23" x14ac:dyDescent="0.2">
      <c r="A149">
        <v>2020</v>
      </c>
      <c r="B149" t="s">
        <v>23</v>
      </c>
      <c r="C149" t="s">
        <v>24</v>
      </c>
      <c r="D149">
        <v>74</v>
      </c>
      <c r="E149">
        <v>2</v>
      </c>
      <c r="F149">
        <v>7</v>
      </c>
      <c r="G149" t="s">
        <v>98</v>
      </c>
      <c r="H149">
        <v>11</v>
      </c>
      <c r="I149">
        <v>65</v>
      </c>
      <c r="J149">
        <v>68</v>
      </c>
      <c r="K149">
        <v>3</v>
      </c>
      <c r="L149">
        <v>175</v>
      </c>
      <c r="M149">
        <v>65</v>
      </c>
      <c r="N149">
        <v>1.5</v>
      </c>
      <c r="O149">
        <v>2</v>
      </c>
      <c r="P149">
        <v>11</v>
      </c>
      <c r="Q149">
        <v>0.3</v>
      </c>
      <c r="R149">
        <v>12</v>
      </c>
      <c r="S149">
        <v>1.0909090909090908</v>
      </c>
      <c r="T149">
        <v>2.5</v>
      </c>
      <c r="U149">
        <v>12.5</v>
      </c>
      <c r="V149">
        <v>1098.0392156862745</v>
      </c>
      <c r="W149">
        <v>2</v>
      </c>
    </row>
    <row r="150" spans="1:23" x14ac:dyDescent="0.2">
      <c r="A150">
        <v>2020</v>
      </c>
      <c r="B150" t="s">
        <v>23</v>
      </c>
      <c r="C150" t="s">
        <v>24</v>
      </c>
      <c r="D150">
        <v>75</v>
      </c>
      <c r="E150">
        <v>1</v>
      </c>
      <c r="F150">
        <v>10</v>
      </c>
      <c r="G150" t="s">
        <v>99</v>
      </c>
      <c r="H150" s="1">
        <v>14</v>
      </c>
      <c r="I150" s="1">
        <v>64</v>
      </c>
      <c r="J150" s="1">
        <v>69</v>
      </c>
      <c r="K150" s="1">
        <f>J150-I150</f>
        <v>5</v>
      </c>
      <c r="L150" s="1">
        <v>138</v>
      </c>
      <c r="M150" s="1">
        <v>86</v>
      </c>
      <c r="N150" s="1">
        <v>2</v>
      </c>
      <c r="O150" s="1">
        <v>2.5</v>
      </c>
      <c r="P150" s="1">
        <f>H150</f>
        <v>14</v>
      </c>
      <c r="Q150" s="2">
        <v>0.21</v>
      </c>
      <c r="R150" s="1">
        <v>12</v>
      </c>
      <c r="S150" s="1">
        <f>R150/P150</f>
        <v>0.8571428571428571</v>
      </c>
      <c r="T150" s="1">
        <v>5</v>
      </c>
      <c r="U150" s="1">
        <v>12.5</v>
      </c>
      <c r="V150" s="1">
        <v>768.62745098039215</v>
      </c>
      <c r="W150" s="1">
        <v>6</v>
      </c>
    </row>
    <row r="151" spans="1:23" x14ac:dyDescent="0.2">
      <c r="A151">
        <v>2020</v>
      </c>
      <c r="B151" t="s">
        <v>23</v>
      </c>
      <c r="C151" t="s">
        <v>24</v>
      </c>
      <c r="D151">
        <v>75</v>
      </c>
      <c r="E151">
        <v>2</v>
      </c>
      <c r="F151">
        <v>3</v>
      </c>
      <c r="G151" t="s">
        <v>99</v>
      </c>
      <c r="H151" s="1">
        <v>2</v>
      </c>
      <c r="I151" s="1">
        <v>62</v>
      </c>
      <c r="J151" s="1">
        <v>65</v>
      </c>
      <c r="K151" s="1">
        <f>J151-I151</f>
        <v>3</v>
      </c>
      <c r="L151" s="1">
        <v>131</v>
      </c>
      <c r="M151" s="1">
        <v>37</v>
      </c>
      <c r="N151" s="1">
        <v>2</v>
      </c>
      <c r="O151" s="1">
        <v>3.5</v>
      </c>
      <c r="P151" s="1">
        <v>2</v>
      </c>
      <c r="Q151" s="2">
        <v>0.19700000000000001</v>
      </c>
      <c r="R151" s="1">
        <v>2</v>
      </c>
      <c r="S151" s="1">
        <f>R151/P151</f>
        <v>1</v>
      </c>
      <c r="T151" s="1">
        <v>3</v>
      </c>
      <c r="U151" s="1">
        <v>12.5</v>
      </c>
      <c r="V151" s="1">
        <v>721.04575163398692</v>
      </c>
      <c r="W151" s="1">
        <v>4</v>
      </c>
    </row>
    <row r="152" spans="1:23" x14ac:dyDescent="0.2">
      <c r="A152">
        <v>2020</v>
      </c>
      <c r="B152" t="s">
        <v>23</v>
      </c>
      <c r="C152" t="s">
        <v>24</v>
      </c>
      <c r="D152">
        <v>76</v>
      </c>
      <c r="E152">
        <v>1</v>
      </c>
      <c r="F152">
        <v>2</v>
      </c>
      <c r="G152" t="s">
        <v>100</v>
      </c>
      <c r="H152" s="1">
        <v>5</v>
      </c>
      <c r="I152" s="1">
        <v>63</v>
      </c>
      <c r="J152" s="1">
        <v>65</v>
      </c>
      <c r="K152" s="1">
        <f>J152-I152</f>
        <v>2</v>
      </c>
      <c r="L152" s="1">
        <v>193</v>
      </c>
      <c r="M152" s="1">
        <v>113</v>
      </c>
      <c r="N152" s="1">
        <v>2</v>
      </c>
      <c r="O152" s="1">
        <v>2</v>
      </c>
      <c r="P152" s="1">
        <f>H152-1</f>
        <v>4</v>
      </c>
      <c r="Q152" s="2">
        <v>7.4999999999999997E-2</v>
      </c>
      <c r="R152" s="1">
        <v>4</v>
      </c>
      <c r="S152" s="1">
        <f>R152/P152</f>
        <v>1</v>
      </c>
      <c r="T152" s="1">
        <v>3</v>
      </c>
      <c r="U152" s="1">
        <v>12.5</v>
      </c>
      <c r="V152" s="1">
        <v>274.50980392156862</v>
      </c>
      <c r="W152" s="1">
        <v>4</v>
      </c>
    </row>
    <row r="153" spans="1:23" x14ac:dyDescent="0.2">
      <c r="A153">
        <v>2020</v>
      </c>
      <c r="B153" t="s">
        <v>23</v>
      </c>
      <c r="C153" t="s">
        <v>24</v>
      </c>
      <c r="D153">
        <v>76</v>
      </c>
      <c r="E153">
        <v>2</v>
      </c>
      <c r="F153">
        <v>3</v>
      </c>
      <c r="G153" t="s">
        <v>100</v>
      </c>
      <c r="H153" s="1">
        <v>10</v>
      </c>
      <c r="I153" s="1">
        <v>62</v>
      </c>
      <c r="J153" s="1">
        <v>65</v>
      </c>
      <c r="K153" s="1">
        <f>J153-I153</f>
        <v>3</v>
      </c>
      <c r="L153" s="1">
        <v>187</v>
      </c>
      <c r="M153" s="1">
        <v>85</v>
      </c>
      <c r="N153" s="1">
        <v>2</v>
      </c>
      <c r="O153" s="1">
        <v>2.5</v>
      </c>
      <c r="P153" s="1">
        <v>6</v>
      </c>
      <c r="Q153" s="2">
        <v>0.30585000000000001</v>
      </c>
      <c r="R153" s="1">
        <v>8</v>
      </c>
      <c r="S153" s="1">
        <f>R153/P153</f>
        <v>1.3333333333333333</v>
      </c>
      <c r="T153" s="1">
        <v>5</v>
      </c>
      <c r="U153" s="1">
        <v>12.5</v>
      </c>
      <c r="V153" s="1">
        <v>1119.4509803921569</v>
      </c>
      <c r="W153" s="1">
        <v>5</v>
      </c>
    </row>
    <row r="154" spans="1:23" x14ac:dyDescent="0.2">
      <c r="A154">
        <v>2020</v>
      </c>
      <c r="B154" t="s">
        <v>23</v>
      </c>
      <c r="C154" t="s">
        <v>24</v>
      </c>
      <c r="D154">
        <v>77</v>
      </c>
      <c r="E154">
        <v>1</v>
      </c>
      <c r="F154">
        <v>1</v>
      </c>
      <c r="G154" t="s">
        <v>101</v>
      </c>
      <c r="H154" s="1">
        <v>1</v>
      </c>
      <c r="I154" s="1">
        <v>65</v>
      </c>
      <c r="J154" s="1">
        <v>68</v>
      </c>
      <c r="K154" s="1">
        <f>J154-I154</f>
        <v>3</v>
      </c>
      <c r="L154" s="1">
        <v>104</v>
      </c>
      <c r="M154" s="1">
        <v>24</v>
      </c>
      <c r="N154" s="1">
        <v>1.5</v>
      </c>
      <c r="O154" s="1">
        <v>5</v>
      </c>
      <c r="P154" s="1">
        <v>1</v>
      </c>
      <c r="Q154" s="2">
        <v>7.0999999999999994E-2</v>
      </c>
      <c r="R154" s="1">
        <v>1</v>
      </c>
      <c r="S154" s="1">
        <f>R154/P154</f>
        <v>1</v>
      </c>
      <c r="T154" s="1">
        <v>5</v>
      </c>
      <c r="U154" s="1">
        <v>12.5</v>
      </c>
      <c r="V154" s="1">
        <v>259.86928104575168</v>
      </c>
      <c r="W154" s="1">
        <v>6</v>
      </c>
    </row>
    <row r="155" spans="1:23" x14ac:dyDescent="0.2">
      <c r="A155">
        <v>2020</v>
      </c>
      <c r="B155" t="s">
        <v>23</v>
      </c>
      <c r="C155" t="s">
        <v>24</v>
      </c>
      <c r="D155">
        <v>77</v>
      </c>
      <c r="E155">
        <v>2</v>
      </c>
      <c r="F155">
        <v>1</v>
      </c>
      <c r="G155" t="s">
        <v>101</v>
      </c>
      <c r="H155">
        <v>4</v>
      </c>
      <c r="I155">
        <v>60</v>
      </c>
      <c r="J155">
        <v>62</v>
      </c>
      <c r="K155">
        <v>2</v>
      </c>
      <c r="L155">
        <v>122</v>
      </c>
      <c r="M155">
        <v>45</v>
      </c>
      <c r="N155">
        <v>1.5</v>
      </c>
      <c r="O155">
        <v>3.5</v>
      </c>
      <c r="P155">
        <v>4</v>
      </c>
      <c r="Q155">
        <v>0.1</v>
      </c>
      <c r="R155">
        <v>1</v>
      </c>
      <c r="S155">
        <v>0.25</v>
      </c>
      <c r="T155">
        <v>4</v>
      </c>
      <c r="U155">
        <v>15</v>
      </c>
      <c r="V155">
        <v>355.55555555555554</v>
      </c>
      <c r="W155">
        <v>1</v>
      </c>
    </row>
    <row r="156" spans="1:23" x14ac:dyDescent="0.2">
      <c r="A156">
        <v>2020</v>
      </c>
      <c r="B156" t="s">
        <v>23</v>
      </c>
      <c r="C156" t="s">
        <v>24</v>
      </c>
      <c r="D156">
        <v>78</v>
      </c>
      <c r="E156">
        <v>1</v>
      </c>
      <c r="F156">
        <v>4</v>
      </c>
      <c r="G156" t="s">
        <v>102</v>
      </c>
      <c r="H156">
        <v>13</v>
      </c>
      <c r="I156">
        <v>52</v>
      </c>
      <c r="J156">
        <v>56</v>
      </c>
      <c r="K156">
        <v>4</v>
      </c>
      <c r="L156">
        <v>187</v>
      </c>
      <c r="M156">
        <v>62</v>
      </c>
      <c r="N156">
        <v>1</v>
      </c>
      <c r="O156">
        <v>2</v>
      </c>
      <c r="P156">
        <v>12</v>
      </c>
      <c r="Q156">
        <v>1.3</v>
      </c>
      <c r="R156">
        <v>11</v>
      </c>
      <c r="S156">
        <v>0.91666666666666663</v>
      </c>
      <c r="T156">
        <v>2</v>
      </c>
      <c r="U156">
        <v>10.6</v>
      </c>
      <c r="V156">
        <v>4861.4901960784327</v>
      </c>
      <c r="W156">
        <v>2</v>
      </c>
    </row>
    <row r="157" spans="1:23" x14ac:dyDescent="0.2">
      <c r="A157">
        <v>2020</v>
      </c>
      <c r="B157" t="s">
        <v>23</v>
      </c>
      <c r="C157" t="s">
        <v>24</v>
      </c>
      <c r="D157">
        <v>78</v>
      </c>
      <c r="E157">
        <v>2</v>
      </c>
      <c r="F157">
        <v>7</v>
      </c>
      <c r="G157" t="s">
        <v>102</v>
      </c>
      <c r="H157" s="1">
        <v>10</v>
      </c>
      <c r="I157" s="1">
        <v>64</v>
      </c>
      <c r="J157" s="1">
        <v>68</v>
      </c>
      <c r="K157" s="1">
        <f>J157-I157</f>
        <v>4</v>
      </c>
      <c r="L157" s="1">
        <v>173</v>
      </c>
      <c r="M157" s="1">
        <v>80</v>
      </c>
      <c r="N157" s="1">
        <v>2</v>
      </c>
      <c r="O157" s="1">
        <v>3</v>
      </c>
      <c r="P157" s="1">
        <v>10</v>
      </c>
      <c r="Q157" s="2">
        <v>0.29183999999999999</v>
      </c>
      <c r="R157" s="1">
        <v>5</v>
      </c>
      <c r="S157" s="1">
        <f>R157/P157</f>
        <v>0.5</v>
      </c>
      <c r="T157" s="1">
        <v>5</v>
      </c>
      <c r="U157" s="1">
        <v>10.1</v>
      </c>
      <c r="V157" s="1">
        <v>1097.4709960784317</v>
      </c>
      <c r="W157" s="1">
        <v>5</v>
      </c>
    </row>
    <row r="158" spans="1:23" x14ac:dyDescent="0.2">
      <c r="A158">
        <v>2020</v>
      </c>
      <c r="B158" t="s">
        <v>23</v>
      </c>
      <c r="C158" t="s">
        <v>24</v>
      </c>
      <c r="D158">
        <v>79</v>
      </c>
      <c r="E158">
        <v>1</v>
      </c>
      <c r="F158">
        <v>10</v>
      </c>
      <c r="G158" t="s">
        <v>103</v>
      </c>
      <c r="H158" s="1">
        <v>5</v>
      </c>
      <c r="I158" s="1">
        <v>56</v>
      </c>
      <c r="J158" s="1">
        <v>61</v>
      </c>
      <c r="K158" s="1">
        <f>J158-I158</f>
        <v>5</v>
      </c>
      <c r="L158" s="1">
        <v>123</v>
      </c>
      <c r="M158" s="1">
        <v>80</v>
      </c>
      <c r="N158" s="1">
        <v>2</v>
      </c>
      <c r="O158" s="1">
        <v>2.5</v>
      </c>
      <c r="P158" s="1">
        <v>4</v>
      </c>
      <c r="Q158" s="2">
        <v>0.76800000000000002</v>
      </c>
      <c r="R158" s="1">
        <v>4</v>
      </c>
      <c r="S158" s="1">
        <f>R158/P158</f>
        <v>1</v>
      </c>
      <c r="T158" s="1">
        <v>3</v>
      </c>
      <c r="U158" s="1">
        <v>8.1</v>
      </c>
      <c r="V158" s="1">
        <v>2952.3325490196075</v>
      </c>
      <c r="W158" s="1">
        <v>2</v>
      </c>
    </row>
    <row r="159" spans="1:23" x14ac:dyDescent="0.2">
      <c r="A159">
        <v>2020</v>
      </c>
      <c r="B159" t="s">
        <v>23</v>
      </c>
      <c r="C159" t="s">
        <v>24</v>
      </c>
      <c r="D159">
        <v>79</v>
      </c>
      <c r="E159">
        <v>2</v>
      </c>
      <c r="F159">
        <v>5</v>
      </c>
      <c r="G159" t="s">
        <v>103</v>
      </c>
      <c r="H159">
        <v>10</v>
      </c>
      <c r="I159">
        <v>56</v>
      </c>
      <c r="J159">
        <v>60</v>
      </c>
      <c r="K159">
        <v>4</v>
      </c>
      <c r="L159">
        <v>66</v>
      </c>
      <c r="M159">
        <v>24</v>
      </c>
      <c r="N159">
        <v>2</v>
      </c>
      <c r="O159">
        <v>3</v>
      </c>
      <c r="P159">
        <v>10</v>
      </c>
      <c r="Q159">
        <v>1</v>
      </c>
      <c r="R159">
        <v>11</v>
      </c>
      <c r="S159">
        <v>1.1000000000000001</v>
      </c>
      <c r="T159">
        <v>3</v>
      </c>
      <c r="U159">
        <v>12.5</v>
      </c>
      <c r="V159">
        <v>3660.1307189542486</v>
      </c>
      <c r="W159">
        <v>1</v>
      </c>
    </row>
    <row r="160" spans="1:23" x14ac:dyDescent="0.2">
      <c r="A160">
        <v>2020</v>
      </c>
      <c r="B160" t="s">
        <v>23</v>
      </c>
      <c r="C160" t="s">
        <v>24</v>
      </c>
      <c r="D160">
        <v>80</v>
      </c>
      <c r="E160">
        <v>1</v>
      </c>
      <c r="F160">
        <v>4</v>
      </c>
      <c r="G160" t="s">
        <v>104</v>
      </c>
      <c r="H160" s="1">
        <v>1</v>
      </c>
      <c r="I160" s="1">
        <v>59</v>
      </c>
      <c r="J160" s="1">
        <v>64</v>
      </c>
      <c r="K160" s="1">
        <f>J160-I160</f>
        <v>5</v>
      </c>
      <c r="L160" s="1">
        <v>45</v>
      </c>
      <c r="M160" s="1">
        <v>21</v>
      </c>
      <c r="N160" s="1">
        <v>4.5</v>
      </c>
      <c r="O160" s="1">
        <v>5</v>
      </c>
      <c r="P160" s="1">
        <v>1</v>
      </c>
      <c r="Q160" s="2">
        <v>0.04</v>
      </c>
      <c r="R160" s="1">
        <v>1</v>
      </c>
      <c r="S160" s="1">
        <f>R160/P160</f>
        <v>1</v>
      </c>
      <c r="T160" s="1">
        <v>5</v>
      </c>
      <c r="U160" s="1">
        <v>12.5</v>
      </c>
      <c r="V160" s="1">
        <v>146.40522875816995</v>
      </c>
      <c r="W160" s="1">
        <v>5</v>
      </c>
    </row>
    <row r="161" spans="1:23" x14ac:dyDescent="0.2">
      <c r="A161">
        <v>2020</v>
      </c>
      <c r="B161" t="s">
        <v>23</v>
      </c>
      <c r="C161" t="s">
        <v>24</v>
      </c>
      <c r="D161">
        <v>80</v>
      </c>
      <c r="E161">
        <v>2</v>
      </c>
      <c r="F161">
        <v>6</v>
      </c>
      <c r="G161" t="s">
        <v>104</v>
      </c>
      <c r="H161" s="1">
        <v>8</v>
      </c>
      <c r="I161" s="1">
        <v>66</v>
      </c>
      <c r="J161" s="1">
        <v>70</v>
      </c>
      <c r="K161" s="1">
        <f>J161-I161</f>
        <v>4</v>
      </c>
      <c r="L161" s="1">
        <v>56</v>
      </c>
      <c r="M161" s="1">
        <v>30</v>
      </c>
      <c r="N161" s="1">
        <v>3</v>
      </c>
      <c r="O161" s="1">
        <v>5</v>
      </c>
      <c r="P161" s="1">
        <v>6</v>
      </c>
      <c r="Q161" s="2">
        <v>8.1500000000000003E-2</v>
      </c>
      <c r="R161" s="1">
        <v>4</v>
      </c>
      <c r="S161" s="1">
        <f>R161/P161</f>
        <v>0.66666666666666663</v>
      </c>
      <c r="T161" s="1">
        <v>5</v>
      </c>
      <c r="U161" s="1">
        <v>12.5</v>
      </c>
      <c r="V161" s="1">
        <v>298.30065359477123</v>
      </c>
      <c r="W161" s="1">
        <v>6</v>
      </c>
    </row>
    <row r="162" spans="1:23" x14ac:dyDescent="0.2">
      <c r="A162">
        <v>2020</v>
      </c>
      <c r="B162" t="s">
        <v>23</v>
      </c>
      <c r="C162" t="s">
        <v>24</v>
      </c>
      <c r="D162">
        <v>81</v>
      </c>
      <c r="E162">
        <v>1</v>
      </c>
      <c r="F162">
        <v>11</v>
      </c>
      <c r="G162" t="s">
        <v>105</v>
      </c>
      <c r="H162">
        <v>13</v>
      </c>
      <c r="I162">
        <v>53</v>
      </c>
      <c r="J162">
        <v>56</v>
      </c>
      <c r="K162">
        <v>3</v>
      </c>
      <c r="L162">
        <v>86</v>
      </c>
      <c r="M162">
        <v>59</v>
      </c>
      <c r="N162">
        <v>1</v>
      </c>
      <c r="O162">
        <v>1.5</v>
      </c>
      <c r="P162">
        <v>10</v>
      </c>
      <c r="Q162">
        <v>1.5</v>
      </c>
      <c r="R162">
        <v>10</v>
      </c>
      <c r="S162">
        <v>1</v>
      </c>
      <c r="T162">
        <v>1</v>
      </c>
      <c r="U162">
        <v>10.199999999999999</v>
      </c>
      <c r="V162">
        <v>5634.5098039215691</v>
      </c>
      <c r="W162">
        <v>2</v>
      </c>
    </row>
    <row r="163" spans="1:23" x14ac:dyDescent="0.2">
      <c r="A163">
        <v>2020</v>
      </c>
      <c r="B163" t="s">
        <v>23</v>
      </c>
      <c r="C163" t="s">
        <v>24</v>
      </c>
      <c r="D163">
        <v>81</v>
      </c>
      <c r="E163">
        <v>2</v>
      </c>
      <c r="F163">
        <v>13</v>
      </c>
      <c r="G163" t="s">
        <v>105</v>
      </c>
      <c r="H163" s="1">
        <v>2</v>
      </c>
      <c r="I163" s="1">
        <v>66</v>
      </c>
      <c r="J163" s="1">
        <v>70</v>
      </c>
      <c r="K163" s="1">
        <f>J163-I163</f>
        <v>4</v>
      </c>
      <c r="L163" s="1">
        <v>60</v>
      </c>
      <c r="M163" s="1">
        <v>33</v>
      </c>
      <c r="N163" s="1">
        <v>1.5</v>
      </c>
      <c r="O163" s="1">
        <v>4.5</v>
      </c>
      <c r="P163" s="1">
        <v>2</v>
      </c>
      <c r="Q163" s="2">
        <v>0.08</v>
      </c>
      <c r="R163" s="1">
        <v>1</v>
      </c>
      <c r="S163" s="1">
        <f>R163/P163</f>
        <v>0.5</v>
      </c>
      <c r="T163" s="1">
        <v>3.5</v>
      </c>
      <c r="U163" s="1">
        <v>12.5</v>
      </c>
      <c r="V163" s="1">
        <v>292.81045751633991</v>
      </c>
      <c r="W163" s="1">
        <v>4</v>
      </c>
    </row>
    <row r="164" spans="1:23" x14ac:dyDescent="0.2">
      <c r="A164">
        <v>2020</v>
      </c>
      <c r="B164" t="s">
        <v>23</v>
      </c>
      <c r="C164" t="s">
        <v>24</v>
      </c>
      <c r="D164">
        <v>82</v>
      </c>
      <c r="E164">
        <v>1</v>
      </c>
      <c r="F164">
        <v>12</v>
      </c>
      <c r="G164" t="s">
        <v>106</v>
      </c>
      <c r="H164" s="1">
        <v>6</v>
      </c>
      <c r="I164" s="1">
        <v>65</v>
      </c>
      <c r="J164" s="1">
        <v>70</v>
      </c>
      <c r="K164" s="1">
        <f>J164-I164</f>
        <v>5</v>
      </c>
      <c r="L164" s="1">
        <v>129</v>
      </c>
      <c r="M164" s="1">
        <v>66</v>
      </c>
      <c r="N164" s="1">
        <v>2.5</v>
      </c>
      <c r="O164" s="1">
        <v>3</v>
      </c>
      <c r="P164" s="1">
        <v>5</v>
      </c>
      <c r="Q164" s="2">
        <v>0.35</v>
      </c>
      <c r="R164" s="1">
        <v>4</v>
      </c>
      <c r="S164" s="1">
        <f>R164/P164</f>
        <v>0.8</v>
      </c>
      <c r="T164" s="1">
        <v>2</v>
      </c>
      <c r="U164" s="1">
        <v>12.5</v>
      </c>
      <c r="V164" s="1">
        <v>1281.0457516339868</v>
      </c>
      <c r="W164" s="1">
        <v>3</v>
      </c>
    </row>
    <row r="165" spans="1:23" x14ac:dyDescent="0.2">
      <c r="A165">
        <v>2020</v>
      </c>
      <c r="B165" t="s">
        <v>23</v>
      </c>
      <c r="C165" t="s">
        <v>24</v>
      </c>
      <c r="D165">
        <v>82</v>
      </c>
      <c r="E165">
        <v>2</v>
      </c>
      <c r="F165">
        <v>15</v>
      </c>
      <c r="G165" t="s">
        <v>106</v>
      </c>
      <c r="H165" s="1">
        <v>10</v>
      </c>
      <c r="I165" s="1">
        <v>67</v>
      </c>
      <c r="J165" s="1">
        <v>72</v>
      </c>
      <c r="K165" s="1">
        <f>J165-I165</f>
        <v>5</v>
      </c>
      <c r="L165" s="1">
        <v>97</v>
      </c>
      <c r="M165" s="1">
        <v>47</v>
      </c>
      <c r="N165" s="1">
        <v>2</v>
      </c>
      <c r="O165" s="1">
        <v>4</v>
      </c>
      <c r="P165" s="1">
        <v>8</v>
      </c>
      <c r="Q165" s="2">
        <v>0.253</v>
      </c>
      <c r="R165" s="1">
        <v>7</v>
      </c>
      <c r="S165" s="1">
        <f>R165/P165</f>
        <v>0.875</v>
      </c>
      <c r="T165" s="1">
        <v>4</v>
      </c>
      <c r="U165" s="1">
        <v>12.5</v>
      </c>
      <c r="V165" s="1">
        <v>926.01307189542479</v>
      </c>
      <c r="W165" s="1">
        <v>5</v>
      </c>
    </row>
    <row r="166" spans="1:23" x14ac:dyDescent="0.2">
      <c r="A166">
        <v>2020</v>
      </c>
      <c r="B166" t="s">
        <v>23</v>
      </c>
      <c r="C166" t="s">
        <v>24</v>
      </c>
      <c r="D166">
        <v>83</v>
      </c>
      <c r="E166">
        <v>1</v>
      </c>
      <c r="F166">
        <v>2</v>
      </c>
      <c r="G166" t="s">
        <v>107</v>
      </c>
      <c r="H166" s="1">
        <v>12</v>
      </c>
      <c r="I166" s="1">
        <v>59</v>
      </c>
      <c r="J166" s="1">
        <v>64</v>
      </c>
      <c r="K166" s="1">
        <f>J166-I166</f>
        <v>5</v>
      </c>
      <c r="L166" s="1">
        <v>123</v>
      </c>
      <c r="M166" s="1">
        <v>85</v>
      </c>
      <c r="N166" s="1">
        <v>2</v>
      </c>
      <c r="O166" s="1">
        <v>3.5</v>
      </c>
      <c r="P166" s="1">
        <f>H166-2</f>
        <v>10</v>
      </c>
      <c r="Q166" s="2">
        <v>0.25800000000000001</v>
      </c>
      <c r="R166" s="1">
        <v>10</v>
      </c>
      <c r="S166" s="1">
        <f>R166/P166</f>
        <v>1</v>
      </c>
      <c r="T166" s="1">
        <v>3</v>
      </c>
      <c r="U166" s="1">
        <v>12.5</v>
      </c>
      <c r="V166" s="1">
        <v>944.31372549019602</v>
      </c>
      <c r="W166" s="1">
        <v>5</v>
      </c>
    </row>
    <row r="167" spans="1:23" x14ac:dyDescent="0.2">
      <c r="A167">
        <v>2020</v>
      </c>
      <c r="B167" t="s">
        <v>23</v>
      </c>
      <c r="C167" t="s">
        <v>24</v>
      </c>
      <c r="D167">
        <v>83</v>
      </c>
      <c r="E167">
        <v>2</v>
      </c>
      <c r="F167">
        <v>3</v>
      </c>
      <c r="G167" t="s">
        <v>107</v>
      </c>
      <c r="H167">
        <v>11</v>
      </c>
      <c r="I167">
        <v>55</v>
      </c>
      <c r="J167">
        <v>58</v>
      </c>
      <c r="K167">
        <v>3</v>
      </c>
      <c r="L167">
        <v>192</v>
      </c>
      <c r="M167">
        <v>79</v>
      </c>
      <c r="N167">
        <v>2</v>
      </c>
      <c r="O167">
        <v>2</v>
      </c>
      <c r="P167">
        <v>10</v>
      </c>
      <c r="Q167">
        <v>1</v>
      </c>
      <c r="R167">
        <v>10</v>
      </c>
      <c r="S167">
        <v>1</v>
      </c>
      <c r="T167">
        <v>2.5</v>
      </c>
      <c r="U167">
        <v>12.5</v>
      </c>
      <c r="V167">
        <v>3660.1307189542486</v>
      </c>
      <c r="W167">
        <v>2</v>
      </c>
    </row>
    <row r="168" spans="1:23" x14ac:dyDescent="0.2">
      <c r="A168">
        <v>2020</v>
      </c>
      <c r="B168" t="s">
        <v>23</v>
      </c>
      <c r="C168" t="s">
        <v>24</v>
      </c>
      <c r="D168">
        <v>84</v>
      </c>
      <c r="E168">
        <v>1</v>
      </c>
      <c r="F168">
        <v>4</v>
      </c>
      <c r="G168" t="s">
        <v>108</v>
      </c>
      <c r="H168" s="1">
        <v>8</v>
      </c>
      <c r="I168" s="1">
        <v>69</v>
      </c>
      <c r="J168" s="1">
        <v>73</v>
      </c>
      <c r="K168" s="1">
        <f>J168-I168</f>
        <v>4</v>
      </c>
      <c r="L168" s="1">
        <v>99</v>
      </c>
      <c r="M168" s="1">
        <v>26</v>
      </c>
      <c r="N168" s="1">
        <v>2</v>
      </c>
      <c r="O168" s="1">
        <v>4.5</v>
      </c>
      <c r="P168" s="1">
        <v>1</v>
      </c>
      <c r="Q168" s="2">
        <v>0.03</v>
      </c>
      <c r="R168" s="1">
        <v>1</v>
      </c>
      <c r="S168" s="1">
        <f>R168/P168</f>
        <v>1</v>
      </c>
      <c r="T168" s="1">
        <v>5</v>
      </c>
      <c r="U168" s="1">
        <v>12.5</v>
      </c>
      <c r="V168" s="1">
        <v>109.80392156862746</v>
      </c>
      <c r="W168" s="1">
        <v>6</v>
      </c>
    </row>
    <row r="169" spans="1:23" x14ac:dyDescent="0.2">
      <c r="A169">
        <v>2020</v>
      </c>
      <c r="B169" t="s">
        <v>23</v>
      </c>
      <c r="C169" t="s">
        <v>24</v>
      </c>
      <c r="D169">
        <v>84</v>
      </c>
      <c r="E169">
        <v>2</v>
      </c>
      <c r="F169">
        <v>4</v>
      </c>
      <c r="G169" t="s">
        <v>108</v>
      </c>
      <c r="H169" s="1">
        <v>4</v>
      </c>
      <c r="I169" s="1">
        <v>67</v>
      </c>
      <c r="J169" s="1">
        <v>72</v>
      </c>
      <c r="K169" s="1">
        <f>J169-I169</f>
        <v>5</v>
      </c>
      <c r="L169" s="1">
        <v>110</v>
      </c>
      <c r="M169" s="1">
        <v>102</v>
      </c>
      <c r="N169" s="1">
        <v>1</v>
      </c>
      <c r="O169" s="1">
        <v>2</v>
      </c>
      <c r="P169" s="1">
        <v>3</v>
      </c>
      <c r="Q169" s="2">
        <v>0.28649999999999998</v>
      </c>
      <c r="R169" s="1">
        <v>3</v>
      </c>
      <c r="S169" s="1">
        <f>R169/P169</f>
        <v>1</v>
      </c>
      <c r="T169" s="1">
        <v>4</v>
      </c>
      <c r="U169" s="1">
        <v>12.5</v>
      </c>
      <c r="V169" s="1">
        <v>1048.6274509803923</v>
      </c>
      <c r="W169" s="1">
        <v>5</v>
      </c>
    </row>
    <row r="170" spans="1:23" x14ac:dyDescent="0.2">
      <c r="A170">
        <v>2020</v>
      </c>
      <c r="B170" t="s">
        <v>23</v>
      </c>
      <c r="C170" t="s">
        <v>24</v>
      </c>
      <c r="D170">
        <v>85</v>
      </c>
      <c r="E170">
        <v>1</v>
      </c>
      <c r="F170">
        <v>12</v>
      </c>
      <c r="G170" t="s">
        <v>109</v>
      </c>
      <c r="H170">
        <v>15</v>
      </c>
      <c r="I170">
        <v>54</v>
      </c>
      <c r="J170">
        <v>57</v>
      </c>
      <c r="K170">
        <v>3</v>
      </c>
      <c r="L170">
        <v>175</v>
      </c>
      <c r="M170">
        <v>73</v>
      </c>
      <c r="N170">
        <v>2</v>
      </c>
      <c r="O170">
        <v>2</v>
      </c>
      <c r="P170">
        <v>14</v>
      </c>
      <c r="Q170">
        <v>1</v>
      </c>
      <c r="R170">
        <v>13</v>
      </c>
      <c r="S170">
        <v>0.9285714285714286</v>
      </c>
      <c r="T170">
        <v>2</v>
      </c>
      <c r="U170">
        <v>8.5</v>
      </c>
      <c r="V170">
        <v>3827.4509803921569</v>
      </c>
      <c r="W170">
        <v>2</v>
      </c>
    </row>
    <row r="171" spans="1:23" x14ac:dyDescent="0.2">
      <c r="A171">
        <v>2020</v>
      </c>
      <c r="B171" t="s">
        <v>23</v>
      </c>
      <c r="C171" t="s">
        <v>24</v>
      </c>
      <c r="D171">
        <v>85</v>
      </c>
      <c r="E171">
        <v>2</v>
      </c>
      <c r="F171">
        <v>14</v>
      </c>
      <c r="G171" t="s">
        <v>109</v>
      </c>
      <c r="H171">
        <v>13</v>
      </c>
      <c r="I171">
        <v>56</v>
      </c>
      <c r="J171">
        <v>60</v>
      </c>
      <c r="K171">
        <v>4</v>
      </c>
      <c r="L171">
        <v>86</v>
      </c>
      <c r="M171">
        <v>23</v>
      </c>
      <c r="N171">
        <v>2.5</v>
      </c>
      <c r="O171">
        <v>2</v>
      </c>
      <c r="P171">
        <v>13</v>
      </c>
      <c r="Q171">
        <v>1.4</v>
      </c>
      <c r="R171">
        <v>13</v>
      </c>
      <c r="S171">
        <v>1</v>
      </c>
      <c r="T171">
        <v>3</v>
      </c>
      <c r="U171">
        <v>12.5</v>
      </c>
      <c r="V171">
        <v>5124.1830065359472</v>
      </c>
      <c r="W171">
        <v>1</v>
      </c>
    </row>
    <row r="172" spans="1:23" x14ac:dyDescent="0.2">
      <c r="A172">
        <v>2020</v>
      </c>
      <c r="B172" t="s">
        <v>23</v>
      </c>
      <c r="C172" t="s">
        <v>24</v>
      </c>
      <c r="D172">
        <v>86</v>
      </c>
      <c r="E172">
        <v>1</v>
      </c>
      <c r="F172">
        <v>3</v>
      </c>
      <c r="G172" t="s">
        <v>110</v>
      </c>
      <c r="H172">
        <v>6</v>
      </c>
      <c r="I172">
        <v>59</v>
      </c>
      <c r="J172">
        <v>62</v>
      </c>
      <c r="K172">
        <v>3</v>
      </c>
      <c r="L172">
        <v>125</v>
      </c>
      <c r="M172">
        <v>51</v>
      </c>
      <c r="N172">
        <v>1.5</v>
      </c>
      <c r="O172">
        <v>3.5</v>
      </c>
      <c r="P172">
        <v>6</v>
      </c>
      <c r="Q172">
        <v>0.6</v>
      </c>
      <c r="R172">
        <v>5</v>
      </c>
      <c r="S172">
        <v>0.83333333333333337</v>
      </c>
      <c r="T172">
        <v>2.5</v>
      </c>
      <c r="U172">
        <v>12.5</v>
      </c>
      <c r="V172">
        <v>2196.0784313725489</v>
      </c>
      <c r="W172">
        <v>1</v>
      </c>
    </row>
    <row r="173" spans="1:23" x14ac:dyDescent="0.2">
      <c r="A173">
        <v>2020</v>
      </c>
      <c r="B173" t="s">
        <v>23</v>
      </c>
      <c r="C173" t="s">
        <v>24</v>
      </c>
      <c r="D173">
        <v>86</v>
      </c>
      <c r="E173">
        <v>2</v>
      </c>
      <c r="F173">
        <v>9</v>
      </c>
      <c r="G173" t="s">
        <v>110</v>
      </c>
      <c r="H173" s="1">
        <v>13</v>
      </c>
      <c r="I173" s="1">
        <v>61</v>
      </c>
      <c r="J173" s="1">
        <v>66</v>
      </c>
      <c r="K173" s="1">
        <f t="shared" ref="K173:K178" si="6">J173-I173</f>
        <v>5</v>
      </c>
      <c r="L173" s="1">
        <v>104</v>
      </c>
      <c r="M173" s="1">
        <v>62</v>
      </c>
      <c r="N173" s="1">
        <v>3.5</v>
      </c>
      <c r="O173" s="1">
        <v>4</v>
      </c>
      <c r="P173" s="1">
        <v>10</v>
      </c>
      <c r="Q173" s="2">
        <v>0.25600000000000001</v>
      </c>
      <c r="R173" s="1">
        <v>10</v>
      </c>
      <c r="S173" s="1">
        <f t="shared" ref="S173:S178" si="7">R173/P173</f>
        <v>1</v>
      </c>
      <c r="T173" s="1">
        <v>3</v>
      </c>
      <c r="U173" s="1">
        <v>12.5</v>
      </c>
      <c r="V173" s="1">
        <v>936.99346405228766</v>
      </c>
      <c r="W173" s="1">
        <v>5</v>
      </c>
    </row>
    <row r="174" spans="1:23" x14ac:dyDescent="0.2">
      <c r="A174">
        <v>2020</v>
      </c>
      <c r="B174" t="s">
        <v>23</v>
      </c>
      <c r="C174" t="s">
        <v>24</v>
      </c>
      <c r="D174">
        <v>87</v>
      </c>
      <c r="E174">
        <v>1</v>
      </c>
      <c r="F174">
        <v>10</v>
      </c>
      <c r="G174" t="s">
        <v>111</v>
      </c>
      <c r="H174" s="1">
        <v>15</v>
      </c>
      <c r="I174" s="1">
        <v>65</v>
      </c>
      <c r="J174" s="1">
        <v>68</v>
      </c>
      <c r="K174" s="1">
        <f t="shared" si="6"/>
        <v>3</v>
      </c>
      <c r="L174" s="1">
        <v>162</v>
      </c>
      <c r="M174" s="1">
        <v>85</v>
      </c>
      <c r="N174" s="1">
        <v>2</v>
      </c>
      <c r="O174" s="1">
        <v>2.5</v>
      </c>
      <c r="P174" s="1">
        <f>H174-2</f>
        <v>13</v>
      </c>
      <c r="Q174" s="2">
        <v>0.19350000000000001</v>
      </c>
      <c r="R174" s="1">
        <v>11</v>
      </c>
      <c r="S174" s="1">
        <f t="shared" si="7"/>
        <v>0.84615384615384615</v>
      </c>
      <c r="T174" s="1">
        <v>2</v>
      </c>
      <c r="U174" s="1">
        <v>12.5</v>
      </c>
      <c r="V174" s="1">
        <v>708.2352941176473</v>
      </c>
      <c r="W174" s="1">
        <v>5</v>
      </c>
    </row>
    <row r="175" spans="1:23" x14ac:dyDescent="0.2">
      <c r="A175">
        <v>2020</v>
      </c>
      <c r="B175" t="s">
        <v>23</v>
      </c>
      <c r="C175" t="s">
        <v>24</v>
      </c>
      <c r="D175">
        <v>87</v>
      </c>
      <c r="E175">
        <v>2</v>
      </c>
      <c r="F175">
        <v>15</v>
      </c>
      <c r="G175" t="s">
        <v>111</v>
      </c>
      <c r="H175" s="1">
        <v>13</v>
      </c>
      <c r="I175" s="1">
        <v>62</v>
      </c>
      <c r="J175" s="1">
        <v>65</v>
      </c>
      <c r="K175" s="1">
        <f t="shared" si="6"/>
        <v>3</v>
      </c>
      <c r="L175" s="1">
        <v>145</v>
      </c>
      <c r="M175" s="1">
        <v>76</v>
      </c>
      <c r="N175" s="1">
        <v>2</v>
      </c>
      <c r="O175" s="1">
        <v>2</v>
      </c>
      <c r="P175" s="1">
        <f>H175</f>
        <v>13</v>
      </c>
      <c r="Q175" s="2">
        <v>0.15187500000000001</v>
      </c>
      <c r="R175" s="1">
        <v>10</v>
      </c>
      <c r="S175" s="1">
        <f t="shared" si="7"/>
        <v>0.76923076923076927</v>
      </c>
      <c r="T175" s="1">
        <v>3</v>
      </c>
      <c r="U175" s="1">
        <v>12.5</v>
      </c>
      <c r="V175" s="1">
        <v>555.88235294117646</v>
      </c>
      <c r="W175" s="1">
        <v>3</v>
      </c>
    </row>
    <row r="176" spans="1:23" x14ac:dyDescent="0.2">
      <c r="A176">
        <v>2020</v>
      </c>
      <c r="B176" t="s">
        <v>23</v>
      </c>
      <c r="C176" t="s">
        <v>24</v>
      </c>
      <c r="D176">
        <v>88</v>
      </c>
      <c r="E176">
        <v>1</v>
      </c>
      <c r="F176">
        <v>15</v>
      </c>
      <c r="G176" t="s">
        <v>112</v>
      </c>
      <c r="H176" s="1">
        <v>1</v>
      </c>
      <c r="I176" s="1">
        <v>59</v>
      </c>
      <c r="J176" s="1">
        <v>63</v>
      </c>
      <c r="K176" s="1">
        <f t="shared" si="6"/>
        <v>4</v>
      </c>
      <c r="L176" s="1">
        <v>195</v>
      </c>
      <c r="M176" s="1">
        <v>63</v>
      </c>
      <c r="N176" s="1">
        <v>2</v>
      </c>
      <c r="O176" s="1">
        <v>2</v>
      </c>
      <c r="P176" s="1">
        <v>1</v>
      </c>
      <c r="Q176" s="2">
        <v>4.7E-2</v>
      </c>
      <c r="R176" s="1">
        <v>1</v>
      </c>
      <c r="S176" s="1">
        <f t="shared" si="7"/>
        <v>1</v>
      </c>
      <c r="T176" s="1">
        <v>3</v>
      </c>
      <c r="U176" s="1">
        <v>12.5</v>
      </c>
      <c r="V176" s="1">
        <v>172.02614379084969</v>
      </c>
      <c r="W176" s="1">
        <v>4</v>
      </c>
    </row>
    <row r="177" spans="1:23" x14ac:dyDescent="0.2">
      <c r="A177">
        <v>2020</v>
      </c>
      <c r="B177" t="s">
        <v>23</v>
      </c>
      <c r="C177" t="s">
        <v>24</v>
      </c>
      <c r="D177">
        <v>88</v>
      </c>
      <c r="E177">
        <v>2</v>
      </c>
      <c r="F177">
        <v>1</v>
      </c>
      <c r="G177" t="s">
        <v>112</v>
      </c>
      <c r="H177" s="1">
        <v>7</v>
      </c>
      <c r="I177" s="1">
        <v>72</v>
      </c>
      <c r="J177" s="1">
        <v>73</v>
      </c>
      <c r="K177" s="1">
        <f t="shared" si="6"/>
        <v>1</v>
      </c>
      <c r="L177" s="1">
        <v>175</v>
      </c>
      <c r="M177" s="1">
        <v>100</v>
      </c>
      <c r="N177" s="1">
        <v>2</v>
      </c>
      <c r="O177" s="1">
        <v>2</v>
      </c>
      <c r="P177" s="1">
        <v>7</v>
      </c>
      <c r="Q177" s="2">
        <v>0.18117000000000003</v>
      </c>
      <c r="R177" s="1">
        <v>5</v>
      </c>
      <c r="S177" s="1">
        <f t="shared" si="7"/>
        <v>0.7142857142857143</v>
      </c>
      <c r="T177" s="1">
        <v>5</v>
      </c>
      <c r="U177" s="1">
        <v>12.5</v>
      </c>
      <c r="V177" s="1">
        <v>663.10588235294131</v>
      </c>
      <c r="W177" s="1">
        <v>4</v>
      </c>
    </row>
    <row r="178" spans="1:23" x14ac:dyDescent="0.2">
      <c r="A178">
        <v>2020</v>
      </c>
      <c r="B178" t="s">
        <v>23</v>
      </c>
      <c r="C178" t="s">
        <v>24</v>
      </c>
      <c r="D178">
        <v>89</v>
      </c>
      <c r="E178">
        <v>1</v>
      </c>
      <c r="F178">
        <v>9</v>
      </c>
      <c r="G178" t="s">
        <v>113</v>
      </c>
      <c r="H178" s="1">
        <v>2</v>
      </c>
      <c r="I178" s="1">
        <v>66</v>
      </c>
      <c r="J178" s="1">
        <v>69</v>
      </c>
      <c r="K178" s="1">
        <f t="shared" si="6"/>
        <v>3</v>
      </c>
      <c r="L178" s="1">
        <v>153</v>
      </c>
      <c r="M178" s="1">
        <v>61</v>
      </c>
      <c r="N178" s="1">
        <v>3</v>
      </c>
      <c r="O178" s="1">
        <v>4</v>
      </c>
      <c r="P178" s="1">
        <f>H178</f>
        <v>2</v>
      </c>
      <c r="Q178" s="2">
        <v>0.1305</v>
      </c>
      <c r="R178" s="1">
        <v>3</v>
      </c>
      <c r="S178" s="1">
        <f t="shared" si="7"/>
        <v>1.5</v>
      </c>
      <c r="T178" s="1">
        <v>5</v>
      </c>
      <c r="U178" s="1">
        <v>12.5</v>
      </c>
      <c r="V178" s="1">
        <v>477.64705882352951</v>
      </c>
      <c r="W178" s="1">
        <v>5</v>
      </c>
    </row>
    <row r="179" spans="1:23" x14ac:dyDescent="0.2">
      <c r="A179">
        <v>2020</v>
      </c>
      <c r="B179" t="s">
        <v>23</v>
      </c>
      <c r="C179" t="s">
        <v>24</v>
      </c>
      <c r="D179">
        <v>89</v>
      </c>
      <c r="E179">
        <v>2</v>
      </c>
      <c r="F179">
        <v>2</v>
      </c>
      <c r="G179" t="s">
        <v>113</v>
      </c>
      <c r="H179">
        <v>5</v>
      </c>
      <c r="I179">
        <v>55</v>
      </c>
      <c r="J179">
        <v>57</v>
      </c>
      <c r="K179">
        <v>2</v>
      </c>
      <c r="L179">
        <v>162</v>
      </c>
      <c r="M179">
        <v>49</v>
      </c>
      <c r="N179">
        <v>2.5</v>
      </c>
      <c r="O179">
        <v>2</v>
      </c>
      <c r="P179">
        <v>5</v>
      </c>
      <c r="Q179">
        <v>0.4</v>
      </c>
      <c r="R179">
        <v>5</v>
      </c>
      <c r="S179">
        <v>1</v>
      </c>
      <c r="T179">
        <v>3</v>
      </c>
      <c r="U179">
        <v>12.5</v>
      </c>
      <c r="V179">
        <v>1464.0522875816994</v>
      </c>
      <c r="W179">
        <v>1</v>
      </c>
    </row>
    <row r="180" spans="1:23" x14ac:dyDescent="0.2">
      <c r="A180">
        <v>2020</v>
      </c>
      <c r="B180" t="s">
        <v>23</v>
      </c>
      <c r="C180" t="s">
        <v>24</v>
      </c>
      <c r="D180">
        <v>90</v>
      </c>
      <c r="E180">
        <v>1</v>
      </c>
      <c r="F180">
        <v>5</v>
      </c>
      <c r="G180" t="s">
        <v>114</v>
      </c>
      <c r="H180" s="1">
        <v>10</v>
      </c>
      <c r="I180" s="1">
        <v>67</v>
      </c>
      <c r="J180" s="1">
        <v>73</v>
      </c>
      <c r="K180" s="1">
        <f t="shared" ref="K180:K188" si="8">J180-I180</f>
        <v>6</v>
      </c>
      <c r="L180" s="1">
        <v>125</v>
      </c>
      <c r="M180" s="1">
        <v>35</v>
      </c>
      <c r="N180" s="1">
        <v>2</v>
      </c>
      <c r="O180" s="1">
        <v>4.5</v>
      </c>
      <c r="P180" s="1">
        <v>6</v>
      </c>
      <c r="Q180" s="2">
        <v>0.124</v>
      </c>
      <c r="R180" s="1">
        <v>4</v>
      </c>
      <c r="S180" s="1">
        <f t="shared" ref="S180:S188" si="9">R180/P180</f>
        <v>0.66666666666666663</v>
      </c>
      <c r="T180" s="1">
        <v>5</v>
      </c>
      <c r="U180" s="1">
        <v>12.5</v>
      </c>
      <c r="V180" s="1">
        <v>453.85620915032678</v>
      </c>
      <c r="W180" s="1">
        <v>4</v>
      </c>
    </row>
    <row r="181" spans="1:23" x14ac:dyDescent="0.2">
      <c r="A181">
        <v>2020</v>
      </c>
      <c r="B181" t="s">
        <v>23</v>
      </c>
      <c r="C181" t="s">
        <v>24</v>
      </c>
      <c r="D181">
        <v>90</v>
      </c>
      <c r="E181">
        <v>2</v>
      </c>
      <c r="F181">
        <v>13</v>
      </c>
      <c r="G181" t="s">
        <v>114</v>
      </c>
      <c r="H181" s="1">
        <v>4</v>
      </c>
      <c r="I181" s="1">
        <v>66</v>
      </c>
      <c r="J181" s="1">
        <v>69</v>
      </c>
      <c r="K181" s="1">
        <f t="shared" si="8"/>
        <v>3</v>
      </c>
      <c r="L181" s="1">
        <v>80</v>
      </c>
      <c r="M181" s="1">
        <v>40</v>
      </c>
      <c r="N181" s="1">
        <v>2</v>
      </c>
      <c r="O181" s="1">
        <v>5</v>
      </c>
      <c r="P181" s="1">
        <v>3</v>
      </c>
      <c r="Q181" s="2">
        <v>2.4E-2</v>
      </c>
      <c r="R181" s="1">
        <v>1</v>
      </c>
      <c r="S181" s="1">
        <f t="shared" si="9"/>
        <v>0.33333333333333331</v>
      </c>
      <c r="T181" s="1">
        <v>5</v>
      </c>
      <c r="U181" s="1">
        <v>12.5</v>
      </c>
      <c r="V181" s="1">
        <v>87.843137254901961</v>
      </c>
      <c r="W181" s="1">
        <v>4</v>
      </c>
    </row>
    <row r="182" spans="1:23" x14ac:dyDescent="0.2">
      <c r="A182">
        <v>2020</v>
      </c>
      <c r="B182" t="s">
        <v>23</v>
      </c>
      <c r="C182" t="s">
        <v>24</v>
      </c>
      <c r="D182">
        <v>91</v>
      </c>
      <c r="E182">
        <v>1</v>
      </c>
      <c r="F182">
        <v>9</v>
      </c>
      <c r="G182" t="s">
        <v>115</v>
      </c>
      <c r="H182" s="1">
        <v>7</v>
      </c>
      <c r="I182" s="1">
        <v>65</v>
      </c>
      <c r="J182" s="1">
        <v>69</v>
      </c>
      <c r="K182" s="1">
        <f t="shared" si="8"/>
        <v>4</v>
      </c>
      <c r="L182" s="1">
        <v>103</v>
      </c>
      <c r="M182" s="1">
        <v>40</v>
      </c>
      <c r="N182" s="1">
        <v>3</v>
      </c>
      <c r="O182" s="1">
        <v>5</v>
      </c>
      <c r="P182" s="1">
        <v>1</v>
      </c>
      <c r="Q182" s="2">
        <v>6.9000000000000006E-2</v>
      </c>
      <c r="R182" s="1">
        <v>1</v>
      </c>
      <c r="S182" s="1">
        <f t="shared" si="9"/>
        <v>1</v>
      </c>
      <c r="T182" s="1">
        <v>5</v>
      </c>
      <c r="U182" s="1">
        <v>12.5</v>
      </c>
      <c r="V182" s="1">
        <v>252.54901960784321</v>
      </c>
      <c r="W182" s="1">
        <v>6</v>
      </c>
    </row>
    <row r="183" spans="1:23" x14ac:dyDescent="0.2">
      <c r="A183">
        <v>2020</v>
      </c>
      <c r="B183" t="s">
        <v>23</v>
      </c>
      <c r="C183" t="s">
        <v>24</v>
      </c>
      <c r="D183">
        <v>91</v>
      </c>
      <c r="E183">
        <v>2</v>
      </c>
      <c r="F183">
        <v>3</v>
      </c>
      <c r="G183" t="s">
        <v>115</v>
      </c>
      <c r="H183" s="1">
        <v>5</v>
      </c>
      <c r="I183" s="1">
        <v>68</v>
      </c>
      <c r="J183" s="1">
        <v>72</v>
      </c>
      <c r="K183" s="1">
        <f t="shared" si="8"/>
        <v>4</v>
      </c>
      <c r="L183" s="1">
        <v>137</v>
      </c>
      <c r="M183" s="1">
        <v>46</v>
      </c>
      <c r="N183" s="1">
        <v>2</v>
      </c>
      <c r="O183" s="1">
        <v>4.5</v>
      </c>
      <c r="P183" s="1">
        <v>3</v>
      </c>
      <c r="Q183" s="2">
        <v>3.8399999999999997E-2</v>
      </c>
      <c r="R183" s="1">
        <v>1</v>
      </c>
      <c r="S183" s="1">
        <f t="shared" si="9"/>
        <v>0.33333333333333331</v>
      </c>
      <c r="T183" s="1">
        <v>5</v>
      </c>
      <c r="U183" s="1">
        <v>12.5</v>
      </c>
      <c r="V183" s="1">
        <v>140.54901960784315</v>
      </c>
      <c r="W183" s="1">
        <v>5</v>
      </c>
    </row>
    <row r="184" spans="1:23" x14ac:dyDescent="0.2">
      <c r="A184">
        <v>2020</v>
      </c>
      <c r="B184" t="s">
        <v>23</v>
      </c>
      <c r="C184" t="s">
        <v>24</v>
      </c>
      <c r="D184">
        <v>92</v>
      </c>
      <c r="E184">
        <v>1</v>
      </c>
      <c r="F184">
        <v>15</v>
      </c>
      <c r="G184" t="s">
        <v>116</v>
      </c>
      <c r="H184" s="1">
        <v>6</v>
      </c>
      <c r="I184" s="1">
        <v>59</v>
      </c>
      <c r="J184" s="1">
        <v>63</v>
      </c>
      <c r="K184" s="1">
        <f t="shared" si="8"/>
        <v>4</v>
      </c>
      <c r="L184" s="1">
        <v>126</v>
      </c>
      <c r="M184" s="1">
        <v>50</v>
      </c>
      <c r="N184" s="1">
        <v>1.5</v>
      </c>
      <c r="O184" s="1">
        <v>4</v>
      </c>
      <c r="P184" s="1">
        <v>4</v>
      </c>
      <c r="Q184" s="2">
        <v>0.33600000000000002</v>
      </c>
      <c r="R184" s="1">
        <v>4</v>
      </c>
      <c r="S184" s="1">
        <f t="shared" si="9"/>
        <v>1</v>
      </c>
      <c r="T184" s="1">
        <v>4</v>
      </c>
      <c r="U184" s="1">
        <v>12.5</v>
      </c>
      <c r="V184" s="1">
        <v>1229.8039215686274</v>
      </c>
      <c r="W184" s="1">
        <v>6</v>
      </c>
    </row>
    <row r="185" spans="1:23" x14ac:dyDescent="0.2">
      <c r="A185">
        <v>2020</v>
      </c>
      <c r="B185" t="s">
        <v>23</v>
      </c>
      <c r="C185" t="s">
        <v>24</v>
      </c>
      <c r="D185">
        <v>92</v>
      </c>
      <c r="E185">
        <v>2</v>
      </c>
      <c r="F185">
        <v>13</v>
      </c>
      <c r="G185" t="s">
        <v>116</v>
      </c>
      <c r="H185" s="1">
        <v>2</v>
      </c>
      <c r="I185" s="1">
        <v>62</v>
      </c>
      <c r="J185" s="1">
        <v>66</v>
      </c>
      <c r="K185" s="1">
        <f t="shared" si="8"/>
        <v>4</v>
      </c>
      <c r="L185" s="1">
        <v>129</v>
      </c>
      <c r="M185" s="1">
        <v>43</v>
      </c>
      <c r="N185" s="1">
        <v>2</v>
      </c>
      <c r="O185" s="1">
        <v>3</v>
      </c>
      <c r="P185" s="1">
        <v>2</v>
      </c>
      <c r="Q185" s="2">
        <v>5.3600000000000002E-2</v>
      </c>
      <c r="R185" s="1">
        <v>1</v>
      </c>
      <c r="S185" s="1">
        <f t="shared" si="9"/>
        <v>0.5</v>
      </c>
      <c r="T185" s="1">
        <v>4</v>
      </c>
      <c r="U185" s="1">
        <v>12.5</v>
      </c>
      <c r="V185" s="1">
        <v>196.18300653594775</v>
      </c>
      <c r="W185" s="1">
        <v>4</v>
      </c>
    </row>
    <row r="186" spans="1:23" x14ac:dyDescent="0.2">
      <c r="A186">
        <v>2020</v>
      </c>
      <c r="B186" t="s">
        <v>23</v>
      </c>
      <c r="C186" t="s">
        <v>24</v>
      </c>
      <c r="D186">
        <v>93</v>
      </c>
      <c r="E186">
        <v>1</v>
      </c>
      <c r="F186">
        <v>8</v>
      </c>
      <c r="G186" t="s">
        <v>117</v>
      </c>
      <c r="H186" s="1">
        <v>10</v>
      </c>
      <c r="I186" s="1">
        <v>66</v>
      </c>
      <c r="J186" s="1">
        <v>70</v>
      </c>
      <c r="K186" s="1">
        <f t="shared" si="8"/>
        <v>4</v>
      </c>
      <c r="L186" s="1">
        <v>114</v>
      </c>
      <c r="M186" s="1">
        <v>36</v>
      </c>
      <c r="N186" s="1">
        <v>3</v>
      </c>
      <c r="O186" s="1">
        <v>4.5</v>
      </c>
      <c r="P186" s="1">
        <v>4</v>
      </c>
      <c r="Q186" s="2">
        <v>0.10199999999999999</v>
      </c>
      <c r="R186" s="1">
        <v>4</v>
      </c>
      <c r="S186" s="1">
        <f t="shared" si="9"/>
        <v>1</v>
      </c>
      <c r="T186" s="1">
        <v>5</v>
      </c>
      <c r="U186" s="1">
        <v>12.5</v>
      </c>
      <c r="V186" s="1">
        <v>373.33333333333326</v>
      </c>
      <c r="W186" s="1">
        <v>6</v>
      </c>
    </row>
    <row r="187" spans="1:23" x14ac:dyDescent="0.2">
      <c r="A187">
        <v>2020</v>
      </c>
      <c r="B187" t="s">
        <v>23</v>
      </c>
      <c r="C187" t="s">
        <v>24</v>
      </c>
      <c r="D187">
        <v>93</v>
      </c>
      <c r="E187">
        <v>2</v>
      </c>
      <c r="F187">
        <v>2</v>
      </c>
      <c r="G187" t="s">
        <v>117</v>
      </c>
      <c r="H187" s="1">
        <v>10</v>
      </c>
      <c r="I187" s="1">
        <v>66</v>
      </c>
      <c r="J187" s="1">
        <v>71</v>
      </c>
      <c r="K187" s="1">
        <f t="shared" si="8"/>
        <v>5</v>
      </c>
      <c r="L187" s="1">
        <v>123</v>
      </c>
      <c r="M187" s="1">
        <v>41</v>
      </c>
      <c r="N187" s="1">
        <v>2</v>
      </c>
      <c r="O187" s="1">
        <v>4</v>
      </c>
      <c r="P187" s="1">
        <v>8</v>
      </c>
      <c r="Q187" s="2">
        <v>0.44400000000000001</v>
      </c>
      <c r="R187" s="1">
        <v>8</v>
      </c>
      <c r="S187" s="1">
        <f t="shared" si="9"/>
        <v>1</v>
      </c>
      <c r="T187" s="1">
        <v>3.5</v>
      </c>
      <c r="U187" s="1">
        <v>12.5</v>
      </c>
      <c r="V187" s="1">
        <v>1625.0980392156862</v>
      </c>
      <c r="W187" s="1">
        <v>3</v>
      </c>
    </row>
    <row r="188" spans="1:23" x14ac:dyDescent="0.2">
      <c r="A188">
        <v>2020</v>
      </c>
      <c r="B188" t="s">
        <v>23</v>
      </c>
      <c r="C188" t="s">
        <v>24</v>
      </c>
      <c r="D188">
        <v>94</v>
      </c>
      <c r="E188">
        <v>1</v>
      </c>
      <c r="F188">
        <v>13</v>
      </c>
      <c r="G188" t="s">
        <v>118</v>
      </c>
      <c r="H188" s="1">
        <v>10</v>
      </c>
      <c r="I188" s="1">
        <v>64</v>
      </c>
      <c r="J188" s="1">
        <v>66</v>
      </c>
      <c r="K188" s="1">
        <f t="shared" si="8"/>
        <v>2</v>
      </c>
      <c r="L188" s="1">
        <v>50</v>
      </c>
      <c r="M188" s="1">
        <v>20</v>
      </c>
      <c r="N188" s="1">
        <v>2</v>
      </c>
      <c r="O188" s="1">
        <v>5</v>
      </c>
      <c r="P188" s="1">
        <v>7</v>
      </c>
      <c r="Q188" s="2">
        <v>0.11</v>
      </c>
      <c r="R188" s="1">
        <v>3</v>
      </c>
      <c r="S188" s="1">
        <f t="shared" si="9"/>
        <v>0.42857142857142855</v>
      </c>
      <c r="T188" s="1">
        <v>5</v>
      </c>
      <c r="U188" s="1">
        <v>12.5</v>
      </c>
      <c r="V188" s="1">
        <v>402.61437908496731</v>
      </c>
      <c r="W188" s="1">
        <v>3</v>
      </c>
    </row>
    <row r="189" spans="1:23" x14ac:dyDescent="0.2">
      <c r="A189">
        <v>2020</v>
      </c>
      <c r="B189" t="s">
        <v>23</v>
      </c>
      <c r="C189" t="s">
        <v>24</v>
      </c>
      <c r="D189">
        <v>94</v>
      </c>
      <c r="E189">
        <v>2</v>
      </c>
      <c r="F189">
        <v>15</v>
      </c>
      <c r="G189" t="s">
        <v>118</v>
      </c>
      <c r="H189">
        <v>1</v>
      </c>
      <c r="I189">
        <v>53</v>
      </c>
      <c r="J189">
        <v>59</v>
      </c>
      <c r="K189">
        <v>6</v>
      </c>
      <c r="L189">
        <v>36</v>
      </c>
      <c r="M189">
        <v>26</v>
      </c>
      <c r="N189">
        <v>4</v>
      </c>
      <c r="O189">
        <v>5</v>
      </c>
      <c r="P189">
        <v>1</v>
      </c>
      <c r="Q189">
        <v>3.3000000000000002E-2</v>
      </c>
      <c r="R189">
        <v>1</v>
      </c>
      <c r="S189">
        <v>1</v>
      </c>
      <c r="T189">
        <v>4</v>
      </c>
      <c r="U189">
        <v>12.5</v>
      </c>
      <c r="V189">
        <v>120.78431372549019</v>
      </c>
      <c r="W189">
        <v>2</v>
      </c>
    </row>
    <row r="190" spans="1:23" x14ac:dyDescent="0.2">
      <c r="A190">
        <v>2020</v>
      </c>
      <c r="B190" t="s">
        <v>23</v>
      </c>
      <c r="C190" t="s">
        <v>24</v>
      </c>
      <c r="D190">
        <v>95</v>
      </c>
      <c r="E190">
        <v>1</v>
      </c>
      <c r="F190">
        <v>1</v>
      </c>
      <c r="G190" t="s">
        <v>119</v>
      </c>
      <c r="H190" s="1">
        <v>5</v>
      </c>
      <c r="I190" s="1">
        <v>57</v>
      </c>
      <c r="J190" s="1">
        <v>61</v>
      </c>
      <c r="K190" s="1">
        <f>J190-I190</f>
        <v>4</v>
      </c>
      <c r="L190" s="1">
        <v>179</v>
      </c>
      <c r="M190" s="1">
        <v>70</v>
      </c>
      <c r="N190" s="1">
        <v>3</v>
      </c>
      <c r="O190" s="1">
        <v>4</v>
      </c>
      <c r="P190" s="1">
        <v>5</v>
      </c>
      <c r="Q190" s="2">
        <v>7.8000000000000005E-3</v>
      </c>
      <c r="R190" s="1">
        <v>1</v>
      </c>
      <c r="S190" s="1">
        <f>R190/P190</f>
        <v>0.2</v>
      </c>
      <c r="T190" s="1">
        <v>5</v>
      </c>
      <c r="U190" s="1">
        <v>12.5</v>
      </c>
      <c r="V190" s="1">
        <v>28.549019607843135</v>
      </c>
      <c r="W190" s="1">
        <v>5</v>
      </c>
    </row>
    <row r="191" spans="1:23" x14ac:dyDescent="0.2">
      <c r="A191">
        <v>2020</v>
      </c>
      <c r="B191" t="s">
        <v>23</v>
      </c>
      <c r="C191" t="s">
        <v>24</v>
      </c>
      <c r="D191">
        <v>95</v>
      </c>
      <c r="E191">
        <v>2</v>
      </c>
      <c r="F191">
        <v>9</v>
      </c>
      <c r="G191" t="s">
        <v>119</v>
      </c>
      <c r="H191" s="1">
        <v>6</v>
      </c>
      <c r="I191" s="1">
        <v>67</v>
      </c>
      <c r="J191" s="1">
        <v>72</v>
      </c>
      <c r="K191" s="1">
        <f>J191-I191</f>
        <v>5</v>
      </c>
      <c r="L191" s="1">
        <v>112</v>
      </c>
      <c r="M191" s="1">
        <v>46</v>
      </c>
      <c r="N191" s="1">
        <v>2</v>
      </c>
      <c r="O191" s="1">
        <v>4.5</v>
      </c>
      <c r="P191" s="1">
        <v>5</v>
      </c>
      <c r="Q191" s="2">
        <v>0.26200000000000001</v>
      </c>
      <c r="R191" s="1">
        <v>4</v>
      </c>
      <c r="S191" s="1">
        <f>R191/P191</f>
        <v>0.8</v>
      </c>
      <c r="T191" s="1">
        <v>4</v>
      </c>
      <c r="U191" s="1">
        <v>12.5</v>
      </c>
      <c r="V191" s="1">
        <v>958.95424836601296</v>
      </c>
      <c r="W191" s="1">
        <v>4</v>
      </c>
    </row>
    <row r="192" spans="1:23" x14ac:dyDescent="0.2">
      <c r="A192">
        <v>2020</v>
      </c>
      <c r="B192" t="s">
        <v>23</v>
      </c>
      <c r="C192" t="s">
        <v>24</v>
      </c>
      <c r="D192">
        <v>96</v>
      </c>
      <c r="E192">
        <v>1</v>
      </c>
      <c r="F192">
        <v>14</v>
      </c>
      <c r="G192" t="s">
        <v>120</v>
      </c>
      <c r="H192">
        <v>13</v>
      </c>
      <c r="I192">
        <v>59</v>
      </c>
      <c r="J192">
        <v>60</v>
      </c>
      <c r="K192">
        <v>1</v>
      </c>
      <c r="L192">
        <v>194</v>
      </c>
      <c r="M192">
        <v>73</v>
      </c>
      <c r="N192">
        <v>2</v>
      </c>
      <c r="O192">
        <v>2</v>
      </c>
      <c r="P192">
        <v>8</v>
      </c>
      <c r="Q192">
        <v>0.2</v>
      </c>
      <c r="R192">
        <v>7</v>
      </c>
      <c r="S192">
        <v>0.875</v>
      </c>
      <c r="T192">
        <v>4</v>
      </c>
      <c r="U192">
        <v>11.8</v>
      </c>
      <c r="V192">
        <v>737.88235294117646</v>
      </c>
      <c r="W192">
        <v>1</v>
      </c>
    </row>
    <row r="193" spans="1:23" x14ac:dyDescent="0.2">
      <c r="A193">
        <v>2020</v>
      </c>
      <c r="B193" t="s">
        <v>23</v>
      </c>
      <c r="C193" t="s">
        <v>24</v>
      </c>
      <c r="D193">
        <v>96</v>
      </c>
      <c r="E193">
        <v>2</v>
      </c>
      <c r="F193">
        <v>3</v>
      </c>
      <c r="G193" t="s">
        <v>120</v>
      </c>
      <c r="H193">
        <v>15</v>
      </c>
      <c r="I193">
        <v>55</v>
      </c>
      <c r="J193">
        <v>58</v>
      </c>
      <c r="K193">
        <v>3</v>
      </c>
      <c r="L193">
        <v>173</v>
      </c>
      <c r="M193">
        <v>43</v>
      </c>
      <c r="N193">
        <v>1</v>
      </c>
      <c r="O193">
        <v>2</v>
      </c>
      <c r="P193">
        <v>14</v>
      </c>
      <c r="Q193">
        <v>1</v>
      </c>
      <c r="R193">
        <v>13</v>
      </c>
      <c r="S193">
        <v>0.9285714285714286</v>
      </c>
      <c r="T193">
        <v>2</v>
      </c>
      <c r="U193">
        <v>9.5</v>
      </c>
      <c r="V193">
        <v>3785.6209150326799</v>
      </c>
      <c r="W193">
        <v>2</v>
      </c>
    </row>
    <row r="194" spans="1:23" x14ac:dyDescent="0.2">
      <c r="A194">
        <v>2020</v>
      </c>
      <c r="B194" t="s">
        <v>23</v>
      </c>
      <c r="C194" t="s">
        <v>24</v>
      </c>
      <c r="D194">
        <v>97</v>
      </c>
      <c r="E194">
        <v>1</v>
      </c>
      <c r="F194">
        <v>2</v>
      </c>
      <c r="G194" t="s">
        <v>121</v>
      </c>
      <c r="H194">
        <v>4</v>
      </c>
      <c r="I194">
        <v>63</v>
      </c>
      <c r="J194">
        <v>66</v>
      </c>
      <c r="K194">
        <v>3</v>
      </c>
      <c r="L194">
        <v>115</v>
      </c>
      <c r="M194">
        <v>55</v>
      </c>
      <c r="N194">
        <v>2</v>
      </c>
      <c r="O194">
        <v>3</v>
      </c>
      <c r="P194">
        <v>4</v>
      </c>
      <c r="Q194">
        <v>0.3</v>
      </c>
      <c r="R194">
        <v>4</v>
      </c>
      <c r="S194">
        <v>1</v>
      </c>
      <c r="T194">
        <v>2.5</v>
      </c>
      <c r="U194">
        <v>12.5</v>
      </c>
      <c r="V194">
        <v>1098.0392156862745</v>
      </c>
      <c r="W194">
        <v>1</v>
      </c>
    </row>
    <row r="195" spans="1:23" x14ac:dyDescent="0.2">
      <c r="A195">
        <v>2020</v>
      </c>
      <c r="B195" t="s">
        <v>23</v>
      </c>
      <c r="C195" t="s">
        <v>24</v>
      </c>
      <c r="D195">
        <v>97</v>
      </c>
      <c r="E195">
        <v>2</v>
      </c>
      <c r="F195">
        <v>2</v>
      </c>
      <c r="G195" t="s">
        <v>121</v>
      </c>
      <c r="H195">
        <v>14</v>
      </c>
      <c r="I195">
        <v>54</v>
      </c>
      <c r="J195">
        <v>58</v>
      </c>
      <c r="K195">
        <v>4</v>
      </c>
      <c r="L195">
        <v>185</v>
      </c>
      <c r="M195">
        <v>59</v>
      </c>
      <c r="N195">
        <v>1</v>
      </c>
      <c r="O195">
        <v>2.5</v>
      </c>
      <c r="P195">
        <v>11</v>
      </c>
      <c r="Q195">
        <v>0.7</v>
      </c>
      <c r="R195">
        <v>11</v>
      </c>
      <c r="S195">
        <v>1</v>
      </c>
      <c r="T195">
        <v>2</v>
      </c>
      <c r="U195">
        <v>11</v>
      </c>
      <c r="V195">
        <v>2606.0130718954251</v>
      </c>
      <c r="W195">
        <v>2</v>
      </c>
    </row>
    <row r="196" spans="1:23" x14ac:dyDescent="0.2">
      <c r="A196">
        <v>2020</v>
      </c>
      <c r="B196" t="s">
        <v>23</v>
      </c>
      <c r="C196" t="s">
        <v>24</v>
      </c>
      <c r="D196">
        <v>98</v>
      </c>
      <c r="E196">
        <v>1</v>
      </c>
      <c r="F196">
        <v>8</v>
      </c>
      <c r="G196" t="s">
        <v>122</v>
      </c>
      <c r="H196">
        <v>11</v>
      </c>
      <c r="I196">
        <v>50</v>
      </c>
      <c r="J196">
        <v>52</v>
      </c>
      <c r="K196">
        <v>2</v>
      </c>
      <c r="L196">
        <v>138</v>
      </c>
      <c r="M196">
        <v>45</v>
      </c>
      <c r="N196">
        <v>2</v>
      </c>
      <c r="O196">
        <v>2</v>
      </c>
      <c r="P196">
        <v>13</v>
      </c>
      <c r="Q196">
        <v>0.3</v>
      </c>
      <c r="R196">
        <v>10</v>
      </c>
      <c r="S196">
        <v>0.76923076923076927</v>
      </c>
      <c r="T196">
        <v>3</v>
      </c>
      <c r="U196">
        <v>7.6</v>
      </c>
      <c r="V196">
        <v>1159.5294117647059</v>
      </c>
      <c r="W196">
        <v>1</v>
      </c>
    </row>
    <row r="197" spans="1:23" x14ac:dyDescent="0.2">
      <c r="A197">
        <v>2020</v>
      </c>
      <c r="B197" t="s">
        <v>23</v>
      </c>
      <c r="C197" t="s">
        <v>24</v>
      </c>
      <c r="D197">
        <v>98</v>
      </c>
      <c r="E197">
        <v>2</v>
      </c>
      <c r="F197">
        <v>11</v>
      </c>
      <c r="G197" t="s">
        <v>122</v>
      </c>
      <c r="H197" s="1">
        <v>10</v>
      </c>
      <c r="I197" s="1">
        <v>62</v>
      </c>
      <c r="J197" s="1">
        <v>65</v>
      </c>
      <c r="K197" s="1">
        <f>J197-I197</f>
        <v>3</v>
      </c>
      <c r="L197" s="1">
        <v>205</v>
      </c>
      <c r="M197" s="1">
        <v>95</v>
      </c>
      <c r="N197" s="1">
        <v>2</v>
      </c>
      <c r="O197" s="1">
        <v>2</v>
      </c>
      <c r="P197" s="1">
        <v>10</v>
      </c>
      <c r="Q197" s="2">
        <v>0.70050000000000001</v>
      </c>
      <c r="R197" s="1">
        <v>9</v>
      </c>
      <c r="S197" s="1">
        <f>R197/P197</f>
        <v>0.9</v>
      </c>
      <c r="T197" s="1">
        <v>3</v>
      </c>
      <c r="U197" s="1">
        <v>8.5</v>
      </c>
      <c r="V197" s="1">
        <v>2681.1294117647062</v>
      </c>
      <c r="W197" s="1">
        <v>3</v>
      </c>
    </row>
    <row r="198" spans="1:23" x14ac:dyDescent="0.2">
      <c r="A198">
        <v>2020</v>
      </c>
      <c r="B198" t="s">
        <v>23</v>
      </c>
      <c r="C198" t="s">
        <v>24</v>
      </c>
      <c r="D198">
        <v>99</v>
      </c>
      <c r="E198">
        <v>1</v>
      </c>
      <c r="F198">
        <v>14</v>
      </c>
      <c r="G198" t="s">
        <v>123</v>
      </c>
      <c r="H198" s="1">
        <v>13</v>
      </c>
      <c r="I198" s="1">
        <v>61</v>
      </c>
      <c r="J198" s="1">
        <v>66</v>
      </c>
      <c r="K198" s="1">
        <f>J198-I198</f>
        <v>5</v>
      </c>
      <c r="L198" s="1">
        <v>163</v>
      </c>
      <c r="M198" s="1">
        <v>70</v>
      </c>
      <c r="N198" s="1">
        <v>3</v>
      </c>
      <c r="O198" s="1">
        <v>4</v>
      </c>
      <c r="P198" s="1">
        <f>H198-2</f>
        <v>11</v>
      </c>
      <c r="Q198" s="2">
        <v>0.18</v>
      </c>
      <c r="R198" s="1">
        <v>8</v>
      </c>
      <c r="S198" s="1">
        <f>R198/P198</f>
        <v>0.72727272727272729</v>
      </c>
      <c r="T198" s="1">
        <v>5</v>
      </c>
      <c r="U198" s="1">
        <v>12.5</v>
      </c>
      <c r="V198" s="1">
        <v>658.82352941176464</v>
      </c>
      <c r="W198" s="1">
        <v>5</v>
      </c>
    </row>
    <row r="199" spans="1:23" x14ac:dyDescent="0.2">
      <c r="A199">
        <v>2020</v>
      </c>
      <c r="B199" t="s">
        <v>23</v>
      </c>
      <c r="C199" t="s">
        <v>24</v>
      </c>
      <c r="D199">
        <v>99</v>
      </c>
      <c r="E199">
        <v>2</v>
      </c>
      <c r="F199">
        <v>12</v>
      </c>
      <c r="G199" t="s">
        <v>123</v>
      </c>
      <c r="H199">
        <v>16</v>
      </c>
      <c r="I199">
        <v>54</v>
      </c>
      <c r="J199">
        <v>57</v>
      </c>
      <c r="K199">
        <v>3</v>
      </c>
      <c r="L199">
        <v>153</v>
      </c>
      <c r="M199">
        <v>66</v>
      </c>
      <c r="N199">
        <v>2</v>
      </c>
      <c r="O199">
        <v>2.5</v>
      </c>
      <c r="P199">
        <v>16</v>
      </c>
      <c r="Q199">
        <v>1.5</v>
      </c>
      <c r="R199">
        <v>15</v>
      </c>
      <c r="S199">
        <v>0.9375</v>
      </c>
      <c r="T199">
        <v>3</v>
      </c>
      <c r="U199">
        <v>11.5</v>
      </c>
      <c r="V199">
        <v>5552.9411764705883</v>
      </c>
      <c r="W199">
        <v>2</v>
      </c>
    </row>
    <row r="200" spans="1:23" x14ac:dyDescent="0.2">
      <c r="A200">
        <v>2020</v>
      </c>
      <c r="B200" t="s">
        <v>23</v>
      </c>
      <c r="C200" t="s">
        <v>24</v>
      </c>
      <c r="D200">
        <v>100</v>
      </c>
      <c r="E200">
        <v>1</v>
      </c>
      <c r="F200">
        <v>12</v>
      </c>
      <c r="G200" t="s">
        <v>124</v>
      </c>
      <c r="H200" s="1">
        <v>3</v>
      </c>
      <c r="I200" s="1">
        <v>66</v>
      </c>
      <c r="J200" s="1">
        <v>69</v>
      </c>
      <c r="K200" s="1">
        <f>J200-I200</f>
        <v>3</v>
      </c>
      <c r="L200" s="1">
        <v>112</v>
      </c>
      <c r="M200" s="1">
        <v>43</v>
      </c>
      <c r="N200" s="1">
        <v>3</v>
      </c>
      <c r="O200" s="1">
        <v>3.5</v>
      </c>
      <c r="P200" s="1">
        <v>3</v>
      </c>
      <c r="Q200" s="2">
        <v>0.16800000000000001</v>
      </c>
      <c r="R200" s="1">
        <v>5</v>
      </c>
      <c r="S200" s="1">
        <f>R200/P200</f>
        <v>1.6666666666666667</v>
      </c>
      <c r="T200" s="1">
        <v>3</v>
      </c>
      <c r="U200" s="1">
        <v>12.5</v>
      </c>
      <c r="V200" s="1">
        <v>614.9019607843137</v>
      </c>
      <c r="W200" s="1">
        <v>3</v>
      </c>
    </row>
    <row r="201" spans="1:23" x14ac:dyDescent="0.2">
      <c r="A201">
        <v>2020</v>
      </c>
      <c r="B201" t="s">
        <v>23</v>
      </c>
      <c r="C201" t="s">
        <v>24</v>
      </c>
      <c r="D201">
        <v>100</v>
      </c>
      <c r="E201">
        <v>2</v>
      </c>
      <c r="F201">
        <v>14</v>
      </c>
      <c r="G201" t="s">
        <v>124</v>
      </c>
      <c r="H201" s="1">
        <v>10</v>
      </c>
      <c r="I201" s="1">
        <v>61</v>
      </c>
      <c r="J201" s="1">
        <v>66</v>
      </c>
      <c r="K201" s="1">
        <f>J201-I201</f>
        <v>5</v>
      </c>
      <c r="L201" s="1">
        <v>97</v>
      </c>
      <c r="M201" s="1">
        <v>45</v>
      </c>
      <c r="N201" s="1">
        <v>1.5</v>
      </c>
      <c r="O201" s="1">
        <v>4.5</v>
      </c>
      <c r="P201" s="1">
        <v>6</v>
      </c>
      <c r="Q201" s="2">
        <v>0.19800000000000001</v>
      </c>
      <c r="R201" s="1">
        <v>4</v>
      </c>
      <c r="S201" s="1">
        <f>R201/P201</f>
        <v>0.66666666666666663</v>
      </c>
      <c r="T201" s="1">
        <v>5</v>
      </c>
      <c r="U201" s="1">
        <v>12.5</v>
      </c>
      <c r="V201" s="1">
        <v>724.7058823529411</v>
      </c>
      <c r="W201" s="1">
        <v>6</v>
      </c>
    </row>
    <row r="202" spans="1:23" x14ac:dyDescent="0.2">
      <c r="A202">
        <v>2020</v>
      </c>
      <c r="B202" t="s">
        <v>23</v>
      </c>
      <c r="C202" t="s">
        <v>24</v>
      </c>
      <c r="D202">
        <v>101</v>
      </c>
      <c r="E202">
        <v>1</v>
      </c>
      <c r="F202">
        <v>3</v>
      </c>
      <c r="G202" t="s">
        <v>125</v>
      </c>
      <c r="H202">
        <v>9</v>
      </c>
      <c r="I202">
        <v>60</v>
      </c>
      <c r="J202">
        <v>63</v>
      </c>
      <c r="K202">
        <v>3</v>
      </c>
      <c r="L202">
        <v>98</v>
      </c>
      <c r="M202">
        <v>22</v>
      </c>
      <c r="N202">
        <v>1.5</v>
      </c>
      <c r="O202">
        <v>2</v>
      </c>
      <c r="P202">
        <v>9</v>
      </c>
      <c r="Q202">
        <v>0.6</v>
      </c>
      <c r="R202">
        <v>9</v>
      </c>
      <c r="S202">
        <v>1</v>
      </c>
      <c r="T202">
        <v>2.5</v>
      </c>
      <c r="U202">
        <v>12.5</v>
      </c>
      <c r="V202">
        <v>2196.0784313725489</v>
      </c>
      <c r="W202">
        <v>1</v>
      </c>
    </row>
    <row r="203" spans="1:23" x14ac:dyDescent="0.2">
      <c r="A203">
        <v>2020</v>
      </c>
      <c r="B203" t="s">
        <v>23</v>
      </c>
      <c r="C203" t="s">
        <v>24</v>
      </c>
      <c r="D203">
        <v>101</v>
      </c>
      <c r="E203">
        <v>2</v>
      </c>
      <c r="F203">
        <v>11</v>
      </c>
      <c r="G203" t="s">
        <v>125</v>
      </c>
      <c r="H203">
        <v>11</v>
      </c>
      <c r="I203">
        <v>55</v>
      </c>
      <c r="J203">
        <v>57</v>
      </c>
      <c r="K203">
        <v>2</v>
      </c>
      <c r="L203">
        <v>194</v>
      </c>
      <c r="M203">
        <v>65</v>
      </c>
      <c r="N203">
        <v>2</v>
      </c>
      <c r="O203">
        <v>2</v>
      </c>
      <c r="P203">
        <v>10</v>
      </c>
      <c r="Q203">
        <v>0.6</v>
      </c>
      <c r="R203">
        <v>6</v>
      </c>
      <c r="S203">
        <v>0.6</v>
      </c>
      <c r="T203">
        <v>3</v>
      </c>
      <c r="U203">
        <v>10.199999999999999</v>
      </c>
      <c r="V203">
        <v>2253.8039215686276</v>
      </c>
      <c r="W203">
        <v>2</v>
      </c>
    </row>
    <row r="204" spans="1:23" x14ac:dyDescent="0.2">
      <c r="A204">
        <v>2020</v>
      </c>
      <c r="B204" t="s">
        <v>23</v>
      </c>
      <c r="C204" t="s">
        <v>24</v>
      </c>
      <c r="D204">
        <v>102</v>
      </c>
      <c r="E204">
        <v>1</v>
      </c>
      <c r="F204">
        <v>8</v>
      </c>
      <c r="G204" t="s">
        <v>126</v>
      </c>
      <c r="H204" s="1">
        <v>5</v>
      </c>
      <c r="I204" s="1">
        <v>63</v>
      </c>
      <c r="J204" s="1">
        <v>68</v>
      </c>
      <c r="K204" s="1">
        <f>J204-I204</f>
        <v>5</v>
      </c>
      <c r="L204" s="1">
        <v>152</v>
      </c>
      <c r="M204" s="1">
        <v>36</v>
      </c>
      <c r="N204" s="1">
        <v>1.5</v>
      </c>
      <c r="O204" s="1">
        <v>4</v>
      </c>
      <c r="P204" s="1">
        <v>4</v>
      </c>
      <c r="Q204" s="2">
        <v>0.32400000000000001</v>
      </c>
      <c r="R204" s="1">
        <v>4</v>
      </c>
      <c r="S204" s="1">
        <f>R204/P204</f>
        <v>1</v>
      </c>
      <c r="T204" s="1">
        <v>2.5</v>
      </c>
      <c r="U204" s="1">
        <v>12.5</v>
      </c>
      <c r="V204" s="1">
        <v>1185.8823529411764</v>
      </c>
      <c r="W204" s="1">
        <v>5</v>
      </c>
    </row>
    <row r="205" spans="1:23" x14ac:dyDescent="0.2">
      <c r="A205">
        <v>2020</v>
      </c>
      <c r="B205" t="s">
        <v>23</v>
      </c>
      <c r="C205" t="s">
        <v>24</v>
      </c>
      <c r="D205">
        <v>102</v>
      </c>
      <c r="E205">
        <v>2</v>
      </c>
      <c r="F205">
        <v>4</v>
      </c>
      <c r="G205" t="s">
        <v>126</v>
      </c>
      <c r="H205">
        <v>7</v>
      </c>
      <c r="I205">
        <v>56</v>
      </c>
      <c r="J205">
        <v>58</v>
      </c>
      <c r="K205">
        <v>2</v>
      </c>
      <c r="L205">
        <v>95</v>
      </c>
      <c r="M205">
        <v>60</v>
      </c>
      <c r="N205">
        <v>2</v>
      </c>
      <c r="O205">
        <v>3</v>
      </c>
      <c r="P205">
        <v>6</v>
      </c>
      <c r="Q205">
        <v>0.45</v>
      </c>
      <c r="R205">
        <v>6</v>
      </c>
      <c r="S205">
        <v>1</v>
      </c>
      <c r="T205">
        <v>2.5</v>
      </c>
      <c r="U205">
        <v>12.5</v>
      </c>
      <c r="V205">
        <v>1647.0588235294117</v>
      </c>
      <c r="W205">
        <v>2</v>
      </c>
    </row>
    <row r="206" spans="1:23" x14ac:dyDescent="0.2">
      <c r="A206">
        <v>2020</v>
      </c>
      <c r="B206" t="s">
        <v>23</v>
      </c>
      <c r="C206" t="s">
        <v>24</v>
      </c>
      <c r="D206">
        <v>103</v>
      </c>
      <c r="E206">
        <v>1</v>
      </c>
      <c r="F206">
        <v>8</v>
      </c>
      <c r="G206" t="s">
        <v>127</v>
      </c>
      <c r="H206" s="1">
        <v>10</v>
      </c>
      <c r="I206" s="1">
        <v>61</v>
      </c>
      <c r="J206" s="1">
        <v>64</v>
      </c>
      <c r="K206" s="1">
        <f>J206-I206</f>
        <v>3</v>
      </c>
      <c r="L206" s="1">
        <v>152</v>
      </c>
      <c r="M206" s="1">
        <v>75</v>
      </c>
      <c r="N206" s="1">
        <v>2</v>
      </c>
      <c r="O206" s="1">
        <v>3.5</v>
      </c>
      <c r="P206" s="1">
        <v>6</v>
      </c>
      <c r="Q206" s="2">
        <v>0.82044000000000006</v>
      </c>
      <c r="R206" s="1">
        <v>4</v>
      </c>
      <c r="S206" s="1">
        <f>R206/P206</f>
        <v>0.66666666666666663</v>
      </c>
      <c r="T206" s="1">
        <v>5</v>
      </c>
      <c r="U206" s="1">
        <v>9.1999999999999993</v>
      </c>
      <c r="V206" s="1">
        <v>3116.170541176471</v>
      </c>
      <c r="W206" s="1">
        <v>5</v>
      </c>
    </row>
    <row r="207" spans="1:23" x14ac:dyDescent="0.2">
      <c r="A207">
        <v>2020</v>
      </c>
      <c r="B207" t="s">
        <v>23</v>
      </c>
      <c r="C207" t="s">
        <v>24</v>
      </c>
      <c r="D207">
        <v>103</v>
      </c>
      <c r="E207">
        <v>2</v>
      </c>
      <c r="F207">
        <v>4</v>
      </c>
      <c r="G207" t="s">
        <v>127</v>
      </c>
      <c r="H207">
        <v>11</v>
      </c>
      <c r="I207">
        <v>50</v>
      </c>
      <c r="J207">
        <v>52</v>
      </c>
      <c r="K207">
        <v>2</v>
      </c>
      <c r="L207">
        <v>136</v>
      </c>
      <c r="M207">
        <v>65</v>
      </c>
      <c r="N207">
        <v>2</v>
      </c>
      <c r="O207">
        <v>2</v>
      </c>
      <c r="P207">
        <v>13</v>
      </c>
      <c r="Q207">
        <v>0.3</v>
      </c>
      <c r="R207">
        <v>10</v>
      </c>
      <c r="S207">
        <v>0.76923076923076927</v>
      </c>
      <c r="T207">
        <v>3</v>
      </c>
      <c r="U207">
        <v>7.6</v>
      </c>
      <c r="V207">
        <v>1159.5294117647059</v>
      </c>
      <c r="W207">
        <v>1</v>
      </c>
    </row>
    <row r="208" spans="1:23" x14ac:dyDescent="0.2">
      <c r="A208">
        <v>2020</v>
      </c>
      <c r="B208" t="s">
        <v>23</v>
      </c>
      <c r="C208" t="s">
        <v>24</v>
      </c>
      <c r="D208">
        <v>104</v>
      </c>
      <c r="E208">
        <v>1</v>
      </c>
      <c r="F208">
        <v>4</v>
      </c>
      <c r="G208" t="s">
        <v>128</v>
      </c>
      <c r="H208" s="1">
        <v>13</v>
      </c>
      <c r="I208" s="1">
        <v>67</v>
      </c>
      <c r="J208" s="1">
        <v>72</v>
      </c>
      <c r="K208" s="1">
        <f t="shared" ref="K208:K213" si="10">J208-I208</f>
        <v>5</v>
      </c>
      <c r="L208" s="1">
        <v>137</v>
      </c>
      <c r="M208" s="1">
        <v>90</v>
      </c>
      <c r="N208" s="1">
        <v>2</v>
      </c>
      <c r="O208" s="1">
        <v>3.5</v>
      </c>
      <c r="P208" s="1">
        <f>H208</f>
        <v>13</v>
      </c>
      <c r="Q208" s="2">
        <v>0.44700000000000001</v>
      </c>
      <c r="R208" s="1">
        <v>10</v>
      </c>
      <c r="S208" s="1">
        <f t="shared" ref="S208:S213" si="11">R208/P208</f>
        <v>0.76923076923076927</v>
      </c>
      <c r="T208" s="1">
        <v>5</v>
      </c>
      <c r="U208" s="1">
        <v>12.5</v>
      </c>
      <c r="V208" s="1">
        <v>1636.0784313725494</v>
      </c>
      <c r="W208" s="1">
        <v>5</v>
      </c>
    </row>
    <row r="209" spans="1:23" x14ac:dyDescent="0.2">
      <c r="A209">
        <v>2020</v>
      </c>
      <c r="B209" t="s">
        <v>23</v>
      </c>
      <c r="C209" t="s">
        <v>24</v>
      </c>
      <c r="D209">
        <v>104</v>
      </c>
      <c r="E209">
        <v>2</v>
      </c>
      <c r="F209">
        <v>7</v>
      </c>
      <c r="G209" t="s">
        <v>128</v>
      </c>
      <c r="H209" s="1">
        <v>4</v>
      </c>
      <c r="I209" s="1">
        <v>65</v>
      </c>
      <c r="J209" s="1">
        <v>66</v>
      </c>
      <c r="K209" s="1">
        <f t="shared" si="10"/>
        <v>1</v>
      </c>
      <c r="L209" s="1">
        <v>132</v>
      </c>
      <c r="M209" s="1">
        <v>55</v>
      </c>
      <c r="N209" s="1">
        <v>2</v>
      </c>
      <c r="O209" s="1">
        <v>3.5</v>
      </c>
      <c r="P209" s="1">
        <v>3</v>
      </c>
      <c r="Q209" s="2">
        <v>6.3320000000000001E-2</v>
      </c>
      <c r="R209" s="1">
        <v>3</v>
      </c>
      <c r="S209" s="1">
        <f t="shared" si="11"/>
        <v>1</v>
      </c>
      <c r="T209" s="1">
        <v>5</v>
      </c>
      <c r="U209" s="1">
        <v>12.5</v>
      </c>
      <c r="V209" s="1">
        <v>231.75947712418304</v>
      </c>
      <c r="W209" s="1">
        <v>4</v>
      </c>
    </row>
    <row r="210" spans="1:23" x14ac:dyDescent="0.2">
      <c r="A210">
        <v>2020</v>
      </c>
      <c r="B210" t="s">
        <v>23</v>
      </c>
      <c r="C210" t="s">
        <v>24</v>
      </c>
      <c r="D210">
        <v>105</v>
      </c>
      <c r="E210">
        <v>1</v>
      </c>
      <c r="F210">
        <v>3</v>
      </c>
      <c r="G210" t="s">
        <v>129</v>
      </c>
      <c r="H210" s="1">
        <v>8</v>
      </c>
      <c r="I210" s="1">
        <v>58</v>
      </c>
      <c r="J210" s="1">
        <v>62</v>
      </c>
      <c r="K210" s="1">
        <f t="shared" si="10"/>
        <v>4</v>
      </c>
      <c r="L210" s="1">
        <v>118</v>
      </c>
      <c r="M210" s="1">
        <v>45</v>
      </c>
      <c r="N210" s="1">
        <v>1.5</v>
      </c>
      <c r="O210" s="1">
        <v>4.5</v>
      </c>
      <c r="P210" s="1">
        <v>5</v>
      </c>
      <c r="Q210" s="2">
        <v>5.3999999999999999E-2</v>
      </c>
      <c r="R210" s="1">
        <v>5</v>
      </c>
      <c r="S210" s="1">
        <f t="shared" si="11"/>
        <v>1</v>
      </c>
      <c r="T210" s="1">
        <v>5</v>
      </c>
      <c r="U210" s="1">
        <v>12.5</v>
      </c>
      <c r="V210" s="1">
        <v>197.64705882352939</v>
      </c>
      <c r="W210" s="1">
        <v>4</v>
      </c>
    </row>
    <row r="211" spans="1:23" x14ac:dyDescent="0.2">
      <c r="A211">
        <v>2020</v>
      </c>
      <c r="B211" t="s">
        <v>23</v>
      </c>
      <c r="C211" t="s">
        <v>24</v>
      </c>
      <c r="D211">
        <v>105</v>
      </c>
      <c r="E211">
        <v>2</v>
      </c>
      <c r="F211">
        <v>11</v>
      </c>
      <c r="G211" t="s">
        <v>129</v>
      </c>
      <c r="H211" s="1">
        <v>4</v>
      </c>
      <c r="I211" s="1">
        <v>68</v>
      </c>
      <c r="J211" s="1">
        <v>72</v>
      </c>
      <c r="K211" s="1">
        <f t="shared" si="10"/>
        <v>4</v>
      </c>
      <c r="L211" s="1">
        <v>118</v>
      </c>
      <c r="M211" s="1">
        <v>40</v>
      </c>
      <c r="N211" s="1">
        <v>2</v>
      </c>
      <c r="O211" s="1">
        <v>3.5</v>
      </c>
      <c r="P211" s="1">
        <v>4</v>
      </c>
      <c r="Q211" s="2">
        <v>0.36</v>
      </c>
      <c r="R211" s="1">
        <v>5</v>
      </c>
      <c r="S211" s="1">
        <f t="shared" si="11"/>
        <v>1.25</v>
      </c>
      <c r="T211" s="1">
        <v>3</v>
      </c>
      <c r="U211" s="1">
        <v>12.5</v>
      </c>
      <c r="V211" s="1">
        <v>1317.6470588235293</v>
      </c>
      <c r="W211" s="1">
        <v>2</v>
      </c>
    </row>
    <row r="212" spans="1:23" x14ac:dyDescent="0.2">
      <c r="A212">
        <v>2020</v>
      </c>
      <c r="B212" t="s">
        <v>23</v>
      </c>
      <c r="C212" t="s">
        <v>24</v>
      </c>
      <c r="D212">
        <v>106</v>
      </c>
      <c r="E212">
        <v>1</v>
      </c>
      <c r="F212">
        <v>12</v>
      </c>
      <c r="G212" t="s">
        <v>130</v>
      </c>
      <c r="H212" s="1">
        <v>12</v>
      </c>
      <c r="I212" s="1">
        <v>67</v>
      </c>
      <c r="J212" s="1">
        <v>70</v>
      </c>
      <c r="K212" s="1">
        <f t="shared" si="10"/>
        <v>3</v>
      </c>
      <c r="L212" s="1">
        <v>144</v>
      </c>
      <c r="M212" s="1">
        <v>83</v>
      </c>
      <c r="N212" s="1">
        <v>2</v>
      </c>
      <c r="O212" s="1">
        <v>2</v>
      </c>
      <c r="P212" s="1">
        <f>H212-1</f>
        <v>11</v>
      </c>
      <c r="Q212" s="2">
        <v>0.23</v>
      </c>
      <c r="R212" s="1">
        <v>8</v>
      </c>
      <c r="S212" s="1">
        <f t="shared" si="11"/>
        <v>0.72727272727272729</v>
      </c>
      <c r="T212" s="1">
        <v>3</v>
      </c>
      <c r="U212" s="1">
        <v>12.5</v>
      </c>
      <c r="V212" s="1">
        <v>841.83006535947709</v>
      </c>
      <c r="W212" s="1">
        <v>4</v>
      </c>
    </row>
    <row r="213" spans="1:23" x14ac:dyDescent="0.2">
      <c r="A213">
        <v>2020</v>
      </c>
      <c r="B213" t="s">
        <v>23</v>
      </c>
      <c r="C213" t="s">
        <v>24</v>
      </c>
      <c r="D213">
        <v>106</v>
      </c>
      <c r="E213">
        <v>2</v>
      </c>
      <c r="F213">
        <v>2</v>
      </c>
      <c r="G213" t="s">
        <v>130</v>
      </c>
      <c r="H213" s="1">
        <v>14</v>
      </c>
      <c r="I213" s="1">
        <v>67</v>
      </c>
      <c r="J213" s="1">
        <v>70</v>
      </c>
      <c r="K213" s="1">
        <f t="shared" si="10"/>
        <v>3</v>
      </c>
      <c r="L213" s="1">
        <v>83</v>
      </c>
      <c r="M213" s="1">
        <v>40</v>
      </c>
      <c r="N213" s="1">
        <v>1.5</v>
      </c>
      <c r="O213" s="1">
        <v>5</v>
      </c>
      <c r="P213" s="1">
        <v>8</v>
      </c>
      <c r="Q213" s="2">
        <v>0.14599999999999999</v>
      </c>
      <c r="R213" s="1">
        <v>4</v>
      </c>
      <c r="S213" s="1">
        <f t="shared" si="11"/>
        <v>0.5</v>
      </c>
      <c r="T213" s="1">
        <v>5</v>
      </c>
      <c r="U213" s="1">
        <v>12.5</v>
      </c>
      <c r="V213" s="1">
        <v>534.37908496732018</v>
      </c>
      <c r="W213" s="1">
        <v>7</v>
      </c>
    </row>
    <row r="214" spans="1:23" x14ac:dyDescent="0.2">
      <c r="A214">
        <v>2020</v>
      </c>
      <c r="B214" t="s">
        <v>23</v>
      </c>
      <c r="C214" t="s">
        <v>24</v>
      </c>
      <c r="D214">
        <v>107</v>
      </c>
      <c r="E214">
        <v>1</v>
      </c>
      <c r="F214">
        <v>13</v>
      </c>
      <c r="G214" t="s">
        <v>131</v>
      </c>
      <c r="H214">
        <v>9</v>
      </c>
      <c r="I214">
        <v>58</v>
      </c>
      <c r="J214">
        <v>61</v>
      </c>
      <c r="K214">
        <v>3</v>
      </c>
      <c r="L214">
        <v>159</v>
      </c>
      <c r="M214">
        <v>26</v>
      </c>
      <c r="N214">
        <v>2</v>
      </c>
      <c r="O214">
        <v>2</v>
      </c>
      <c r="P214">
        <v>9</v>
      </c>
      <c r="Q214">
        <v>0.877</v>
      </c>
      <c r="R214">
        <v>9</v>
      </c>
      <c r="S214">
        <v>1</v>
      </c>
      <c r="T214">
        <v>3</v>
      </c>
      <c r="U214">
        <v>12.5</v>
      </c>
      <c r="V214">
        <v>3209.9346405228757</v>
      </c>
      <c r="W214">
        <v>1</v>
      </c>
    </row>
    <row r="215" spans="1:23" x14ac:dyDescent="0.2">
      <c r="A215">
        <v>2020</v>
      </c>
      <c r="B215" t="s">
        <v>23</v>
      </c>
      <c r="C215" t="s">
        <v>24</v>
      </c>
      <c r="D215">
        <v>107</v>
      </c>
      <c r="E215">
        <v>2</v>
      </c>
      <c r="F215">
        <v>6</v>
      </c>
      <c r="G215" t="s">
        <v>131</v>
      </c>
      <c r="H215" s="1">
        <v>10</v>
      </c>
      <c r="I215" s="1">
        <v>59</v>
      </c>
      <c r="J215" s="1">
        <v>63</v>
      </c>
      <c r="K215" s="1">
        <f>J215-I215</f>
        <v>4</v>
      </c>
      <c r="L215" s="1">
        <v>154</v>
      </c>
      <c r="M215" s="1">
        <v>93</v>
      </c>
      <c r="N215" s="1">
        <v>2</v>
      </c>
      <c r="O215" s="1">
        <v>3.5</v>
      </c>
      <c r="P215" s="1">
        <v>7</v>
      </c>
      <c r="Q215" s="2">
        <v>8.2320000000000004E-2</v>
      </c>
      <c r="R215" s="1">
        <v>3</v>
      </c>
      <c r="S215" s="1">
        <f>R215/P215</f>
        <v>0.42857142857142855</v>
      </c>
      <c r="T215" s="1">
        <v>5</v>
      </c>
      <c r="U215" s="1">
        <v>12.5</v>
      </c>
      <c r="V215" s="1">
        <v>301.30196078431368</v>
      </c>
      <c r="W215" s="1">
        <v>5</v>
      </c>
    </row>
    <row r="216" spans="1:23" x14ac:dyDescent="0.2">
      <c r="A216">
        <v>2020</v>
      </c>
      <c r="B216" t="s">
        <v>23</v>
      </c>
      <c r="C216" t="s">
        <v>24</v>
      </c>
      <c r="D216">
        <v>108</v>
      </c>
      <c r="E216">
        <v>1</v>
      </c>
      <c r="F216">
        <v>9</v>
      </c>
      <c r="G216" t="s">
        <v>132</v>
      </c>
      <c r="H216">
        <v>8</v>
      </c>
      <c r="I216">
        <v>55</v>
      </c>
      <c r="J216">
        <v>59</v>
      </c>
      <c r="K216">
        <v>4</v>
      </c>
      <c r="L216">
        <v>86</v>
      </c>
      <c r="M216">
        <v>23</v>
      </c>
      <c r="N216">
        <v>2</v>
      </c>
      <c r="O216">
        <v>3</v>
      </c>
      <c r="P216">
        <v>8</v>
      </c>
      <c r="Q216">
        <v>0.6</v>
      </c>
      <c r="R216">
        <v>9</v>
      </c>
      <c r="S216">
        <v>1.125</v>
      </c>
      <c r="T216">
        <v>2.5</v>
      </c>
      <c r="U216">
        <v>12.5</v>
      </c>
      <c r="V216">
        <v>2196.0784313725489</v>
      </c>
      <c r="W216">
        <v>2</v>
      </c>
    </row>
    <row r="217" spans="1:23" x14ac:dyDescent="0.2">
      <c r="A217">
        <v>2020</v>
      </c>
      <c r="B217" t="s">
        <v>23</v>
      </c>
      <c r="C217" t="s">
        <v>24</v>
      </c>
      <c r="D217">
        <v>108</v>
      </c>
      <c r="E217">
        <v>2</v>
      </c>
      <c r="F217">
        <v>15</v>
      </c>
      <c r="G217" t="s">
        <v>132</v>
      </c>
      <c r="H217" s="1">
        <v>10</v>
      </c>
      <c r="I217" s="1">
        <v>68</v>
      </c>
      <c r="J217" s="1">
        <v>71</v>
      </c>
      <c r="K217" s="1">
        <f>J217-I217</f>
        <v>3</v>
      </c>
      <c r="L217" s="1">
        <v>181</v>
      </c>
      <c r="M217" s="1">
        <v>87</v>
      </c>
      <c r="N217" s="1">
        <v>2</v>
      </c>
      <c r="O217" s="1">
        <v>2.5</v>
      </c>
      <c r="P217" s="1">
        <v>9</v>
      </c>
      <c r="Q217" s="2">
        <v>0.78</v>
      </c>
      <c r="R217" s="1">
        <v>9</v>
      </c>
      <c r="S217" s="1">
        <f>R217/P217</f>
        <v>1</v>
      </c>
      <c r="T217" s="1">
        <v>3</v>
      </c>
      <c r="U217" s="1">
        <v>12.5</v>
      </c>
      <c r="V217" s="1">
        <v>2854.9019607843138</v>
      </c>
      <c r="W217" s="1">
        <v>5</v>
      </c>
    </row>
    <row r="218" spans="1:23" x14ac:dyDescent="0.2">
      <c r="A218">
        <v>2020</v>
      </c>
      <c r="B218" t="s">
        <v>23</v>
      </c>
      <c r="C218" t="s">
        <v>24</v>
      </c>
      <c r="D218">
        <v>109</v>
      </c>
      <c r="E218">
        <v>1</v>
      </c>
      <c r="F218">
        <v>9</v>
      </c>
      <c r="G218" t="s">
        <v>133</v>
      </c>
      <c r="H218" s="1">
        <v>6</v>
      </c>
      <c r="I218" s="1">
        <v>66</v>
      </c>
      <c r="J218" s="1">
        <v>71</v>
      </c>
      <c r="K218" s="1">
        <f>J218-I218</f>
        <v>5</v>
      </c>
      <c r="L218" s="1">
        <v>148</v>
      </c>
      <c r="M218" s="1">
        <v>56</v>
      </c>
      <c r="N218" s="1">
        <v>2</v>
      </c>
      <c r="O218" s="1">
        <v>4</v>
      </c>
      <c r="P218" s="1">
        <v>4</v>
      </c>
      <c r="Q218" s="2">
        <v>0.125</v>
      </c>
      <c r="R218" s="1">
        <v>3</v>
      </c>
      <c r="S218" s="1">
        <f>R218/P218</f>
        <v>0.75</v>
      </c>
      <c r="T218" s="1">
        <v>3</v>
      </c>
      <c r="U218" s="1">
        <v>12.5</v>
      </c>
      <c r="V218" s="1">
        <v>457.51633986928107</v>
      </c>
      <c r="W218" s="1">
        <v>4</v>
      </c>
    </row>
    <row r="219" spans="1:23" x14ac:dyDescent="0.2">
      <c r="A219">
        <v>2020</v>
      </c>
      <c r="B219" t="s">
        <v>23</v>
      </c>
      <c r="C219" t="s">
        <v>24</v>
      </c>
      <c r="D219">
        <v>109</v>
      </c>
      <c r="E219">
        <v>2</v>
      </c>
      <c r="F219">
        <v>12</v>
      </c>
      <c r="G219" t="s">
        <v>133</v>
      </c>
      <c r="H219">
        <v>5</v>
      </c>
      <c r="I219">
        <v>63</v>
      </c>
      <c r="J219">
        <v>65</v>
      </c>
      <c r="K219">
        <v>2</v>
      </c>
      <c r="L219">
        <v>125</v>
      </c>
      <c r="M219">
        <v>71</v>
      </c>
      <c r="N219">
        <v>1.5</v>
      </c>
      <c r="O219">
        <v>3.5</v>
      </c>
      <c r="P219">
        <v>5</v>
      </c>
      <c r="Q219">
        <v>0.4</v>
      </c>
      <c r="R219">
        <v>4</v>
      </c>
      <c r="S219">
        <v>0.8</v>
      </c>
      <c r="T219">
        <v>3.5</v>
      </c>
      <c r="U219">
        <v>12.5</v>
      </c>
      <c r="V219">
        <v>1464.0522875816994</v>
      </c>
      <c r="W219">
        <v>1</v>
      </c>
    </row>
    <row r="220" spans="1:23" x14ac:dyDescent="0.2">
      <c r="A220">
        <v>2020</v>
      </c>
      <c r="B220" t="s">
        <v>23</v>
      </c>
      <c r="C220" t="s">
        <v>24</v>
      </c>
      <c r="D220">
        <v>110</v>
      </c>
      <c r="E220">
        <v>1</v>
      </c>
      <c r="F220">
        <v>7</v>
      </c>
      <c r="G220" t="s">
        <v>134</v>
      </c>
      <c r="H220">
        <v>16</v>
      </c>
      <c r="I220">
        <v>55</v>
      </c>
      <c r="J220">
        <v>57</v>
      </c>
      <c r="K220">
        <v>2</v>
      </c>
      <c r="L220">
        <v>152</v>
      </c>
      <c r="M220">
        <v>48</v>
      </c>
      <c r="N220">
        <v>2</v>
      </c>
      <c r="O220">
        <v>2.5</v>
      </c>
      <c r="P220">
        <v>10</v>
      </c>
      <c r="Q220">
        <v>0.6</v>
      </c>
      <c r="R220">
        <v>9</v>
      </c>
      <c r="S220">
        <v>0.9</v>
      </c>
      <c r="T220">
        <v>4</v>
      </c>
      <c r="U220">
        <v>9.9</v>
      </c>
      <c r="V220">
        <v>2261.3333333333335</v>
      </c>
      <c r="W220">
        <v>1</v>
      </c>
    </row>
    <row r="221" spans="1:23" x14ac:dyDescent="0.2">
      <c r="A221">
        <v>2020</v>
      </c>
      <c r="B221" t="s">
        <v>23</v>
      </c>
      <c r="C221" t="s">
        <v>24</v>
      </c>
      <c r="D221">
        <v>110</v>
      </c>
      <c r="E221">
        <v>2</v>
      </c>
      <c r="F221">
        <v>10</v>
      </c>
      <c r="G221" t="s">
        <v>134</v>
      </c>
      <c r="H221" s="1">
        <v>6</v>
      </c>
      <c r="I221" s="1">
        <v>72</v>
      </c>
      <c r="J221" s="1">
        <v>76</v>
      </c>
      <c r="K221" s="1">
        <f>J221-I221</f>
        <v>4</v>
      </c>
      <c r="L221" s="1">
        <v>101</v>
      </c>
      <c r="M221" s="1">
        <v>30</v>
      </c>
      <c r="N221" s="1">
        <v>2</v>
      </c>
      <c r="O221" s="1">
        <v>5</v>
      </c>
      <c r="P221" s="1">
        <v>1</v>
      </c>
      <c r="Q221" s="2">
        <v>6.6799999999999998E-2</v>
      </c>
      <c r="R221" s="1">
        <v>1</v>
      </c>
      <c r="S221" s="1">
        <f>R221/P221</f>
        <v>1</v>
      </c>
      <c r="T221" s="1">
        <v>5</v>
      </c>
      <c r="U221" s="1">
        <v>12.5</v>
      </c>
      <c r="V221" s="1">
        <v>244.4967320261438</v>
      </c>
      <c r="W221" s="1">
        <v>7</v>
      </c>
    </row>
    <row r="222" spans="1:23" x14ac:dyDescent="0.2">
      <c r="A222">
        <v>2020</v>
      </c>
      <c r="B222" t="s">
        <v>23</v>
      </c>
      <c r="C222" t="s">
        <v>24</v>
      </c>
      <c r="D222">
        <v>111</v>
      </c>
      <c r="E222">
        <v>1</v>
      </c>
      <c r="F222">
        <v>11</v>
      </c>
      <c r="G222" t="s">
        <v>135</v>
      </c>
      <c r="H222">
        <v>4</v>
      </c>
      <c r="I222">
        <v>63</v>
      </c>
      <c r="J222">
        <v>65</v>
      </c>
      <c r="K222">
        <v>2</v>
      </c>
      <c r="L222">
        <v>175</v>
      </c>
      <c r="M222">
        <v>60</v>
      </c>
      <c r="N222">
        <v>1.5</v>
      </c>
      <c r="O222">
        <v>2</v>
      </c>
      <c r="P222">
        <v>4</v>
      </c>
      <c r="Q222">
        <v>0.2</v>
      </c>
      <c r="R222">
        <v>5</v>
      </c>
      <c r="S222">
        <v>1.25</v>
      </c>
      <c r="T222">
        <v>3</v>
      </c>
      <c r="U222">
        <v>12.5</v>
      </c>
      <c r="V222">
        <v>732.02614379084969</v>
      </c>
      <c r="W222">
        <v>2</v>
      </c>
    </row>
    <row r="223" spans="1:23" x14ac:dyDescent="0.2">
      <c r="A223">
        <v>2020</v>
      </c>
      <c r="B223" t="s">
        <v>23</v>
      </c>
      <c r="C223" t="s">
        <v>24</v>
      </c>
      <c r="D223">
        <v>111</v>
      </c>
      <c r="E223">
        <v>2</v>
      </c>
      <c r="F223">
        <v>5</v>
      </c>
      <c r="G223" t="s">
        <v>135</v>
      </c>
      <c r="H223">
        <v>11</v>
      </c>
      <c r="I223">
        <v>53</v>
      </c>
      <c r="J223">
        <v>55</v>
      </c>
      <c r="K223">
        <v>2</v>
      </c>
      <c r="L223">
        <v>125</v>
      </c>
      <c r="M223">
        <v>81</v>
      </c>
      <c r="N223">
        <v>2</v>
      </c>
      <c r="O223">
        <v>2.5</v>
      </c>
      <c r="P223">
        <v>7</v>
      </c>
      <c r="Q223">
        <v>0.8</v>
      </c>
      <c r="R223">
        <v>6</v>
      </c>
      <c r="S223">
        <v>0.8571428571428571</v>
      </c>
      <c r="T223">
        <v>3</v>
      </c>
      <c r="U223">
        <v>9.8000000000000007</v>
      </c>
      <c r="V223">
        <v>3018.4575163398699</v>
      </c>
      <c r="W223">
        <v>2</v>
      </c>
    </row>
    <row r="224" spans="1:23" x14ac:dyDescent="0.2">
      <c r="A224">
        <v>2020</v>
      </c>
      <c r="B224" t="s">
        <v>23</v>
      </c>
      <c r="C224" t="s">
        <v>24</v>
      </c>
      <c r="D224">
        <v>112</v>
      </c>
      <c r="E224">
        <v>1</v>
      </c>
      <c r="F224">
        <v>1</v>
      </c>
      <c r="G224" t="s">
        <v>136</v>
      </c>
      <c r="H224">
        <v>2</v>
      </c>
      <c r="I224">
        <v>59</v>
      </c>
      <c r="J224">
        <v>62</v>
      </c>
      <c r="K224">
        <v>3</v>
      </c>
      <c r="L224">
        <v>127</v>
      </c>
      <c r="M224">
        <v>58</v>
      </c>
      <c r="N224">
        <v>1.5</v>
      </c>
      <c r="O224">
        <v>4</v>
      </c>
      <c r="P224">
        <v>2</v>
      </c>
      <c r="Q224">
        <v>0.1</v>
      </c>
      <c r="R224">
        <v>3</v>
      </c>
      <c r="S224">
        <v>1.5</v>
      </c>
      <c r="T224">
        <v>2.5</v>
      </c>
      <c r="U224">
        <v>12.5</v>
      </c>
      <c r="V224">
        <v>366.01307189542484</v>
      </c>
      <c r="W224">
        <v>2</v>
      </c>
    </row>
    <row r="225" spans="1:23" x14ac:dyDescent="0.2">
      <c r="A225">
        <v>2020</v>
      </c>
      <c r="B225" t="s">
        <v>23</v>
      </c>
      <c r="C225" t="s">
        <v>24</v>
      </c>
      <c r="D225">
        <v>112</v>
      </c>
      <c r="E225">
        <v>2</v>
      </c>
      <c r="F225">
        <v>11</v>
      </c>
      <c r="G225" t="s">
        <v>136</v>
      </c>
      <c r="H225" s="3">
        <v>7</v>
      </c>
      <c r="I225" s="3">
        <v>69</v>
      </c>
      <c r="J225" s="3">
        <v>72</v>
      </c>
      <c r="K225" s="3">
        <f>J225-I225</f>
        <v>3</v>
      </c>
      <c r="L225" s="3">
        <v>168</v>
      </c>
      <c r="M225" s="3">
        <v>70</v>
      </c>
      <c r="N225" s="3">
        <v>2</v>
      </c>
      <c r="O225" s="3">
        <v>2.5</v>
      </c>
      <c r="P225" s="3">
        <f>H225-1</f>
        <v>6</v>
      </c>
      <c r="Q225" s="4">
        <v>9.6000000000000002E-2</v>
      </c>
      <c r="R225" s="3">
        <v>5</v>
      </c>
      <c r="S225" s="3">
        <f>R225/P225</f>
        <v>0.83333333333333337</v>
      </c>
      <c r="T225" s="3">
        <v>3</v>
      </c>
      <c r="U225" s="3">
        <v>12.5</v>
      </c>
      <c r="V225" s="3">
        <v>351.37254901960785</v>
      </c>
      <c r="W225" s="3">
        <v>4</v>
      </c>
    </row>
    <row r="226" spans="1:23" x14ac:dyDescent="0.2">
      <c r="A226">
        <v>2020</v>
      </c>
      <c r="B226" t="s">
        <v>23</v>
      </c>
      <c r="C226" t="s">
        <v>24</v>
      </c>
      <c r="D226">
        <v>113</v>
      </c>
      <c r="E226">
        <v>1</v>
      </c>
      <c r="F226">
        <v>12</v>
      </c>
      <c r="G226" t="s">
        <v>137</v>
      </c>
      <c r="H226" s="1">
        <v>4</v>
      </c>
      <c r="I226" s="1">
        <v>66</v>
      </c>
      <c r="J226" s="1">
        <v>70</v>
      </c>
      <c r="K226" s="1">
        <f>J226-I226</f>
        <v>4</v>
      </c>
      <c r="L226" s="1">
        <v>100</v>
      </c>
      <c r="M226" s="1">
        <v>26</v>
      </c>
      <c r="N226" s="1">
        <v>2</v>
      </c>
      <c r="O226" s="1">
        <v>5</v>
      </c>
      <c r="P226" s="1">
        <v>3</v>
      </c>
      <c r="Q226" s="2">
        <v>2.5499999999999998E-2</v>
      </c>
      <c r="R226" s="1">
        <v>3</v>
      </c>
      <c r="S226" s="1">
        <f>R226/P226</f>
        <v>1</v>
      </c>
      <c r="T226" s="1">
        <v>5</v>
      </c>
      <c r="U226" s="1">
        <v>12.5</v>
      </c>
      <c r="V226" s="1">
        <v>93.333333333333314</v>
      </c>
      <c r="W226" s="1">
        <v>6</v>
      </c>
    </row>
    <row r="227" spans="1:23" x14ac:dyDescent="0.2">
      <c r="A227">
        <v>2020</v>
      </c>
      <c r="B227" t="s">
        <v>23</v>
      </c>
      <c r="C227" t="s">
        <v>24</v>
      </c>
      <c r="D227">
        <v>113</v>
      </c>
      <c r="E227">
        <v>2</v>
      </c>
      <c r="F227">
        <v>14</v>
      </c>
      <c r="G227" t="s">
        <v>137</v>
      </c>
      <c r="H227">
        <v>16</v>
      </c>
      <c r="I227">
        <v>58</v>
      </c>
      <c r="J227">
        <v>62</v>
      </c>
      <c r="K227">
        <v>4</v>
      </c>
      <c r="L227">
        <v>131</v>
      </c>
      <c r="M227">
        <v>60</v>
      </c>
      <c r="N227">
        <v>2</v>
      </c>
      <c r="O227">
        <v>2.5</v>
      </c>
      <c r="P227">
        <v>14</v>
      </c>
      <c r="Q227">
        <v>1.5</v>
      </c>
      <c r="R227">
        <v>10</v>
      </c>
      <c r="S227">
        <v>0.7142857142857143</v>
      </c>
      <c r="T227">
        <v>3</v>
      </c>
      <c r="U227">
        <v>9.8000000000000007</v>
      </c>
      <c r="V227">
        <v>5659.6078431372553</v>
      </c>
      <c r="W227">
        <v>2</v>
      </c>
    </row>
    <row r="228" spans="1:23" x14ac:dyDescent="0.2">
      <c r="A228">
        <v>2020</v>
      </c>
      <c r="B228" t="s">
        <v>23</v>
      </c>
      <c r="C228" t="s">
        <v>24</v>
      </c>
      <c r="D228">
        <v>114</v>
      </c>
      <c r="E228">
        <v>1</v>
      </c>
      <c r="F228">
        <v>11</v>
      </c>
      <c r="G228" t="s">
        <v>138</v>
      </c>
      <c r="H228">
        <v>1</v>
      </c>
      <c r="I228">
        <v>59</v>
      </c>
      <c r="J228">
        <v>62</v>
      </c>
      <c r="K228">
        <v>3</v>
      </c>
      <c r="L228">
        <v>130</v>
      </c>
      <c r="M228">
        <v>50</v>
      </c>
      <c r="N228">
        <v>1.5</v>
      </c>
      <c r="O228">
        <v>3.5</v>
      </c>
      <c r="P228">
        <v>1</v>
      </c>
      <c r="Q228">
        <v>0.1</v>
      </c>
      <c r="R228">
        <v>1</v>
      </c>
      <c r="S228">
        <v>1</v>
      </c>
      <c r="T228">
        <v>2.5</v>
      </c>
      <c r="U228">
        <v>12.5</v>
      </c>
      <c r="V228">
        <v>366.01307189542484</v>
      </c>
      <c r="W228">
        <v>1</v>
      </c>
    </row>
    <row r="229" spans="1:23" x14ac:dyDescent="0.2">
      <c r="A229">
        <v>2020</v>
      </c>
      <c r="B229" t="s">
        <v>23</v>
      </c>
      <c r="C229" t="s">
        <v>24</v>
      </c>
      <c r="D229">
        <v>114</v>
      </c>
      <c r="E229">
        <v>2</v>
      </c>
      <c r="F229">
        <v>6</v>
      </c>
      <c r="G229" t="s">
        <v>138</v>
      </c>
      <c r="H229" s="1">
        <v>3</v>
      </c>
      <c r="I229" s="1">
        <v>61</v>
      </c>
      <c r="J229" s="1">
        <v>65</v>
      </c>
      <c r="K229" s="1">
        <f>J229-I229</f>
        <v>4</v>
      </c>
      <c r="L229" s="1">
        <v>167</v>
      </c>
      <c r="M229" s="1">
        <v>98</v>
      </c>
      <c r="N229" s="1">
        <v>2</v>
      </c>
      <c r="O229" s="1">
        <v>2.5</v>
      </c>
      <c r="P229" s="1">
        <v>3</v>
      </c>
      <c r="Q229" s="2">
        <v>0.189</v>
      </c>
      <c r="R229" s="1">
        <v>3</v>
      </c>
      <c r="S229" s="1">
        <f>R229/P229</f>
        <v>1</v>
      </c>
      <c r="T229" s="1">
        <v>5</v>
      </c>
      <c r="U229" s="1">
        <v>12.5</v>
      </c>
      <c r="V229" s="1">
        <v>691.76470588235293</v>
      </c>
      <c r="W229" s="1">
        <v>5</v>
      </c>
    </row>
    <row r="230" spans="1:23" x14ac:dyDescent="0.2">
      <c r="A230">
        <v>2020</v>
      </c>
      <c r="B230" t="s">
        <v>23</v>
      </c>
      <c r="C230" t="s">
        <v>24</v>
      </c>
      <c r="D230">
        <v>115</v>
      </c>
      <c r="E230">
        <v>1</v>
      </c>
      <c r="F230">
        <v>8</v>
      </c>
      <c r="G230" t="s">
        <v>139</v>
      </c>
      <c r="H230" s="1">
        <v>13</v>
      </c>
      <c r="I230" s="1">
        <v>64</v>
      </c>
      <c r="J230" s="1">
        <v>69</v>
      </c>
      <c r="K230" s="1">
        <f>J230-I230</f>
        <v>5</v>
      </c>
      <c r="L230" s="1">
        <v>133</v>
      </c>
      <c r="M230" s="1">
        <v>73</v>
      </c>
      <c r="N230" s="1">
        <v>2</v>
      </c>
      <c r="O230" s="1">
        <v>3.5</v>
      </c>
      <c r="P230" s="1">
        <f>H230-1</f>
        <v>12</v>
      </c>
      <c r="Q230" s="2">
        <v>0.1125</v>
      </c>
      <c r="R230" s="1">
        <v>10</v>
      </c>
      <c r="S230" s="1">
        <f>R230/P230</f>
        <v>0.83333333333333337</v>
      </c>
      <c r="T230" s="1">
        <v>5</v>
      </c>
      <c r="U230" s="1">
        <v>12.5</v>
      </c>
      <c r="V230" s="1">
        <v>411.76470588235293</v>
      </c>
      <c r="W230" s="1">
        <v>5</v>
      </c>
    </row>
    <row r="231" spans="1:23" x14ac:dyDescent="0.2">
      <c r="A231">
        <v>2020</v>
      </c>
      <c r="B231" t="s">
        <v>23</v>
      </c>
      <c r="C231" t="s">
        <v>24</v>
      </c>
      <c r="D231">
        <v>115</v>
      </c>
      <c r="E231">
        <v>2</v>
      </c>
      <c r="F231">
        <v>3</v>
      </c>
      <c r="G231" t="s">
        <v>139</v>
      </c>
      <c r="H231">
        <v>11</v>
      </c>
      <c r="I231">
        <v>50</v>
      </c>
      <c r="J231">
        <v>53</v>
      </c>
      <c r="K231">
        <v>3</v>
      </c>
      <c r="L231">
        <v>181</v>
      </c>
      <c r="M231">
        <v>64</v>
      </c>
      <c r="N231">
        <v>2</v>
      </c>
      <c r="O231">
        <v>2</v>
      </c>
      <c r="P231">
        <v>11</v>
      </c>
      <c r="Q231">
        <v>1</v>
      </c>
      <c r="R231">
        <v>11</v>
      </c>
      <c r="S231">
        <v>1</v>
      </c>
      <c r="T231">
        <v>2</v>
      </c>
      <c r="U231">
        <v>10</v>
      </c>
      <c r="V231">
        <v>3764.705882352941</v>
      </c>
      <c r="W231">
        <v>1</v>
      </c>
    </row>
    <row r="232" spans="1:23" x14ac:dyDescent="0.2">
      <c r="A232">
        <v>2020</v>
      </c>
      <c r="B232" t="s">
        <v>23</v>
      </c>
      <c r="C232" t="s">
        <v>24</v>
      </c>
      <c r="D232">
        <v>116</v>
      </c>
      <c r="E232">
        <v>1</v>
      </c>
      <c r="F232">
        <v>14</v>
      </c>
      <c r="G232" t="s">
        <v>140</v>
      </c>
      <c r="H232" s="1">
        <v>7</v>
      </c>
      <c r="I232" s="1">
        <v>64</v>
      </c>
      <c r="J232" s="1">
        <v>69</v>
      </c>
      <c r="K232" s="1">
        <f>J232-I232</f>
        <v>5</v>
      </c>
      <c r="L232" s="1">
        <v>103</v>
      </c>
      <c r="M232" s="1">
        <v>37</v>
      </c>
      <c r="N232" s="1">
        <v>2</v>
      </c>
      <c r="O232" s="1">
        <v>5</v>
      </c>
      <c r="P232" s="1">
        <v>1</v>
      </c>
      <c r="Q232" s="2">
        <v>7.5999999999999998E-2</v>
      </c>
      <c r="R232" s="1">
        <v>1</v>
      </c>
      <c r="S232" s="1">
        <f>R232/P232</f>
        <v>1</v>
      </c>
      <c r="T232" s="1">
        <v>5</v>
      </c>
      <c r="U232" s="1">
        <v>12.5</v>
      </c>
      <c r="V232" s="1">
        <v>278.16993464052285</v>
      </c>
      <c r="W232" s="1">
        <v>6</v>
      </c>
    </row>
    <row r="233" spans="1:23" x14ac:dyDescent="0.2">
      <c r="A233">
        <v>2020</v>
      </c>
      <c r="B233" t="s">
        <v>23</v>
      </c>
      <c r="C233" t="s">
        <v>24</v>
      </c>
      <c r="D233">
        <v>116</v>
      </c>
      <c r="E233">
        <v>2</v>
      </c>
      <c r="F233">
        <v>13</v>
      </c>
      <c r="G233" t="s">
        <v>140</v>
      </c>
      <c r="H233">
        <v>16</v>
      </c>
      <c r="I233">
        <v>50</v>
      </c>
      <c r="J233">
        <v>54</v>
      </c>
      <c r="K233">
        <v>4</v>
      </c>
      <c r="L233">
        <v>184</v>
      </c>
      <c r="M233">
        <v>82</v>
      </c>
      <c r="N233">
        <v>2</v>
      </c>
      <c r="O233">
        <v>2.5</v>
      </c>
      <c r="P233">
        <v>13</v>
      </c>
      <c r="Q233">
        <v>0.7</v>
      </c>
      <c r="R233">
        <v>12</v>
      </c>
      <c r="S233">
        <v>0.92307692307692313</v>
      </c>
      <c r="T233">
        <v>2</v>
      </c>
      <c r="U233">
        <v>12.5</v>
      </c>
      <c r="V233">
        <v>2562.0915032679736</v>
      </c>
      <c r="W233">
        <v>2</v>
      </c>
    </row>
    <row r="234" spans="1:23" x14ac:dyDescent="0.2">
      <c r="A234">
        <v>2020</v>
      </c>
      <c r="B234" t="s">
        <v>23</v>
      </c>
      <c r="C234" t="s">
        <v>24</v>
      </c>
      <c r="D234">
        <v>117</v>
      </c>
      <c r="E234">
        <v>1</v>
      </c>
      <c r="F234">
        <v>15</v>
      </c>
      <c r="G234" t="s">
        <v>141</v>
      </c>
      <c r="H234">
        <v>16</v>
      </c>
      <c r="I234">
        <v>54</v>
      </c>
      <c r="J234">
        <v>57</v>
      </c>
      <c r="K234">
        <v>3</v>
      </c>
      <c r="L234">
        <v>155</v>
      </c>
      <c r="M234">
        <v>28</v>
      </c>
      <c r="N234">
        <v>2</v>
      </c>
      <c r="O234">
        <v>1.5</v>
      </c>
      <c r="P234">
        <v>14</v>
      </c>
      <c r="Q234">
        <v>1</v>
      </c>
      <c r="R234">
        <v>15</v>
      </c>
      <c r="S234">
        <v>1.0714285714285714</v>
      </c>
      <c r="T234">
        <v>2</v>
      </c>
      <c r="U234">
        <v>12.1</v>
      </c>
      <c r="V234">
        <v>3676.8627450980389</v>
      </c>
      <c r="W234">
        <v>2</v>
      </c>
    </row>
    <row r="235" spans="1:23" x14ac:dyDescent="0.2">
      <c r="A235">
        <v>2020</v>
      </c>
      <c r="B235" t="s">
        <v>23</v>
      </c>
      <c r="C235" t="s">
        <v>24</v>
      </c>
      <c r="D235">
        <v>117</v>
      </c>
      <c r="E235">
        <v>2</v>
      </c>
      <c r="F235">
        <v>4</v>
      </c>
      <c r="G235" t="s">
        <v>141</v>
      </c>
      <c r="H235">
        <v>12</v>
      </c>
      <c r="I235">
        <v>55</v>
      </c>
      <c r="J235">
        <v>56</v>
      </c>
      <c r="K235">
        <v>1</v>
      </c>
      <c r="L235">
        <v>186</v>
      </c>
      <c r="M235">
        <v>51</v>
      </c>
      <c r="N235">
        <v>1</v>
      </c>
      <c r="O235">
        <v>2</v>
      </c>
      <c r="P235">
        <v>11</v>
      </c>
      <c r="Q235">
        <v>1.2</v>
      </c>
      <c r="R235">
        <v>11</v>
      </c>
      <c r="S235">
        <v>1</v>
      </c>
      <c r="T235">
        <v>2</v>
      </c>
      <c r="U235">
        <v>12.2</v>
      </c>
      <c r="V235">
        <v>4407.2156862745096</v>
      </c>
      <c r="W235">
        <v>2</v>
      </c>
    </row>
    <row r="236" spans="1:23" x14ac:dyDescent="0.2">
      <c r="A236">
        <v>2020</v>
      </c>
      <c r="B236" t="s">
        <v>23</v>
      </c>
      <c r="C236" t="s">
        <v>24</v>
      </c>
      <c r="D236">
        <v>118</v>
      </c>
      <c r="E236">
        <v>1</v>
      </c>
      <c r="F236">
        <v>4</v>
      </c>
      <c r="G236" t="s">
        <v>142</v>
      </c>
      <c r="H236">
        <v>10</v>
      </c>
      <c r="I236">
        <v>56</v>
      </c>
      <c r="J236">
        <v>58</v>
      </c>
      <c r="K236">
        <v>2</v>
      </c>
      <c r="L236">
        <v>143</v>
      </c>
      <c r="M236">
        <v>39</v>
      </c>
      <c r="N236">
        <v>3</v>
      </c>
      <c r="O236">
        <v>3</v>
      </c>
      <c r="P236">
        <v>8</v>
      </c>
      <c r="Q236">
        <v>0.57399999999999995</v>
      </c>
      <c r="R236">
        <v>3</v>
      </c>
      <c r="S236">
        <v>0.375</v>
      </c>
      <c r="T236">
        <v>3</v>
      </c>
      <c r="U236">
        <v>12.5</v>
      </c>
      <c r="V236">
        <v>2100.9150326797385</v>
      </c>
      <c r="W236">
        <v>1</v>
      </c>
    </row>
    <row r="237" spans="1:23" x14ac:dyDescent="0.2">
      <c r="A237">
        <v>2020</v>
      </c>
      <c r="B237" t="s">
        <v>23</v>
      </c>
      <c r="C237" t="s">
        <v>24</v>
      </c>
      <c r="D237">
        <v>118</v>
      </c>
      <c r="E237">
        <v>2</v>
      </c>
      <c r="F237">
        <v>4</v>
      </c>
      <c r="G237" t="s">
        <v>142</v>
      </c>
      <c r="H237" s="1">
        <v>10</v>
      </c>
      <c r="I237" s="1">
        <v>64</v>
      </c>
      <c r="J237" s="1">
        <v>70</v>
      </c>
      <c r="K237" s="1">
        <f>J237-I237</f>
        <v>6</v>
      </c>
      <c r="L237" s="1">
        <v>99</v>
      </c>
      <c r="M237" s="1">
        <v>45</v>
      </c>
      <c r="N237" s="1">
        <v>2</v>
      </c>
      <c r="O237" s="1">
        <v>3.5</v>
      </c>
      <c r="P237" s="1">
        <v>5</v>
      </c>
      <c r="Q237" s="2">
        <v>0.13500000000000001</v>
      </c>
      <c r="R237" s="1">
        <v>5</v>
      </c>
      <c r="S237" s="1">
        <f>R237/P237</f>
        <v>1</v>
      </c>
      <c r="T237" s="1">
        <v>4</v>
      </c>
      <c r="U237" s="1">
        <v>12.5</v>
      </c>
      <c r="V237" s="1">
        <v>494.11764705882354</v>
      </c>
      <c r="W237" s="1">
        <v>3</v>
      </c>
    </row>
    <row r="238" spans="1:23" x14ac:dyDescent="0.2">
      <c r="A238">
        <v>2020</v>
      </c>
      <c r="B238" t="s">
        <v>23</v>
      </c>
      <c r="C238" t="s">
        <v>24</v>
      </c>
      <c r="D238">
        <v>119</v>
      </c>
      <c r="E238">
        <v>1</v>
      </c>
      <c r="F238">
        <v>3</v>
      </c>
      <c r="G238" t="s">
        <v>143</v>
      </c>
      <c r="H238" s="1">
        <v>12</v>
      </c>
      <c r="I238" s="1">
        <v>59</v>
      </c>
      <c r="J238" s="1">
        <v>63</v>
      </c>
      <c r="K238" s="1">
        <f>J238-I238</f>
        <v>4</v>
      </c>
      <c r="L238" s="1">
        <v>143</v>
      </c>
      <c r="M238" s="1">
        <v>70</v>
      </c>
      <c r="N238" s="1">
        <v>2</v>
      </c>
      <c r="O238" s="1">
        <v>3.5</v>
      </c>
      <c r="P238" s="1">
        <v>9</v>
      </c>
      <c r="Q238" s="2">
        <v>0.432</v>
      </c>
      <c r="R238" s="1">
        <v>8</v>
      </c>
      <c r="S238" s="1">
        <f>R238/P238</f>
        <v>0.88888888888888884</v>
      </c>
      <c r="T238" s="1">
        <v>3</v>
      </c>
      <c r="U238" s="1">
        <v>12.5</v>
      </c>
      <c r="V238" s="1">
        <v>1581.1764705882351</v>
      </c>
      <c r="W238" s="1">
        <v>4</v>
      </c>
    </row>
    <row r="239" spans="1:23" x14ac:dyDescent="0.2">
      <c r="A239">
        <v>2020</v>
      </c>
      <c r="B239" t="s">
        <v>23</v>
      </c>
      <c r="C239" t="s">
        <v>24</v>
      </c>
      <c r="D239">
        <v>119</v>
      </c>
      <c r="E239">
        <v>2</v>
      </c>
      <c r="F239">
        <v>15</v>
      </c>
      <c r="G239" t="s">
        <v>143</v>
      </c>
      <c r="H239" s="1">
        <v>12</v>
      </c>
      <c r="I239" s="1">
        <v>62</v>
      </c>
      <c r="J239" s="1">
        <v>65</v>
      </c>
      <c r="K239" s="1">
        <f>J239-I239</f>
        <v>3</v>
      </c>
      <c r="L239" s="1">
        <v>131</v>
      </c>
      <c r="M239" s="1">
        <v>31</v>
      </c>
      <c r="N239" s="1">
        <v>2</v>
      </c>
      <c r="O239" s="1">
        <v>4</v>
      </c>
      <c r="P239" s="1">
        <v>8</v>
      </c>
      <c r="Q239" s="2">
        <v>0.39800000000000002</v>
      </c>
      <c r="R239" s="1">
        <v>8</v>
      </c>
      <c r="S239" s="1">
        <f>R239/P239</f>
        <v>1</v>
      </c>
      <c r="T239" s="1">
        <v>3.5</v>
      </c>
      <c r="U239" s="1">
        <v>12.5</v>
      </c>
      <c r="V239" s="1">
        <v>1456.7320261437908</v>
      </c>
      <c r="W239" s="1">
        <v>5</v>
      </c>
    </row>
    <row r="240" spans="1:23" x14ac:dyDescent="0.2">
      <c r="A240">
        <v>2020</v>
      </c>
      <c r="B240" t="s">
        <v>23</v>
      </c>
      <c r="C240" t="s">
        <v>24</v>
      </c>
      <c r="D240">
        <v>120</v>
      </c>
      <c r="E240">
        <v>1</v>
      </c>
      <c r="F240">
        <v>14</v>
      </c>
      <c r="G240" t="s">
        <v>144</v>
      </c>
      <c r="H240" s="1">
        <v>15</v>
      </c>
      <c r="I240" s="1">
        <v>63</v>
      </c>
      <c r="J240" s="1">
        <v>68</v>
      </c>
      <c r="K240" s="1">
        <f>J240-I240</f>
        <v>5</v>
      </c>
      <c r="L240" s="1">
        <v>150</v>
      </c>
      <c r="M240" s="1">
        <v>108</v>
      </c>
      <c r="N240" s="1">
        <v>1</v>
      </c>
      <c r="O240" s="1">
        <v>2</v>
      </c>
      <c r="P240" s="1">
        <f>H240</f>
        <v>15</v>
      </c>
      <c r="Q240" s="2">
        <v>0.10125000000000001</v>
      </c>
      <c r="R240" s="1">
        <v>8</v>
      </c>
      <c r="S240" s="1">
        <f>R240/P240</f>
        <v>0.53333333333333333</v>
      </c>
      <c r="T240" s="1">
        <v>4</v>
      </c>
      <c r="U240" s="1">
        <v>12.5</v>
      </c>
      <c r="V240" s="1">
        <v>370.58823529411768</v>
      </c>
      <c r="W240" s="1">
        <v>5</v>
      </c>
    </row>
    <row r="241" spans="1:23" x14ac:dyDescent="0.2">
      <c r="A241">
        <v>2020</v>
      </c>
      <c r="B241" t="s">
        <v>23</v>
      </c>
      <c r="C241" t="s">
        <v>24</v>
      </c>
      <c r="D241">
        <v>120</v>
      </c>
      <c r="E241">
        <v>2</v>
      </c>
      <c r="F241">
        <v>8</v>
      </c>
      <c r="G241" t="s">
        <v>144</v>
      </c>
      <c r="H241" s="1">
        <v>11</v>
      </c>
      <c r="I241" s="1">
        <v>62</v>
      </c>
      <c r="J241" s="1">
        <v>67</v>
      </c>
      <c r="K241" s="1">
        <f>J241-I241</f>
        <v>5</v>
      </c>
      <c r="L241" s="1">
        <v>178</v>
      </c>
      <c r="M241" s="1">
        <v>63</v>
      </c>
      <c r="N241" s="1">
        <v>2</v>
      </c>
      <c r="O241" s="1">
        <v>3.5</v>
      </c>
      <c r="P241" s="1">
        <f>H241</f>
        <v>11</v>
      </c>
      <c r="Q241" s="2">
        <v>0.21</v>
      </c>
      <c r="R241" s="1">
        <v>10</v>
      </c>
      <c r="S241" s="1">
        <f>R241/P241</f>
        <v>0.90909090909090906</v>
      </c>
      <c r="T241" s="1">
        <v>5</v>
      </c>
      <c r="U241" s="1">
        <v>12.5</v>
      </c>
      <c r="V241" s="1">
        <v>768.62745098039215</v>
      </c>
      <c r="W241" s="1">
        <v>6</v>
      </c>
    </row>
    <row r="242" spans="1:23" x14ac:dyDescent="0.2">
      <c r="A242">
        <v>2020</v>
      </c>
      <c r="B242" t="s">
        <v>23</v>
      </c>
      <c r="C242" t="s">
        <v>24</v>
      </c>
      <c r="D242">
        <v>121</v>
      </c>
      <c r="E242">
        <v>1</v>
      </c>
      <c r="F242">
        <v>7</v>
      </c>
      <c r="G242" t="s">
        <v>145</v>
      </c>
      <c r="H242">
        <v>9</v>
      </c>
      <c r="I242">
        <v>63</v>
      </c>
      <c r="J242">
        <v>65</v>
      </c>
      <c r="K242">
        <v>2</v>
      </c>
      <c r="L242">
        <v>135</v>
      </c>
      <c r="M242">
        <v>66</v>
      </c>
      <c r="N242">
        <v>1.5</v>
      </c>
      <c r="O242">
        <v>2</v>
      </c>
      <c r="P242">
        <v>9</v>
      </c>
      <c r="Q242">
        <v>0.8</v>
      </c>
      <c r="R242">
        <v>9</v>
      </c>
      <c r="S242">
        <v>1</v>
      </c>
      <c r="T242">
        <v>2.5</v>
      </c>
      <c r="U242">
        <v>12.5</v>
      </c>
      <c r="V242">
        <v>2928.1045751633987</v>
      </c>
      <c r="W242">
        <v>1</v>
      </c>
    </row>
    <row r="243" spans="1:23" x14ac:dyDescent="0.2">
      <c r="A243">
        <v>2020</v>
      </c>
      <c r="B243" t="s">
        <v>23</v>
      </c>
      <c r="C243" t="s">
        <v>24</v>
      </c>
      <c r="D243">
        <v>121</v>
      </c>
      <c r="E243">
        <v>2</v>
      </c>
      <c r="F243">
        <v>5</v>
      </c>
      <c r="G243" t="s">
        <v>145</v>
      </c>
      <c r="H243" s="1">
        <v>10</v>
      </c>
      <c r="I243" s="1">
        <v>63</v>
      </c>
      <c r="J243" s="1">
        <v>68</v>
      </c>
      <c r="K243" s="1">
        <f>J243-I243</f>
        <v>5</v>
      </c>
      <c r="L243" s="1">
        <v>128</v>
      </c>
      <c r="M243" s="1">
        <v>68</v>
      </c>
      <c r="N243" s="1">
        <v>3</v>
      </c>
      <c r="O243" s="1">
        <v>4</v>
      </c>
      <c r="P243" s="1">
        <f>H243-1</f>
        <v>9</v>
      </c>
      <c r="Q243" s="2">
        <v>0.183</v>
      </c>
      <c r="R243" s="1">
        <v>10</v>
      </c>
      <c r="S243" s="1">
        <f>R243/P243</f>
        <v>1.1111111111111112</v>
      </c>
      <c r="T243" s="1">
        <v>5</v>
      </c>
      <c r="U243" s="1">
        <v>12.5</v>
      </c>
      <c r="V243" s="1">
        <v>669.8039215686274</v>
      </c>
      <c r="W243" s="1">
        <v>4</v>
      </c>
    </row>
    <row r="244" spans="1:23" x14ac:dyDescent="0.2">
      <c r="A244">
        <v>2020</v>
      </c>
      <c r="B244" t="s">
        <v>23</v>
      </c>
      <c r="C244" t="s">
        <v>24</v>
      </c>
      <c r="D244">
        <v>122</v>
      </c>
      <c r="E244">
        <v>1</v>
      </c>
      <c r="F244">
        <v>10</v>
      </c>
      <c r="G244" t="s">
        <v>146</v>
      </c>
      <c r="H244" s="1">
        <v>10</v>
      </c>
      <c r="I244" s="1">
        <v>65</v>
      </c>
      <c r="J244" s="1">
        <v>70</v>
      </c>
      <c r="K244" s="1">
        <f>J244-I244</f>
        <v>5</v>
      </c>
      <c r="L244" s="1">
        <v>103</v>
      </c>
      <c r="M244" s="1">
        <v>51</v>
      </c>
      <c r="N244" s="1">
        <v>2</v>
      </c>
      <c r="O244" s="1">
        <v>4</v>
      </c>
      <c r="P244" s="1">
        <v>10</v>
      </c>
      <c r="Q244" s="2">
        <v>0.53800000000000003</v>
      </c>
      <c r="R244" s="1">
        <v>10</v>
      </c>
      <c r="S244" s="1">
        <f>R244/P244</f>
        <v>1</v>
      </c>
      <c r="T244" s="1">
        <v>2.5</v>
      </c>
      <c r="U244" s="1">
        <v>12.5</v>
      </c>
      <c r="V244" s="1">
        <v>1969.1503267973858</v>
      </c>
      <c r="W244" s="1">
        <v>5</v>
      </c>
    </row>
    <row r="245" spans="1:23" x14ac:dyDescent="0.2">
      <c r="A245">
        <v>2020</v>
      </c>
      <c r="B245" t="s">
        <v>23</v>
      </c>
      <c r="C245" t="s">
        <v>24</v>
      </c>
      <c r="D245">
        <v>122</v>
      </c>
      <c r="E245">
        <v>2</v>
      </c>
      <c r="F245">
        <v>15</v>
      </c>
      <c r="G245" t="s">
        <v>146</v>
      </c>
      <c r="H245">
        <v>11</v>
      </c>
      <c r="I245">
        <v>55</v>
      </c>
      <c r="J245">
        <v>59</v>
      </c>
      <c r="K245">
        <v>4</v>
      </c>
      <c r="L245">
        <v>72</v>
      </c>
      <c r="M245">
        <v>43</v>
      </c>
      <c r="N245">
        <v>1</v>
      </c>
      <c r="O245">
        <v>2</v>
      </c>
      <c r="P245">
        <v>11</v>
      </c>
      <c r="Q245">
        <v>0.21099999999999999</v>
      </c>
      <c r="R245">
        <v>11</v>
      </c>
      <c r="S245">
        <v>1</v>
      </c>
      <c r="T245">
        <v>3</v>
      </c>
      <c r="U245">
        <v>12.5</v>
      </c>
      <c r="V245">
        <v>772.28758169934645</v>
      </c>
      <c r="W245">
        <v>2</v>
      </c>
    </row>
    <row r="246" spans="1:23" x14ac:dyDescent="0.2">
      <c r="A246">
        <v>2020</v>
      </c>
      <c r="B246" t="s">
        <v>23</v>
      </c>
      <c r="C246" t="s">
        <v>24</v>
      </c>
      <c r="D246">
        <v>123</v>
      </c>
      <c r="E246">
        <v>1</v>
      </c>
      <c r="F246">
        <v>6</v>
      </c>
      <c r="G246" t="s">
        <v>147</v>
      </c>
      <c r="H246">
        <v>9</v>
      </c>
      <c r="I246">
        <v>56</v>
      </c>
      <c r="J246">
        <v>59</v>
      </c>
      <c r="K246">
        <v>3</v>
      </c>
      <c r="L246">
        <v>174</v>
      </c>
      <c r="M246">
        <v>60</v>
      </c>
      <c r="N246">
        <v>1.5</v>
      </c>
      <c r="O246">
        <v>2</v>
      </c>
      <c r="P246">
        <v>9</v>
      </c>
      <c r="Q246">
        <v>0.4</v>
      </c>
      <c r="R246">
        <v>9</v>
      </c>
      <c r="S246">
        <v>1</v>
      </c>
      <c r="T246">
        <v>2.5</v>
      </c>
      <c r="U246">
        <v>12.5</v>
      </c>
      <c r="V246">
        <v>1464.0522875816994</v>
      </c>
      <c r="W246">
        <v>1</v>
      </c>
    </row>
    <row r="247" spans="1:23" x14ac:dyDescent="0.2">
      <c r="A247">
        <v>2020</v>
      </c>
      <c r="B247" t="s">
        <v>23</v>
      </c>
      <c r="C247" t="s">
        <v>24</v>
      </c>
      <c r="D247">
        <v>123</v>
      </c>
      <c r="E247">
        <v>2</v>
      </c>
      <c r="F247">
        <v>3</v>
      </c>
      <c r="G247" t="s">
        <v>147</v>
      </c>
      <c r="H247" s="1">
        <v>6</v>
      </c>
      <c r="I247" s="1">
        <v>66</v>
      </c>
      <c r="J247" s="1">
        <v>70</v>
      </c>
      <c r="K247" s="1">
        <f>J247-I247</f>
        <v>4</v>
      </c>
      <c r="L247" s="1">
        <v>190</v>
      </c>
      <c r="M247" s="1">
        <v>100</v>
      </c>
      <c r="N247" s="1">
        <v>2.5</v>
      </c>
      <c r="O247" s="1">
        <v>3.5</v>
      </c>
      <c r="P247" s="1">
        <v>4</v>
      </c>
      <c r="Q247" s="2">
        <v>0.2576</v>
      </c>
      <c r="R247" s="1">
        <v>4</v>
      </c>
      <c r="S247" s="1">
        <f>R247/P247</f>
        <v>1</v>
      </c>
      <c r="T247" s="1">
        <v>2.5</v>
      </c>
      <c r="U247" s="1">
        <v>12.5</v>
      </c>
      <c r="V247" s="1">
        <v>942.84967320261444</v>
      </c>
      <c r="W247" s="1">
        <v>3</v>
      </c>
    </row>
    <row r="248" spans="1:23" x14ac:dyDescent="0.2">
      <c r="A248">
        <v>2020</v>
      </c>
      <c r="B248" t="s">
        <v>23</v>
      </c>
      <c r="C248" t="s">
        <v>24</v>
      </c>
      <c r="D248">
        <v>124</v>
      </c>
      <c r="E248">
        <v>1</v>
      </c>
      <c r="F248">
        <v>12</v>
      </c>
      <c r="G248" t="s">
        <v>148</v>
      </c>
      <c r="H248" s="1">
        <v>10</v>
      </c>
      <c r="I248" s="1">
        <v>66</v>
      </c>
      <c r="J248" s="1">
        <v>70</v>
      </c>
      <c r="K248" s="1">
        <f>J248-I248</f>
        <v>4</v>
      </c>
      <c r="L248" s="1">
        <v>126</v>
      </c>
      <c r="M248" s="1">
        <v>52</v>
      </c>
      <c r="N248" s="1">
        <v>2</v>
      </c>
      <c r="O248" s="1">
        <v>3.5</v>
      </c>
      <c r="P248" s="1">
        <v>9</v>
      </c>
      <c r="Q248" s="2">
        <v>0.19950000000000001</v>
      </c>
      <c r="R248" s="1">
        <v>9</v>
      </c>
      <c r="S248" s="1">
        <f>R248/P248</f>
        <v>1</v>
      </c>
      <c r="T248" s="1">
        <v>3</v>
      </c>
      <c r="U248" s="1">
        <v>12.5</v>
      </c>
      <c r="V248" s="1">
        <v>730.1960784313726</v>
      </c>
      <c r="W248" s="1">
        <v>4</v>
      </c>
    </row>
    <row r="249" spans="1:23" x14ac:dyDescent="0.2">
      <c r="A249">
        <v>2020</v>
      </c>
      <c r="B249" t="s">
        <v>23</v>
      </c>
      <c r="C249" t="s">
        <v>24</v>
      </c>
      <c r="D249">
        <v>124</v>
      </c>
      <c r="E249">
        <v>2</v>
      </c>
      <c r="F249">
        <v>4</v>
      </c>
      <c r="G249" t="s">
        <v>148</v>
      </c>
      <c r="H249">
        <v>9</v>
      </c>
      <c r="I249">
        <v>60</v>
      </c>
      <c r="J249">
        <v>62</v>
      </c>
      <c r="K249">
        <v>2</v>
      </c>
      <c r="L249">
        <v>196</v>
      </c>
      <c r="M249">
        <v>62</v>
      </c>
      <c r="N249">
        <v>1.5</v>
      </c>
      <c r="O249">
        <v>2</v>
      </c>
      <c r="P249">
        <v>9</v>
      </c>
      <c r="Q249">
        <v>0.8</v>
      </c>
      <c r="R249">
        <v>10</v>
      </c>
      <c r="S249">
        <v>1.1111111111111112</v>
      </c>
      <c r="T249">
        <v>2.5</v>
      </c>
      <c r="U249">
        <v>12.5</v>
      </c>
      <c r="V249">
        <v>2928.1045751633987</v>
      </c>
      <c r="W249">
        <v>1</v>
      </c>
    </row>
    <row r="250" spans="1:23" x14ac:dyDescent="0.2">
      <c r="A250">
        <v>2020</v>
      </c>
      <c r="B250" t="s">
        <v>23</v>
      </c>
      <c r="C250" t="s">
        <v>24</v>
      </c>
      <c r="D250">
        <v>125</v>
      </c>
      <c r="E250">
        <v>1</v>
      </c>
      <c r="F250">
        <v>7</v>
      </c>
      <c r="G250" t="s">
        <v>149</v>
      </c>
      <c r="H250" s="1">
        <v>10</v>
      </c>
      <c r="I250" s="1">
        <v>56</v>
      </c>
      <c r="J250" s="1">
        <v>61</v>
      </c>
      <c r="K250" s="1">
        <f>J250-I250</f>
        <v>5</v>
      </c>
      <c r="L250" s="1">
        <v>125</v>
      </c>
      <c r="M250" s="1">
        <v>65</v>
      </c>
      <c r="N250" s="1">
        <v>3</v>
      </c>
      <c r="O250" s="1">
        <v>4</v>
      </c>
      <c r="P250" s="1">
        <v>8</v>
      </c>
      <c r="Q250" s="2">
        <v>0.39200000000000002</v>
      </c>
      <c r="R250" s="1">
        <v>3</v>
      </c>
      <c r="S250" s="1">
        <f>R250/P250</f>
        <v>0.375</v>
      </c>
      <c r="T250" s="1">
        <v>5</v>
      </c>
      <c r="U250" s="1">
        <v>12.5</v>
      </c>
      <c r="V250" s="1">
        <v>1434.7712418300657</v>
      </c>
      <c r="W250" s="1">
        <v>6</v>
      </c>
    </row>
    <row r="251" spans="1:23" x14ac:dyDescent="0.2">
      <c r="A251">
        <v>2020</v>
      </c>
      <c r="B251" t="s">
        <v>23</v>
      </c>
      <c r="C251" t="s">
        <v>24</v>
      </c>
      <c r="D251">
        <v>125</v>
      </c>
      <c r="E251">
        <v>2</v>
      </c>
      <c r="F251">
        <v>6</v>
      </c>
      <c r="G251" t="s">
        <v>149</v>
      </c>
      <c r="H251">
        <v>12</v>
      </c>
      <c r="I251">
        <v>55</v>
      </c>
      <c r="J251">
        <v>57</v>
      </c>
      <c r="K251">
        <v>2</v>
      </c>
      <c r="L251">
        <v>175</v>
      </c>
      <c r="M251">
        <v>59</v>
      </c>
      <c r="N251">
        <v>1</v>
      </c>
      <c r="O251">
        <v>2</v>
      </c>
      <c r="P251">
        <v>12</v>
      </c>
      <c r="Q251">
        <v>1.6120000000000001</v>
      </c>
      <c r="R251">
        <v>12</v>
      </c>
      <c r="S251">
        <v>1</v>
      </c>
      <c r="T251">
        <v>3</v>
      </c>
      <c r="U251">
        <v>12.5</v>
      </c>
      <c r="V251">
        <v>5900.1307189542486</v>
      </c>
      <c r="W251">
        <v>2</v>
      </c>
    </row>
    <row r="252" spans="1:23" x14ac:dyDescent="0.2">
      <c r="A252">
        <v>2020</v>
      </c>
      <c r="B252" t="s">
        <v>23</v>
      </c>
      <c r="C252" t="s">
        <v>24</v>
      </c>
      <c r="D252">
        <v>126</v>
      </c>
      <c r="E252">
        <v>1</v>
      </c>
      <c r="F252">
        <v>15</v>
      </c>
      <c r="G252" t="s">
        <v>150</v>
      </c>
      <c r="H252">
        <v>16</v>
      </c>
      <c r="I252">
        <v>57</v>
      </c>
      <c r="J252">
        <v>59</v>
      </c>
      <c r="K252">
        <v>2</v>
      </c>
      <c r="L252">
        <v>132</v>
      </c>
      <c r="M252">
        <v>46</v>
      </c>
      <c r="N252">
        <v>1.5</v>
      </c>
      <c r="O252">
        <v>2</v>
      </c>
      <c r="P252">
        <v>15</v>
      </c>
      <c r="Q252">
        <v>1</v>
      </c>
      <c r="R252">
        <v>14</v>
      </c>
      <c r="S252">
        <v>0.93333333333333335</v>
      </c>
      <c r="T252">
        <v>2.5</v>
      </c>
      <c r="U252">
        <v>12.5</v>
      </c>
      <c r="V252">
        <v>3660.1307189542486</v>
      </c>
      <c r="W252">
        <v>2</v>
      </c>
    </row>
    <row r="253" spans="1:23" x14ac:dyDescent="0.2">
      <c r="A253">
        <v>2020</v>
      </c>
      <c r="B253" t="s">
        <v>23</v>
      </c>
      <c r="C253" t="s">
        <v>24</v>
      </c>
      <c r="D253">
        <v>126</v>
      </c>
      <c r="E253">
        <v>2</v>
      </c>
      <c r="F253">
        <v>10</v>
      </c>
      <c r="G253" t="s">
        <v>150</v>
      </c>
      <c r="H253" s="1">
        <v>14</v>
      </c>
      <c r="I253" s="1">
        <v>59</v>
      </c>
      <c r="J253" s="1">
        <v>63</v>
      </c>
      <c r="K253" s="1">
        <f>J253-I253</f>
        <v>4</v>
      </c>
      <c r="L253" s="1">
        <v>187</v>
      </c>
      <c r="M253" s="1">
        <v>85</v>
      </c>
      <c r="N253" s="1">
        <v>2</v>
      </c>
      <c r="O253" s="1">
        <v>3.5</v>
      </c>
      <c r="P253" s="1">
        <v>10</v>
      </c>
      <c r="Q253" s="2">
        <v>8.0399999999999999E-2</v>
      </c>
      <c r="R253" s="1">
        <v>5</v>
      </c>
      <c r="S253" s="1">
        <f>R253/P253</f>
        <v>0.5</v>
      </c>
      <c r="T253" s="1">
        <v>5</v>
      </c>
      <c r="U253" s="1">
        <v>12.5</v>
      </c>
      <c r="V253" s="1">
        <v>294.27450980392155</v>
      </c>
      <c r="W253" s="1">
        <v>4</v>
      </c>
    </row>
    <row r="254" spans="1:23" x14ac:dyDescent="0.2">
      <c r="A254">
        <v>2020</v>
      </c>
      <c r="B254" t="s">
        <v>23</v>
      </c>
      <c r="C254" t="s">
        <v>24</v>
      </c>
      <c r="D254">
        <v>127</v>
      </c>
      <c r="E254">
        <v>1</v>
      </c>
      <c r="F254">
        <v>10</v>
      </c>
      <c r="G254" t="s">
        <v>151</v>
      </c>
      <c r="H254" s="1">
        <v>10</v>
      </c>
      <c r="I254" s="1">
        <v>61</v>
      </c>
      <c r="J254" s="1">
        <v>65</v>
      </c>
      <c r="K254" s="1">
        <f>J254-I254</f>
        <v>4</v>
      </c>
      <c r="L254" s="1">
        <v>170</v>
      </c>
      <c r="M254" s="1">
        <v>92</v>
      </c>
      <c r="N254" s="1">
        <v>3</v>
      </c>
      <c r="O254" s="1">
        <v>3.5</v>
      </c>
      <c r="P254" s="1">
        <v>7</v>
      </c>
      <c r="Q254" s="2">
        <v>0.50319999999999998</v>
      </c>
      <c r="R254" s="1">
        <v>9</v>
      </c>
      <c r="S254" s="1">
        <f>R254/P254</f>
        <v>1.2857142857142858</v>
      </c>
      <c r="T254" s="1">
        <v>5</v>
      </c>
      <c r="U254" s="1">
        <v>8.3000000000000007</v>
      </c>
      <c r="V254" s="1">
        <v>1930.1831111111112</v>
      </c>
      <c r="W254" s="1">
        <v>4</v>
      </c>
    </row>
    <row r="255" spans="1:23" x14ac:dyDescent="0.2">
      <c r="A255">
        <v>2020</v>
      </c>
      <c r="B255" t="s">
        <v>23</v>
      </c>
      <c r="C255" t="s">
        <v>24</v>
      </c>
      <c r="D255">
        <v>127</v>
      </c>
      <c r="E255">
        <v>2</v>
      </c>
      <c r="F255">
        <v>12</v>
      </c>
      <c r="G255" t="s">
        <v>151</v>
      </c>
      <c r="H255">
        <v>9</v>
      </c>
      <c r="I255">
        <v>55</v>
      </c>
      <c r="J255">
        <v>57</v>
      </c>
      <c r="K255">
        <v>2</v>
      </c>
      <c r="L255">
        <v>162</v>
      </c>
      <c r="M255">
        <v>49</v>
      </c>
      <c r="N255">
        <v>1.5</v>
      </c>
      <c r="O255">
        <v>2</v>
      </c>
      <c r="P255">
        <v>9</v>
      </c>
      <c r="Q255">
        <v>1</v>
      </c>
      <c r="R255">
        <v>10</v>
      </c>
      <c r="S255">
        <v>1.1111111111111112</v>
      </c>
      <c r="T255">
        <v>2</v>
      </c>
      <c r="U255">
        <v>12.5</v>
      </c>
      <c r="V255">
        <v>3660.1307189542486</v>
      </c>
      <c r="W255">
        <v>2</v>
      </c>
    </row>
    <row r="256" spans="1:23" x14ac:dyDescent="0.2">
      <c r="A256">
        <v>2020</v>
      </c>
      <c r="B256" t="s">
        <v>23</v>
      </c>
      <c r="C256" t="s">
        <v>24</v>
      </c>
      <c r="D256">
        <v>128</v>
      </c>
      <c r="E256">
        <v>1</v>
      </c>
      <c r="F256">
        <v>10</v>
      </c>
      <c r="G256" t="s">
        <v>152</v>
      </c>
      <c r="H256">
        <v>11</v>
      </c>
      <c r="I256">
        <v>55</v>
      </c>
      <c r="J256">
        <v>58</v>
      </c>
      <c r="K256">
        <v>3</v>
      </c>
      <c r="L256">
        <v>155</v>
      </c>
      <c r="M256">
        <v>61</v>
      </c>
      <c r="N256">
        <v>2</v>
      </c>
      <c r="O256">
        <v>3</v>
      </c>
      <c r="P256">
        <v>11</v>
      </c>
      <c r="Q256">
        <v>0.8</v>
      </c>
      <c r="R256">
        <v>11</v>
      </c>
      <c r="S256">
        <v>1</v>
      </c>
      <c r="T256">
        <v>2.5</v>
      </c>
      <c r="U256">
        <v>12.5</v>
      </c>
      <c r="V256">
        <v>2928.1045751633987</v>
      </c>
      <c r="W256">
        <v>1</v>
      </c>
    </row>
    <row r="257" spans="1:23" x14ac:dyDescent="0.2">
      <c r="A257">
        <v>2020</v>
      </c>
      <c r="B257" t="s">
        <v>23</v>
      </c>
      <c r="C257" t="s">
        <v>24</v>
      </c>
      <c r="D257">
        <v>128</v>
      </c>
      <c r="E257">
        <v>2</v>
      </c>
      <c r="F257">
        <v>13</v>
      </c>
      <c r="G257" t="s">
        <v>152</v>
      </c>
      <c r="H257" s="1">
        <v>6</v>
      </c>
      <c r="I257" s="1">
        <v>63</v>
      </c>
      <c r="J257" s="1">
        <v>68</v>
      </c>
      <c r="K257" s="1">
        <f>J257-I257</f>
        <v>5</v>
      </c>
      <c r="L257" s="1">
        <v>158</v>
      </c>
      <c r="M257" s="1">
        <v>108</v>
      </c>
      <c r="N257" s="1">
        <v>2</v>
      </c>
      <c r="O257" s="1">
        <v>2.5</v>
      </c>
      <c r="P257" s="1">
        <v>5</v>
      </c>
      <c r="Q257" s="2">
        <v>0.25267499999999998</v>
      </c>
      <c r="R257" s="1">
        <v>5</v>
      </c>
      <c r="S257" s="1">
        <f>R257/P257</f>
        <v>1</v>
      </c>
      <c r="T257" s="1">
        <v>5</v>
      </c>
      <c r="U257" s="1">
        <v>12.5</v>
      </c>
      <c r="V257" s="1">
        <v>924.82352941176475</v>
      </c>
      <c r="W257" s="1">
        <v>4</v>
      </c>
    </row>
    <row r="258" spans="1:23" x14ac:dyDescent="0.2">
      <c r="A258">
        <v>2020</v>
      </c>
      <c r="B258" t="s">
        <v>23</v>
      </c>
      <c r="C258" t="s">
        <v>24</v>
      </c>
      <c r="D258">
        <v>129</v>
      </c>
      <c r="E258">
        <v>1</v>
      </c>
      <c r="F258">
        <v>5</v>
      </c>
      <c r="G258" t="s">
        <v>153</v>
      </c>
      <c r="H258" s="1">
        <v>8</v>
      </c>
      <c r="I258" s="1">
        <v>62</v>
      </c>
      <c r="J258" s="1">
        <v>66</v>
      </c>
      <c r="K258" s="1">
        <f>J258-I258</f>
        <v>4</v>
      </c>
      <c r="L258" s="1">
        <v>147</v>
      </c>
      <c r="M258" s="1">
        <v>58</v>
      </c>
      <c r="N258" s="1">
        <v>3</v>
      </c>
      <c r="O258" s="1">
        <v>4</v>
      </c>
      <c r="P258" s="1">
        <v>8</v>
      </c>
      <c r="Q258" s="2">
        <v>1.9679999999999996E-2</v>
      </c>
      <c r="R258" s="1">
        <v>4</v>
      </c>
      <c r="S258" s="1">
        <f>R258/P258</f>
        <v>0.5</v>
      </c>
      <c r="T258" s="1">
        <v>5</v>
      </c>
      <c r="U258" s="1">
        <v>12.5</v>
      </c>
      <c r="V258" s="1">
        <v>72.031372549019608</v>
      </c>
      <c r="W258" s="1">
        <v>5</v>
      </c>
    </row>
    <row r="259" spans="1:23" x14ac:dyDescent="0.2">
      <c r="A259">
        <v>2020</v>
      </c>
      <c r="B259" t="s">
        <v>23</v>
      </c>
      <c r="C259" t="s">
        <v>24</v>
      </c>
      <c r="D259">
        <v>129</v>
      </c>
      <c r="E259">
        <v>2</v>
      </c>
      <c r="F259">
        <v>8</v>
      </c>
      <c r="G259" t="s">
        <v>153</v>
      </c>
      <c r="H259" s="1">
        <v>5</v>
      </c>
      <c r="I259" s="1">
        <v>65</v>
      </c>
      <c r="J259" s="1">
        <v>69</v>
      </c>
      <c r="K259" s="1">
        <f>J259-I259</f>
        <v>4</v>
      </c>
      <c r="L259" s="1">
        <v>118</v>
      </c>
      <c r="M259" s="1">
        <v>82</v>
      </c>
      <c r="N259" s="1">
        <v>2</v>
      </c>
      <c r="O259" s="1">
        <v>3.5</v>
      </c>
      <c r="P259" s="1">
        <f>H259</f>
        <v>5</v>
      </c>
      <c r="Q259" s="2">
        <v>7.2900000000000006E-2</v>
      </c>
      <c r="R259" s="1">
        <v>2</v>
      </c>
      <c r="S259" s="1">
        <f>R259/P259</f>
        <v>0.4</v>
      </c>
      <c r="T259" s="1">
        <v>5</v>
      </c>
      <c r="U259" s="1">
        <v>12.5</v>
      </c>
      <c r="V259" s="1">
        <v>266.8235294117647</v>
      </c>
      <c r="W259" s="1">
        <v>2</v>
      </c>
    </row>
    <row r="260" spans="1:23" x14ac:dyDescent="0.2">
      <c r="A260">
        <v>2020</v>
      </c>
      <c r="B260" t="s">
        <v>23</v>
      </c>
      <c r="C260" t="s">
        <v>24</v>
      </c>
      <c r="D260">
        <v>130</v>
      </c>
      <c r="E260">
        <v>1</v>
      </c>
      <c r="F260">
        <v>12</v>
      </c>
      <c r="G260" t="s">
        <v>154</v>
      </c>
      <c r="H260">
        <v>10</v>
      </c>
      <c r="I260">
        <v>51</v>
      </c>
      <c r="J260">
        <v>53</v>
      </c>
      <c r="K260">
        <v>2</v>
      </c>
      <c r="L260">
        <v>88</v>
      </c>
      <c r="M260">
        <v>22</v>
      </c>
      <c r="N260">
        <v>2</v>
      </c>
      <c r="O260">
        <v>2</v>
      </c>
      <c r="P260">
        <v>8</v>
      </c>
      <c r="Q260">
        <v>0.7</v>
      </c>
      <c r="R260">
        <v>5</v>
      </c>
      <c r="S260">
        <v>0.625</v>
      </c>
      <c r="T260">
        <v>3</v>
      </c>
      <c r="U260">
        <v>8.9</v>
      </c>
      <c r="V260">
        <v>2667.5032679738561</v>
      </c>
      <c r="W260">
        <v>1</v>
      </c>
    </row>
    <row r="261" spans="1:23" x14ac:dyDescent="0.2">
      <c r="A261">
        <v>2020</v>
      </c>
      <c r="B261" t="s">
        <v>23</v>
      </c>
      <c r="C261" t="s">
        <v>24</v>
      </c>
      <c r="D261">
        <v>130</v>
      </c>
      <c r="E261">
        <v>2</v>
      </c>
      <c r="F261">
        <v>5</v>
      </c>
      <c r="G261" t="s">
        <v>154</v>
      </c>
      <c r="H261" s="1">
        <v>5</v>
      </c>
      <c r="I261" s="1">
        <v>59</v>
      </c>
      <c r="J261" s="1">
        <v>62</v>
      </c>
      <c r="K261" s="1">
        <f>J261-I261</f>
        <v>3</v>
      </c>
      <c r="L261" s="1">
        <v>132</v>
      </c>
      <c r="M261" s="1">
        <v>30</v>
      </c>
      <c r="N261" s="1">
        <v>2</v>
      </c>
      <c r="O261" s="1">
        <v>4</v>
      </c>
      <c r="P261" s="1">
        <v>3</v>
      </c>
      <c r="Q261" s="2">
        <v>0.11849999999999999</v>
      </c>
      <c r="R261" s="1">
        <v>3</v>
      </c>
      <c r="S261" s="1">
        <f>R261/P261</f>
        <v>1</v>
      </c>
      <c r="T261" s="1">
        <v>2.5</v>
      </c>
      <c r="U261" s="1">
        <v>12.5</v>
      </c>
      <c r="V261" s="1">
        <v>433.72549019607845</v>
      </c>
      <c r="W261" s="1">
        <v>2</v>
      </c>
    </row>
    <row r="262" spans="1:23" x14ac:dyDescent="0.2">
      <c r="A262">
        <v>2020</v>
      </c>
      <c r="B262" t="s">
        <v>23</v>
      </c>
      <c r="C262" t="s">
        <v>24</v>
      </c>
      <c r="D262">
        <v>131</v>
      </c>
      <c r="E262">
        <v>1</v>
      </c>
      <c r="F262">
        <v>4</v>
      </c>
      <c r="G262" t="s">
        <v>155</v>
      </c>
      <c r="H262" s="1">
        <v>7</v>
      </c>
      <c r="I262" s="1">
        <v>67</v>
      </c>
      <c r="J262" s="1">
        <v>71</v>
      </c>
      <c r="K262" s="1">
        <f>J262-I262</f>
        <v>4</v>
      </c>
      <c r="L262" s="1">
        <v>138</v>
      </c>
      <c r="M262" s="1">
        <v>55</v>
      </c>
      <c r="N262" s="1">
        <v>2</v>
      </c>
      <c r="O262" s="1">
        <v>3</v>
      </c>
      <c r="P262" s="1">
        <v>7</v>
      </c>
      <c r="Q262" s="2">
        <v>0.437</v>
      </c>
      <c r="R262" s="1">
        <v>7</v>
      </c>
      <c r="S262" s="1">
        <f>R262/P262</f>
        <v>1</v>
      </c>
      <c r="T262" s="1">
        <v>3.5</v>
      </c>
      <c r="U262" s="1">
        <v>12.5</v>
      </c>
      <c r="V262" s="1">
        <v>1599.4771241830067</v>
      </c>
      <c r="W262" s="1">
        <v>3</v>
      </c>
    </row>
    <row r="263" spans="1:23" x14ac:dyDescent="0.2">
      <c r="A263">
        <v>2020</v>
      </c>
      <c r="B263" t="s">
        <v>23</v>
      </c>
      <c r="C263" t="s">
        <v>24</v>
      </c>
      <c r="D263">
        <v>131</v>
      </c>
      <c r="E263">
        <v>2</v>
      </c>
      <c r="F263">
        <v>7</v>
      </c>
      <c r="G263" t="s">
        <v>155</v>
      </c>
      <c r="H263" s="1">
        <v>5</v>
      </c>
      <c r="I263" s="1">
        <v>68</v>
      </c>
      <c r="J263" s="1">
        <v>73</v>
      </c>
      <c r="K263" s="1">
        <f>J263-I263</f>
        <v>5</v>
      </c>
      <c r="L263" s="1">
        <v>118</v>
      </c>
      <c r="M263" s="1">
        <v>42</v>
      </c>
      <c r="N263" s="1">
        <v>1.5</v>
      </c>
      <c r="O263" s="1">
        <v>4</v>
      </c>
      <c r="P263" s="1">
        <v>2</v>
      </c>
      <c r="Q263" s="2">
        <v>0.108</v>
      </c>
      <c r="R263" s="1">
        <v>2</v>
      </c>
      <c r="S263" s="1">
        <f>R263/P263</f>
        <v>1</v>
      </c>
      <c r="T263" s="1">
        <v>5</v>
      </c>
      <c r="U263" s="1">
        <v>12.5</v>
      </c>
      <c r="V263" s="1">
        <v>395.29411764705878</v>
      </c>
      <c r="W263" s="1">
        <v>4</v>
      </c>
    </row>
    <row r="264" spans="1:23" x14ac:dyDescent="0.2">
      <c r="A264">
        <v>2020</v>
      </c>
      <c r="B264" t="s">
        <v>23</v>
      </c>
      <c r="C264" t="s">
        <v>24</v>
      </c>
      <c r="D264">
        <v>132</v>
      </c>
      <c r="E264">
        <v>1</v>
      </c>
      <c r="F264">
        <v>1</v>
      </c>
      <c r="G264" t="s">
        <v>156</v>
      </c>
      <c r="H264" s="1">
        <v>11</v>
      </c>
      <c r="I264" s="1">
        <v>68</v>
      </c>
      <c r="J264" s="1">
        <v>71</v>
      </c>
      <c r="K264" s="1">
        <f>J264-I264</f>
        <v>3</v>
      </c>
      <c r="L264" s="1">
        <v>148</v>
      </c>
      <c r="M264" s="1">
        <v>77</v>
      </c>
      <c r="N264" s="1">
        <v>3</v>
      </c>
      <c r="O264" s="1">
        <v>4</v>
      </c>
      <c r="P264" s="1">
        <v>9</v>
      </c>
      <c r="Q264" s="2">
        <v>0.36149999999999999</v>
      </c>
      <c r="R264" s="1">
        <v>10</v>
      </c>
      <c r="S264" s="1">
        <f>R264/P264</f>
        <v>1.1111111111111112</v>
      </c>
      <c r="T264" s="1">
        <v>5</v>
      </c>
      <c r="U264" s="1">
        <v>12.5</v>
      </c>
      <c r="V264" s="1">
        <v>1323.1372549019607</v>
      </c>
      <c r="W264" s="1">
        <v>6</v>
      </c>
    </row>
    <row r="265" spans="1:23" x14ac:dyDescent="0.2">
      <c r="A265">
        <v>2020</v>
      </c>
      <c r="B265" t="s">
        <v>23</v>
      </c>
      <c r="C265" t="s">
        <v>24</v>
      </c>
      <c r="D265">
        <v>132</v>
      </c>
      <c r="E265">
        <v>2</v>
      </c>
      <c r="F265">
        <v>11</v>
      </c>
      <c r="G265" t="s">
        <v>156</v>
      </c>
      <c r="H265" s="1">
        <v>10</v>
      </c>
      <c r="I265" s="1">
        <v>68</v>
      </c>
      <c r="J265" s="1">
        <v>71</v>
      </c>
      <c r="K265" s="1">
        <f>J265-I265</f>
        <v>3</v>
      </c>
      <c r="L265" s="1">
        <v>125</v>
      </c>
      <c r="M265" s="1">
        <v>35</v>
      </c>
      <c r="N265" s="1">
        <v>1.5</v>
      </c>
      <c r="O265" s="1">
        <v>4.5</v>
      </c>
      <c r="P265" s="1">
        <v>5</v>
      </c>
      <c r="Q265" s="2">
        <v>0.123</v>
      </c>
      <c r="R265" s="1">
        <v>4</v>
      </c>
      <c r="S265" s="1">
        <f>R265/P265</f>
        <v>0.8</v>
      </c>
      <c r="T265" s="1">
        <v>5</v>
      </c>
      <c r="U265" s="1">
        <v>12.5</v>
      </c>
      <c r="V265" s="1">
        <v>450.1960784313726</v>
      </c>
      <c r="W265" s="1">
        <v>6</v>
      </c>
    </row>
    <row r="266" spans="1:23" x14ac:dyDescent="0.2">
      <c r="A266">
        <v>2020</v>
      </c>
      <c r="B266" t="s">
        <v>23</v>
      </c>
      <c r="C266" t="s">
        <v>24</v>
      </c>
      <c r="D266">
        <v>133</v>
      </c>
      <c r="E266">
        <v>1</v>
      </c>
      <c r="F266">
        <v>3</v>
      </c>
      <c r="G266" t="s">
        <v>157</v>
      </c>
      <c r="H266">
        <v>11</v>
      </c>
      <c r="I266">
        <v>56</v>
      </c>
      <c r="J266">
        <v>60</v>
      </c>
      <c r="K266">
        <v>4</v>
      </c>
      <c r="L266">
        <v>66</v>
      </c>
      <c r="M266">
        <v>24</v>
      </c>
      <c r="N266">
        <v>2</v>
      </c>
      <c r="O266">
        <v>3</v>
      </c>
      <c r="P266">
        <v>11</v>
      </c>
      <c r="Q266">
        <v>1.3</v>
      </c>
      <c r="R266">
        <v>12</v>
      </c>
      <c r="S266">
        <v>1.0909090909090908</v>
      </c>
      <c r="T266">
        <v>2</v>
      </c>
      <c r="U266">
        <v>12.5</v>
      </c>
      <c r="V266">
        <v>4758.169934640523</v>
      </c>
      <c r="W266">
        <v>1</v>
      </c>
    </row>
    <row r="267" spans="1:23" x14ac:dyDescent="0.2">
      <c r="A267">
        <v>2020</v>
      </c>
      <c r="B267" t="s">
        <v>23</v>
      </c>
      <c r="C267" t="s">
        <v>24</v>
      </c>
      <c r="D267">
        <v>133</v>
      </c>
      <c r="E267">
        <v>2</v>
      </c>
      <c r="F267">
        <v>10</v>
      </c>
      <c r="G267" t="s">
        <v>157</v>
      </c>
      <c r="H267" s="1">
        <v>7</v>
      </c>
      <c r="I267" s="1">
        <v>62</v>
      </c>
      <c r="J267" s="1">
        <v>66</v>
      </c>
      <c r="K267" s="1">
        <f>J267-I267</f>
        <v>4</v>
      </c>
      <c r="L267" s="1">
        <v>129</v>
      </c>
      <c r="M267" s="1">
        <v>55</v>
      </c>
      <c r="N267" s="1">
        <v>2.5</v>
      </c>
      <c r="O267" s="1">
        <v>3.5</v>
      </c>
      <c r="P267" s="1">
        <v>6</v>
      </c>
      <c r="Q267" s="2">
        <v>0.42799999999999999</v>
      </c>
      <c r="R267" s="1">
        <v>6</v>
      </c>
      <c r="S267" s="1">
        <f>R267/P267</f>
        <v>1</v>
      </c>
      <c r="T267" s="1">
        <v>3.5</v>
      </c>
      <c r="U267" s="1">
        <v>12.5</v>
      </c>
      <c r="V267" s="1">
        <v>1566.535947712418</v>
      </c>
      <c r="W267" s="1">
        <v>5</v>
      </c>
    </row>
    <row r="268" spans="1:23" x14ac:dyDescent="0.2">
      <c r="A268">
        <v>2020</v>
      </c>
      <c r="B268" t="s">
        <v>23</v>
      </c>
      <c r="C268" t="s">
        <v>24</v>
      </c>
      <c r="D268">
        <v>134</v>
      </c>
      <c r="E268">
        <v>1</v>
      </c>
      <c r="F268">
        <v>13</v>
      </c>
      <c r="G268" t="s">
        <v>158</v>
      </c>
      <c r="H268" s="1">
        <v>2</v>
      </c>
      <c r="I268" s="1">
        <v>64</v>
      </c>
      <c r="J268" s="1">
        <v>67</v>
      </c>
      <c r="K268" s="1">
        <f>J268-I268</f>
        <v>3</v>
      </c>
      <c r="L268" s="1">
        <v>86</v>
      </c>
      <c r="M268" s="1">
        <v>30</v>
      </c>
      <c r="N268" s="1">
        <v>1.5</v>
      </c>
      <c r="O268" s="1">
        <v>5</v>
      </c>
      <c r="P268" s="1">
        <v>2</v>
      </c>
      <c r="Q268" s="2">
        <v>7.4999999999999997E-3</v>
      </c>
      <c r="R268" s="1">
        <v>1</v>
      </c>
      <c r="S268" s="1">
        <f>R268/P268</f>
        <v>0.5</v>
      </c>
      <c r="T268" s="1">
        <v>5</v>
      </c>
      <c r="U268" s="1">
        <v>12.5</v>
      </c>
      <c r="V268" s="1">
        <v>27.450980392156865</v>
      </c>
      <c r="W268" s="1">
        <v>5</v>
      </c>
    </row>
    <row r="269" spans="1:23" x14ac:dyDescent="0.2">
      <c r="A269">
        <v>2020</v>
      </c>
      <c r="B269" t="s">
        <v>23</v>
      </c>
      <c r="C269" t="s">
        <v>24</v>
      </c>
      <c r="D269">
        <v>134</v>
      </c>
      <c r="E269">
        <v>2</v>
      </c>
      <c r="F269">
        <v>1</v>
      </c>
      <c r="G269" t="s">
        <v>159</v>
      </c>
      <c r="H269">
        <v>13</v>
      </c>
      <c r="I269">
        <v>52</v>
      </c>
      <c r="J269">
        <v>54</v>
      </c>
      <c r="K269">
        <v>2</v>
      </c>
      <c r="L269">
        <v>103</v>
      </c>
      <c r="M269">
        <v>76</v>
      </c>
      <c r="N269">
        <v>2</v>
      </c>
      <c r="O269">
        <v>2.5</v>
      </c>
      <c r="P269">
        <v>12</v>
      </c>
      <c r="Q269">
        <v>0.6</v>
      </c>
      <c r="R269">
        <v>11</v>
      </c>
      <c r="S269">
        <v>0.91666666666666663</v>
      </c>
      <c r="T269">
        <v>2</v>
      </c>
      <c r="U269">
        <v>10.3</v>
      </c>
      <c r="V269">
        <v>2251.2941176470586</v>
      </c>
      <c r="W269">
        <v>1</v>
      </c>
    </row>
    <row r="270" spans="1:23" x14ac:dyDescent="0.2">
      <c r="A270">
        <v>2020</v>
      </c>
      <c r="B270" t="s">
        <v>23</v>
      </c>
      <c r="C270" t="s">
        <v>24</v>
      </c>
      <c r="D270">
        <v>135</v>
      </c>
      <c r="E270">
        <v>1</v>
      </c>
      <c r="F270">
        <v>10</v>
      </c>
      <c r="G270" t="s">
        <v>160</v>
      </c>
      <c r="H270" s="1">
        <v>8</v>
      </c>
      <c r="I270" s="1">
        <v>68</v>
      </c>
      <c r="J270" s="1">
        <v>70</v>
      </c>
      <c r="K270" s="1">
        <f>J270-I270</f>
        <v>2</v>
      </c>
      <c r="L270" s="1">
        <v>169</v>
      </c>
      <c r="M270" s="1">
        <v>84</v>
      </c>
      <c r="N270" s="1">
        <v>2</v>
      </c>
      <c r="O270" s="1">
        <v>3.5</v>
      </c>
      <c r="P270" s="1">
        <f>H270-2</f>
        <v>6</v>
      </c>
      <c r="Q270" s="2">
        <v>0.255</v>
      </c>
      <c r="R270" s="1">
        <v>4</v>
      </c>
      <c r="S270" s="1">
        <f>R270/P270</f>
        <v>0.66666666666666663</v>
      </c>
      <c r="T270" s="1">
        <v>4</v>
      </c>
      <c r="U270" s="1">
        <v>12.5</v>
      </c>
      <c r="V270" s="1">
        <v>933.33333333333337</v>
      </c>
      <c r="W270" s="1">
        <v>3</v>
      </c>
    </row>
    <row r="271" spans="1:23" x14ac:dyDescent="0.2">
      <c r="A271">
        <v>2020</v>
      </c>
      <c r="B271" t="s">
        <v>23</v>
      </c>
      <c r="C271" t="s">
        <v>24</v>
      </c>
      <c r="D271">
        <v>135</v>
      </c>
      <c r="E271">
        <v>2</v>
      </c>
      <c r="F271">
        <v>7</v>
      </c>
      <c r="G271" t="s">
        <v>160</v>
      </c>
      <c r="H271" s="1">
        <v>10</v>
      </c>
      <c r="I271" s="1">
        <v>69</v>
      </c>
      <c r="J271" s="1">
        <v>74</v>
      </c>
      <c r="K271" s="1">
        <f>J271-I271</f>
        <v>5</v>
      </c>
      <c r="L271" s="1">
        <v>105</v>
      </c>
      <c r="M271" s="1">
        <v>41</v>
      </c>
      <c r="N271" s="1">
        <v>1.5</v>
      </c>
      <c r="O271" s="1">
        <v>4.5</v>
      </c>
      <c r="P271" s="1">
        <v>8</v>
      </c>
      <c r="Q271" s="2">
        <v>0.15</v>
      </c>
      <c r="R271" s="1">
        <v>7</v>
      </c>
      <c r="S271" s="1">
        <f>R271/P271</f>
        <v>0.875</v>
      </c>
      <c r="T271" s="1">
        <v>5</v>
      </c>
      <c r="U271" s="1">
        <v>12.5</v>
      </c>
      <c r="V271" s="1">
        <v>549.01960784313724</v>
      </c>
      <c r="W271" s="1">
        <v>6</v>
      </c>
    </row>
    <row r="272" spans="1:23" x14ac:dyDescent="0.2">
      <c r="A272">
        <v>2020</v>
      </c>
      <c r="B272" t="s">
        <v>23</v>
      </c>
      <c r="C272" t="s">
        <v>24</v>
      </c>
      <c r="D272">
        <v>136</v>
      </c>
      <c r="E272">
        <v>1</v>
      </c>
      <c r="F272">
        <v>10</v>
      </c>
      <c r="G272" t="s">
        <v>161</v>
      </c>
      <c r="H272" s="1">
        <v>9</v>
      </c>
      <c r="I272" s="1">
        <v>60</v>
      </c>
      <c r="J272" s="1">
        <v>64</v>
      </c>
      <c r="K272" s="1">
        <f>J272-I272</f>
        <v>4</v>
      </c>
      <c r="L272" s="1">
        <v>161</v>
      </c>
      <c r="M272" s="1">
        <v>56</v>
      </c>
      <c r="N272" s="1">
        <v>3</v>
      </c>
      <c r="O272" s="1">
        <v>4.5</v>
      </c>
      <c r="P272" s="1">
        <v>2</v>
      </c>
      <c r="Q272" s="2">
        <v>5.8000000000000003E-2</v>
      </c>
      <c r="R272" s="1">
        <v>3</v>
      </c>
      <c r="S272" s="1">
        <f>R272/P272</f>
        <v>1.5</v>
      </c>
      <c r="T272" s="1">
        <v>5</v>
      </c>
      <c r="U272" s="1">
        <v>12.5</v>
      </c>
      <c r="V272" s="1">
        <v>212.28758169934639</v>
      </c>
      <c r="W272" s="1">
        <v>6</v>
      </c>
    </row>
    <row r="273" spans="1:23" x14ac:dyDescent="0.2">
      <c r="A273">
        <v>2020</v>
      </c>
      <c r="B273" t="s">
        <v>23</v>
      </c>
      <c r="C273" t="s">
        <v>24</v>
      </c>
      <c r="D273">
        <v>136</v>
      </c>
      <c r="E273">
        <v>2</v>
      </c>
      <c r="F273">
        <v>6</v>
      </c>
      <c r="G273" t="s">
        <v>161</v>
      </c>
      <c r="H273" s="1">
        <v>11</v>
      </c>
      <c r="I273" s="1">
        <v>67</v>
      </c>
      <c r="J273" s="1">
        <v>72</v>
      </c>
      <c r="K273" s="1">
        <f>J273-I273</f>
        <v>5</v>
      </c>
      <c r="L273" s="1">
        <v>162</v>
      </c>
      <c r="M273" s="1">
        <v>90</v>
      </c>
      <c r="N273" s="1">
        <v>2</v>
      </c>
      <c r="O273" s="1">
        <v>2.5</v>
      </c>
      <c r="P273" s="1">
        <v>9</v>
      </c>
      <c r="Q273" s="2">
        <v>0.871</v>
      </c>
      <c r="R273" s="1">
        <v>9</v>
      </c>
      <c r="S273" s="1">
        <f>R273/P273</f>
        <v>1</v>
      </c>
      <c r="T273" s="1">
        <v>5</v>
      </c>
      <c r="U273" s="1">
        <v>12.5</v>
      </c>
      <c r="V273" s="1">
        <v>3187.9738562091502</v>
      </c>
      <c r="W273" s="1">
        <v>4</v>
      </c>
    </row>
    <row r="274" spans="1:23" x14ac:dyDescent="0.2">
      <c r="A274">
        <v>2020</v>
      </c>
      <c r="B274" t="s">
        <v>23</v>
      </c>
      <c r="C274" t="s">
        <v>24</v>
      </c>
      <c r="D274">
        <v>137</v>
      </c>
      <c r="E274">
        <v>1</v>
      </c>
      <c r="F274">
        <v>5</v>
      </c>
      <c r="G274" t="s">
        <v>162</v>
      </c>
      <c r="H274">
        <v>11</v>
      </c>
      <c r="I274">
        <v>56</v>
      </c>
      <c r="J274">
        <v>62</v>
      </c>
      <c r="K274">
        <v>6</v>
      </c>
      <c r="L274">
        <v>155</v>
      </c>
      <c r="M274">
        <v>46</v>
      </c>
      <c r="N274">
        <v>1</v>
      </c>
      <c r="O274">
        <v>4</v>
      </c>
      <c r="P274">
        <v>11</v>
      </c>
      <c r="Q274">
        <v>1.2</v>
      </c>
      <c r="R274">
        <v>6</v>
      </c>
      <c r="S274">
        <v>0.54545454545454541</v>
      </c>
      <c r="T274">
        <v>3</v>
      </c>
      <c r="U274">
        <v>12.5</v>
      </c>
      <c r="V274">
        <v>4392.1568627450979</v>
      </c>
      <c r="W274">
        <v>2</v>
      </c>
    </row>
    <row r="275" spans="1:23" x14ac:dyDescent="0.2">
      <c r="A275">
        <v>2020</v>
      </c>
      <c r="B275" t="s">
        <v>23</v>
      </c>
      <c r="C275" t="s">
        <v>24</v>
      </c>
      <c r="D275">
        <v>137</v>
      </c>
      <c r="E275">
        <v>2</v>
      </c>
      <c r="F275">
        <v>4</v>
      </c>
      <c r="G275" t="s">
        <v>162</v>
      </c>
      <c r="H275">
        <v>6</v>
      </c>
      <c r="I275">
        <v>58</v>
      </c>
      <c r="J275">
        <v>60</v>
      </c>
      <c r="K275">
        <v>2</v>
      </c>
      <c r="L275">
        <v>160</v>
      </c>
      <c r="M275">
        <v>83</v>
      </c>
      <c r="N275">
        <v>4</v>
      </c>
      <c r="O275">
        <v>3</v>
      </c>
      <c r="P275">
        <v>5</v>
      </c>
      <c r="Q275">
        <v>1.2</v>
      </c>
      <c r="R275">
        <v>3</v>
      </c>
      <c r="S275">
        <v>0.6</v>
      </c>
      <c r="T275">
        <v>2.5</v>
      </c>
      <c r="U275">
        <v>12.5</v>
      </c>
      <c r="V275">
        <v>4392.1568627450979</v>
      </c>
      <c r="W275">
        <v>2</v>
      </c>
    </row>
    <row r="276" spans="1:23" x14ac:dyDescent="0.2">
      <c r="A276">
        <v>2020</v>
      </c>
      <c r="B276" t="s">
        <v>23</v>
      </c>
      <c r="C276" t="s">
        <v>24</v>
      </c>
      <c r="D276">
        <v>138</v>
      </c>
      <c r="E276">
        <v>1</v>
      </c>
      <c r="F276">
        <v>4</v>
      </c>
      <c r="G276" t="s">
        <v>163</v>
      </c>
      <c r="H276">
        <v>9</v>
      </c>
      <c r="I276">
        <v>60</v>
      </c>
      <c r="J276">
        <v>63</v>
      </c>
      <c r="K276">
        <v>3</v>
      </c>
      <c r="L276">
        <v>98</v>
      </c>
      <c r="M276">
        <v>22</v>
      </c>
      <c r="N276">
        <v>1.5</v>
      </c>
      <c r="O276">
        <v>4</v>
      </c>
      <c r="P276">
        <v>9</v>
      </c>
      <c r="Q276">
        <v>1</v>
      </c>
      <c r="R276">
        <v>8</v>
      </c>
      <c r="S276">
        <v>0.88888888888888884</v>
      </c>
      <c r="T276">
        <v>2</v>
      </c>
      <c r="U276">
        <v>12.5</v>
      </c>
      <c r="V276">
        <v>3660.1307189542486</v>
      </c>
      <c r="W276">
        <v>1</v>
      </c>
    </row>
    <row r="277" spans="1:23" x14ac:dyDescent="0.2">
      <c r="A277">
        <v>2020</v>
      </c>
      <c r="B277" t="s">
        <v>23</v>
      </c>
      <c r="C277" t="s">
        <v>24</v>
      </c>
      <c r="D277">
        <v>138</v>
      </c>
      <c r="E277">
        <v>2</v>
      </c>
      <c r="F277">
        <v>14</v>
      </c>
      <c r="G277" t="s">
        <v>163</v>
      </c>
      <c r="H277" s="1">
        <v>3</v>
      </c>
      <c r="I277" s="1">
        <v>57</v>
      </c>
      <c r="J277" s="1">
        <v>62</v>
      </c>
      <c r="K277" s="1">
        <f>J277-I277</f>
        <v>5</v>
      </c>
      <c r="L277" s="1">
        <v>125</v>
      </c>
      <c r="M277" s="1">
        <v>41</v>
      </c>
      <c r="N277" s="1">
        <v>1.5</v>
      </c>
      <c r="O277" s="1">
        <v>3</v>
      </c>
      <c r="P277" s="1">
        <v>3</v>
      </c>
      <c r="Q277" s="2">
        <v>0.34200000000000003</v>
      </c>
      <c r="R277" s="1">
        <v>3</v>
      </c>
      <c r="S277" s="1">
        <f>R277/P277</f>
        <v>1</v>
      </c>
      <c r="T277" s="1">
        <v>2.5</v>
      </c>
      <c r="U277" s="1">
        <v>12.5</v>
      </c>
      <c r="V277" s="1">
        <v>1251.7647058823529</v>
      </c>
      <c r="W277" s="1">
        <v>2</v>
      </c>
    </row>
    <row r="278" spans="1:23" x14ac:dyDescent="0.2">
      <c r="A278">
        <v>2020</v>
      </c>
      <c r="B278" t="s">
        <v>23</v>
      </c>
      <c r="C278" t="s">
        <v>24</v>
      </c>
      <c r="D278">
        <v>139</v>
      </c>
      <c r="E278">
        <v>1</v>
      </c>
      <c r="F278">
        <v>1</v>
      </c>
      <c r="G278" t="s">
        <v>164</v>
      </c>
      <c r="H278" s="1">
        <v>10</v>
      </c>
      <c r="I278" s="1">
        <v>67</v>
      </c>
      <c r="J278" s="1">
        <v>72</v>
      </c>
      <c r="K278" s="1">
        <f>J278-I278</f>
        <v>5</v>
      </c>
      <c r="L278" s="1">
        <v>135</v>
      </c>
      <c r="M278" s="1">
        <v>47</v>
      </c>
      <c r="N278" s="1">
        <v>2</v>
      </c>
      <c r="O278" s="1">
        <v>4</v>
      </c>
      <c r="P278" s="1">
        <v>6</v>
      </c>
      <c r="Q278" s="2">
        <v>0.192</v>
      </c>
      <c r="R278" s="1">
        <v>6</v>
      </c>
      <c r="S278" s="1">
        <f>R278/P278</f>
        <v>1</v>
      </c>
      <c r="T278" s="1">
        <v>4</v>
      </c>
      <c r="U278" s="1">
        <v>12.5</v>
      </c>
      <c r="V278" s="1">
        <v>702.74509803921569</v>
      </c>
      <c r="W278" s="1">
        <v>4</v>
      </c>
    </row>
    <row r="279" spans="1:23" x14ac:dyDescent="0.2">
      <c r="A279">
        <v>2020</v>
      </c>
      <c r="B279" t="s">
        <v>23</v>
      </c>
      <c r="C279" t="s">
        <v>24</v>
      </c>
      <c r="D279">
        <v>139</v>
      </c>
      <c r="E279">
        <v>2</v>
      </c>
      <c r="F279">
        <v>10</v>
      </c>
      <c r="G279" t="s">
        <v>164</v>
      </c>
      <c r="H279" s="1">
        <v>7</v>
      </c>
      <c r="I279" s="1">
        <v>59</v>
      </c>
      <c r="J279" s="1">
        <v>63</v>
      </c>
      <c r="K279" s="1">
        <f>J279-I279</f>
        <v>4</v>
      </c>
      <c r="L279" s="1">
        <v>106</v>
      </c>
      <c r="M279" s="1">
        <v>37</v>
      </c>
      <c r="N279" s="1">
        <v>2.5</v>
      </c>
      <c r="O279" s="1">
        <v>4</v>
      </c>
      <c r="P279" s="1">
        <v>5</v>
      </c>
      <c r="Q279" s="2">
        <v>0.11899999999999999</v>
      </c>
      <c r="R279" s="1">
        <v>5</v>
      </c>
      <c r="S279" s="1">
        <f>R279/P279</f>
        <v>1</v>
      </c>
      <c r="T279" s="1">
        <v>5</v>
      </c>
      <c r="U279" s="1">
        <v>12.5</v>
      </c>
      <c r="V279" s="1">
        <v>435.55555555555554</v>
      </c>
      <c r="W279" s="1">
        <v>5</v>
      </c>
    </row>
    <row r="280" spans="1:23" x14ac:dyDescent="0.2">
      <c r="A280">
        <v>2020</v>
      </c>
      <c r="B280" t="s">
        <v>23</v>
      </c>
      <c r="C280" t="s">
        <v>24</v>
      </c>
      <c r="D280">
        <v>140</v>
      </c>
      <c r="E280">
        <v>1</v>
      </c>
      <c r="F280">
        <v>7</v>
      </c>
      <c r="G280" t="s">
        <v>165</v>
      </c>
      <c r="H280" s="1">
        <v>6</v>
      </c>
      <c r="I280" s="1">
        <v>68</v>
      </c>
      <c r="J280" s="1">
        <v>71</v>
      </c>
      <c r="K280" s="1">
        <f>J280-I280</f>
        <v>3</v>
      </c>
      <c r="L280" s="1">
        <v>140</v>
      </c>
      <c r="M280" s="1">
        <v>50</v>
      </c>
      <c r="N280" s="1">
        <v>2</v>
      </c>
      <c r="O280" s="1">
        <v>3.5</v>
      </c>
      <c r="P280" s="1">
        <v>5</v>
      </c>
      <c r="Q280" s="2">
        <v>0.2</v>
      </c>
      <c r="R280" s="1">
        <v>4</v>
      </c>
      <c r="S280" s="1">
        <f>R280/P280</f>
        <v>0.8</v>
      </c>
      <c r="T280" s="1">
        <v>4</v>
      </c>
      <c r="U280" s="1">
        <v>12.5</v>
      </c>
      <c r="V280" s="1">
        <v>732.02614379084969</v>
      </c>
      <c r="W280" s="1">
        <v>5</v>
      </c>
    </row>
    <row r="281" spans="1:23" x14ac:dyDescent="0.2">
      <c r="A281">
        <v>2020</v>
      </c>
      <c r="B281" t="s">
        <v>23</v>
      </c>
      <c r="C281" t="s">
        <v>24</v>
      </c>
      <c r="D281">
        <v>140</v>
      </c>
      <c r="E281">
        <v>2</v>
      </c>
      <c r="F281">
        <v>1</v>
      </c>
      <c r="G281" t="s">
        <v>165</v>
      </c>
      <c r="H281">
        <v>4</v>
      </c>
      <c r="I281">
        <v>62</v>
      </c>
      <c r="J281">
        <v>65</v>
      </c>
      <c r="K281">
        <v>3</v>
      </c>
      <c r="L281">
        <v>165</v>
      </c>
      <c r="M281">
        <v>75</v>
      </c>
      <c r="N281">
        <v>2</v>
      </c>
      <c r="O281">
        <v>3</v>
      </c>
      <c r="P281">
        <v>4</v>
      </c>
      <c r="Q281">
        <v>0.3</v>
      </c>
      <c r="R281">
        <v>4</v>
      </c>
      <c r="S281">
        <v>1</v>
      </c>
      <c r="T281">
        <v>3</v>
      </c>
      <c r="U281">
        <v>12.5</v>
      </c>
      <c r="V281">
        <v>1098.0392156862745</v>
      </c>
      <c r="W281">
        <v>1</v>
      </c>
    </row>
    <row r="282" spans="1:23" x14ac:dyDescent="0.2">
      <c r="A282">
        <v>2020</v>
      </c>
      <c r="B282" t="s">
        <v>23</v>
      </c>
      <c r="C282" t="s">
        <v>24</v>
      </c>
      <c r="D282">
        <v>141</v>
      </c>
      <c r="E282">
        <v>1</v>
      </c>
      <c r="F282">
        <v>2</v>
      </c>
      <c r="G282" t="s">
        <v>166</v>
      </c>
      <c r="H282">
        <v>5</v>
      </c>
      <c r="I282">
        <v>55</v>
      </c>
      <c r="J282">
        <v>57</v>
      </c>
      <c r="K282">
        <v>2</v>
      </c>
      <c r="L282">
        <v>174</v>
      </c>
      <c r="M282">
        <v>54</v>
      </c>
      <c r="N282">
        <v>1</v>
      </c>
      <c r="O282">
        <v>2</v>
      </c>
      <c r="P282">
        <v>5</v>
      </c>
      <c r="Q282">
        <v>0.222</v>
      </c>
      <c r="R282">
        <v>5</v>
      </c>
      <c r="S282">
        <v>1</v>
      </c>
      <c r="T282">
        <v>3</v>
      </c>
      <c r="U282">
        <v>12.5</v>
      </c>
      <c r="V282">
        <v>812.54901960784309</v>
      </c>
      <c r="W282">
        <v>1</v>
      </c>
    </row>
    <row r="283" spans="1:23" x14ac:dyDescent="0.2">
      <c r="A283">
        <v>2020</v>
      </c>
      <c r="B283" t="s">
        <v>23</v>
      </c>
      <c r="C283" t="s">
        <v>24</v>
      </c>
      <c r="D283">
        <v>141</v>
      </c>
      <c r="E283">
        <v>2</v>
      </c>
      <c r="F283">
        <v>12</v>
      </c>
      <c r="G283" t="s">
        <v>166</v>
      </c>
      <c r="H283" s="1">
        <v>6</v>
      </c>
      <c r="I283" s="1">
        <v>58</v>
      </c>
      <c r="J283" s="1">
        <v>63</v>
      </c>
      <c r="K283" s="1">
        <f>J283-I283</f>
        <v>5</v>
      </c>
      <c r="L283" s="1">
        <v>123</v>
      </c>
      <c r="M283" s="1">
        <v>56</v>
      </c>
      <c r="N283" s="1">
        <v>2</v>
      </c>
      <c r="O283" s="1">
        <v>4</v>
      </c>
      <c r="P283" s="1">
        <v>4</v>
      </c>
      <c r="Q283" s="2">
        <v>0.35799999999999998</v>
      </c>
      <c r="R283" s="1">
        <v>4</v>
      </c>
      <c r="S283" s="1">
        <f>R283/P283</f>
        <v>1</v>
      </c>
      <c r="T283" s="1">
        <v>1.5</v>
      </c>
      <c r="U283" s="1">
        <v>12.5</v>
      </c>
      <c r="V283" s="1">
        <v>1310.3267973856209</v>
      </c>
      <c r="W283" s="1">
        <v>2</v>
      </c>
    </row>
    <row r="284" spans="1:23" x14ac:dyDescent="0.2">
      <c r="A284">
        <v>2020</v>
      </c>
      <c r="B284" t="s">
        <v>23</v>
      </c>
      <c r="C284" t="s">
        <v>24</v>
      </c>
      <c r="D284">
        <v>142</v>
      </c>
      <c r="E284">
        <v>1</v>
      </c>
      <c r="F284">
        <v>10</v>
      </c>
      <c r="G284" t="s">
        <v>167</v>
      </c>
      <c r="H284">
        <v>14</v>
      </c>
      <c r="I284">
        <v>52</v>
      </c>
      <c r="J284">
        <v>56</v>
      </c>
      <c r="K284">
        <v>4</v>
      </c>
      <c r="L284">
        <v>150</v>
      </c>
      <c r="M284">
        <v>24</v>
      </c>
      <c r="N284">
        <v>2</v>
      </c>
      <c r="O284">
        <v>2.5</v>
      </c>
      <c r="P284">
        <v>10</v>
      </c>
      <c r="Q284">
        <v>0.1</v>
      </c>
      <c r="R284">
        <v>7</v>
      </c>
      <c r="S284">
        <v>0.7</v>
      </c>
      <c r="T284">
        <v>3</v>
      </c>
      <c r="U284">
        <v>8.6</v>
      </c>
      <c r="V284">
        <v>382.32679738562092</v>
      </c>
      <c r="W284">
        <v>1</v>
      </c>
    </row>
    <row r="285" spans="1:23" x14ac:dyDescent="0.2">
      <c r="A285">
        <v>2020</v>
      </c>
      <c r="B285" t="s">
        <v>23</v>
      </c>
      <c r="C285" t="s">
        <v>24</v>
      </c>
      <c r="D285">
        <v>142</v>
      </c>
      <c r="E285">
        <v>2</v>
      </c>
      <c r="F285">
        <v>10</v>
      </c>
      <c r="G285" t="s">
        <v>167</v>
      </c>
      <c r="H285" s="1">
        <v>4</v>
      </c>
      <c r="I285" s="1">
        <v>61</v>
      </c>
      <c r="J285" s="1">
        <v>66</v>
      </c>
      <c r="K285" s="1">
        <f>J285-I285</f>
        <v>5</v>
      </c>
      <c r="L285" s="1">
        <v>101</v>
      </c>
      <c r="M285" s="1">
        <v>41</v>
      </c>
      <c r="N285" s="1">
        <v>2</v>
      </c>
      <c r="O285" s="1">
        <v>3.5</v>
      </c>
      <c r="P285" s="1">
        <v>4</v>
      </c>
      <c r="Q285" s="2">
        <v>0.32</v>
      </c>
      <c r="R285" s="1">
        <v>3</v>
      </c>
      <c r="S285" s="1">
        <f>R285/P285</f>
        <v>0.75</v>
      </c>
      <c r="T285" s="1">
        <v>3.5</v>
      </c>
      <c r="U285" s="1">
        <v>12.5</v>
      </c>
      <c r="V285" s="1">
        <v>1171.2418300653596</v>
      </c>
      <c r="W285" s="1">
        <v>3</v>
      </c>
    </row>
    <row r="286" spans="1:23" x14ac:dyDescent="0.2">
      <c r="A286">
        <v>2020</v>
      </c>
      <c r="B286" t="s">
        <v>23</v>
      </c>
      <c r="C286" t="s">
        <v>24</v>
      </c>
      <c r="D286">
        <v>143</v>
      </c>
      <c r="E286">
        <v>1</v>
      </c>
      <c r="F286">
        <v>14</v>
      </c>
      <c r="G286" t="s">
        <v>168</v>
      </c>
      <c r="H286" s="1">
        <v>2</v>
      </c>
      <c r="I286" s="1">
        <v>66</v>
      </c>
      <c r="J286" s="1">
        <v>68</v>
      </c>
      <c r="K286" s="1">
        <f>J286-I286</f>
        <v>2</v>
      </c>
      <c r="L286" s="1">
        <v>59</v>
      </c>
      <c r="M286" s="1">
        <v>20</v>
      </c>
      <c r="N286" s="1">
        <v>2</v>
      </c>
      <c r="O286" s="1">
        <v>4.5</v>
      </c>
      <c r="P286" s="1">
        <v>2</v>
      </c>
      <c r="Q286" s="2">
        <v>8.5999999999999993E-2</v>
      </c>
      <c r="R286" s="1">
        <v>2</v>
      </c>
      <c r="S286" s="1">
        <f>R286/P286</f>
        <v>1</v>
      </c>
      <c r="T286" s="1">
        <v>5</v>
      </c>
      <c r="U286" s="1">
        <v>12.5</v>
      </c>
      <c r="V286" s="1">
        <v>314.77124183006538</v>
      </c>
      <c r="W286" s="1">
        <v>6</v>
      </c>
    </row>
    <row r="287" spans="1:23" x14ac:dyDescent="0.2">
      <c r="A287">
        <v>2020</v>
      </c>
      <c r="B287" t="s">
        <v>23</v>
      </c>
      <c r="C287" t="s">
        <v>24</v>
      </c>
      <c r="D287">
        <v>143</v>
      </c>
      <c r="E287">
        <v>2</v>
      </c>
      <c r="F287">
        <v>8</v>
      </c>
      <c r="G287" t="s">
        <v>168</v>
      </c>
      <c r="H287" s="1">
        <v>8</v>
      </c>
      <c r="I287" s="1">
        <v>71</v>
      </c>
      <c r="J287" s="1">
        <v>75</v>
      </c>
      <c r="K287" s="1">
        <f>J287-I287</f>
        <v>4</v>
      </c>
      <c r="L287" s="1">
        <v>137</v>
      </c>
      <c r="M287" s="1">
        <v>52</v>
      </c>
      <c r="N287" s="1">
        <v>2.5</v>
      </c>
      <c r="O287" s="1">
        <v>4.5</v>
      </c>
      <c r="P287" s="1">
        <v>8</v>
      </c>
      <c r="Q287" s="2">
        <v>0.378</v>
      </c>
      <c r="R287" s="1">
        <v>8</v>
      </c>
      <c r="S287" s="1">
        <f>R287/P287</f>
        <v>1</v>
      </c>
      <c r="T287" s="1">
        <v>3</v>
      </c>
      <c r="U287" s="1">
        <v>12.5</v>
      </c>
      <c r="V287" s="1">
        <v>1383.5294117647059</v>
      </c>
      <c r="W287" s="1">
        <v>4</v>
      </c>
    </row>
    <row r="288" spans="1:23" x14ac:dyDescent="0.2">
      <c r="A288">
        <v>2020</v>
      </c>
      <c r="B288" t="s">
        <v>23</v>
      </c>
      <c r="C288" t="s">
        <v>24</v>
      </c>
      <c r="D288">
        <v>144</v>
      </c>
      <c r="E288">
        <v>1</v>
      </c>
      <c r="F288">
        <v>13</v>
      </c>
      <c r="G288" t="s">
        <v>169</v>
      </c>
      <c r="H288" s="1">
        <v>7</v>
      </c>
      <c r="I288" s="1">
        <v>64</v>
      </c>
      <c r="J288" s="1">
        <v>68</v>
      </c>
      <c r="K288" s="1">
        <f>J288-I288</f>
        <v>4</v>
      </c>
      <c r="L288" s="1">
        <v>142</v>
      </c>
      <c r="M288" s="1">
        <v>77</v>
      </c>
      <c r="N288" s="1">
        <v>3</v>
      </c>
      <c r="O288" s="1">
        <v>3.5</v>
      </c>
      <c r="P288" s="1">
        <v>7</v>
      </c>
      <c r="Q288" s="2">
        <v>0.38639999999999997</v>
      </c>
      <c r="R288" s="1">
        <v>4</v>
      </c>
      <c r="S288" s="1">
        <f>R288/P288</f>
        <v>0.5714285714285714</v>
      </c>
      <c r="T288" s="1">
        <v>5</v>
      </c>
      <c r="U288" s="1">
        <v>12.5</v>
      </c>
      <c r="V288" s="1">
        <v>1414.2745098039213</v>
      </c>
      <c r="W288" s="1">
        <v>4</v>
      </c>
    </row>
    <row r="289" spans="1:23" x14ac:dyDescent="0.2">
      <c r="A289">
        <v>2020</v>
      </c>
      <c r="B289" t="s">
        <v>23</v>
      </c>
      <c r="C289" t="s">
        <v>24</v>
      </c>
      <c r="D289">
        <v>144</v>
      </c>
      <c r="E289">
        <v>2</v>
      </c>
      <c r="F289">
        <v>12</v>
      </c>
      <c r="G289" t="s">
        <v>169</v>
      </c>
      <c r="H289">
        <v>5</v>
      </c>
      <c r="I289">
        <v>55</v>
      </c>
      <c r="J289">
        <v>57</v>
      </c>
      <c r="K289">
        <v>2</v>
      </c>
      <c r="L289">
        <v>146</v>
      </c>
      <c r="M289">
        <v>41</v>
      </c>
      <c r="N289">
        <v>3</v>
      </c>
      <c r="O289">
        <v>3</v>
      </c>
      <c r="P289">
        <v>5</v>
      </c>
      <c r="Q289">
        <v>0.155</v>
      </c>
      <c r="R289">
        <v>3</v>
      </c>
      <c r="S289">
        <v>0.6</v>
      </c>
      <c r="T289">
        <v>3</v>
      </c>
      <c r="U289">
        <v>12.5</v>
      </c>
      <c r="V289">
        <v>567.32026143790847</v>
      </c>
      <c r="W289">
        <v>1</v>
      </c>
    </row>
    <row r="290" spans="1:23" x14ac:dyDescent="0.2">
      <c r="A290">
        <v>2020</v>
      </c>
      <c r="B290" t="s">
        <v>23</v>
      </c>
      <c r="C290" t="s">
        <v>24</v>
      </c>
      <c r="D290">
        <v>145</v>
      </c>
      <c r="E290">
        <v>1</v>
      </c>
      <c r="F290">
        <v>8</v>
      </c>
      <c r="G290" t="s">
        <v>170</v>
      </c>
      <c r="H290" s="1">
        <v>3</v>
      </c>
      <c r="I290" s="1">
        <v>63</v>
      </c>
      <c r="J290" s="1">
        <v>67</v>
      </c>
      <c r="K290" s="1">
        <f>J290-I290</f>
        <v>4</v>
      </c>
      <c r="L290" s="1">
        <v>87</v>
      </c>
      <c r="M290" s="1">
        <v>35</v>
      </c>
      <c r="N290" s="1">
        <v>2</v>
      </c>
      <c r="O290" s="1">
        <v>4</v>
      </c>
      <c r="P290" s="1">
        <v>3</v>
      </c>
      <c r="Q290" s="2">
        <v>9.0799999999999992E-2</v>
      </c>
      <c r="R290" s="1">
        <v>3</v>
      </c>
      <c r="S290" s="1">
        <f>R290/P290</f>
        <v>1</v>
      </c>
      <c r="T290" s="1">
        <v>4</v>
      </c>
      <c r="U290" s="1">
        <v>12.5</v>
      </c>
      <c r="V290" s="1">
        <v>332.33986928104576</v>
      </c>
      <c r="W290" s="1">
        <v>4</v>
      </c>
    </row>
    <row r="291" spans="1:23" x14ac:dyDescent="0.2">
      <c r="A291">
        <v>2020</v>
      </c>
      <c r="B291" t="s">
        <v>23</v>
      </c>
      <c r="C291" t="s">
        <v>24</v>
      </c>
      <c r="D291">
        <v>145</v>
      </c>
      <c r="E291">
        <v>2</v>
      </c>
      <c r="F291">
        <v>4</v>
      </c>
      <c r="G291" t="s">
        <v>170</v>
      </c>
      <c r="H291">
        <v>9</v>
      </c>
      <c r="I291">
        <v>54</v>
      </c>
      <c r="J291">
        <v>57</v>
      </c>
      <c r="K291">
        <v>3</v>
      </c>
      <c r="L291">
        <v>122</v>
      </c>
      <c r="M291">
        <v>51</v>
      </c>
      <c r="N291">
        <v>3</v>
      </c>
      <c r="O291">
        <v>3</v>
      </c>
      <c r="P291">
        <v>8</v>
      </c>
      <c r="Q291">
        <v>0.315</v>
      </c>
      <c r="R291">
        <v>6</v>
      </c>
      <c r="S291">
        <v>0.75</v>
      </c>
      <c r="T291">
        <v>3</v>
      </c>
      <c r="U291">
        <v>12.5</v>
      </c>
      <c r="V291">
        <v>1152.9411764705883</v>
      </c>
      <c r="W291">
        <v>2</v>
      </c>
    </row>
    <row r="292" spans="1:23" x14ac:dyDescent="0.2">
      <c r="A292">
        <v>2020</v>
      </c>
      <c r="B292" t="s">
        <v>23</v>
      </c>
      <c r="C292" t="s">
        <v>24</v>
      </c>
      <c r="D292">
        <v>146</v>
      </c>
      <c r="E292">
        <v>1</v>
      </c>
      <c r="F292">
        <v>4</v>
      </c>
      <c r="G292" t="s">
        <v>171</v>
      </c>
      <c r="H292" s="1">
        <v>6</v>
      </c>
      <c r="I292" s="1">
        <v>62</v>
      </c>
      <c r="J292" s="1">
        <v>66</v>
      </c>
      <c r="K292" s="1">
        <f>J292-I292</f>
        <v>4</v>
      </c>
      <c r="L292" s="1">
        <v>165</v>
      </c>
      <c r="M292" s="1">
        <v>97</v>
      </c>
      <c r="N292" s="1">
        <v>2</v>
      </c>
      <c r="O292" s="1">
        <v>2</v>
      </c>
      <c r="P292" s="1">
        <v>6</v>
      </c>
      <c r="Q292" s="2">
        <v>0.26500000000000001</v>
      </c>
      <c r="R292" s="1">
        <v>5</v>
      </c>
      <c r="S292" s="1">
        <f>R292/P292</f>
        <v>0.83333333333333337</v>
      </c>
      <c r="T292" s="1">
        <v>2</v>
      </c>
      <c r="U292" s="1">
        <v>9</v>
      </c>
      <c r="V292" s="1">
        <v>1008.732026143791</v>
      </c>
      <c r="W292" s="1">
        <v>5</v>
      </c>
    </row>
    <row r="293" spans="1:23" x14ac:dyDescent="0.2">
      <c r="A293">
        <v>2020</v>
      </c>
      <c r="B293" t="s">
        <v>23</v>
      </c>
      <c r="C293" t="s">
        <v>24</v>
      </c>
      <c r="D293">
        <v>146</v>
      </c>
      <c r="E293">
        <v>2</v>
      </c>
      <c r="F293">
        <v>15</v>
      </c>
      <c r="G293" t="s">
        <v>171</v>
      </c>
      <c r="H293" s="1">
        <v>9</v>
      </c>
      <c r="I293" s="1">
        <v>64</v>
      </c>
      <c r="J293" s="1">
        <v>70</v>
      </c>
      <c r="K293" s="1">
        <f>J293-I293</f>
        <v>6</v>
      </c>
      <c r="L293" s="1">
        <v>171</v>
      </c>
      <c r="M293" s="1">
        <v>66</v>
      </c>
      <c r="N293" s="1">
        <v>2</v>
      </c>
      <c r="O293" s="1">
        <v>3.5</v>
      </c>
      <c r="P293" s="1">
        <f>H293</f>
        <v>9</v>
      </c>
      <c r="Q293" s="2">
        <v>0.26100000000000001</v>
      </c>
      <c r="R293" s="1">
        <v>9</v>
      </c>
      <c r="S293" s="1">
        <f>R293/P293</f>
        <v>1</v>
      </c>
      <c r="T293" s="1">
        <v>5</v>
      </c>
      <c r="U293" s="1">
        <v>12.5</v>
      </c>
      <c r="V293" s="1">
        <v>955.29411764705901</v>
      </c>
      <c r="W293" s="1">
        <v>4</v>
      </c>
    </row>
    <row r="294" spans="1:23" x14ac:dyDescent="0.2">
      <c r="A294">
        <v>2020</v>
      </c>
      <c r="B294" t="s">
        <v>23</v>
      </c>
      <c r="C294" t="s">
        <v>24</v>
      </c>
      <c r="D294">
        <v>147</v>
      </c>
      <c r="E294">
        <v>1</v>
      </c>
      <c r="F294">
        <v>1</v>
      </c>
      <c r="G294" t="s">
        <v>172</v>
      </c>
      <c r="H294" s="1">
        <v>9</v>
      </c>
      <c r="I294" s="1">
        <v>66</v>
      </c>
      <c r="J294" s="1">
        <v>68</v>
      </c>
      <c r="K294" s="1">
        <f>J294-I294</f>
        <v>2</v>
      </c>
      <c r="L294" s="1">
        <v>103</v>
      </c>
      <c r="M294" s="1">
        <v>30</v>
      </c>
      <c r="N294" s="1">
        <v>2</v>
      </c>
      <c r="O294" s="1">
        <v>4.5</v>
      </c>
      <c r="P294" s="1">
        <v>6</v>
      </c>
      <c r="Q294" s="2">
        <v>0.182</v>
      </c>
      <c r="R294" s="1">
        <v>5</v>
      </c>
      <c r="S294" s="1">
        <f>R294/P294</f>
        <v>0.83333333333333337</v>
      </c>
      <c r="T294" s="1">
        <v>3.5</v>
      </c>
      <c r="U294" s="1">
        <v>12.5</v>
      </c>
      <c r="V294" s="1">
        <v>666.14379084967322</v>
      </c>
      <c r="W294" s="1">
        <v>4</v>
      </c>
    </row>
    <row r="295" spans="1:23" x14ac:dyDescent="0.2">
      <c r="A295">
        <v>2020</v>
      </c>
      <c r="B295" t="s">
        <v>23</v>
      </c>
      <c r="C295" t="s">
        <v>24</v>
      </c>
      <c r="D295">
        <v>147</v>
      </c>
      <c r="E295">
        <v>2</v>
      </c>
      <c r="F295">
        <v>9</v>
      </c>
      <c r="G295" t="s">
        <v>172</v>
      </c>
      <c r="H295">
        <v>10</v>
      </c>
      <c r="I295">
        <v>56</v>
      </c>
      <c r="J295">
        <v>60</v>
      </c>
      <c r="K295">
        <v>4</v>
      </c>
      <c r="L295">
        <v>76</v>
      </c>
      <c r="M295">
        <v>38</v>
      </c>
      <c r="N295">
        <v>2</v>
      </c>
      <c r="O295">
        <v>3</v>
      </c>
      <c r="P295">
        <v>10</v>
      </c>
      <c r="Q295">
        <v>1</v>
      </c>
      <c r="R295">
        <v>7</v>
      </c>
      <c r="S295">
        <v>0.7</v>
      </c>
      <c r="T295">
        <v>2.5</v>
      </c>
      <c r="U295">
        <v>12.5</v>
      </c>
      <c r="V295">
        <v>3660.1307189542486</v>
      </c>
      <c r="W295">
        <v>1</v>
      </c>
    </row>
    <row r="296" spans="1:23" x14ac:dyDescent="0.2">
      <c r="A296">
        <v>2020</v>
      </c>
      <c r="B296" t="s">
        <v>23</v>
      </c>
      <c r="C296" t="s">
        <v>24</v>
      </c>
      <c r="D296">
        <v>148</v>
      </c>
      <c r="E296">
        <v>1</v>
      </c>
      <c r="F296">
        <v>11</v>
      </c>
      <c r="G296" t="s">
        <v>173</v>
      </c>
      <c r="H296" s="1">
        <v>4</v>
      </c>
      <c r="I296" s="1">
        <v>61</v>
      </c>
      <c r="J296" s="1">
        <v>65</v>
      </c>
      <c r="K296" s="1">
        <f>J296-I296</f>
        <v>4</v>
      </c>
      <c r="L296" s="1">
        <v>127</v>
      </c>
      <c r="M296" s="1">
        <v>55</v>
      </c>
      <c r="N296" s="1">
        <v>2</v>
      </c>
      <c r="O296" s="1">
        <v>4.5</v>
      </c>
      <c r="P296" s="1">
        <v>4</v>
      </c>
      <c r="Q296" s="2">
        <v>0.22879999999999998</v>
      </c>
      <c r="R296" s="1">
        <v>5</v>
      </c>
      <c r="S296" s="1">
        <f>R296/P296</f>
        <v>1.25</v>
      </c>
      <c r="T296" s="1">
        <v>2</v>
      </c>
      <c r="U296" s="1">
        <v>12.5</v>
      </c>
      <c r="V296" s="1">
        <v>837.43790849673201</v>
      </c>
      <c r="W296" s="1">
        <v>4</v>
      </c>
    </row>
    <row r="297" spans="1:23" x14ac:dyDescent="0.2">
      <c r="A297">
        <v>2020</v>
      </c>
      <c r="B297" t="s">
        <v>23</v>
      </c>
      <c r="C297" t="s">
        <v>24</v>
      </c>
      <c r="D297">
        <v>148</v>
      </c>
      <c r="E297">
        <v>2</v>
      </c>
      <c r="F297">
        <v>7</v>
      </c>
      <c r="G297" t="s">
        <v>173</v>
      </c>
      <c r="H297">
        <v>15</v>
      </c>
      <c r="I297">
        <v>52</v>
      </c>
      <c r="J297">
        <v>55</v>
      </c>
      <c r="K297">
        <v>3</v>
      </c>
      <c r="L297">
        <v>134</v>
      </c>
      <c r="M297">
        <v>71</v>
      </c>
      <c r="N297">
        <v>1</v>
      </c>
      <c r="O297">
        <v>1.5</v>
      </c>
      <c r="P297">
        <v>14</v>
      </c>
      <c r="Q297">
        <v>0.7</v>
      </c>
      <c r="R297">
        <v>12</v>
      </c>
      <c r="S297">
        <v>0.8571428571428571</v>
      </c>
      <c r="T297">
        <v>4</v>
      </c>
      <c r="U297">
        <v>10.9</v>
      </c>
      <c r="V297">
        <v>2608.9411764705878</v>
      </c>
      <c r="W297">
        <v>1</v>
      </c>
    </row>
    <row r="298" spans="1:23" x14ac:dyDescent="0.2">
      <c r="A298">
        <v>2020</v>
      </c>
      <c r="B298" t="s">
        <v>23</v>
      </c>
      <c r="C298" t="s">
        <v>24</v>
      </c>
      <c r="D298">
        <v>149</v>
      </c>
      <c r="E298">
        <v>1</v>
      </c>
      <c r="F298">
        <v>9</v>
      </c>
      <c r="G298" t="s">
        <v>174</v>
      </c>
      <c r="H298">
        <v>10</v>
      </c>
      <c r="I298">
        <v>56</v>
      </c>
      <c r="J298">
        <v>62</v>
      </c>
      <c r="K298">
        <v>6</v>
      </c>
      <c r="L298">
        <v>135</v>
      </c>
      <c r="M298">
        <v>53</v>
      </c>
      <c r="N298">
        <v>3</v>
      </c>
      <c r="O298">
        <v>3</v>
      </c>
      <c r="P298">
        <v>10</v>
      </c>
      <c r="Q298">
        <v>1.419</v>
      </c>
      <c r="R298">
        <v>10</v>
      </c>
      <c r="S298">
        <v>1</v>
      </c>
      <c r="T298">
        <v>2</v>
      </c>
      <c r="U298">
        <v>12.5</v>
      </c>
      <c r="V298">
        <v>5193.7254901960787</v>
      </c>
      <c r="W298">
        <v>2</v>
      </c>
    </row>
    <row r="299" spans="1:23" x14ac:dyDescent="0.2">
      <c r="A299">
        <v>2020</v>
      </c>
      <c r="B299" t="s">
        <v>23</v>
      </c>
      <c r="C299" t="s">
        <v>24</v>
      </c>
      <c r="D299">
        <v>149</v>
      </c>
      <c r="E299">
        <v>2</v>
      </c>
      <c r="F299">
        <v>8</v>
      </c>
      <c r="G299" t="s">
        <v>174</v>
      </c>
      <c r="H299" s="1">
        <v>7</v>
      </c>
      <c r="I299" s="1">
        <v>61</v>
      </c>
      <c r="J299" s="1">
        <v>66</v>
      </c>
      <c r="K299" s="1">
        <f>J299-I299</f>
        <v>5</v>
      </c>
      <c r="L299" s="1">
        <v>107</v>
      </c>
      <c r="M299" s="1">
        <v>25</v>
      </c>
      <c r="N299" s="1">
        <v>3</v>
      </c>
      <c r="O299" s="1">
        <v>5</v>
      </c>
      <c r="P299" s="1">
        <v>3</v>
      </c>
      <c r="Q299" s="2">
        <v>0.154</v>
      </c>
      <c r="R299" s="1">
        <v>3</v>
      </c>
      <c r="S299" s="1">
        <f>R299/P299</f>
        <v>1</v>
      </c>
      <c r="T299" s="1">
        <v>5</v>
      </c>
      <c r="U299" s="1">
        <v>12.5</v>
      </c>
      <c r="V299" s="1">
        <v>563.66013071895429</v>
      </c>
      <c r="W299" s="1">
        <v>5</v>
      </c>
    </row>
    <row r="300" spans="1:23" x14ac:dyDescent="0.2">
      <c r="A300">
        <v>2020</v>
      </c>
      <c r="B300" t="s">
        <v>23</v>
      </c>
      <c r="C300" t="s">
        <v>24</v>
      </c>
      <c r="D300">
        <v>150</v>
      </c>
      <c r="E300">
        <v>1</v>
      </c>
      <c r="F300">
        <v>5</v>
      </c>
      <c r="G300" t="s">
        <v>175</v>
      </c>
      <c r="H300">
        <v>10</v>
      </c>
      <c r="I300">
        <v>56</v>
      </c>
      <c r="J300">
        <v>58</v>
      </c>
      <c r="K300">
        <v>2</v>
      </c>
      <c r="L300">
        <v>95</v>
      </c>
      <c r="M300">
        <v>32</v>
      </c>
      <c r="N300">
        <v>2</v>
      </c>
      <c r="O300">
        <v>2</v>
      </c>
      <c r="P300">
        <v>9</v>
      </c>
      <c r="Q300">
        <v>0.5</v>
      </c>
      <c r="R300">
        <v>9</v>
      </c>
      <c r="S300">
        <v>1</v>
      </c>
      <c r="T300">
        <v>2.5</v>
      </c>
      <c r="U300">
        <v>12.5</v>
      </c>
      <c r="V300">
        <v>1830.0653594771243</v>
      </c>
      <c r="W300">
        <v>2</v>
      </c>
    </row>
    <row r="301" spans="1:23" x14ac:dyDescent="0.2">
      <c r="A301">
        <v>2020</v>
      </c>
      <c r="B301" t="s">
        <v>23</v>
      </c>
      <c r="C301" t="s">
        <v>24</v>
      </c>
      <c r="D301">
        <v>150</v>
      </c>
      <c r="E301">
        <v>2</v>
      </c>
      <c r="F301">
        <v>15</v>
      </c>
      <c r="G301" t="s">
        <v>175</v>
      </c>
      <c r="H301" s="1">
        <v>8</v>
      </c>
      <c r="I301" s="1">
        <v>67</v>
      </c>
      <c r="J301" s="1">
        <v>69</v>
      </c>
      <c r="K301" s="1">
        <f>J301-I301</f>
        <v>2</v>
      </c>
      <c r="L301" s="1">
        <v>109</v>
      </c>
      <c r="M301" s="1">
        <v>29</v>
      </c>
      <c r="N301" s="1">
        <v>2</v>
      </c>
      <c r="O301" s="1">
        <v>3</v>
      </c>
      <c r="P301" s="1">
        <v>5</v>
      </c>
      <c r="Q301" s="2">
        <v>0.123</v>
      </c>
      <c r="R301" s="1">
        <v>3</v>
      </c>
      <c r="S301" s="1">
        <f>R301/P301</f>
        <v>0.6</v>
      </c>
      <c r="T301" s="1">
        <v>4</v>
      </c>
      <c r="U301" s="1">
        <v>12.5</v>
      </c>
      <c r="V301" s="1">
        <v>450.1960784313726</v>
      </c>
      <c r="W301" s="1">
        <v>4</v>
      </c>
    </row>
    <row r="302" spans="1:23" x14ac:dyDescent="0.2">
      <c r="A302">
        <v>2020</v>
      </c>
      <c r="B302" t="s">
        <v>23</v>
      </c>
      <c r="C302" t="s">
        <v>24</v>
      </c>
      <c r="D302">
        <v>151</v>
      </c>
      <c r="E302">
        <v>1</v>
      </c>
      <c r="F302">
        <v>6</v>
      </c>
      <c r="G302" t="s">
        <v>176</v>
      </c>
      <c r="H302" s="1">
        <v>9</v>
      </c>
      <c r="I302" s="1">
        <v>57</v>
      </c>
      <c r="J302" s="1">
        <v>60</v>
      </c>
      <c r="K302" s="1">
        <f>J302-I302</f>
        <v>3</v>
      </c>
      <c r="L302" s="1">
        <v>170</v>
      </c>
      <c r="M302" s="1">
        <v>77</v>
      </c>
      <c r="N302" s="1">
        <v>2</v>
      </c>
      <c r="O302" s="1">
        <v>2.5</v>
      </c>
      <c r="P302" s="1">
        <v>7</v>
      </c>
      <c r="Q302" s="2">
        <v>0.37604999999999994</v>
      </c>
      <c r="R302" s="1">
        <v>6</v>
      </c>
      <c r="S302" s="1">
        <f>R302/P302</f>
        <v>0.8571428571428571</v>
      </c>
      <c r="T302" s="1">
        <v>4</v>
      </c>
      <c r="U302" s="1">
        <v>11.1</v>
      </c>
      <c r="V302" s="1">
        <v>1398.4144313725487</v>
      </c>
      <c r="W302" s="1">
        <v>4</v>
      </c>
    </row>
    <row r="303" spans="1:23" x14ac:dyDescent="0.2">
      <c r="A303">
        <v>2020</v>
      </c>
      <c r="B303" t="s">
        <v>23</v>
      </c>
      <c r="C303" t="s">
        <v>24</v>
      </c>
      <c r="D303">
        <v>151</v>
      </c>
      <c r="E303">
        <v>2</v>
      </c>
      <c r="F303">
        <v>13</v>
      </c>
      <c r="G303" t="s">
        <v>176</v>
      </c>
      <c r="H303" s="1">
        <v>10</v>
      </c>
      <c r="I303" s="1">
        <v>62</v>
      </c>
      <c r="J303" s="1">
        <v>67</v>
      </c>
      <c r="K303" s="1">
        <f>J303-I303</f>
        <v>5</v>
      </c>
      <c r="L303" s="1">
        <v>163</v>
      </c>
      <c r="M303" s="1">
        <v>103</v>
      </c>
      <c r="N303" s="1">
        <v>2</v>
      </c>
      <c r="O303" s="1">
        <v>2.5</v>
      </c>
      <c r="P303" s="1">
        <v>8</v>
      </c>
      <c r="Q303" s="2">
        <v>0.3392</v>
      </c>
      <c r="R303" s="1">
        <v>3</v>
      </c>
      <c r="S303" s="1">
        <f>R303/P303</f>
        <v>0.375</v>
      </c>
      <c r="T303" s="1">
        <v>5</v>
      </c>
      <c r="U303" s="1">
        <v>9.1</v>
      </c>
      <c r="V303" s="1">
        <v>1289.758117647059</v>
      </c>
      <c r="W303" s="1">
        <v>5</v>
      </c>
    </row>
    <row r="304" spans="1:23" x14ac:dyDescent="0.2">
      <c r="A304">
        <v>2020</v>
      </c>
      <c r="B304" t="s">
        <v>23</v>
      </c>
      <c r="C304" t="s">
        <v>24</v>
      </c>
      <c r="D304">
        <v>152</v>
      </c>
      <c r="E304">
        <v>1</v>
      </c>
      <c r="F304">
        <v>1</v>
      </c>
      <c r="G304" t="s">
        <v>177</v>
      </c>
      <c r="H304" s="1">
        <v>10</v>
      </c>
      <c r="I304" s="1">
        <v>66</v>
      </c>
      <c r="J304" s="1">
        <v>71</v>
      </c>
      <c r="K304" s="1">
        <f>J304-I304</f>
        <v>5</v>
      </c>
      <c r="L304" s="1">
        <v>145</v>
      </c>
      <c r="M304" s="1">
        <v>31</v>
      </c>
      <c r="N304" s="1">
        <v>2.5</v>
      </c>
      <c r="O304" s="1">
        <v>3</v>
      </c>
      <c r="P304" s="1">
        <v>8</v>
      </c>
      <c r="Q304" s="2">
        <v>0.255</v>
      </c>
      <c r="R304" s="1">
        <v>7</v>
      </c>
      <c r="S304" s="1">
        <f>R304/P304</f>
        <v>0.875</v>
      </c>
      <c r="T304" s="1">
        <v>3</v>
      </c>
      <c r="U304" s="1">
        <v>12.5</v>
      </c>
      <c r="V304" s="1">
        <v>933.33333333333337</v>
      </c>
      <c r="W304" s="1">
        <v>5</v>
      </c>
    </row>
    <row r="305" spans="1:23" x14ac:dyDescent="0.2">
      <c r="A305">
        <v>2020</v>
      </c>
      <c r="B305" t="s">
        <v>23</v>
      </c>
      <c r="C305" t="s">
        <v>24</v>
      </c>
      <c r="D305">
        <v>152</v>
      </c>
      <c r="E305">
        <v>2</v>
      </c>
      <c r="F305">
        <v>14</v>
      </c>
      <c r="G305" t="s">
        <v>177</v>
      </c>
      <c r="H305">
        <v>5</v>
      </c>
      <c r="I305">
        <v>56</v>
      </c>
      <c r="J305">
        <v>60</v>
      </c>
      <c r="K305">
        <v>4</v>
      </c>
      <c r="L305">
        <v>117</v>
      </c>
      <c r="M305">
        <v>24</v>
      </c>
      <c r="N305">
        <v>3</v>
      </c>
      <c r="O305">
        <v>3</v>
      </c>
      <c r="P305">
        <v>5</v>
      </c>
      <c r="Q305">
        <v>1</v>
      </c>
      <c r="R305">
        <v>6</v>
      </c>
      <c r="S305">
        <v>1.2</v>
      </c>
      <c r="T305">
        <v>2</v>
      </c>
      <c r="U305">
        <v>12.5</v>
      </c>
      <c r="V305">
        <v>3660.1307189542486</v>
      </c>
      <c r="W305">
        <v>2</v>
      </c>
    </row>
    <row r="306" spans="1:23" x14ac:dyDescent="0.2">
      <c r="A306">
        <v>2020</v>
      </c>
      <c r="B306" t="s">
        <v>23</v>
      </c>
      <c r="C306" t="s">
        <v>24</v>
      </c>
      <c r="D306">
        <v>153</v>
      </c>
      <c r="E306">
        <v>1</v>
      </c>
      <c r="F306">
        <v>11</v>
      </c>
      <c r="G306" t="s">
        <v>178</v>
      </c>
      <c r="H306" s="1">
        <v>12</v>
      </c>
      <c r="I306" s="1">
        <v>66</v>
      </c>
      <c r="J306" s="1">
        <v>70</v>
      </c>
      <c r="K306" s="1">
        <f>J306-I306</f>
        <v>4</v>
      </c>
      <c r="L306" s="1">
        <v>156</v>
      </c>
      <c r="M306" s="1">
        <v>71</v>
      </c>
      <c r="N306" s="1">
        <v>2</v>
      </c>
      <c r="O306" s="1">
        <v>3.5</v>
      </c>
      <c r="P306" s="1">
        <v>9</v>
      </c>
      <c r="Q306" s="2">
        <v>0.49439999999999995</v>
      </c>
      <c r="R306" s="1">
        <v>8</v>
      </c>
      <c r="S306" s="1">
        <f>R306/P306</f>
        <v>0.88888888888888884</v>
      </c>
      <c r="T306" s="1">
        <v>3</v>
      </c>
      <c r="U306" s="1">
        <v>12.5</v>
      </c>
      <c r="V306" s="1">
        <v>1809.5686274509803</v>
      </c>
      <c r="W306" s="1">
        <v>4</v>
      </c>
    </row>
    <row r="307" spans="1:23" x14ac:dyDescent="0.2">
      <c r="A307">
        <v>2020</v>
      </c>
      <c r="B307" t="s">
        <v>23</v>
      </c>
      <c r="C307" t="s">
        <v>24</v>
      </c>
      <c r="D307">
        <v>153</v>
      </c>
      <c r="E307">
        <v>2</v>
      </c>
      <c r="F307">
        <v>11</v>
      </c>
      <c r="G307" t="s">
        <v>178</v>
      </c>
      <c r="H307">
        <v>7</v>
      </c>
      <c r="I307">
        <v>55</v>
      </c>
      <c r="J307">
        <v>57</v>
      </c>
      <c r="K307">
        <v>2</v>
      </c>
      <c r="L307">
        <v>186</v>
      </c>
      <c r="M307">
        <v>61</v>
      </c>
      <c r="N307">
        <v>1.5</v>
      </c>
      <c r="O307">
        <v>2.5</v>
      </c>
      <c r="P307">
        <v>7</v>
      </c>
      <c r="Q307">
        <v>0.4</v>
      </c>
      <c r="R307">
        <v>5</v>
      </c>
      <c r="S307">
        <v>0.7142857142857143</v>
      </c>
      <c r="T307" t="s">
        <v>273</v>
      </c>
      <c r="U307">
        <v>12.5</v>
      </c>
      <c r="V307">
        <v>1464.0522875816994</v>
      </c>
      <c r="W307">
        <v>2</v>
      </c>
    </row>
    <row r="308" spans="1:23" x14ac:dyDescent="0.2">
      <c r="A308">
        <v>2020</v>
      </c>
      <c r="B308" t="s">
        <v>23</v>
      </c>
      <c r="C308" t="s">
        <v>24</v>
      </c>
      <c r="D308">
        <v>154</v>
      </c>
      <c r="E308">
        <v>1</v>
      </c>
      <c r="F308">
        <v>7</v>
      </c>
      <c r="G308" t="s">
        <v>179</v>
      </c>
      <c r="H308" s="1">
        <v>4</v>
      </c>
      <c r="I308" s="1">
        <v>69</v>
      </c>
      <c r="J308" s="1">
        <v>74</v>
      </c>
      <c r="K308" s="1">
        <f>J308-I308</f>
        <v>5</v>
      </c>
      <c r="L308" s="1">
        <v>75</v>
      </c>
      <c r="M308" s="1">
        <v>30</v>
      </c>
      <c r="N308" s="1">
        <v>2</v>
      </c>
      <c r="O308" s="1">
        <v>5</v>
      </c>
      <c r="P308" s="1">
        <v>2</v>
      </c>
      <c r="Q308" s="2">
        <v>5.8999999999999997E-2</v>
      </c>
      <c r="R308" s="1">
        <v>1</v>
      </c>
      <c r="S308" s="1">
        <f>R308/P308</f>
        <v>0.5</v>
      </c>
      <c r="T308" s="1">
        <v>5</v>
      </c>
      <c r="U308" s="1">
        <v>12.5</v>
      </c>
      <c r="V308" s="1">
        <v>215.94771241830065</v>
      </c>
      <c r="W308" s="1">
        <v>7</v>
      </c>
    </row>
    <row r="309" spans="1:23" x14ac:dyDescent="0.2">
      <c r="A309">
        <v>2020</v>
      </c>
      <c r="B309" t="s">
        <v>23</v>
      </c>
      <c r="C309" t="s">
        <v>24</v>
      </c>
      <c r="D309">
        <v>154</v>
      </c>
      <c r="E309">
        <v>2</v>
      </c>
      <c r="F309">
        <v>1</v>
      </c>
      <c r="G309" t="s">
        <v>179</v>
      </c>
      <c r="H309" s="1">
        <v>13</v>
      </c>
      <c r="I309" s="1">
        <v>69</v>
      </c>
      <c r="J309" s="1">
        <v>72</v>
      </c>
      <c r="K309" s="1">
        <f>J309-I309</f>
        <v>3</v>
      </c>
      <c r="L309" s="1">
        <v>186</v>
      </c>
      <c r="M309" s="1">
        <v>71</v>
      </c>
      <c r="N309" s="1">
        <v>2</v>
      </c>
      <c r="O309" s="1">
        <v>2.5</v>
      </c>
      <c r="P309" s="1">
        <v>11</v>
      </c>
      <c r="Q309" s="2">
        <v>0.6853499999999999</v>
      </c>
      <c r="R309" s="1">
        <v>10</v>
      </c>
      <c r="S309" s="1">
        <f>R309/P309</f>
        <v>0.90909090909090906</v>
      </c>
      <c r="T309" s="1">
        <v>3</v>
      </c>
      <c r="U309" s="1">
        <v>12.5</v>
      </c>
      <c r="V309" s="1">
        <v>2508.4705882352937</v>
      </c>
      <c r="W309" s="1">
        <v>5</v>
      </c>
    </row>
    <row r="310" spans="1:23" x14ac:dyDescent="0.2">
      <c r="A310">
        <v>2020</v>
      </c>
      <c r="B310" t="s">
        <v>23</v>
      </c>
      <c r="C310" t="s">
        <v>24</v>
      </c>
      <c r="D310">
        <v>155</v>
      </c>
      <c r="E310">
        <v>1</v>
      </c>
      <c r="F310">
        <v>15</v>
      </c>
      <c r="G310" t="s">
        <v>180</v>
      </c>
      <c r="H310">
        <v>12</v>
      </c>
      <c r="I310">
        <v>57</v>
      </c>
      <c r="J310">
        <v>58</v>
      </c>
      <c r="K310">
        <v>1</v>
      </c>
      <c r="L310">
        <v>182</v>
      </c>
      <c r="M310">
        <v>87</v>
      </c>
      <c r="N310">
        <v>2</v>
      </c>
      <c r="O310">
        <v>2</v>
      </c>
      <c r="P310">
        <v>12</v>
      </c>
      <c r="Q310">
        <v>0.8</v>
      </c>
      <c r="R310">
        <v>11</v>
      </c>
      <c r="S310">
        <v>0.91666666666666663</v>
      </c>
      <c r="T310">
        <v>2</v>
      </c>
      <c r="U310">
        <v>12.6</v>
      </c>
      <c r="V310">
        <v>2924.7581699346406</v>
      </c>
      <c r="W310">
        <v>1</v>
      </c>
    </row>
    <row r="311" spans="1:23" x14ac:dyDescent="0.2">
      <c r="A311">
        <v>2020</v>
      </c>
      <c r="B311" t="s">
        <v>23</v>
      </c>
      <c r="C311" t="s">
        <v>24</v>
      </c>
      <c r="D311">
        <v>155</v>
      </c>
      <c r="E311">
        <v>2</v>
      </c>
      <c r="F311">
        <v>10</v>
      </c>
      <c r="G311" t="s">
        <v>180</v>
      </c>
      <c r="H311" s="1">
        <v>10</v>
      </c>
      <c r="I311" s="1">
        <v>65</v>
      </c>
      <c r="J311" s="1">
        <v>70</v>
      </c>
      <c r="K311" s="1">
        <f>J311-I311</f>
        <v>5</v>
      </c>
      <c r="L311" s="1">
        <v>150</v>
      </c>
      <c r="M311" s="1">
        <v>52</v>
      </c>
      <c r="N311" s="1">
        <v>3</v>
      </c>
      <c r="O311" s="1">
        <v>4</v>
      </c>
      <c r="P311" s="1">
        <v>6</v>
      </c>
      <c r="Q311" s="2">
        <v>0.33900000000000002</v>
      </c>
      <c r="R311" s="1">
        <v>5</v>
      </c>
      <c r="S311" s="1">
        <f>R311/P311</f>
        <v>0.83333333333333337</v>
      </c>
      <c r="T311" s="1">
        <v>2.5</v>
      </c>
      <c r="U311" s="1">
        <v>12.5</v>
      </c>
      <c r="V311" s="1">
        <v>1240.7843137254904</v>
      </c>
      <c r="W311" s="1">
        <v>3</v>
      </c>
    </row>
    <row r="312" spans="1:23" x14ac:dyDescent="0.2">
      <c r="A312">
        <v>2020</v>
      </c>
      <c r="B312" t="s">
        <v>23</v>
      </c>
      <c r="C312" t="s">
        <v>24</v>
      </c>
      <c r="D312">
        <v>156</v>
      </c>
      <c r="E312">
        <v>1</v>
      </c>
      <c r="F312">
        <v>6</v>
      </c>
      <c r="G312" t="s">
        <v>181</v>
      </c>
      <c r="H312" s="1">
        <v>7</v>
      </c>
      <c r="I312" s="1">
        <v>64</v>
      </c>
      <c r="J312" s="1">
        <v>68</v>
      </c>
      <c r="K312" s="1">
        <f>J312-I312</f>
        <v>4</v>
      </c>
      <c r="L312" s="1">
        <v>115</v>
      </c>
      <c r="M312" s="1">
        <v>43</v>
      </c>
      <c r="N312" s="1">
        <v>2.5</v>
      </c>
      <c r="O312" s="1">
        <v>4.5</v>
      </c>
      <c r="P312" s="1">
        <v>5</v>
      </c>
      <c r="Q312" s="2">
        <v>0.10199999999999999</v>
      </c>
      <c r="R312" s="1">
        <v>4</v>
      </c>
      <c r="S312" s="1">
        <f>R312/P312</f>
        <v>0.8</v>
      </c>
      <c r="T312" s="1">
        <v>5</v>
      </c>
      <c r="U312" s="1">
        <v>12.5</v>
      </c>
      <c r="V312" s="1">
        <v>373.33333333333326</v>
      </c>
      <c r="W312" s="1">
        <v>5</v>
      </c>
    </row>
    <row r="313" spans="1:23" x14ac:dyDescent="0.2">
      <c r="A313">
        <v>2020</v>
      </c>
      <c r="B313" t="s">
        <v>23</v>
      </c>
      <c r="C313" t="s">
        <v>24</v>
      </c>
      <c r="D313">
        <v>156</v>
      </c>
      <c r="E313">
        <v>2</v>
      </c>
      <c r="F313">
        <v>3</v>
      </c>
      <c r="G313" t="s">
        <v>181</v>
      </c>
      <c r="H313" s="1">
        <v>15</v>
      </c>
      <c r="I313" s="1">
        <v>70</v>
      </c>
      <c r="J313" s="1">
        <v>74</v>
      </c>
      <c r="K313" s="1">
        <f>J313-I313</f>
        <v>4</v>
      </c>
      <c r="L313" s="1">
        <v>140</v>
      </c>
      <c r="M313" s="1">
        <v>50</v>
      </c>
      <c r="N313" s="1">
        <v>2.5</v>
      </c>
      <c r="O313" s="1">
        <v>4</v>
      </c>
      <c r="P313" s="1">
        <v>8</v>
      </c>
      <c r="Q313" s="2">
        <v>0.2</v>
      </c>
      <c r="R313" s="1">
        <v>5</v>
      </c>
      <c r="S313" s="1">
        <f>R313/P313</f>
        <v>0.625</v>
      </c>
      <c r="T313" s="1">
        <v>3</v>
      </c>
      <c r="U313" s="1">
        <v>12.5</v>
      </c>
      <c r="V313" s="1">
        <v>732.02614379084969</v>
      </c>
      <c r="W313" s="1">
        <v>5</v>
      </c>
    </row>
    <row r="314" spans="1:23" x14ac:dyDescent="0.2">
      <c r="A314">
        <v>2020</v>
      </c>
      <c r="B314" t="s">
        <v>23</v>
      </c>
      <c r="C314" t="s">
        <v>24</v>
      </c>
      <c r="D314">
        <v>157</v>
      </c>
      <c r="E314">
        <v>1</v>
      </c>
      <c r="F314">
        <v>10</v>
      </c>
      <c r="G314" t="s">
        <v>182</v>
      </c>
      <c r="H314" s="1">
        <v>13</v>
      </c>
      <c r="I314" s="1">
        <v>66</v>
      </c>
      <c r="J314" s="1">
        <v>68</v>
      </c>
      <c r="K314" s="1">
        <f>J314-I314</f>
        <v>2</v>
      </c>
      <c r="L314" s="1">
        <v>134</v>
      </c>
      <c r="M314" s="1">
        <v>46</v>
      </c>
      <c r="N314" s="1">
        <v>2</v>
      </c>
      <c r="O314" s="1">
        <v>3.5</v>
      </c>
      <c r="P314" s="1">
        <f>H314</f>
        <v>13</v>
      </c>
      <c r="Q314" s="2">
        <v>0.3</v>
      </c>
      <c r="R314" s="1">
        <v>9</v>
      </c>
      <c r="S314" s="1">
        <f>R314/P314</f>
        <v>0.69230769230769229</v>
      </c>
      <c r="T314" s="1">
        <v>5</v>
      </c>
      <c r="U314" s="1">
        <v>12.5</v>
      </c>
      <c r="V314" s="1">
        <v>1098.0392156862745</v>
      </c>
      <c r="W314" s="1">
        <v>4</v>
      </c>
    </row>
    <row r="315" spans="1:23" x14ac:dyDescent="0.2">
      <c r="A315">
        <v>2020</v>
      </c>
      <c r="B315" t="s">
        <v>23</v>
      </c>
      <c r="C315" t="s">
        <v>24</v>
      </c>
      <c r="D315">
        <v>157</v>
      </c>
      <c r="E315">
        <v>2</v>
      </c>
      <c r="F315">
        <v>1</v>
      </c>
      <c r="G315" t="s">
        <v>182</v>
      </c>
      <c r="H315">
        <v>7</v>
      </c>
      <c r="I315">
        <v>55</v>
      </c>
      <c r="J315">
        <v>57</v>
      </c>
      <c r="K315">
        <v>2</v>
      </c>
      <c r="L315">
        <v>151</v>
      </c>
      <c r="M315">
        <v>39</v>
      </c>
      <c r="N315">
        <v>3</v>
      </c>
      <c r="O315">
        <v>3</v>
      </c>
      <c r="P315">
        <v>7</v>
      </c>
      <c r="Q315">
        <v>0.161</v>
      </c>
      <c r="R315">
        <v>3</v>
      </c>
      <c r="S315">
        <v>0.42857142857142855</v>
      </c>
      <c r="T315">
        <v>4</v>
      </c>
      <c r="U315">
        <v>12.5</v>
      </c>
      <c r="V315">
        <v>589.281045751634</v>
      </c>
      <c r="W315">
        <v>2</v>
      </c>
    </row>
    <row r="316" spans="1:23" x14ac:dyDescent="0.2">
      <c r="A316">
        <v>2020</v>
      </c>
      <c r="B316" t="s">
        <v>23</v>
      </c>
      <c r="C316" t="s">
        <v>24</v>
      </c>
      <c r="D316">
        <v>158</v>
      </c>
      <c r="E316">
        <v>1</v>
      </c>
      <c r="F316">
        <v>1</v>
      </c>
      <c r="G316" t="s">
        <v>183</v>
      </c>
      <c r="H316" s="1">
        <v>13</v>
      </c>
      <c r="I316" s="1">
        <v>56</v>
      </c>
      <c r="J316" s="1">
        <v>60</v>
      </c>
      <c r="K316" s="1">
        <f>J316-I316</f>
        <v>4</v>
      </c>
      <c r="L316" s="1">
        <v>138</v>
      </c>
      <c r="M316" s="1">
        <v>58</v>
      </c>
      <c r="N316" s="1">
        <v>3</v>
      </c>
      <c r="O316" s="1">
        <v>4</v>
      </c>
      <c r="P316" s="1">
        <f>H316-2</f>
        <v>11</v>
      </c>
      <c r="Q316" s="2">
        <v>0.36</v>
      </c>
      <c r="R316" s="1">
        <v>8</v>
      </c>
      <c r="S316" s="1">
        <f>R316/P316</f>
        <v>0.72727272727272729</v>
      </c>
      <c r="T316" s="1">
        <v>5</v>
      </c>
      <c r="U316" s="1">
        <v>12.5</v>
      </c>
      <c r="V316" s="1">
        <v>1317.6470588235293</v>
      </c>
      <c r="W316" s="1">
        <v>5</v>
      </c>
    </row>
    <row r="317" spans="1:23" x14ac:dyDescent="0.2">
      <c r="A317">
        <v>2020</v>
      </c>
      <c r="B317" t="s">
        <v>23</v>
      </c>
      <c r="C317" t="s">
        <v>24</v>
      </c>
      <c r="D317">
        <v>158</v>
      </c>
      <c r="E317">
        <v>2</v>
      </c>
      <c r="F317">
        <v>1</v>
      </c>
      <c r="G317" t="s">
        <v>183</v>
      </c>
      <c r="H317" s="1">
        <v>4</v>
      </c>
      <c r="I317" s="1">
        <v>65</v>
      </c>
      <c r="J317" s="1">
        <v>70</v>
      </c>
      <c r="K317" s="1">
        <f>J317-I317</f>
        <v>5</v>
      </c>
      <c r="L317" s="1">
        <v>131</v>
      </c>
      <c r="M317" s="1">
        <v>70</v>
      </c>
      <c r="N317" s="1">
        <v>1.5</v>
      </c>
      <c r="O317" s="1">
        <v>4</v>
      </c>
      <c r="P317" s="1">
        <v>4</v>
      </c>
      <c r="Q317" s="2">
        <v>0.23</v>
      </c>
      <c r="R317" s="1">
        <v>4</v>
      </c>
      <c r="S317" s="1">
        <f>R317/P317</f>
        <v>1</v>
      </c>
      <c r="T317" s="1">
        <v>3</v>
      </c>
      <c r="U317" s="1">
        <v>12.5</v>
      </c>
      <c r="V317" s="1">
        <v>841.83006535947709</v>
      </c>
      <c r="W317" s="1">
        <v>4</v>
      </c>
    </row>
    <row r="318" spans="1:23" x14ac:dyDescent="0.2">
      <c r="A318">
        <v>2020</v>
      </c>
      <c r="B318" t="s">
        <v>23</v>
      </c>
      <c r="C318" t="s">
        <v>24</v>
      </c>
      <c r="D318">
        <v>159</v>
      </c>
      <c r="E318">
        <v>1</v>
      </c>
      <c r="F318">
        <v>6</v>
      </c>
      <c r="G318" t="s">
        <v>184</v>
      </c>
      <c r="H318">
        <v>10</v>
      </c>
      <c r="I318">
        <v>56</v>
      </c>
      <c r="J318">
        <v>55</v>
      </c>
      <c r="K318">
        <v>-1</v>
      </c>
      <c r="L318">
        <v>179</v>
      </c>
      <c r="M318">
        <v>54</v>
      </c>
      <c r="N318">
        <v>3</v>
      </c>
      <c r="O318">
        <v>3</v>
      </c>
      <c r="P318">
        <v>9</v>
      </c>
      <c r="Q318">
        <v>1.2410000000000001</v>
      </c>
      <c r="R318">
        <v>13</v>
      </c>
      <c r="S318">
        <v>1.4444444444444444</v>
      </c>
      <c r="T318">
        <v>2</v>
      </c>
      <c r="U318">
        <v>12.5</v>
      </c>
      <c r="V318">
        <v>4542.2222222222226</v>
      </c>
      <c r="W318">
        <v>2</v>
      </c>
    </row>
    <row r="319" spans="1:23" x14ac:dyDescent="0.2">
      <c r="A319">
        <v>2020</v>
      </c>
      <c r="B319" t="s">
        <v>23</v>
      </c>
      <c r="C319" t="s">
        <v>24</v>
      </c>
      <c r="D319">
        <v>159</v>
      </c>
      <c r="E319">
        <v>2</v>
      </c>
      <c r="F319">
        <v>1</v>
      </c>
      <c r="G319" t="s">
        <v>184</v>
      </c>
      <c r="H319">
        <v>15</v>
      </c>
      <c r="I319">
        <v>55</v>
      </c>
      <c r="J319">
        <v>57</v>
      </c>
      <c r="K319">
        <v>2</v>
      </c>
      <c r="L319">
        <v>136</v>
      </c>
      <c r="M319">
        <v>69</v>
      </c>
      <c r="N319">
        <v>2</v>
      </c>
      <c r="O319">
        <v>2</v>
      </c>
      <c r="P319">
        <v>15</v>
      </c>
      <c r="Q319">
        <v>1.5</v>
      </c>
      <c r="R319">
        <v>15</v>
      </c>
      <c r="S319">
        <v>1</v>
      </c>
      <c r="T319">
        <v>2</v>
      </c>
      <c r="U319">
        <v>9.6</v>
      </c>
      <c r="V319">
        <v>5672.1568627450997</v>
      </c>
      <c r="W319">
        <v>1</v>
      </c>
    </row>
    <row r="320" spans="1:23" x14ac:dyDescent="0.2">
      <c r="A320">
        <v>2020</v>
      </c>
      <c r="B320" t="s">
        <v>23</v>
      </c>
      <c r="C320" t="s">
        <v>24</v>
      </c>
      <c r="D320">
        <v>160</v>
      </c>
      <c r="E320">
        <v>1</v>
      </c>
      <c r="F320">
        <v>11</v>
      </c>
      <c r="G320" t="s">
        <v>185</v>
      </c>
      <c r="H320">
        <v>4</v>
      </c>
      <c r="I320">
        <v>55</v>
      </c>
      <c r="J320">
        <v>61</v>
      </c>
      <c r="K320">
        <v>6</v>
      </c>
      <c r="L320">
        <v>55</v>
      </c>
      <c r="M320">
        <v>20</v>
      </c>
      <c r="N320">
        <v>1</v>
      </c>
      <c r="O320">
        <v>4</v>
      </c>
      <c r="P320">
        <v>4</v>
      </c>
      <c r="Q320">
        <v>8.4000000000000005E-2</v>
      </c>
      <c r="R320">
        <v>3</v>
      </c>
      <c r="S320">
        <v>0.75</v>
      </c>
      <c r="T320">
        <v>4</v>
      </c>
      <c r="U320">
        <v>12.5</v>
      </c>
      <c r="V320">
        <v>307.45098039215685</v>
      </c>
      <c r="W320">
        <v>1</v>
      </c>
    </row>
    <row r="321" spans="1:23" x14ac:dyDescent="0.2">
      <c r="A321">
        <v>2020</v>
      </c>
      <c r="B321" t="s">
        <v>23</v>
      </c>
      <c r="C321" t="s">
        <v>24</v>
      </c>
      <c r="D321">
        <v>160</v>
      </c>
      <c r="E321">
        <v>2</v>
      </c>
      <c r="F321">
        <v>8</v>
      </c>
      <c r="G321" t="s">
        <v>185</v>
      </c>
      <c r="H321" s="1">
        <v>12</v>
      </c>
      <c r="I321" s="1">
        <v>56</v>
      </c>
      <c r="J321" s="1">
        <v>60</v>
      </c>
      <c r="K321" s="1">
        <f>J321-I321</f>
        <v>4</v>
      </c>
      <c r="L321" s="1">
        <v>98</v>
      </c>
      <c r="M321" s="1">
        <v>61</v>
      </c>
      <c r="N321" s="1">
        <v>2</v>
      </c>
      <c r="O321" s="1">
        <v>2.5</v>
      </c>
      <c r="P321" s="1">
        <f>H321</f>
        <v>12</v>
      </c>
      <c r="Q321" s="2">
        <v>6.0299999999999999E-2</v>
      </c>
      <c r="R321" s="1">
        <v>9</v>
      </c>
      <c r="S321" s="1">
        <f>R321/P321</f>
        <v>0.75</v>
      </c>
      <c r="T321" s="1">
        <v>5</v>
      </c>
      <c r="U321" s="1">
        <v>12.5</v>
      </c>
      <c r="V321" s="1">
        <v>220.70588235294116</v>
      </c>
      <c r="W321" s="1">
        <v>5</v>
      </c>
    </row>
    <row r="322" spans="1:23" x14ac:dyDescent="0.2">
      <c r="A322">
        <v>2020</v>
      </c>
      <c r="B322" t="s">
        <v>23</v>
      </c>
      <c r="C322" t="s">
        <v>24</v>
      </c>
      <c r="D322">
        <v>161</v>
      </c>
      <c r="E322">
        <v>1</v>
      </c>
      <c r="F322">
        <v>2</v>
      </c>
      <c r="G322" t="s">
        <v>186</v>
      </c>
      <c r="H322" s="1">
        <v>10</v>
      </c>
      <c r="I322" s="1">
        <v>69</v>
      </c>
      <c r="J322" s="1">
        <v>74</v>
      </c>
      <c r="K322" s="1">
        <f>J322-I322</f>
        <v>5</v>
      </c>
      <c r="L322" s="1">
        <v>104</v>
      </c>
      <c r="M322" s="1">
        <v>32</v>
      </c>
      <c r="N322" s="1">
        <v>3</v>
      </c>
      <c r="O322" s="1">
        <v>5</v>
      </c>
      <c r="P322" s="1">
        <v>1</v>
      </c>
      <c r="Q322" s="2">
        <v>1.4999999999999999E-2</v>
      </c>
      <c r="R322" s="1">
        <v>1</v>
      </c>
      <c r="S322" s="1">
        <f>R322/P322</f>
        <v>1</v>
      </c>
      <c r="T322" s="1">
        <v>5</v>
      </c>
      <c r="U322" s="1">
        <v>12.5</v>
      </c>
      <c r="V322" s="1">
        <v>54.901960784313729</v>
      </c>
      <c r="W322" s="1">
        <v>5</v>
      </c>
    </row>
    <row r="323" spans="1:23" x14ac:dyDescent="0.2">
      <c r="A323">
        <v>2020</v>
      </c>
      <c r="B323" t="s">
        <v>23</v>
      </c>
      <c r="C323" t="s">
        <v>24</v>
      </c>
      <c r="D323">
        <v>161</v>
      </c>
      <c r="E323">
        <v>2</v>
      </c>
      <c r="F323">
        <v>15</v>
      </c>
      <c r="G323" t="s">
        <v>186</v>
      </c>
      <c r="H323" s="1">
        <v>7</v>
      </c>
      <c r="I323" s="1">
        <v>64</v>
      </c>
      <c r="J323" s="1">
        <v>67</v>
      </c>
      <c r="K323" s="1">
        <f>J323-I323</f>
        <v>3</v>
      </c>
      <c r="L323" s="1">
        <v>73</v>
      </c>
      <c r="M323" s="1">
        <v>25</v>
      </c>
      <c r="N323" s="1">
        <v>2</v>
      </c>
      <c r="O323" s="1">
        <v>4</v>
      </c>
      <c r="P323" s="1">
        <v>5</v>
      </c>
      <c r="Q323" s="2">
        <v>0.13400000000000001</v>
      </c>
      <c r="R323" s="1">
        <v>4</v>
      </c>
      <c r="S323" s="1">
        <f>R323/P323</f>
        <v>0.8</v>
      </c>
      <c r="T323" s="1">
        <v>5</v>
      </c>
      <c r="U323" s="1">
        <v>12.5</v>
      </c>
      <c r="V323" s="1">
        <v>490.45751633986936</v>
      </c>
      <c r="W323" s="1">
        <v>6</v>
      </c>
    </row>
    <row r="324" spans="1:23" x14ac:dyDescent="0.2">
      <c r="A324">
        <v>2020</v>
      </c>
      <c r="B324" t="s">
        <v>23</v>
      </c>
      <c r="C324" t="s">
        <v>24</v>
      </c>
      <c r="D324">
        <v>162</v>
      </c>
      <c r="E324">
        <v>1</v>
      </c>
      <c r="F324">
        <v>13</v>
      </c>
      <c r="G324" t="s">
        <v>187</v>
      </c>
      <c r="H324">
        <v>14</v>
      </c>
      <c r="I324">
        <v>58</v>
      </c>
      <c r="J324">
        <v>60</v>
      </c>
      <c r="K324">
        <v>2</v>
      </c>
      <c r="L324">
        <v>173</v>
      </c>
      <c r="M324">
        <v>90</v>
      </c>
      <c r="N324">
        <v>2</v>
      </c>
      <c r="O324">
        <v>1.5</v>
      </c>
      <c r="P324">
        <v>11</v>
      </c>
      <c r="Q324">
        <v>0.8</v>
      </c>
      <c r="R324">
        <v>11</v>
      </c>
      <c r="S324">
        <v>1</v>
      </c>
      <c r="T324">
        <v>3</v>
      </c>
      <c r="U324">
        <v>9.8000000000000007</v>
      </c>
      <c r="V324">
        <v>3018.4575163398699</v>
      </c>
      <c r="W324">
        <v>1</v>
      </c>
    </row>
    <row r="325" spans="1:23" x14ac:dyDescent="0.2">
      <c r="A325">
        <v>2020</v>
      </c>
      <c r="B325" t="s">
        <v>23</v>
      </c>
      <c r="C325" t="s">
        <v>24</v>
      </c>
      <c r="D325">
        <v>162</v>
      </c>
      <c r="E325">
        <v>2</v>
      </c>
      <c r="F325">
        <v>9</v>
      </c>
      <c r="G325" t="s">
        <v>187</v>
      </c>
      <c r="H325" s="1">
        <v>10</v>
      </c>
      <c r="I325" s="1">
        <v>71</v>
      </c>
      <c r="J325" s="1">
        <v>73</v>
      </c>
      <c r="K325" s="1">
        <f>J325-I325</f>
        <v>2</v>
      </c>
      <c r="L325" s="1">
        <v>95</v>
      </c>
      <c r="M325" s="1">
        <v>40</v>
      </c>
      <c r="N325" s="1">
        <v>3</v>
      </c>
      <c r="O325" s="1">
        <v>4</v>
      </c>
      <c r="P325" s="1">
        <v>6</v>
      </c>
      <c r="Q325" s="2">
        <v>0.22640000000000002</v>
      </c>
      <c r="R325" s="1">
        <v>6</v>
      </c>
      <c r="S325" s="1">
        <f>R325/P325</f>
        <v>1</v>
      </c>
      <c r="T325" s="1">
        <v>3.5</v>
      </c>
      <c r="U325" s="1">
        <v>12.5</v>
      </c>
      <c r="V325" s="1">
        <v>828.65359477124196</v>
      </c>
      <c r="W325" s="1">
        <v>5</v>
      </c>
    </row>
    <row r="326" spans="1:23" x14ac:dyDescent="0.2">
      <c r="A326">
        <v>2020</v>
      </c>
      <c r="B326" t="s">
        <v>23</v>
      </c>
      <c r="C326" t="s">
        <v>24</v>
      </c>
      <c r="D326">
        <v>163</v>
      </c>
      <c r="E326">
        <v>1</v>
      </c>
      <c r="F326">
        <v>11</v>
      </c>
      <c r="G326" t="s">
        <v>188</v>
      </c>
      <c r="H326">
        <v>1</v>
      </c>
      <c r="I326">
        <v>55</v>
      </c>
      <c r="J326">
        <v>58</v>
      </c>
      <c r="K326">
        <v>3</v>
      </c>
      <c r="L326">
        <v>55</v>
      </c>
      <c r="M326">
        <v>15</v>
      </c>
      <c r="N326">
        <v>4</v>
      </c>
      <c r="O326">
        <v>5</v>
      </c>
      <c r="P326">
        <v>1</v>
      </c>
      <c r="Q326">
        <v>2.7E-2</v>
      </c>
      <c r="R326">
        <v>1</v>
      </c>
      <c r="S326">
        <v>1</v>
      </c>
      <c r="T326">
        <v>4</v>
      </c>
      <c r="U326">
        <v>12.5</v>
      </c>
      <c r="V326">
        <v>98.823529411764696</v>
      </c>
      <c r="W326">
        <v>1</v>
      </c>
    </row>
    <row r="327" spans="1:23" x14ac:dyDescent="0.2">
      <c r="A327">
        <v>2020</v>
      </c>
      <c r="B327" t="s">
        <v>23</v>
      </c>
      <c r="C327" t="s">
        <v>24</v>
      </c>
      <c r="D327">
        <v>163</v>
      </c>
      <c r="E327">
        <v>2</v>
      </c>
      <c r="F327">
        <v>9</v>
      </c>
      <c r="G327" t="s">
        <v>188</v>
      </c>
      <c r="H327">
        <v>1</v>
      </c>
      <c r="I327">
        <v>56</v>
      </c>
      <c r="J327">
        <v>59</v>
      </c>
      <c r="K327">
        <v>3</v>
      </c>
      <c r="L327">
        <v>71</v>
      </c>
      <c r="M327">
        <v>13</v>
      </c>
      <c r="N327">
        <v>3</v>
      </c>
      <c r="O327">
        <v>4</v>
      </c>
      <c r="P327">
        <v>1</v>
      </c>
      <c r="Q327">
        <v>0.121</v>
      </c>
      <c r="R327">
        <v>2</v>
      </c>
      <c r="S327">
        <v>2</v>
      </c>
      <c r="T327">
        <v>3</v>
      </c>
      <c r="U327">
        <v>12.5</v>
      </c>
      <c r="V327">
        <v>442.87581699346407</v>
      </c>
      <c r="W327">
        <v>2</v>
      </c>
    </row>
    <row r="328" spans="1:23" x14ac:dyDescent="0.2">
      <c r="A328">
        <v>2020</v>
      </c>
      <c r="B328" t="s">
        <v>23</v>
      </c>
      <c r="C328" t="s">
        <v>24</v>
      </c>
      <c r="D328">
        <v>164</v>
      </c>
      <c r="E328">
        <v>1</v>
      </c>
      <c r="F328">
        <v>8</v>
      </c>
      <c r="G328" t="s">
        <v>189</v>
      </c>
      <c r="H328">
        <v>9</v>
      </c>
      <c r="I328">
        <v>55</v>
      </c>
      <c r="J328">
        <v>59</v>
      </c>
      <c r="K328">
        <v>4</v>
      </c>
      <c r="L328">
        <v>82</v>
      </c>
      <c r="M328">
        <v>33</v>
      </c>
      <c r="N328">
        <v>2</v>
      </c>
      <c r="O328">
        <v>3</v>
      </c>
      <c r="P328">
        <v>9</v>
      </c>
      <c r="Q328">
        <v>0.8</v>
      </c>
      <c r="R328">
        <v>9</v>
      </c>
      <c r="S328">
        <v>1</v>
      </c>
      <c r="T328">
        <v>3</v>
      </c>
      <c r="U328">
        <v>12.5</v>
      </c>
      <c r="V328">
        <v>2928.1045751633987</v>
      </c>
      <c r="W328">
        <v>1</v>
      </c>
    </row>
    <row r="329" spans="1:23" x14ac:dyDescent="0.2">
      <c r="A329">
        <v>2020</v>
      </c>
      <c r="B329" t="s">
        <v>23</v>
      </c>
      <c r="C329" t="s">
        <v>24</v>
      </c>
      <c r="D329">
        <v>164</v>
      </c>
      <c r="E329">
        <v>2</v>
      </c>
      <c r="F329">
        <v>5</v>
      </c>
      <c r="G329" t="s">
        <v>189</v>
      </c>
      <c r="H329" s="1">
        <v>6</v>
      </c>
      <c r="I329" s="1">
        <v>58</v>
      </c>
      <c r="J329" s="1">
        <v>62</v>
      </c>
      <c r="K329" s="1">
        <f>J329-I329</f>
        <v>4</v>
      </c>
      <c r="L329" s="1">
        <v>130</v>
      </c>
      <c r="M329" s="1">
        <v>70</v>
      </c>
      <c r="N329" s="1">
        <v>2</v>
      </c>
      <c r="O329" s="1">
        <v>3.5</v>
      </c>
      <c r="P329" s="1">
        <v>5</v>
      </c>
      <c r="Q329" s="2">
        <v>8.1750000000000003E-2</v>
      </c>
      <c r="R329" s="1">
        <v>4</v>
      </c>
      <c r="S329" s="1">
        <f>R329/P329</f>
        <v>0.8</v>
      </c>
      <c r="T329" s="1">
        <v>5</v>
      </c>
      <c r="U329" s="1">
        <v>12.5</v>
      </c>
      <c r="V329" s="1">
        <v>299.21568627450984</v>
      </c>
      <c r="W329" s="1">
        <v>5</v>
      </c>
    </row>
    <row r="330" spans="1:23" x14ac:dyDescent="0.2">
      <c r="A330">
        <v>2020</v>
      </c>
      <c r="B330" t="s">
        <v>23</v>
      </c>
      <c r="C330" t="s">
        <v>24</v>
      </c>
      <c r="D330">
        <v>165</v>
      </c>
      <c r="E330">
        <v>1</v>
      </c>
      <c r="F330">
        <v>12</v>
      </c>
      <c r="G330" t="s">
        <v>190</v>
      </c>
      <c r="H330" s="1">
        <v>10</v>
      </c>
      <c r="I330" s="1">
        <v>65</v>
      </c>
      <c r="J330" s="1">
        <v>71</v>
      </c>
      <c r="K330" s="1">
        <f>J330-I330</f>
        <v>6</v>
      </c>
      <c r="L330" s="1">
        <v>99</v>
      </c>
      <c r="M330" s="1">
        <v>67</v>
      </c>
      <c r="N330" s="1">
        <v>2</v>
      </c>
      <c r="O330" s="1">
        <v>3.5</v>
      </c>
      <c r="P330" s="1">
        <v>8</v>
      </c>
      <c r="Q330" s="2">
        <v>9.4800000000000009E-2</v>
      </c>
      <c r="R330" s="1">
        <v>4</v>
      </c>
      <c r="S330" s="1">
        <f>R330/P330</f>
        <v>0.5</v>
      </c>
      <c r="T330" s="1">
        <v>5</v>
      </c>
      <c r="U330" s="1">
        <v>12.5</v>
      </c>
      <c r="V330" s="1">
        <v>346.98039215686276</v>
      </c>
      <c r="W330" s="1">
        <v>2</v>
      </c>
    </row>
    <row r="331" spans="1:23" x14ac:dyDescent="0.2">
      <c r="A331">
        <v>2020</v>
      </c>
      <c r="B331" t="s">
        <v>23</v>
      </c>
      <c r="C331" t="s">
        <v>24</v>
      </c>
      <c r="D331">
        <v>165</v>
      </c>
      <c r="E331">
        <v>2</v>
      </c>
      <c r="F331">
        <v>7</v>
      </c>
      <c r="G331" t="s">
        <v>190</v>
      </c>
      <c r="H331" s="1">
        <v>14</v>
      </c>
      <c r="I331" s="1">
        <v>65</v>
      </c>
      <c r="J331" s="1">
        <v>69</v>
      </c>
      <c r="K331" s="1">
        <f>J331-I331</f>
        <v>4</v>
      </c>
      <c r="L331" s="1">
        <v>144</v>
      </c>
      <c r="M331" s="1">
        <v>70</v>
      </c>
      <c r="N331" s="1">
        <v>2</v>
      </c>
      <c r="O331" s="1">
        <v>3</v>
      </c>
      <c r="P331" s="1">
        <v>12</v>
      </c>
      <c r="Q331" s="2">
        <v>0.78149999999999997</v>
      </c>
      <c r="R331" s="1">
        <v>8</v>
      </c>
      <c r="S331" s="1">
        <f>R331/P331</f>
        <v>0.66666666666666663</v>
      </c>
      <c r="T331" s="1">
        <v>5</v>
      </c>
      <c r="U331" s="1">
        <v>12.5</v>
      </c>
      <c r="V331" s="1">
        <v>2860.3921568627452</v>
      </c>
      <c r="W331" s="1">
        <v>6</v>
      </c>
    </row>
    <row r="332" spans="1:23" x14ac:dyDescent="0.2">
      <c r="A332">
        <v>2020</v>
      </c>
      <c r="B332" t="s">
        <v>23</v>
      </c>
      <c r="C332" t="s">
        <v>24</v>
      </c>
      <c r="D332">
        <v>166</v>
      </c>
      <c r="E332">
        <v>1</v>
      </c>
      <c r="F332">
        <v>5</v>
      </c>
      <c r="G332" t="s">
        <v>191</v>
      </c>
      <c r="H332" s="1">
        <v>6</v>
      </c>
      <c r="I332" s="1">
        <v>63</v>
      </c>
      <c r="J332" s="1">
        <v>68</v>
      </c>
      <c r="K332" s="1">
        <f>J332-I332</f>
        <v>5</v>
      </c>
      <c r="L332" s="1">
        <v>138</v>
      </c>
      <c r="M332" s="1">
        <v>51</v>
      </c>
      <c r="N332" s="1">
        <v>2.5</v>
      </c>
      <c r="O332" s="1">
        <v>3.5</v>
      </c>
      <c r="P332" s="1">
        <v>6</v>
      </c>
      <c r="Q332" s="2">
        <v>0.22800000000000001</v>
      </c>
      <c r="R332" s="1">
        <v>6</v>
      </c>
      <c r="S332" s="1">
        <f>R332/P332</f>
        <v>1</v>
      </c>
      <c r="T332" s="1">
        <v>4</v>
      </c>
      <c r="U332" s="1">
        <v>12.5</v>
      </c>
      <c r="V332" s="1">
        <v>834.50980392156862</v>
      </c>
      <c r="W332" s="1">
        <v>4</v>
      </c>
    </row>
    <row r="333" spans="1:23" x14ac:dyDescent="0.2">
      <c r="A333">
        <v>2020</v>
      </c>
      <c r="B333" t="s">
        <v>23</v>
      </c>
      <c r="C333" t="s">
        <v>24</v>
      </c>
      <c r="D333">
        <v>166</v>
      </c>
      <c r="E333">
        <v>2</v>
      </c>
      <c r="F333">
        <v>7</v>
      </c>
      <c r="G333" t="s">
        <v>191</v>
      </c>
      <c r="H333" s="1">
        <v>8</v>
      </c>
      <c r="I333" s="1">
        <v>62</v>
      </c>
      <c r="J333" s="1">
        <v>65</v>
      </c>
      <c r="K333" s="1">
        <f>J333-I333</f>
        <v>3</v>
      </c>
      <c r="L333" s="1">
        <v>112</v>
      </c>
      <c r="M333" s="1">
        <v>25</v>
      </c>
      <c r="N333" s="1">
        <v>3</v>
      </c>
      <c r="O333" s="1">
        <v>4.5</v>
      </c>
      <c r="P333" s="1">
        <v>2</v>
      </c>
      <c r="Q333" s="2">
        <v>3.875E-2</v>
      </c>
      <c r="R333" s="1">
        <v>2</v>
      </c>
      <c r="S333" s="1">
        <f>R333/P333</f>
        <v>1</v>
      </c>
      <c r="T333" s="1">
        <v>5</v>
      </c>
      <c r="U333" s="1">
        <v>12.5</v>
      </c>
      <c r="V333" s="1">
        <v>141.83006535947712</v>
      </c>
      <c r="W333" s="1">
        <v>6</v>
      </c>
    </row>
    <row r="334" spans="1:23" x14ac:dyDescent="0.2">
      <c r="A334">
        <v>2020</v>
      </c>
      <c r="B334" t="s">
        <v>23</v>
      </c>
      <c r="C334" t="s">
        <v>24</v>
      </c>
      <c r="D334">
        <v>167</v>
      </c>
      <c r="E334">
        <v>1</v>
      </c>
      <c r="F334">
        <v>5</v>
      </c>
      <c r="G334" t="s">
        <v>192</v>
      </c>
      <c r="H334">
        <v>5</v>
      </c>
      <c r="I334">
        <v>63</v>
      </c>
      <c r="J334">
        <v>66</v>
      </c>
      <c r="K334">
        <v>3</v>
      </c>
      <c r="L334">
        <v>135</v>
      </c>
      <c r="M334">
        <v>45</v>
      </c>
      <c r="N334">
        <v>1.5</v>
      </c>
      <c r="O334">
        <v>2</v>
      </c>
      <c r="P334">
        <v>5</v>
      </c>
      <c r="Q334">
        <v>0.5</v>
      </c>
      <c r="R334">
        <v>6</v>
      </c>
      <c r="S334">
        <v>1.2</v>
      </c>
      <c r="T334">
        <v>2.5</v>
      </c>
      <c r="U334">
        <v>12.5</v>
      </c>
      <c r="V334">
        <v>1830.0653594771243</v>
      </c>
      <c r="W334">
        <v>1</v>
      </c>
    </row>
    <row r="335" spans="1:23" x14ac:dyDescent="0.2">
      <c r="A335">
        <v>2020</v>
      </c>
      <c r="B335" t="s">
        <v>23</v>
      </c>
      <c r="C335" t="s">
        <v>24</v>
      </c>
      <c r="D335">
        <v>167</v>
      </c>
      <c r="E335">
        <v>2</v>
      </c>
      <c r="F335">
        <v>8</v>
      </c>
      <c r="G335" t="s">
        <v>192</v>
      </c>
      <c r="H335" s="1">
        <v>5</v>
      </c>
      <c r="I335" s="1">
        <v>66</v>
      </c>
      <c r="J335" s="1">
        <v>68</v>
      </c>
      <c r="K335" s="1">
        <f>J335-I335</f>
        <v>2</v>
      </c>
      <c r="L335" s="1">
        <v>80</v>
      </c>
      <c r="M335" s="1">
        <v>15</v>
      </c>
      <c r="N335" s="1">
        <v>2</v>
      </c>
      <c r="O335" s="1">
        <v>4</v>
      </c>
      <c r="P335" s="1">
        <v>2</v>
      </c>
      <c r="Q335" s="2">
        <v>6.4000000000000001E-2</v>
      </c>
      <c r="R335" s="1">
        <v>2</v>
      </c>
      <c r="S335" s="1">
        <f>R335/P335</f>
        <v>1</v>
      </c>
      <c r="T335" s="1">
        <v>5</v>
      </c>
      <c r="U335" s="1">
        <v>12.5</v>
      </c>
      <c r="V335" s="1">
        <v>234.24836601307192</v>
      </c>
      <c r="W335" s="1">
        <v>6</v>
      </c>
    </row>
    <row r="336" spans="1:23" x14ac:dyDescent="0.2">
      <c r="A336">
        <v>2020</v>
      </c>
      <c r="B336" t="s">
        <v>23</v>
      </c>
      <c r="C336" t="s">
        <v>24</v>
      </c>
      <c r="D336">
        <v>168</v>
      </c>
      <c r="E336">
        <v>1</v>
      </c>
      <c r="F336">
        <v>12</v>
      </c>
      <c r="G336" t="s">
        <v>193</v>
      </c>
      <c r="H336">
        <v>3</v>
      </c>
      <c r="I336">
        <v>55</v>
      </c>
      <c r="J336">
        <v>57</v>
      </c>
      <c r="K336">
        <v>2</v>
      </c>
      <c r="L336">
        <v>116</v>
      </c>
      <c r="M336">
        <v>69</v>
      </c>
      <c r="N336">
        <v>3</v>
      </c>
      <c r="O336">
        <v>4</v>
      </c>
      <c r="P336">
        <v>3</v>
      </c>
      <c r="Q336">
        <v>0.114</v>
      </c>
      <c r="R336">
        <v>2</v>
      </c>
      <c r="S336">
        <v>0.66666666666666663</v>
      </c>
      <c r="T336">
        <v>3</v>
      </c>
      <c r="U336">
        <v>12.5</v>
      </c>
      <c r="V336">
        <v>417.25490196078431</v>
      </c>
      <c r="W336">
        <v>2</v>
      </c>
    </row>
    <row r="337" spans="1:23" x14ac:dyDescent="0.2">
      <c r="A337">
        <v>2020</v>
      </c>
      <c r="B337" t="s">
        <v>23</v>
      </c>
      <c r="C337" t="s">
        <v>24</v>
      </c>
      <c r="D337">
        <v>168</v>
      </c>
      <c r="E337">
        <v>2</v>
      </c>
      <c r="F337">
        <v>10</v>
      </c>
      <c r="G337" t="s">
        <v>193</v>
      </c>
      <c r="H337" s="1">
        <v>7</v>
      </c>
      <c r="I337" s="1">
        <v>63</v>
      </c>
      <c r="J337" s="1">
        <v>68</v>
      </c>
      <c r="K337" s="1">
        <f>J337-I337</f>
        <v>5</v>
      </c>
      <c r="L337" s="1">
        <v>108</v>
      </c>
      <c r="M337" s="1">
        <v>30</v>
      </c>
      <c r="N337" s="1">
        <v>2</v>
      </c>
      <c r="O337" s="1">
        <v>3.5</v>
      </c>
      <c r="P337" s="1">
        <v>4</v>
      </c>
      <c r="Q337" s="2">
        <v>0.1172</v>
      </c>
      <c r="R337" s="1">
        <v>5</v>
      </c>
      <c r="S337" s="1">
        <f>R337/P337</f>
        <v>1.25</v>
      </c>
      <c r="T337" s="1">
        <v>5</v>
      </c>
      <c r="U337" s="1">
        <v>12.5</v>
      </c>
      <c r="V337" s="1">
        <v>428.96732026143786</v>
      </c>
      <c r="W337" s="1">
        <v>3</v>
      </c>
    </row>
    <row r="338" spans="1:23" x14ac:dyDescent="0.2">
      <c r="A338">
        <v>2020</v>
      </c>
      <c r="B338" t="s">
        <v>23</v>
      </c>
      <c r="C338" t="s">
        <v>24</v>
      </c>
      <c r="D338">
        <v>169</v>
      </c>
      <c r="E338">
        <v>1</v>
      </c>
      <c r="F338">
        <v>13</v>
      </c>
      <c r="G338" t="s">
        <v>194</v>
      </c>
      <c r="H338" s="1">
        <v>12</v>
      </c>
      <c r="I338" s="1">
        <v>62</v>
      </c>
      <c r="J338" s="1">
        <v>64</v>
      </c>
      <c r="K338" s="1">
        <f>J338-I338</f>
        <v>2</v>
      </c>
      <c r="L338" s="1">
        <v>157</v>
      </c>
      <c r="M338" s="1">
        <v>32</v>
      </c>
      <c r="N338" s="1">
        <v>2</v>
      </c>
      <c r="O338" s="1">
        <v>4</v>
      </c>
      <c r="P338" s="1">
        <v>10</v>
      </c>
      <c r="Q338" s="2">
        <v>0.62120000000000009</v>
      </c>
      <c r="R338" s="1">
        <v>8</v>
      </c>
      <c r="S338" s="1">
        <f>R338/P338</f>
        <v>0.8</v>
      </c>
      <c r="T338" s="1">
        <v>3</v>
      </c>
      <c r="U338" s="1">
        <v>12.5</v>
      </c>
      <c r="V338" s="1">
        <v>2273.6732026143791</v>
      </c>
      <c r="W338" s="1">
        <v>4</v>
      </c>
    </row>
    <row r="339" spans="1:23" x14ac:dyDescent="0.2">
      <c r="A339">
        <v>2020</v>
      </c>
      <c r="B339" t="s">
        <v>23</v>
      </c>
      <c r="C339" t="s">
        <v>24</v>
      </c>
      <c r="D339">
        <v>169</v>
      </c>
      <c r="E339">
        <v>2</v>
      </c>
      <c r="F339">
        <v>13</v>
      </c>
      <c r="G339" t="s">
        <v>194</v>
      </c>
      <c r="H339" s="1">
        <v>10</v>
      </c>
      <c r="I339" s="1">
        <v>63</v>
      </c>
      <c r="J339" s="1">
        <v>68</v>
      </c>
      <c r="K339" s="1">
        <f>J339-I339</f>
        <v>5</v>
      </c>
      <c r="L339" s="1">
        <v>170</v>
      </c>
      <c r="M339" s="1">
        <v>88</v>
      </c>
      <c r="N339" s="1">
        <v>3</v>
      </c>
      <c r="O339" s="1">
        <v>4</v>
      </c>
      <c r="P339" s="1">
        <v>8</v>
      </c>
      <c r="Q339" s="2">
        <v>0.37039999999999995</v>
      </c>
      <c r="R339" s="1">
        <v>8</v>
      </c>
      <c r="S339" s="1">
        <f>R339/P339</f>
        <v>1</v>
      </c>
      <c r="T339" s="1">
        <v>5</v>
      </c>
      <c r="U339" s="1">
        <v>8.8000000000000007</v>
      </c>
      <c r="V339" s="1">
        <v>1413.0396862745101</v>
      </c>
      <c r="W339" s="1">
        <v>4</v>
      </c>
    </row>
    <row r="340" spans="1:23" x14ac:dyDescent="0.2">
      <c r="A340">
        <v>2020</v>
      </c>
      <c r="B340" t="s">
        <v>23</v>
      </c>
      <c r="C340" t="s">
        <v>24</v>
      </c>
      <c r="D340">
        <v>170</v>
      </c>
      <c r="E340">
        <v>1</v>
      </c>
      <c r="F340">
        <v>12</v>
      </c>
      <c r="G340" t="s">
        <v>195</v>
      </c>
      <c r="H340" s="1">
        <v>5</v>
      </c>
      <c r="I340" s="1">
        <v>69</v>
      </c>
      <c r="J340" s="1">
        <v>74</v>
      </c>
      <c r="K340" s="1">
        <f>J340-I340</f>
        <v>5</v>
      </c>
      <c r="L340" s="1">
        <v>143</v>
      </c>
      <c r="M340" s="1">
        <v>88</v>
      </c>
      <c r="N340" s="1">
        <v>2</v>
      </c>
      <c r="O340" s="1">
        <v>2</v>
      </c>
      <c r="P340" s="1">
        <v>5</v>
      </c>
      <c r="Q340" s="2">
        <v>0.14647500000000002</v>
      </c>
      <c r="R340" s="1">
        <v>4</v>
      </c>
      <c r="S340" s="1">
        <f>R340/P340</f>
        <v>0.8</v>
      </c>
      <c r="T340" s="1">
        <v>3</v>
      </c>
      <c r="U340" s="1">
        <v>12.5</v>
      </c>
      <c r="V340" s="1">
        <v>536.11764705882365</v>
      </c>
      <c r="W340" s="1">
        <v>4</v>
      </c>
    </row>
    <row r="341" spans="1:23" x14ac:dyDescent="0.2">
      <c r="A341">
        <v>2020</v>
      </c>
      <c r="B341" t="s">
        <v>23</v>
      </c>
      <c r="C341" t="s">
        <v>24</v>
      </c>
      <c r="D341">
        <v>170</v>
      </c>
      <c r="E341">
        <v>2</v>
      </c>
      <c r="F341">
        <v>6</v>
      </c>
      <c r="G341" t="s">
        <v>195</v>
      </c>
      <c r="H341">
        <v>3</v>
      </c>
      <c r="I341">
        <v>56</v>
      </c>
      <c r="J341">
        <v>60</v>
      </c>
      <c r="K341">
        <v>4</v>
      </c>
      <c r="L341">
        <v>89</v>
      </c>
      <c r="M341">
        <v>35</v>
      </c>
      <c r="N341">
        <v>3</v>
      </c>
      <c r="O341">
        <v>4</v>
      </c>
      <c r="P341">
        <v>2</v>
      </c>
      <c r="Q341">
        <v>0.159</v>
      </c>
      <c r="R341">
        <v>4</v>
      </c>
      <c r="S341">
        <v>2</v>
      </c>
      <c r="T341">
        <v>5</v>
      </c>
      <c r="U341">
        <v>12.5</v>
      </c>
      <c r="V341">
        <v>581.96078431372553</v>
      </c>
      <c r="W341">
        <v>2</v>
      </c>
    </row>
    <row r="342" spans="1:23" x14ac:dyDescent="0.2">
      <c r="A342">
        <v>2020</v>
      </c>
      <c r="B342" t="s">
        <v>23</v>
      </c>
      <c r="C342" t="s">
        <v>24</v>
      </c>
      <c r="D342">
        <v>171</v>
      </c>
      <c r="E342">
        <v>1</v>
      </c>
      <c r="F342">
        <v>3</v>
      </c>
      <c r="G342" t="s">
        <v>196</v>
      </c>
      <c r="H342" s="1">
        <v>10</v>
      </c>
      <c r="I342" s="1">
        <v>62</v>
      </c>
      <c r="J342" s="1">
        <v>65</v>
      </c>
      <c r="K342" s="1">
        <f>J342-I342</f>
        <v>3</v>
      </c>
      <c r="L342" s="1">
        <v>187</v>
      </c>
      <c r="M342" s="1">
        <v>85</v>
      </c>
      <c r="N342" s="1">
        <v>2</v>
      </c>
      <c r="O342" s="1">
        <v>2.5</v>
      </c>
      <c r="P342" s="1">
        <v>6</v>
      </c>
      <c r="Q342" s="2">
        <v>0.30585000000000001</v>
      </c>
      <c r="R342" s="1">
        <v>8</v>
      </c>
      <c r="S342" s="1">
        <f>R342/P342</f>
        <v>1.3333333333333333</v>
      </c>
      <c r="T342" s="1">
        <v>5</v>
      </c>
      <c r="U342" s="1">
        <v>12.5</v>
      </c>
      <c r="V342" s="1">
        <v>1119.4509803921569</v>
      </c>
      <c r="W342" s="1">
        <v>5</v>
      </c>
    </row>
    <row r="343" spans="1:23" x14ac:dyDescent="0.2">
      <c r="A343">
        <v>2020</v>
      </c>
      <c r="B343" t="s">
        <v>23</v>
      </c>
      <c r="C343" t="s">
        <v>24</v>
      </c>
      <c r="D343">
        <v>171</v>
      </c>
      <c r="E343">
        <v>2</v>
      </c>
      <c r="F343">
        <v>2</v>
      </c>
      <c r="G343" t="s">
        <v>196</v>
      </c>
      <c r="H343" s="1">
        <v>2</v>
      </c>
      <c r="I343" s="1">
        <v>62</v>
      </c>
      <c r="J343" s="1">
        <v>63</v>
      </c>
      <c r="K343" s="1">
        <f>J343-I343</f>
        <v>1</v>
      </c>
      <c r="L343" s="1">
        <v>102</v>
      </c>
      <c r="M343" s="1">
        <v>53</v>
      </c>
      <c r="N343" s="1">
        <v>2</v>
      </c>
      <c r="O343" s="1">
        <v>2.5</v>
      </c>
      <c r="P343" s="1">
        <v>2</v>
      </c>
      <c r="Q343" s="2">
        <v>0.253</v>
      </c>
      <c r="R343" s="1">
        <v>2</v>
      </c>
      <c r="S343" s="1">
        <f>R343/P343</f>
        <v>1</v>
      </c>
      <c r="T343" s="1">
        <v>2</v>
      </c>
      <c r="U343" s="1">
        <v>8</v>
      </c>
      <c r="V343" s="1">
        <v>973.63660130718949</v>
      </c>
      <c r="W343" s="1">
        <v>4</v>
      </c>
    </row>
    <row r="344" spans="1:23" x14ac:dyDescent="0.2">
      <c r="A344">
        <v>2020</v>
      </c>
      <c r="B344" t="s">
        <v>23</v>
      </c>
      <c r="C344" t="s">
        <v>24</v>
      </c>
      <c r="D344">
        <v>172</v>
      </c>
      <c r="E344">
        <v>1</v>
      </c>
      <c r="F344">
        <v>15</v>
      </c>
      <c r="G344" t="s">
        <v>197</v>
      </c>
      <c r="H344">
        <v>6</v>
      </c>
      <c r="I344">
        <v>55</v>
      </c>
      <c r="J344">
        <v>58</v>
      </c>
      <c r="K344">
        <v>3</v>
      </c>
      <c r="L344">
        <v>144</v>
      </c>
      <c r="M344">
        <v>45</v>
      </c>
      <c r="N344">
        <v>3</v>
      </c>
      <c r="O344">
        <v>4</v>
      </c>
      <c r="P344">
        <v>5</v>
      </c>
      <c r="Q344">
        <v>0.6</v>
      </c>
      <c r="R344">
        <v>6</v>
      </c>
      <c r="S344">
        <v>1.2</v>
      </c>
      <c r="T344">
        <v>2</v>
      </c>
      <c r="U344">
        <v>12.5</v>
      </c>
      <c r="V344">
        <v>2196.0784313725489</v>
      </c>
      <c r="W344">
        <v>1</v>
      </c>
    </row>
    <row r="345" spans="1:23" x14ac:dyDescent="0.2">
      <c r="A345">
        <v>2020</v>
      </c>
      <c r="B345" t="s">
        <v>23</v>
      </c>
      <c r="C345" t="s">
        <v>24</v>
      </c>
      <c r="D345">
        <v>172</v>
      </c>
      <c r="E345">
        <v>2</v>
      </c>
      <c r="F345">
        <v>1</v>
      </c>
      <c r="G345" t="s">
        <v>197</v>
      </c>
      <c r="H345" s="1">
        <v>6</v>
      </c>
      <c r="I345" s="1">
        <v>63</v>
      </c>
      <c r="J345" s="1">
        <v>68</v>
      </c>
      <c r="K345" s="1">
        <f>J345-I345</f>
        <v>5</v>
      </c>
      <c r="L345" s="1">
        <v>158</v>
      </c>
      <c r="M345" s="1">
        <v>108</v>
      </c>
      <c r="N345" s="1">
        <v>2</v>
      </c>
      <c r="O345" s="1">
        <v>2.5</v>
      </c>
      <c r="P345" s="1">
        <v>5</v>
      </c>
      <c r="Q345" s="2">
        <v>0.25267499999999998</v>
      </c>
      <c r="R345" s="1">
        <v>5</v>
      </c>
      <c r="S345" s="1">
        <f>R345/P345</f>
        <v>1</v>
      </c>
      <c r="T345" s="1">
        <v>5</v>
      </c>
      <c r="U345" s="1">
        <v>12.5</v>
      </c>
      <c r="V345" s="1">
        <v>924.82352941176475</v>
      </c>
      <c r="W345" s="1">
        <v>4</v>
      </c>
    </row>
    <row r="346" spans="1:23" x14ac:dyDescent="0.2">
      <c r="A346">
        <v>2020</v>
      </c>
      <c r="B346" t="s">
        <v>23</v>
      </c>
      <c r="C346" t="s">
        <v>24</v>
      </c>
      <c r="D346">
        <v>173</v>
      </c>
      <c r="E346">
        <v>1</v>
      </c>
      <c r="F346">
        <v>7</v>
      </c>
      <c r="G346" t="s">
        <v>198</v>
      </c>
      <c r="H346">
        <v>14</v>
      </c>
      <c r="I346">
        <v>54</v>
      </c>
      <c r="J346">
        <v>59</v>
      </c>
      <c r="K346">
        <v>5</v>
      </c>
      <c r="L346">
        <v>175</v>
      </c>
      <c r="M346">
        <v>63</v>
      </c>
      <c r="N346">
        <v>2</v>
      </c>
      <c r="O346">
        <v>2.5</v>
      </c>
      <c r="P346">
        <v>12</v>
      </c>
      <c r="Q346">
        <v>0.8</v>
      </c>
      <c r="R346">
        <v>8</v>
      </c>
      <c r="S346">
        <v>0.66666666666666663</v>
      </c>
      <c r="T346">
        <v>2</v>
      </c>
      <c r="U346">
        <v>11.4</v>
      </c>
      <c r="V346">
        <v>2964.9150326797385</v>
      </c>
      <c r="W346">
        <v>2</v>
      </c>
    </row>
    <row r="347" spans="1:23" x14ac:dyDescent="0.2">
      <c r="A347">
        <v>2020</v>
      </c>
      <c r="B347" t="s">
        <v>23</v>
      </c>
      <c r="C347" t="s">
        <v>24</v>
      </c>
      <c r="D347">
        <v>173</v>
      </c>
      <c r="E347">
        <v>2</v>
      </c>
      <c r="F347">
        <v>5</v>
      </c>
      <c r="G347" t="s">
        <v>198</v>
      </c>
      <c r="H347" s="1">
        <v>4</v>
      </c>
      <c r="I347" s="1">
        <v>63</v>
      </c>
      <c r="J347" s="1">
        <v>67</v>
      </c>
      <c r="K347" s="1">
        <f>J347-I347</f>
        <v>4</v>
      </c>
      <c r="L347" s="1">
        <v>78</v>
      </c>
      <c r="M347" s="1">
        <v>10</v>
      </c>
      <c r="N347" s="1">
        <v>3</v>
      </c>
      <c r="O347" s="1">
        <v>5</v>
      </c>
      <c r="P347" s="1">
        <v>4</v>
      </c>
      <c r="Q347" s="2">
        <v>3.5000000000000003E-2</v>
      </c>
      <c r="R347" s="1">
        <v>5</v>
      </c>
      <c r="S347" s="1">
        <f>R347/P347</f>
        <v>1.25</v>
      </c>
      <c r="T347" s="1">
        <v>5</v>
      </c>
      <c r="U347" s="1">
        <v>12.5</v>
      </c>
      <c r="V347" s="1">
        <v>128.10457516339872</v>
      </c>
      <c r="W347" s="1">
        <v>8</v>
      </c>
    </row>
    <row r="348" spans="1:23" x14ac:dyDescent="0.2">
      <c r="A348">
        <v>2020</v>
      </c>
      <c r="B348" t="s">
        <v>23</v>
      </c>
      <c r="C348" t="s">
        <v>24</v>
      </c>
      <c r="D348">
        <v>174</v>
      </c>
      <c r="E348">
        <v>1</v>
      </c>
      <c r="F348">
        <v>2</v>
      </c>
      <c r="G348" t="s">
        <v>199</v>
      </c>
      <c r="H348">
        <v>13</v>
      </c>
      <c r="I348">
        <v>56</v>
      </c>
      <c r="J348">
        <v>59</v>
      </c>
      <c r="K348">
        <v>3</v>
      </c>
      <c r="L348">
        <v>135</v>
      </c>
      <c r="M348">
        <v>77</v>
      </c>
      <c r="N348">
        <v>2</v>
      </c>
      <c r="O348">
        <v>2.5</v>
      </c>
      <c r="P348">
        <v>11</v>
      </c>
      <c r="Q348">
        <v>0.5</v>
      </c>
      <c r="R348">
        <v>9</v>
      </c>
      <c r="S348">
        <v>0.81818181818181823</v>
      </c>
      <c r="T348">
        <v>2</v>
      </c>
      <c r="U348">
        <v>8.9</v>
      </c>
      <c r="V348">
        <v>1905.3594771241831</v>
      </c>
      <c r="W348">
        <v>2</v>
      </c>
    </row>
    <row r="349" spans="1:23" x14ac:dyDescent="0.2">
      <c r="A349">
        <v>2020</v>
      </c>
      <c r="B349" t="s">
        <v>23</v>
      </c>
      <c r="C349" t="s">
        <v>24</v>
      </c>
      <c r="D349">
        <v>174</v>
      </c>
      <c r="E349">
        <v>2</v>
      </c>
      <c r="F349">
        <v>2</v>
      </c>
      <c r="G349" t="s">
        <v>199</v>
      </c>
      <c r="H349">
        <v>10</v>
      </c>
      <c r="I349">
        <v>55</v>
      </c>
      <c r="J349">
        <v>56</v>
      </c>
      <c r="K349">
        <v>1</v>
      </c>
      <c r="L349">
        <v>172</v>
      </c>
      <c r="M349">
        <v>49</v>
      </c>
      <c r="N349">
        <v>3</v>
      </c>
      <c r="O349">
        <v>3</v>
      </c>
      <c r="P349">
        <v>8</v>
      </c>
      <c r="Q349">
        <v>1.514</v>
      </c>
      <c r="R349">
        <v>13</v>
      </c>
      <c r="S349">
        <v>1.625</v>
      </c>
      <c r="T349">
        <v>2</v>
      </c>
      <c r="U349">
        <v>12.5</v>
      </c>
      <c r="V349">
        <v>5541.4379084967322</v>
      </c>
      <c r="W349">
        <v>1</v>
      </c>
    </row>
    <row r="350" spans="1:23" x14ac:dyDescent="0.2">
      <c r="A350">
        <v>2020</v>
      </c>
      <c r="B350" t="s">
        <v>23</v>
      </c>
      <c r="C350" t="s">
        <v>24</v>
      </c>
      <c r="D350">
        <v>175</v>
      </c>
      <c r="E350">
        <v>1</v>
      </c>
      <c r="F350">
        <v>6</v>
      </c>
      <c r="G350" t="s">
        <v>200</v>
      </c>
      <c r="H350" s="1">
        <v>12</v>
      </c>
      <c r="I350" s="1">
        <v>66</v>
      </c>
      <c r="J350" s="1">
        <v>69</v>
      </c>
      <c r="K350" s="1">
        <f>J350-I350</f>
        <v>3</v>
      </c>
      <c r="L350" s="1">
        <v>139</v>
      </c>
      <c r="M350" s="1">
        <v>83</v>
      </c>
      <c r="N350" s="1">
        <v>2</v>
      </c>
      <c r="O350" s="1">
        <v>3</v>
      </c>
      <c r="P350" s="1">
        <f>H350</f>
        <v>12</v>
      </c>
      <c r="Q350" s="2">
        <v>0.22500000000000001</v>
      </c>
      <c r="R350" s="1">
        <v>10</v>
      </c>
      <c r="S350" s="1">
        <f>R350/P350</f>
        <v>0.83333333333333337</v>
      </c>
      <c r="T350" s="1">
        <v>2</v>
      </c>
      <c r="U350" s="1">
        <v>12.5</v>
      </c>
      <c r="V350" s="1">
        <v>823.52941176470586</v>
      </c>
      <c r="W350" s="1">
        <v>2</v>
      </c>
    </row>
    <row r="351" spans="1:23" x14ac:dyDescent="0.2">
      <c r="A351">
        <v>2020</v>
      </c>
      <c r="B351" t="s">
        <v>23</v>
      </c>
      <c r="C351" t="s">
        <v>24</v>
      </c>
      <c r="D351">
        <v>175</v>
      </c>
      <c r="E351">
        <v>2</v>
      </c>
      <c r="F351">
        <v>14</v>
      </c>
      <c r="G351" t="s">
        <v>200</v>
      </c>
      <c r="H351" s="1">
        <v>12</v>
      </c>
      <c r="I351" s="1">
        <v>61</v>
      </c>
      <c r="J351" s="1">
        <v>65</v>
      </c>
      <c r="K351" s="1">
        <f>J351-I351</f>
        <v>4</v>
      </c>
      <c r="L351" s="1">
        <v>135</v>
      </c>
      <c r="M351" s="1">
        <v>45</v>
      </c>
      <c r="N351" s="1">
        <v>3</v>
      </c>
      <c r="O351" s="1">
        <v>3.5</v>
      </c>
      <c r="P351" s="1">
        <v>8</v>
      </c>
      <c r="Q351" s="2">
        <v>0.11639999999999999</v>
      </c>
      <c r="R351" s="1">
        <v>6</v>
      </c>
      <c r="S351" s="1">
        <f>R351/P351</f>
        <v>0.75</v>
      </c>
      <c r="T351" s="1">
        <v>3</v>
      </c>
      <c r="U351" s="1">
        <v>12.5</v>
      </c>
      <c r="V351" s="1">
        <v>426.03921568627453</v>
      </c>
      <c r="W351" s="1">
        <v>5</v>
      </c>
    </row>
    <row r="352" spans="1:23" x14ac:dyDescent="0.2">
      <c r="A352">
        <v>2020</v>
      </c>
      <c r="B352" t="s">
        <v>23</v>
      </c>
      <c r="C352" t="s">
        <v>24</v>
      </c>
      <c r="D352">
        <v>176</v>
      </c>
      <c r="E352">
        <v>1</v>
      </c>
      <c r="F352">
        <v>8</v>
      </c>
      <c r="G352" t="s">
        <v>201</v>
      </c>
      <c r="H352" s="1">
        <v>4</v>
      </c>
      <c r="I352" s="1">
        <v>61</v>
      </c>
      <c r="J352" s="1">
        <v>64</v>
      </c>
      <c r="K352" s="1">
        <f>J352-I352</f>
        <v>3</v>
      </c>
      <c r="L352" s="1">
        <v>138</v>
      </c>
      <c r="M352" s="1">
        <v>62</v>
      </c>
      <c r="N352" s="1">
        <v>2</v>
      </c>
      <c r="O352" s="1">
        <v>2.5</v>
      </c>
      <c r="P352" s="1">
        <v>3</v>
      </c>
      <c r="Q352" s="2">
        <v>0.42929999999999996</v>
      </c>
      <c r="R352" s="1">
        <v>3</v>
      </c>
      <c r="S352" s="1">
        <f>R352/P352</f>
        <v>1</v>
      </c>
      <c r="T352" s="1">
        <v>3</v>
      </c>
      <c r="U352" s="1">
        <v>12.5</v>
      </c>
      <c r="V352" s="1">
        <v>1571.2941176470588</v>
      </c>
      <c r="W352" s="1">
        <v>4</v>
      </c>
    </row>
    <row r="353" spans="1:23" x14ac:dyDescent="0.2">
      <c r="A353">
        <v>2020</v>
      </c>
      <c r="B353" t="s">
        <v>23</v>
      </c>
      <c r="C353" t="s">
        <v>24</v>
      </c>
      <c r="D353">
        <v>176</v>
      </c>
      <c r="E353">
        <v>2</v>
      </c>
      <c r="F353">
        <v>8</v>
      </c>
      <c r="G353" t="s">
        <v>201</v>
      </c>
      <c r="H353" s="1">
        <v>13</v>
      </c>
      <c r="I353" s="1">
        <v>64</v>
      </c>
      <c r="J353" s="1">
        <v>69</v>
      </c>
      <c r="K353" s="1">
        <f>J353-I353</f>
        <v>5</v>
      </c>
      <c r="L353" s="1">
        <v>143</v>
      </c>
      <c r="M353" s="1">
        <v>60</v>
      </c>
      <c r="N353" s="1">
        <v>2</v>
      </c>
      <c r="O353" s="1">
        <v>3.5</v>
      </c>
      <c r="P353" s="1">
        <f>H353-1</f>
        <v>12</v>
      </c>
      <c r="Q353" s="2">
        <v>0.28000000000000003</v>
      </c>
      <c r="R353" s="1">
        <v>10</v>
      </c>
      <c r="S353" s="1">
        <f>R353/P353</f>
        <v>0.83333333333333337</v>
      </c>
      <c r="T353" s="1">
        <v>5</v>
      </c>
      <c r="U353" s="1">
        <v>12.5</v>
      </c>
      <c r="V353" s="1">
        <v>1024.8366013071898</v>
      </c>
      <c r="W353" s="1">
        <v>5</v>
      </c>
    </row>
    <row r="354" spans="1:23" x14ac:dyDescent="0.2">
      <c r="A354">
        <v>2020</v>
      </c>
      <c r="B354" t="s">
        <v>23</v>
      </c>
      <c r="C354" t="s">
        <v>24</v>
      </c>
      <c r="D354">
        <v>177</v>
      </c>
      <c r="E354">
        <v>1</v>
      </c>
      <c r="F354">
        <v>4</v>
      </c>
      <c r="G354" t="s">
        <v>202</v>
      </c>
      <c r="H354">
        <v>15</v>
      </c>
      <c r="I354">
        <v>55</v>
      </c>
      <c r="J354">
        <v>58</v>
      </c>
      <c r="K354">
        <v>3</v>
      </c>
      <c r="L354">
        <v>160</v>
      </c>
      <c r="M354">
        <v>63</v>
      </c>
      <c r="N354">
        <v>1.5</v>
      </c>
      <c r="O354">
        <v>2</v>
      </c>
      <c r="P354">
        <v>14</v>
      </c>
      <c r="Q354">
        <v>1.1000000000000001</v>
      </c>
      <c r="R354">
        <v>13</v>
      </c>
      <c r="S354">
        <v>0.9285714285714286</v>
      </c>
      <c r="T354">
        <v>3</v>
      </c>
      <c r="U354">
        <v>12.5</v>
      </c>
      <c r="V354">
        <v>4026.1437908496737</v>
      </c>
      <c r="W354">
        <v>2</v>
      </c>
    </row>
    <row r="355" spans="1:23" x14ac:dyDescent="0.2">
      <c r="A355">
        <v>2020</v>
      </c>
      <c r="B355" t="s">
        <v>23</v>
      </c>
      <c r="C355" t="s">
        <v>24</v>
      </c>
      <c r="D355">
        <v>177</v>
      </c>
      <c r="E355">
        <v>2</v>
      </c>
      <c r="F355">
        <v>2</v>
      </c>
      <c r="G355" t="s">
        <v>202</v>
      </c>
      <c r="H355">
        <v>9</v>
      </c>
      <c r="I355">
        <v>56</v>
      </c>
      <c r="J355">
        <v>59</v>
      </c>
      <c r="K355">
        <v>3</v>
      </c>
      <c r="L355">
        <v>174</v>
      </c>
      <c r="M355">
        <v>60</v>
      </c>
      <c r="N355">
        <v>1.5</v>
      </c>
      <c r="O355">
        <v>2</v>
      </c>
      <c r="P355">
        <v>9</v>
      </c>
      <c r="Q355">
        <v>0.4</v>
      </c>
      <c r="R355">
        <v>9</v>
      </c>
      <c r="S355">
        <v>1</v>
      </c>
      <c r="T355">
        <v>2.5</v>
      </c>
      <c r="U355">
        <v>12.5</v>
      </c>
      <c r="V355">
        <v>1464.0522875816994</v>
      </c>
      <c r="W355">
        <v>1</v>
      </c>
    </row>
    <row r="356" spans="1:23" x14ac:dyDescent="0.2">
      <c r="A356">
        <v>2020</v>
      </c>
      <c r="B356" t="s">
        <v>23</v>
      </c>
      <c r="C356" t="s">
        <v>24</v>
      </c>
      <c r="D356">
        <v>178</v>
      </c>
      <c r="E356">
        <v>1</v>
      </c>
      <c r="F356">
        <v>9</v>
      </c>
      <c r="G356" t="s">
        <v>203</v>
      </c>
      <c r="H356" s="1">
        <v>5</v>
      </c>
      <c r="I356" s="1">
        <v>68</v>
      </c>
      <c r="J356" s="1">
        <v>72</v>
      </c>
      <c r="K356" s="1">
        <f>J356-I356</f>
        <v>4</v>
      </c>
      <c r="L356" s="1">
        <v>154</v>
      </c>
      <c r="M356" s="1">
        <v>62</v>
      </c>
      <c r="N356" s="1">
        <v>2</v>
      </c>
      <c r="O356" s="1">
        <v>3</v>
      </c>
      <c r="P356" s="1">
        <v>5</v>
      </c>
      <c r="Q356" s="2">
        <v>0.53520000000000001</v>
      </c>
      <c r="R356" s="1">
        <v>5</v>
      </c>
      <c r="S356" s="1">
        <f>R356/P356</f>
        <v>1</v>
      </c>
      <c r="T356" s="1">
        <v>4</v>
      </c>
      <c r="U356" s="1">
        <v>12.5</v>
      </c>
      <c r="V356" s="1">
        <v>1958.9019607843138</v>
      </c>
      <c r="W356" s="1">
        <v>4</v>
      </c>
    </row>
    <row r="357" spans="1:23" x14ac:dyDescent="0.2">
      <c r="A357">
        <v>2020</v>
      </c>
      <c r="B357" t="s">
        <v>23</v>
      </c>
      <c r="C357" t="s">
        <v>24</v>
      </c>
      <c r="D357">
        <v>178</v>
      </c>
      <c r="E357">
        <v>2</v>
      </c>
      <c r="F357">
        <v>12</v>
      </c>
      <c r="G357" t="s">
        <v>203</v>
      </c>
      <c r="H357" s="1">
        <v>6</v>
      </c>
      <c r="I357" s="1">
        <v>70</v>
      </c>
      <c r="J357" s="1">
        <v>72</v>
      </c>
      <c r="K357" s="1">
        <f>J357-I357</f>
        <v>2</v>
      </c>
      <c r="L357" s="1">
        <v>78</v>
      </c>
      <c r="M357" s="1">
        <v>37</v>
      </c>
      <c r="N357" s="1">
        <v>2.5</v>
      </c>
      <c r="O357" s="1">
        <v>4</v>
      </c>
      <c r="P357" s="1">
        <v>1</v>
      </c>
      <c r="Q357" s="2">
        <v>0.05</v>
      </c>
      <c r="R357" s="1">
        <v>1</v>
      </c>
      <c r="S357" s="1">
        <f>R357/P357</f>
        <v>1</v>
      </c>
      <c r="T357" s="1">
        <v>5</v>
      </c>
      <c r="U357" s="1">
        <v>12.5</v>
      </c>
      <c r="V357" s="1">
        <v>183.00653594771242</v>
      </c>
      <c r="W357" s="1">
        <v>6</v>
      </c>
    </row>
    <row r="358" spans="1:23" x14ac:dyDescent="0.2">
      <c r="A358">
        <v>2020</v>
      </c>
      <c r="B358" t="s">
        <v>23</v>
      </c>
      <c r="C358" t="s">
        <v>24</v>
      </c>
      <c r="D358">
        <v>179</v>
      </c>
      <c r="E358">
        <v>1</v>
      </c>
      <c r="F358">
        <v>14</v>
      </c>
      <c r="G358" t="s">
        <v>204</v>
      </c>
      <c r="H358">
        <v>13</v>
      </c>
      <c r="I358">
        <v>58</v>
      </c>
      <c r="J358">
        <v>60</v>
      </c>
      <c r="K358">
        <v>2</v>
      </c>
      <c r="L358">
        <v>116</v>
      </c>
      <c r="M358">
        <v>22</v>
      </c>
      <c r="N358">
        <v>2.5</v>
      </c>
      <c r="O358">
        <v>2</v>
      </c>
      <c r="P358">
        <v>13</v>
      </c>
      <c r="Q358">
        <v>0.9</v>
      </c>
      <c r="R358">
        <v>13</v>
      </c>
      <c r="S358">
        <v>1</v>
      </c>
      <c r="T358">
        <v>3</v>
      </c>
      <c r="U358">
        <v>12.5</v>
      </c>
      <c r="V358">
        <v>3294.1176470588234</v>
      </c>
      <c r="W358">
        <v>2</v>
      </c>
    </row>
    <row r="359" spans="1:23" x14ac:dyDescent="0.2">
      <c r="A359">
        <v>2020</v>
      </c>
      <c r="B359" t="s">
        <v>23</v>
      </c>
      <c r="C359" t="s">
        <v>24</v>
      </c>
      <c r="D359">
        <v>179</v>
      </c>
      <c r="E359">
        <v>2</v>
      </c>
      <c r="F359">
        <v>11</v>
      </c>
      <c r="G359" t="s">
        <v>204</v>
      </c>
      <c r="H359" s="1">
        <v>16</v>
      </c>
      <c r="I359" s="1">
        <v>67</v>
      </c>
      <c r="J359" s="1">
        <v>70</v>
      </c>
      <c r="K359" s="1">
        <f>J359-I359</f>
        <v>3</v>
      </c>
      <c r="L359" s="1">
        <v>152</v>
      </c>
      <c r="M359" s="1">
        <v>90</v>
      </c>
      <c r="N359" s="1">
        <v>2</v>
      </c>
      <c r="O359" s="1">
        <v>3</v>
      </c>
      <c r="P359" s="1">
        <v>12</v>
      </c>
      <c r="Q359" s="2">
        <v>0.34460000000000002</v>
      </c>
      <c r="R359" s="1">
        <v>8</v>
      </c>
      <c r="S359" s="1">
        <f>R359/P359</f>
        <v>0.66666666666666663</v>
      </c>
      <c r="T359" s="1">
        <v>5</v>
      </c>
      <c r="U359" s="1">
        <v>9.1</v>
      </c>
      <c r="V359" s="1">
        <v>1310.2908235294119</v>
      </c>
      <c r="W359" s="1">
        <v>5</v>
      </c>
    </row>
    <row r="360" spans="1:23" x14ac:dyDescent="0.2">
      <c r="A360">
        <v>2020</v>
      </c>
      <c r="B360" t="s">
        <v>23</v>
      </c>
      <c r="C360" t="s">
        <v>24</v>
      </c>
      <c r="D360">
        <v>180</v>
      </c>
      <c r="E360">
        <v>1</v>
      </c>
      <c r="F360">
        <v>6</v>
      </c>
      <c r="G360" t="s">
        <v>205</v>
      </c>
      <c r="H360" s="1">
        <v>14</v>
      </c>
      <c r="I360" s="1">
        <v>61</v>
      </c>
      <c r="J360" s="1">
        <v>66</v>
      </c>
      <c r="K360" s="1">
        <f>J360-I360</f>
        <v>5</v>
      </c>
      <c r="L360" s="1">
        <v>135</v>
      </c>
      <c r="M360" s="1">
        <v>103</v>
      </c>
      <c r="N360" s="1">
        <v>2</v>
      </c>
      <c r="O360" s="1">
        <v>2.5</v>
      </c>
      <c r="P360" s="1">
        <f>H360-2</f>
        <v>12</v>
      </c>
      <c r="Q360" s="2">
        <v>0.32550000000000001</v>
      </c>
      <c r="R360" s="1">
        <v>9</v>
      </c>
      <c r="S360" s="1">
        <f>R360/P360</f>
        <v>0.75</v>
      </c>
      <c r="T360" s="1">
        <v>5</v>
      </c>
      <c r="U360" s="1">
        <v>12.5</v>
      </c>
      <c r="V360" s="1">
        <v>1191.3725490196077</v>
      </c>
      <c r="W360" s="1">
        <v>5</v>
      </c>
    </row>
    <row r="361" spans="1:23" x14ac:dyDescent="0.2">
      <c r="A361">
        <v>2020</v>
      </c>
      <c r="B361" t="s">
        <v>23</v>
      </c>
      <c r="C361" t="s">
        <v>24</v>
      </c>
      <c r="D361">
        <v>180</v>
      </c>
      <c r="E361">
        <v>2</v>
      </c>
      <c r="F361">
        <v>6</v>
      </c>
      <c r="G361" t="s">
        <v>205</v>
      </c>
      <c r="H361">
        <v>3</v>
      </c>
      <c r="I361">
        <v>57</v>
      </c>
      <c r="J361">
        <v>60</v>
      </c>
      <c r="K361">
        <v>3</v>
      </c>
      <c r="L361">
        <v>127</v>
      </c>
      <c r="M361">
        <v>31</v>
      </c>
      <c r="N361">
        <v>3</v>
      </c>
      <c r="O361">
        <v>4</v>
      </c>
      <c r="P361">
        <v>3</v>
      </c>
      <c r="Q361">
        <v>0.157</v>
      </c>
      <c r="R361">
        <v>4</v>
      </c>
      <c r="S361">
        <v>1.3333333333333333</v>
      </c>
      <c r="T361">
        <v>4</v>
      </c>
      <c r="U361">
        <v>12.5</v>
      </c>
      <c r="V361">
        <v>574.64052287581706</v>
      </c>
      <c r="W361">
        <v>1</v>
      </c>
    </row>
    <row r="362" spans="1:23" x14ac:dyDescent="0.2">
      <c r="A362">
        <v>2020</v>
      </c>
      <c r="B362" t="s">
        <v>23</v>
      </c>
      <c r="C362" t="s">
        <v>24</v>
      </c>
      <c r="D362">
        <v>181</v>
      </c>
      <c r="E362">
        <v>1</v>
      </c>
      <c r="F362">
        <v>2</v>
      </c>
      <c r="G362" t="s">
        <v>206</v>
      </c>
      <c r="H362">
        <v>12</v>
      </c>
      <c r="I362">
        <v>58</v>
      </c>
      <c r="J362">
        <v>60</v>
      </c>
      <c r="K362">
        <v>2</v>
      </c>
      <c r="L362">
        <v>132</v>
      </c>
      <c r="M362">
        <v>22</v>
      </c>
      <c r="N362">
        <v>2</v>
      </c>
      <c r="O362">
        <v>3</v>
      </c>
      <c r="P362">
        <v>12</v>
      </c>
      <c r="Q362">
        <v>1.2</v>
      </c>
      <c r="R362">
        <v>14</v>
      </c>
      <c r="S362">
        <v>1.1666666666666667</v>
      </c>
      <c r="T362">
        <v>3</v>
      </c>
      <c r="U362">
        <v>12.5</v>
      </c>
      <c r="V362">
        <v>4392.1568627450979</v>
      </c>
      <c r="W362">
        <v>1</v>
      </c>
    </row>
    <row r="363" spans="1:23" x14ac:dyDescent="0.2">
      <c r="A363">
        <v>2020</v>
      </c>
      <c r="B363" t="s">
        <v>23</v>
      </c>
      <c r="C363" t="s">
        <v>24</v>
      </c>
      <c r="D363">
        <v>181</v>
      </c>
      <c r="E363">
        <v>2</v>
      </c>
      <c r="F363">
        <v>2</v>
      </c>
      <c r="G363" t="s">
        <v>206</v>
      </c>
      <c r="H363">
        <v>16</v>
      </c>
      <c r="I363">
        <v>54</v>
      </c>
      <c r="J363">
        <v>56</v>
      </c>
      <c r="K363">
        <v>2</v>
      </c>
      <c r="L363">
        <v>172</v>
      </c>
      <c r="M363">
        <v>74</v>
      </c>
      <c r="N363">
        <v>2</v>
      </c>
      <c r="O363">
        <v>2</v>
      </c>
      <c r="P363">
        <v>8</v>
      </c>
      <c r="Q363">
        <v>0.8</v>
      </c>
      <c r="R363">
        <v>8</v>
      </c>
      <c r="S363">
        <v>1</v>
      </c>
      <c r="T363">
        <v>2</v>
      </c>
      <c r="U363">
        <v>12.7</v>
      </c>
      <c r="V363">
        <v>2921.4117647058824</v>
      </c>
      <c r="W363">
        <v>2</v>
      </c>
    </row>
    <row r="364" spans="1:23" x14ac:dyDescent="0.2">
      <c r="A364">
        <v>2020</v>
      </c>
      <c r="B364" t="s">
        <v>23</v>
      </c>
      <c r="C364" t="s">
        <v>24</v>
      </c>
      <c r="D364">
        <v>182</v>
      </c>
      <c r="E364">
        <v>1</v>
      </c>
      <c r="F364">
        <v>7</v>
      </c>
      <c r="G364" t="s">
        <v>207</v>
      </c>
      <c r="H364" s="1">
        <v>11</v>
      </c>
      <c r="I364" s="1">
        <v>70</v>
      </c>
      <c r="J364" s="1">
        <v>74</v>
      </c>
      <c r="K364" s="1">
        <f>J364-I364</f>
        <v>4</v>
      </c>
      <c r="L364" s="1">
        <v>145</v>
      </c>
      <c r="M364" s="1">
        <v>77</v>
      </c>
      <c r="N364" s="1">
        <v>2</v>
      </c>
      <c r="O364" s="1">
        <v>2.5</v>
      </c>
      <c r="P364" s="1">
        <f>H364</f>
        <v>11</v>
      </c>
      <c r="Q364" s="2">
        <v>0.45</v>
      </c>
      <c r="R364" s="1">
        <v>8</v>
      </c>
      <c r="S364" s="1">
        <f>R364/P364</f>
        <v>0.72727272727272729</v>
      </c>
      <c r="T364" s="1">
        <v>5</v>
      </c>
      <c r="U364" s="1">
        <v>12.5</v>
      </c>
      <c r="V364" s="1">
        <v>1647.0588235294117</v>
      </c>
      <c r="W364" s="1">
        <v>5</v>
      </c>
    </row>
    <row r="365" spans="1:23" x14ac:dyDescent="0.2">
      <c r="A365">
        <v>2020</v>
      </c>
      <c r="B365" t="s">
        <v>23</v>
      </c>
      <c r="C365" t="s">
        <v>24</v>
      </c>
      <c r="D365">
        <v>182</v>
      </c>
      <c r="E365">
        <v>2</v>
      </c>
      <c r="F365">
        <v>9</v>
      </c>
      <c r="G365" t="s">
        <v>207</v>
      </c>
      <c r="H365" s="1">
        <v>2</v>
      </c>
      <c r="I365" s="1">
        <v>64</v>
      </c>
      <c r="J365" s="1">
        <v>70</v>
      </c>
      <c r="K365" s="1">
        <f>J365-I365</f>
        <v>6</v>
      </c>
      <c r="L365" s="1">
        <v>163</v>
      </c>
      <c r="M365" s="1">
        <v>52</v>
      </c>
      <c r="N365" s="1">
        <v>2</v>
      </c>
      <c r="O365" s="1">
        <v>3</v>
      </c>
      <c r="P365" s="1">
        <v>5</v>
      </c>
      <c r="Q365" s="2">
        <v>5.568E-2</v>
      </c>
      <c r="R365" s="1">
        <v>2</v>
      </c>
      <c r="S365" s="1">
        <f>R365/P365</f>
        <v>0.4</v>
      </c>
      <c r="T365" s="1">
        <v>3</v>
      </c>
      <c r="U365" s="1">
        <v>12.5</v>
      </c>
      <c r="V365" s="1">
        <v>203.79607843137256</v>
      </c>
      <c r="W365" s="1">
        <v>3</v>
      </c>
    </row>
    <row r="366" spans="1:23" x14ac:dyDescent="0.2">
      <c r="A366">
        <v>2020</v>
      </c>
      <c r="B366" t="s">
        <v>23</v>
      </c>
      <c r="C366" t="s">
        <v>24</v>
      </c>
      <c r="D366">
        <v>183</v>
      </c>
      <c r="E366">
        <v>1</v>
      </c>
      <c r="F366">
        <v>8</v>
      </c>
      <c r="G366" t="s">
        <v>208</v>
      </c>
      <c r="H366">
        <v>13</v>
      </c>
      <c r="I366">
        <v>63</v>
      </c>
      <c r="J366">
        <v>65</v>
      </c>
      <c r="K366">
        <v>2</v>
      </c>
      <c r="L366">
        <v>180</v>
      </c>
      <c r="M366">
        <v>56</v>
      </c>
      <c r="N366">
        <v>2</v>
      </c>
      <c r="O366">
        <v>3</v>
      </c>
      <c r="P366">
        <v>13</v>
      </c>
      <c r="Q366">
        <v>0.9</v>
      </c>
      <c r="R366">
        <v>13</v>
      </c>
      <c r="S366">
        <v>1</v>
      </c>
      <c r="T366">
        <v>3</v>
      </c>
      <c r="U366">
        <v>12.5</v>
      </c>
      <c r="V366">
        <v>3294.1176470588234</v>
      </c>
      <c r="W366">
        <v>1</v>
      </c>
    </row>
    <row r="367" spans="1:23" x14ac:dyDescent="0.2">
      <c r="A367">
        <v>2020</v>
      </c>
      <c r="B367" t="s">
        <v>23</v>
      </c>
      <c r="C367" t="s">
        <v>24</v>
      </c>
      <c r="D367">
        <v>183</v>
      </c>
      <c r="E367">
        <v>2</v>
      </c>
      <c r="F367">
        <v>10</v>
      </c>
      <c r="G367" t="s">
        <v>208</v>
      </c>
      <c r="H367">
        <v>10</v>
      </c>
      <c r="I367">
        <v>55</v>
      </c>
      <c r="J367">
        <v>57</v>
      </c>
      <c r="K367">
        <v>2</v>
      </c>
      <c r="L367">
        <v>171</v>
      </c>
      <c r="M367">
        <v>81</v>
      </c>
      <c r="N367">
        <v>1.5</v>
      </c>
      <c r="O367">
        <v>4</v>
      </c>
      <c r="P367">
        <v>10</v>
      </c>
      <c r="Q367">
        <v>0.3</v>
      </c>
      <c r="R367">
        <v>11</v>
      </c>
      <c r="S367">
        <v>1.1000000000000001</v>
      </c>
      <c r="T367">
        <v>2</v>
      </c>
      <c r="U367">
        <v>12.5</v>
      </c>
      <c r="V367">
        <v>1098.0392156862745</v>
      </c>
      <c r="W367">
        <v>2</v>
      </c>
    </row>
    <row r="368" spans="1:23" x14ac:dyDescent="0.2">
      <c r="A368">
        <v>2020</v>
      </c>
      <c r="B368" t="s">
        <v>23</v>
      </c>
      <c r="C368" t="s">
        <v>24</v>
      </c>
      <c r="D368">
        <v>184</v>
      </c>
      <c r="E368">
        <v>1</v>
      </c>
      <c r="F368">
        <v>5</v>
      </c>
      <c r="G368" t="s">
        <v>209</v>
      </c>
      <c r="H368">
        <v>3</v>
      </c>
      <c r="I368">
        <v>58</v>
      </c>
      <c r="J368">
        <v>64</v>
      </c>
      <c r="K368">
        <v>6</v>
      </c>
      <c r="L368">
        <v>125</v>
      </c>
      <c r="M368">
        <v>35</v>
      </c>
      <c r="N368">
        <v>5</v>
      </c>
      <c r="O368">
        <v>4</v>
      </c>
      <c r="P368">
        <v>3</v>
      </c>
      <c r="Q368">
        <v>0.52300000000000002</v>
      </c>
      <c r="R368">
        <v>3</v>
      </c>
      <c r="S368">
        <v>1</v>
      </c>
      <c r="T368">
        <v>3</v>
      </c>
      <c r="U368">
        <v>12.5</v>
      </c>
      <c r="V368">
        <v>1914.248366013072</v>
      </c>
      <c r="W368">
        <v>1</v>
      </c>
    </row>
    <row r="369" spans="1:23" x14ac:dyDescent="0.2">
      <c r="A369">
        <v>2020</v>
      </c>
      <c r="B369" t="s">
        <v>23</v>
      </c>
      <c r="C369" t="s">
        <v>24</v>
      </c>
      <c r="D369">
        <v>184</v>
      </c>
      <c r="E369">
        <v>2</v>
      </c>
      <c r="F369">
        <v>5</v>
      </c>
      <c r="G369" t="s">
        <v>209</v>
      </c>
      <c r="H369" s="1">
        <v>6</v>
      </c>
      <c r="I369" s="1">
        <v>68</v>
      </c>
      <c r="J369" s="1">
        <v>69</v>
      </c>
      <c r="K369" s="1">
        <f t="shared" ref="K369:K384" si="12">J369-I369</f>
        <v>1</v>
      </c>
      <c r="L369" s="1">
        <v>153</v>
      </c>
      <c r="M369" s="1">
        <v>93</v>
      </c>
      <c r="N369" s="1">
        <v>2</v>
      </c>
      <c r="O369" s="1">
        <v>3</v>
      </c>
      <c r="P369" s="1">
        <v>6</v>
      </c>
      <c r="Q369" s="2">
        <v>0.20699999999999999</v>
      </c>
      <c r="R369" s="1">
        <v>5</v>
      </c>
      <c r="S369" s="1">
        <f t="shared" ref="S369:S384" si="13">R369/P369</f>
        <v>0.83333333333333337</v>
      </c>
      <c r="T369" s="1">
        <v>3</v>
      </c>
      <c r="U369" s="1">
        <v>12.5</v>
      </c>
      <c r="V369" s="1">
        <v>757.64705882352939</v>
      </c>
      <c r="W369" s="1">
        <v>3</v>
      </c>
    </row>
    <row r="370" spans="1:23" x14ac:dyDescent="0.2">
      <c r="A370">
        <v>2020</v>
      </c>
      <c r="B370" t="s">
        <v>23</v>
      </c>
      <c r="C370" t="s">
        <v>24</v>
      </c>
      <c r="D370">
        <v>185</v>
      </c>
      <c r="E370">
        <v>1</v>
      </c>
      <c r="F370">
        <v>1</v>
      </c>
      <c r="G370" t="s">
        <v>210</v>
      </c>
      <c r="H370" s="1">
        <v>12</v>
      </c>
      <c r="I370" s="1">
        <v>62</v>
      </c>
      <c r="J370" s="1">
        <v>66</v>
      </c>
      <c r="K370" s="1">
        <f t="shared" si="12"/>
        <v>4</v>
      </c>
      <c r="L370" s="1">
        <v>155</v>
      </c>
      <c r="M370" s="1">
        <v>83</v>
      </c>
      <c r="N370" s="1">
        <v>2</v>
      </c>
      <c r="O370" s="1">
        <v>2.5</v>
      </c>
      <c r="P370" s="1">
        <f>H370</f>
        <v>12</v>
      </c>
      <c r="Q370" s="2">
        <v>9.1350000000000001E-2</v>
      </c>
      <c r="R370" s="1">
        <v>8</v>
      </c>
      <c r="S370" s="1">
        <f t="shared" si="13"/>
        <v>0.66666666666666663</v>
      </c>
      <c r="T370" s="1">
        <v>3</v>
      </c>
      <c r="U370" s="1">
        <v>12.5</v>
      </c>
      <c r="V370" s="1">
        <v>334.35294117647055</v>
      </c>
      <c r="W370" s="1">
        <v>4</v>
      </c>
    </row>
    <row r="371" spans="1:23" x14ac:dyDescent="0.2">
      <c r="A371">
        <v>2020</v>
      </c>
      <c r="B371" t="s">
        <v>23</v>
      </c>
      <c r="C371" t="s">
        <v>24</v>
      </c>
      <c r="D371">
        <v>185</v>
      </c>
      <c r="E371">
        <v>2</v>
      </c>
      <c r="F371">
        <v>13</v>
      </c>
      <c r="G371" t="s">
        <v>210</v>
      </c>
      <c r="H371" s="1">
        <v>10</v>
      </c>
      <c r="I371" s="1">
        <v>64</v>
      </c>
      <c r="J371" s="1">
        <v>68</v>
      </c>
      <c r="K371" s="1">
        <f t="shared" si="12"/>
        <v>4</v>
      </c>
      <c r="L371" s="1">
        <v>170</v>
      </c>
      <c r="M371" s="1">
        <v>108</v>
      </c>
      <c r="N371" s="1">
        <v>2</v>
      </c>
      <c r="O371" s="1">
        <v>2.5</v>
      </c>
      <c r="P371" s="1">
        <f>H371</f>
        <v>10</v>
      </c>
      <c r="Q371" s="2">
        <v>0.42749999999999999</v>
      </c>
      <c r="R371" s="1">
        <v>6</v>
      </c>
      <c r="S371" s="1">
        <f t="shared" si="13"/>
        <v>0.6</v>
      </c>
      <c r="T371" s="1">
        <v>3</v>
      </c>
      <c r="U371" s="1">
        <v>12.5</v>
      </c>
      <c r="V371" s="1">
        <v>1564.7058823529412</v>
      </c>
      <c r="W371" s="1">
        <v>3</v>
      </c>
    </row>
    <row r="372" spans="1:23" x14ac:dyDescent="0.2">
      <c r="A372">
        <v>2020</v>
      </c>
      <c r="B372" t="s">
        <v>23</v>
      </c>
      <c r="C372" t="s">
        <v>24</v>
      </c>
      <c r="D372">
        <v>186</v>
      </c>
      <c r="E372">
        <v>1</v>
      </c>
      <c r="F372">
        <v>13</v>
      </c>
      <c r="G372" t="s">
        <v>211</v>
      </c>
      <c r="H372" s="1">
        <v>3</v>
      </c>
      <c r="I372" s="1">
        <v>66</v>
      </c>
      <c r="J372" s="1">
        <v>70</v>
      </c>
      <c r="K372" s="1">
        <f t="shared" si="12"/>
        <v>4</v>
      </c>
      <c r="L372" s="1">
        <v>183</v>
      </c>
      <c r="M372" s="1">
        <v>85</v>
      </c>
      <c r="N372" s="1">
        <v>1</v>
      </c>
      <c r="O372" s="1">
        <v>2</v>
      </c>
      <c r="P372" s="1">
        <v>3</v>
      </c>
      <c r="Q372" s="2">
        <v>0.2576</v>
      </c>
      <c r="R372" s="1">
        <v>3</v>
      </c>
      <c r="S372" s="1">
        <f t="shared" si="13"/>
        <v>1</v>
      </c>
      <c r="T372" s="1">
        <v>5</v>
      </c>
      <c r="U372" s="1">
        <v>9.1</v>
      </c>
      <c r="V372" s="1">
        <v>979.48611764705879</v>
      </c>
      <c r="W372" s="1">
        <v>4</v>
      </c>
    </row>
    <row r="373" spans="1:23" x14ac:dyDescent="0.2">
      <c r="A373">
        <v>2020</v>
      </c>
      <c r="B373" t="s">
        <v>23</v>
      </c>
      <c r="C373" t="s">
        <v>24</v>
      </c>
      <c r="D373">
        <v>186</v>
      </c>
      <c r="E373">
        <v>2</v>
      </c>
      <c r="F373">
        <v>8</v>
      </c>
      <c r="G373" t="s">
        <v>211</v>
      </c>
      <c r="H373" s="1">
        <v>15</v>
      </c>
      <c r="I373" s="1">
        <v>70</v>
      </c>
      <c r="J373" s="1">
        <v>74</v>
      </c>
      <c r="K373" s="1">
        <f t="shared" si="12"/>
        <v>4</v>
      </c>
      <c r="L373" s="1">
        <v>156</v>
      </c>
      <c r="M373" s="1">
        <v>51</v>
      </c>
      <c r="N373" s="1">
        <v>2.5</v>
      </c>
      <c r="O373" s="1">
        <v>4</v>
      </c>
      <c r="P373" s="1">
        <v>8</v>
      </c>
      <c r="Q373" s="2">
        <v>0.18</v>
      </c>
      <c r="R373" s="1">
        <v>5</v>
      </c>
      <c r="S373" s="1">
        <f t="shared" si="13"/>
        <v>0.625</v>
      </c>
      <c r="T373" s="1">
        <v>3</v>
      </c>
      <c r="U373" s="1">
        <v>12.5</v>
      </c>
      <c r="V373" s="1">
        <v>658.82352941176464</v>
      </c>
      <c r="W373" s="1">
        <v>5</v>
      </c>
    </row>
    <row r="374" spans="1:23" x14ac:dyDescent="0.2">
      <c r="A374">
        <v>2020</v>
      </c>
      <c r="B374" t="s">
        <v>23</v>
      </c>
      <c r="C374" t="s">
        <v>24</v>
      </c>
      <c r="D374">
        <v>187</v>
      </c>
      <c r="E374">
        <v>1</v>
      </c>
      <c r="F374">
        <v>2</v>
      </c>
      <c r="G374" t="s">
        <v>212</v>
      </c>
      <c r="H374" s="1">
        <v>6</v>
      </c>
      <c r="I374" s="1">
        <v>65</v>
      </c>
      <c r="J374" s="1">
        <v>68</v>
      </c>
      <c r="K374" s="1">
        <f t="shared" si="12"/>
        <v>3</v>
      </c>
      <c r="L374" s="1">
        <v>159</v>
      </c>
      <c r="M374" s="1">
        <v>63</v>
      </c>
      <c r="N374" s="1">
        <v>2</v>
      </c>
      <c r="O374" s="1">
        <v>3</v>
      </c>
      <c r="P374" s="1">
        <v>6</v>
      </c>
      <c r="Q374" s="2">
        <v>0.371</v>
      </c>
      <c r="R374" s="1">
        <v>4</v>
      </c>
      <c r="S374" s="1">
        <f t="shared" si="13"/>
        <v>0.66666666666666663</v>
      </c>
      <c r="T374" s="1">
        <v>2.5</v>
      </c>
      <c r="U374" s="1">
        <v>12.5</v>
      </c>
      <c r="V374" s="1">
        <v>1357.9084967320262</v>
      </c>
      <c r="W374" s="1">
        <v>2</v>
      </c>
    </row>
    <row r="375" spans="1:23" x14ac:dyDescent="0.2">
      <c r="A375">
        <v>2020</v>
      </c>
      <c r="B375" t="s">
        <v>23</v>
      </c>
      <c r="C375" t="s">
        <v>24</v>
      </c>
      <c r="D375">
        <v>187</v>
      </c>
      <c r="E375">
        <v>2</v>
      </c>
      <c r="F375">
        <v>12</v>
      </c>
      <c r="G375" t="s">
        <v>212</v>
      </c>
      <c r="H375" s="1">
        <v>16</v>
      </c>
      <c r="I375" s="1">
        <v>64</v>
      </c>
      <c r="J375" s="1">
        <v>69</v>
      </c>
      <c r="K375" s="1">
        <f t="shared" si="12"/>
        <v>5</v>
      </c>
      <c r="L375" s="1">
        <v>120</v>
      </c>
      <c r="M375" s="1">
        <v>78</v>
      </c>
      <c r="N375" s="1">
        <v>2</v>
      </c>
      <c r="O375" s="1">
        <v>3.5</v>
      </c>
      <c r="P375" s="1">
        <f>H375-2</f>
        <v>14</v>
      </c>
      <c r="Q375" s="2">
        <v>0.23250000000000001</v>
      </c>
      <c r="R375" s="1">
        <v>10</v>
      </c>
      <c r="S375" s="1">
        <f t="shared" si="13"/>
        <v>0.7142857142857143</v>
      </c>
      <c r="T375" s="1">
        <v>5</v>
      </c>
      <c r="U375" s="1">
        <v>12.5</v>
      </c>
      <c r="V375" s="1">
        <v>850.98039215686276</v>
      </c>
      <c r="W375" s="1">
        <v>4</v>
      </c>
    </row>
    <row r="376" spans="1:23" x14ac:dyDescent="0.2">
      <c r="A376">
        <v>2020</v>
      </c>
      <c r="B376" t="s">
        <v>23</v>
      </c>
      <c r="C376" t="s">
        <v>24</v>
      </c>
      <c r="D376">
        <v>188</v>
      </c>
      <c r="E376">
        <v>1</v>
      </c>
      <c r="F376">
        <v>12</v>
      </c>
      <c r="G376" t="s">
        <v>213</v>
      </c>
      <c r="H376" s="1">
        <v>5</v>
      </c>
      <c r="I376" s="1">
        <v>67</v>
      </c>
      <c r="J376" s="1">
        <v>72</v>
      </c>
      <c r="K376" s="1">
        <f t="shared" si="12"/>
        <v>5</v>
      </c>
      <c r="L376" s="1">
        <v>135</v>
      </c>
      <c r="M376" s="1">
        <v>45</v>
      </c>
      <c r="N376" s="1">
        <v>3</v>
      </c>
      <c r="O376" s="1">
        <v>4.5</v>
      </c>
      <c r="P376" s="1">
        <v>5</v>
      </c>
      <c r="Q376" s="2">
        <v>0.21440000000000001</v>
      </c>
      <c r="R376" s="1">
        <v>5</v>
      </c>
      <c r="S376" s="1">
        <f t="shared" si="13"/>
        <v>1</v>
      </c>
      <c r="T376" s="1">
        <v>4</v>
      </c>
      <c r="U376" s="1">
        <v>12.5</v>
      </c>
      <c r="V376" s="1">
        <v>784.73202614379102</v>
      </c>
      <c r="W376" s="1">
        <v>4</v>
      </c>
    </row>
    <row r="377" spans="1:23" x14ac:dyDescent="0.2">
      <c r="A377">
        <v>2020</v>
      </c>
      <c r="B377" t="s">
        <v>23</v>
      </c>
      <c r="C377" t="s">
        <v>24</v>
      </c>
      <c r="D377">
        <v>188</v>
      </c>
      <c r="E377">
        <v>2</v>
      </c>
      <c r="F377">
        <v>10</v>
      </c>
      <c r="G377" t="s">
        <v>213</v>
      </c>
      <c r="H377" s="1">
        <v>12</v>
      </c>
      <c r="I377" s="1">
        <v>63</v>
      </c>
      <c r="J377" s="1">
        <v>66</v>
      </c>
      <c r="K377" s="1">
        <f t="shared" si="12"/>
        <v>3</v>
      </c>
      <c r="L377" s="1">
        <v>174</v>
      </c>
      <c r="M377" s="1">
        <v>69</v>
      </c>
      <c r="N377" s="1">
        <v>2</v>
      </c>
      <c r="O377" s="1">
        <v>3.5</v>
      </c>
      <c r="P377" s="1">
        <f>H377-2</f>
        <v>10</v>
      </c>
      <c r="Q377" s="2">
        <v>0.41287499999999999</v>
      </c>
      <c r="R377" s="1">
        <v>10</v>
      </c>
      <c r="S377" s="1">
        <f t="shared" si="13"/>
        <v>1</v>
      </c>
      <c r="T377" s="1">
        <v>3</v>
      </c>
      <c r="U377" s="1">
        <v>12.5</v>
      </c>
      <c r="V377" s="1">
        <v>1511.1764705882351</v>
      </c>
      <c r="W377" s="1">
        <v>4</v>
      </c>
    </row>
    <row r="378" spans="1:23" x14ac:dyDescent="0.2">
      <c r="A378">
        <v>2020</v>
      </c>
      <c r="B378" t="s">
        <v>23</v>
      </c>
      <c r="C378" t="s">
        <v>24</v>
      </c>
      <c r="D378">
        <v>189</v>
      </c>
      <c r="E378">
        <v>1</v>
      </c>
      <c r="F378">
        <v>1</v>
      </c>
      <c r="G378" t="s">
        <v>214</v>
      </c>
      <c r="H378" s="1">
        <v>3</v>
      </c>
      <c r="I378" s="1">
        <v>58</v>
      </c>
      <c r="J378" s="1">
        <v>63</v>
      </c>
      <c r="K378" s="1">
        <f t="shared" si="12"/>
        <v>5</v>
      </c>
      <c r="L378" s="1">
        <v>55</v>
      </c>
      <c r="M378" s="1">
        <v>26</v>
      </c>
      <c r="N378" s="1">
        <v>4</v>
      </c>
      <c r="O378" s="1">
        <v>5</v>
      </c>
      <c r="P378" s="1">
        <v>3</v>
      </c>
      <c r="Q378" s="2">
        <v>0.04</v>
      </c>
      <c r="R378" s="1">
        <v>5</v>
      </c>
      <c r="S378" s="1">
        <f t="shared" si="13"/>
        <v>1.6666666666666667</v>
      </c>
      <c r="T378" s="1">
        <v>5</v>
      </c>
      <c r="U378" s="1">
        <v>12.5</v>
      </c>
      <c r="V378" s="1">
        <v>146.40522875816995</v>
      </c>
      <c r="W378" s="1">
        <v>8</v>
      </c>
    </row>
    <row r="379" spans="1:23" x14ac:dyDescent="0.2">
      <c r="A379">
        <v>2020</v>
      </c>
      <c r="B379" t="s">
        <v>23</v>
      </c>
      <c r="C379" t="s">
        <v>24</v>
      </c>
      <c r="D379">
        <v>189</v>
      </c>
      <c r="E379">
        <v>2</v>
      </c>
      <c r="F379">
        <v>3</v>
      </c>
      <c r="G379" t="s">
        <v>214</v>
      </c>
      <c r="H379" s="1">
        <v>8</v>
      </c>
      <c r="I379" s="1">
        <v>65</v>
      </c>
      <c r="J379" s="1">
        <v>68</v>
      </c>
      <c r="K379" s="1">
        <f t="shared" si="12"/>
        <v>3</v>
      </c>
      <c r="L379" s="1">
        <v>167</v>
      </c>
      <c r="M379" s="1">
        <v>85</v>
      </c>
      <c r="N379" s="1">
        <v>2</v>
      </c>
      <c r="O379" s="1">
        <v>2.5</v>
      </c>
      <c r="P379" s="1">
        <v>8</v>
      </c>
      <c r="Q379" s="2">
        <v>0.62775000000000003</v>
      </c>
      <c r="R379" s="1">
        <v>5</v>
      </c>
      <c r="S379" s="1">
        <f t="shared" si="13"/>
        <v>0.625</v>
      </c>
      <c r="T379" s="1">
        <v>5</v>
      </c>
      <c r="U379" s="1">
        <v>8</v>
      </c>
      <c r="V379" s="1">
        <v>2415.8117647058825</v>
      </c>
      <c r="W379" s="1">
        <v>5</v>
      </c>
    </row>
    <row r="380" spans="1:23" x14ac:dyDescent="0.2">
      <c r="A380">
        <v>2020</v>
      </c>
      <c r="B380" t="s">
        <v>23</v>
      </c>
      <c r="C380" t="s">
        <v>24</v>
      </c>
      <c r="D380">
        <v>190</v>
      </c>
      <c r="E380">
        <v>1</v>
      </c>
      <c r="F380">
        <v>12</v>
      </c>
      <c r="G380" t="s">
        <v>215</v>
      </c>
      <c r="H380" s="1">
        <v>9</v>
      </c>
      <c r="I380" s="1">
        <v>70</v>
      </c>
      <c r="J380" s="1">
        <v>73</v>
      </c>
      <c r="K380" s="1">
        <f t="shared" si="12"/>
        <v>3</v>
      </c>
      <c r="L380" s="1">
        <v>168</v>
      </c>
      <c r="M380" s="1">
        <v>83</v>
      </c>
      <c r="N380" s="1">
        <v>2</v>
      </c>
      <c r="O380" s="1">
        <v>4</v>
      </c>
      <c r="P380" s="1">
        <v>9</v>
      </c>
      <c r="Q380" s="2">
        <v>0.65832000000000002</v>
      </c>
      <c r="R380" s="1">
        <v>6</v>
      </c>
      <c r="S380" s="1">
        <f t="shared" si="13"/>
        <v>0.66666666666666663</v>
      </c>
      <c r="T380" s="1">
        <v>5</v>
      </c>
      <c r="U380" s="1">
        <v>12.5</v>
      </c>
      <c r="V380" s="1">
        <v>2409.5372549019608</v>
      </c>
      <c r="W380" s="1">
        <v>6</v>
      </c>
    </row>
    <row r="381" spans="1:23" x14ac:dyDescent="0.2">
      <c r="A381">
        <v>2020</v>
      </c>
      <c r="B381" t="s">
        <v>23</v>
      </c>
      <c r="C381" t="s">
        <v>24</v>
      </c>
      <c r="D381">
        <v>190</v>
      </c>
      <c r="E381">
        <v>2</v>
      </c>
      <c r="F381">
        <v>14</v>
      </c>
      <c r="G381" t="s">
        <v>215</v>
      </c>
      <c r="H381" s="1">
        <v>6</v>
      </c>
      <c r="I381" s="1">
        <v>64</v>
      </c>
      <c r="J381" s="1">
        <v>67</v>
      </c>
      <c r="K381" s="1">
        <f t="shared" si="12"/>
        <v>3</v>
      </c>
      <c r="L381" s="1">
        <v>118</v>
      </c>
      <c r="M381" s="1">
        <v>50</v>
      </c>
      <c r="N381" s="1">
        <v>2</v>
      </c>
      <c r="O381" s="1">
        <v>4.5</v>
      </c>
      <c r="P381" s="1">
        <v>6</v>
      </c>
      <c r="Q381" s="2">
        <v>0.152</v>
      </c>
      <c r="R381" s="1">
        <v>6</v>
      </c>
      <c r="S381" s="1">
        <f t="shared" si="13"/>
        <v>1</v>
      </c>
      <c r="T381" s="1">
        <v>4</v>
      </c>
      <c r="U381" s="1">
        <v>12.5</v>
      </c>
      <c r="V381" s="1">
        <v>556.33986928104571</v>
      </c>
      <c r="W381" s="1">
        <v>3</v>
      </c>
    </row>
    <row r="382" spans="1:23" x14ac:dyDescent="0.2">
      <c r="A382">
        <v>2020</v>
      </c>
      <c r="B382" t="s">
        <v>23</v>
      </c>
      <c r="C382" t="s">
        <v>24</v>
      </c>
      <c r="D382">
        <v>191</v>
      </c>
      <c r="E382">
        <v>1</v>
      </c>
      <c r="F382">
        <v>7</v>
      </c>
      <c r="G382" t="s">
        <v>216</v>
      </c>
      <c r="H382" s="1">
        <v>10</v>
      </c>
      <c r="I382" s="1">
        <v>67</v>
      </c>
      <c r="J382" s="1">
        <v>69</v>
      </c>
      <c r="K382" s="1">
        <f t="shared" si="12"/>
        <v>2</v>
      </c>
      <c r="L382" s="1">
        <v>196</v>
      </c>
      <c r="M382" s="1">
        <v>71</v>
      </c>
      <c r="N382" s="1">
        <v>2</v>
      </c>
      <c r="O382" s="1">
        <v>2.5</v>
      </c>
      <c r="P382" s="1">
        <v>10</v>
      </c>
      <c r="Q382" s="2">
        <v>0.51779999999999993</v>
      </c>
      <c r="R382" s="1">
        <v>10</v>
      </c>
      <c r="S382" s="1">
        <f t="shared" si="13"/>
        <v>1</v>
      </c>
      <c r="T382" s="1">
        <v>3</v>
      </c>
      <c r="U382" s="1">
        <v>12.5</v>
      </c>
      <c r="V382" s="1">
        <v>1895.2156862745094</v>
      </c>
      <c r="W382" s="1">
        <v>5</v>
      </c>
    </row>
    <row r="383" spans="1:23" x14ac:dyDescent="0.2">
      <c r="A383">
        <v>2020</v>
      </c>
      <c r="B383" t="s">
        <v>23</v>
      </c>
      <c r="C383" t="s">
        <v>24</v>
      </c>
      <c r="D383">
        <v>191</v>
      </c>
      <c r="E383">
        <v>2</v>
      </c>
      <c r="F383">
        <v>9</v>
      </c>
      <c r="G383" t="s">
        <v>216</v>
      </c>
      <c r="H383" s="1">
        <v>5</v>
      </c>
      <c r="I383" s="1">
        <v>62</v>
      </c>
      <c r="J383" s="1">
        <v>68</v>
      </c>
      <c r="K383" s="1">
        <f t="shared" si="12"/>
        <v>6</v>
      </c>
      <c r="L383" s="1">
        <v>185</v>
      </c>
      <c r="M383" s="1">
        <v>110</v>
      </c>
      <c r="N383" s="1">
        <v>2</v>
      </c>
      <c r="O383" s="1">
        <v>3.5</v>
      </c>
      <c r="P383" s="1">
        <v>3</v>
      </c>
      <c r="Q383" s="2">
        <v>0.153</v>
      </c>
      <c r="R383" s="1">
        <v>4</v>
      </c>
      <c r="S383" s="1">
        <f t="shared" si="13"/>
        <v>1.3333333333333333</v>
      </c>
      <c r="T383" s="1">
        <v>5</v>
      </c>
      <c r="U383" s="1">
        <v>12.5</v>
      </c>
      <c r="V383" s="1">
        <v>560</v>
      </c>
      <c r="W383" s="1">
        <v>3</v>
      </c>
    </row>
    <row r="384" spans="1:23" x14ac:dyDescent="0.2">
      <c r="A384">
        <v>2020</v>
      </c>
      <c r="B384" t="s">
        <v>23</v>
      </c>
      <c r="C384" t="s">
        <v>24</v>
      </c>
      <c r="D384">
        <v>192</v>
      </c>
      <c r="E384">
        <v>1</v>
      </c>
      <c r="F384">
        <v>1</v>
      </c>
      <c r="G384" t="s">
        <v>217</v>
      </c>
      <c r="H384" s="1">
        <v>12</v>
      </c>
      <c r="I384" s="1">
        <v>57</v>
      </c>
      <c r="J384" s="1">
        <v>60</v>
      </c>
      <c r="K384" s="1">
        <f t="shared" si="12"/>
        <v>3</v>
      </c>
      <c r="L384" s="1">
        <v>152</v>
      </c>
      <c r="M384" s="1">
        <v>55</v>
      </c>
      <c r="N384" s="1">
        <v>2.5</v>
      </c>
      <c r="O384" s="1">
        <v>4</v>
      </c>
      <c r="P384" s="1">
        <v>10</v>
      </c>
      <c r="Q384" s="2">
        <v>0.25124999999999997</v>
      </c>
      <c r="R384" s="1">
        <v>7</v>
      </c>
      <c r="S384" s="1">
        <f t="shared" si="13"/>
        <v>0.7</v>
      </c>
      <c r="T384" s="1">
        <v>3</v>
      </c>
      <c r="U384" s="1">
        <v>12.5</v>
      </c>
      <c r="V384" s="1">
        <v>919.6078431372548</v>
      </c>
      <c r="W384" s="1">
        <v>4</v>
      </c>
    </row>
    <row r="385" spans="1:23" x14ac:dyDescent="0.2">
      <c r="A385">
        <v>2020</v>
      </c>
      <c r="B385" t="s">
        <v>23</v>
      </c>
      <c r="C385" t="s">
        <v>24</v>
      </c>
      <c r="D385">
        <v>192</v>
      </c>
      <c r="E385">
        <v>2</v>
      </c>
      <c r="F385">
        <v>9</v>
      </c>
      <c r="G385" t="s">
        <v>217</v>
      </c>
      <c r="H385">
        <v>14</v>
      </c>
      <c r="I385">
        <v>55</v>
      </c>
      <c r="J385">
        <v>59</v>
      </c>
      <c r="K385">
        <v>4</v>
      </c>
      <c r="L385">
        <v>172</v>
      </c>
      <c r="M385">
        <v>98</v>
      </c>
      <c r="N385">
        <v>2</v>
      </c>
      <c r="O385">
        <v>2</v>
      </c>
      <c r="P385">
        <v>14</v>
      </c>
      <c r="Q385">
        <v>1</v>
      </c>
      <c r="R385">
        <v>12</v>
      </c>
      <c r="S385">
        <v>0.8571428571428571</v>
      </c>
      <c r="T385">
        <v>2</v>
      </c>
      <c r="U385">
        <v>11.8</v>
      </c>
      <c r="V385">
        <v>3689.4117647058829</v>
      </c>
      <c r="W385">
        <v>2</v>
      </c>
    </row>
    <row r="386" spans="1:23" x14ac:dyDescent="0.2">
      <c r="A386">
        <v>2020</v>
      </c>
      <c r="B386" t="s">
        <v>23</v>
      </c>
      <c r="C386" t="s">
        <v>24</v>
      </c>
      <c r="D386">
        <v>193</v>
      </c>
      <c r="E386">
        <v>1</v>
      </c>
      <c r="F386">
        <v>6</v>
      </c>
      <c r="G386" t="s">
        <v>218</v>
      </c>
      <c r="H386" s="1">
        <v>9</v>
      </c>
      <c r="I386" s="1">
        <v>66</v>
      </c>
      <c r="J386" s="1">
        <v>69</v>
      </c>
      <c r="K386" s="1">
        <f>J386-I386</f>
        <v>3</v>
      </c>
      <c r="L386" s="1">
        <v>125</v>
      </c>
      <c r="M386" s="1">
        <v>46</v>
      </c>
      <c r="N386" s="1">
        <v>2</v>
      </c>
      <c r="O386" s="1">
        <v>4.5</v>
      </c>
      <c r="P386" s="1">
        <v>6</v>
      </c>
      <c r="Q386" s="2">
        <v>0.23400000000000001</v>
      </c>
      <c r="R386" s="1">
        <v>5</v>
      </c>
      <c r="S386" s="1">
        <f>R386/P386</f>
        <v>0.83333333333333337</v>
      </c>
      <c r="T386" s="1">
        <v>5</v>
      </c>
      <c r="U386" s="1">
        <v>12.5</v>
      </c>
      <c r="V386" s="1">
        <v>856.47058823529414</v>
      </c>
      <c r="W386" s="1">
        <v>4</v>
      </c>
    </row>
    <row r="387" spans="1:23" x14ac:dyDescent="0.2">
      <c r="A387">
        <v>2020</v>
      </c>
      <c r="B387" t="s">
        <v>23</v>
      </c>
      <c r="C387" t="s">
        <v>24</v>
      </c>
      <c r="D387">
        <v>193</v>
      </c>
      <c r="E387">
        <v>2</v>
      </c>
      <c r="F387">
        <v>3</v>
      </c>
      <c r="G387" t="s">
        <v>218</v>
      </c>
      <c r="H387">
        <v>8</v>
      </c>
      <c r="I387">
        <v>58</v>
      </c>
      <c r="J387">
        <v>60</v>
      </c>
      <c r="K387">
        <v>2</v>
      </c>
      <c r="L387">
        <v>102</v>
      </c>
      <c r="M387">
        <v>32</v>
      </c>
      <c r="N387">
        <v>2</v>
      </c>
      <c r="O387">
        <v>2</v>
      </c>
      <c r="P387">
        <v>8</v>
      </c>
      <c r="Q387">
        <v>0.13500000000000001</v>
      </c>
      <c r="R387">
        <v>8</v>
      </c>
      <c r="S387">
        <v>1</v>
      </c>
      <c r="T387">
        <v>3</v>
      </c>
      <c r="U387">
        <v>12.5</v>
      </c>
      <c r="V387">
        <v>494.11764705882354</v>
      </c>
      <c r="W387">
        <v>2</v>
      </c>
    </row>
    <row r="388" spans="1:23" x14ac:dyDescent="0.2">
      <c r="A388">
        <v>2020</v>
      </c>
      <c r="B388" t="s">
        <v>23</v>
      </c>
      <c r="C388" t="s">
        <v>24</v>
      </c>
      <c r="D388">
        <v>194</v>
      </c>
      <c r="E388">
        <v>1</v>
      </c>
      <c r="F388">
        <v>14</v>
      </c>
      <c r="G388" t="s">
        <v>219</v>
      </c>
      <c r="H388" s="1">
        <v>5</v>
      </c>
      <c r="I388" s="1">
        <v>65</v>
      </c>
      <c r="J388" s="1">
        <v>70</v>
      </c>
      <c r="K388" s="1">
        <f>J388-I388</f>
        <v>5</v>
      </c>
      <c r="L388" s="1">
        <v>106</v>
      </c>
      <c r="M388" s="1">
        <v>45</v>
      </c>
      <c r="N388" s="1">
        <v>2</v>
      </c>
      <c r="O388" s="1">
        <v>4.5</v>
      </c>
      <c r="P388" s="1">
        <v>3</v>
      </c>
      <c r="Q388" s="2">
        <v>5.1999999999999998E-2</v>
      </c>
      <c r="R388" s="1">
        <v>1</v>
      </c>
      <c r="S388" s="1">
        <f>R388/P388</f>
        <v>0.33333333333333331</v>
      </c>
      <c r="T388" s="1">
        <v>5</v>
      </c>
      <c r="U388" s="1">
        <v>12.5</v>
      </c>
      <c r="V388" s="1">
        <v>190.32679738562092</v>
      </c>
      <c r="W388" s="1">
        <v>5</v>
      </c>
    </row>
    <row r="389" spans="1:23" x14ac:dyDescent="0.2">
      <c r="A389">
        <v>2020</v>
      </c>
      <c r="B389" t="s">
        <v>23</v>
      </c>
      <c r="C389" t="s">
        <v>24</v>
      </c>
      <c r="D389">
        <v>194</v>
      </c>
      <c r="E389">
        <v>2</v>
      </c>
      <c r="F389">
        <v>9</v>
      </c>
      <c r="G389" t="s">
        <v>219</v>
      </c>
      <c r="H389" s="1">
        <v>11</v>
      </c>
      <c r="I389" s="1">
        <v>70</v>
      </c>
      <c r="J389" s="1">
        <v>73</v>
      </c>
      <c r="K389" s="1">
        <f>J389-I389</f>
        <v>3</v>
      </c>
      <c r="L389" s="1">
        <v>160</v>
      </c>
      <c r="M389" s="1">
        <v>88</v>
      </c>
      <c r="N389" s="1">
        <v>2</v>
      </c>
      <c r="O389" s="1">
        <v>1</v>
      </c>
      <c r="P389" s="1">
        <f>H389</f>
        <v>11</v>
      </c>
      <c r="Q389" s="2">
        <v>0.11069999999999999</v>
      </c>
      <c r="R389" s="1">
        <v>11</v>
      </c>
      <c r="S389" s="1">
        <f>R389/P389</f>
        <v>1</v>
      </c>
      <c r="T389" s="1">
        <v>5</v>
      </c>
      <c r="U389" s="1">
        <v>12.5</v>
      </c>
      <c r="V389" s="1">
        <v>405.1764705882353</v>
      </c>
      <c r="W389" s="1">
        <v>4</v>
      </c>
    </row>
    <row r="390" spans="1:23" x14ac:dyDescent="0.2">
      <c r="A390">
        <v>2020</v>
      </c>
      <c r="B390" t="s">
        <v>23</v>
      </c>
      <c r="C390" t="s">
        <v>24</v>
      </c>
      <c r="D390">
        <v>195</v>
      </c>
      <c r="E390">
        <v>1</v>
      </c>
      <c r="F390">
        <v>6</v>
      </c>
      <c r="G390" t="s">
        <v>220</v>
      </c>
      <c r="H390">
        <v>13</v>
      </c>
      <c r="I390">
        <v>50</v>
      </c>
      <c r="J390">
        <v>55</v>
      </c>
      <c r="K390">
        <v>5</v>
      </c>
      <c r="L390">
        <v>183</v>
      </c>
      <c r="M390">
        <v>88</v>
      </c>
      <c r="N390">
        <v>2</v>
      </c>
      <c r="O390">
        <v>2</v>
      </c>
      <c r="P390">
        <v>9</v>
      </c>
      <c r="Q390">
        <v>1</v>
      </c>
      <c r="R390">
        <v>6</v>
      </c>
      <c r="S390">
        <v>0.66666666666666663</v>
      </c>
      <c r="T390">
        <v>2</v>
      </c>
      <c r="U390">
        <v>12.1</v>
      </c>
      <c r="V390">
        <v>3676.8627450980389</v>
      </c>
      <c r="W390">
        <v>2</v>
      </c>
    </row>
    <row r="391" spans="1:23" x14ac:dyDescent="0.2">
      <c r="A391">
        <v>2020</v>
      </c>
      <c r="B391" t="s">
        <v>23</v>
      </c>
      <c r="C391" t="s">
        <v>24</v>
      </c>
      <c r="D391">
        <v>195</v>
      </c>
      <c r="E391">
        <v>2</v>
      </c>
      <c r="F391">
        <v>2</v>
      </c>
      <c r="G391" t="s">
        <v>220</v>
      </c>
      <c r="H391" s="3">
        <v>7</v>
      </c>
      <c r="I391" s="3">
        <v>66</v>
      </c>
      <c r="J391" s="3">
        <v>68</v>
      </c>
      <c r="K391" s="3">
        <f>J391-I391</f>
        <v>2</v>
      </c>
      <c r="L391" s="3">
        <v>126</v>
      </c>
      <c r="M391" s="3">
        <v>45</v>
      </c>
      <c r="N391" s="3">
        <v>2</v>
      </c>
      <c r="O391" s="3">
        <v>4</v>
      </c>
      <c r="P391" s="3">
        <v>5</v>
      </c>
      <c r="Q391" s="4">
        <v>0.32300000000000001</v>
      </c>
      <c r="R391" s="3">
        <v>5</v>
      </c>
      <c r="S391" s="3">
        <f>R391/P391</f>
        <v>1</v>
      </c>
      <c r="T391" s="3">
        <v>3</v>
      </c>
      <c r="U391" s="3">
        <v>12.5</v>
      </c>
      <c r="V391" s="3">
        <v>1182.2222222222222</v>
      </c>
      <c r="W391" s="3">
        <v>3</v>
      </c>
    </row>
    <row r="392" spans="1:23" x14ac:dyDescent="0.2">
      <c r="A392">
        <v>2020</v>
      </c>
      <c r="B392" t="s">
        <v>23</v>
      </c>
      <c r="C392" t="s">
        <v>24</v>
      </c>
      <c r="D392">
        <v>196</v>
      </c>
      <c r="E392">
        <v>1</v>
      </c>
      <c r="F392">
        <v>3</v>
      </c>
      <c r="G392" t="s">
        <v>221</v>
      </c>
      <c r="H392" s="3">
        <v>10</v>
      </c>
      <c r="I392" s="3">
        <v>67</v>
      </c>
      <c r="J392" s="3">
        <v>73</v>
      </c>
      <c r="K392" s="3">
        <f>J392-I392</f>
        <v>6</v>
      </c>
      <c r="L392" s="3">
        <v>120</v>
      </c>
      <c r="M392" s="3">
        <v>46</v>
      </c>
      <c r="N392" s="3">
        <v>2.5</v>
      </c>
      <c r="O392" s="3">
        <v>4.5</v>
      </c>
      <c r="P392" s="3">
        <v>5</v>
      </c>
      <c r="Q392" s="4">
        <v>0.112</v>
      </c>
      <c r="R392" s="3">
        <v>5</v>
      </c>
      <c r="S392" s="3">
        <f>R392/P392</f>
        <v>1</v>
      </c>
      <c r="T392" s="3">
        <v>5</v>
      </c>
      <c r="U392" s="3">
        <v>12.5</v>
      </c>
      <c r="V392" s="3">
        <v>409.93464052287584</v>
      </c>
      <c r="W392" s="3">
        <v>5</v>
      </c>
    </row>
    <row r="393" spans="1:23" x14ac:dyDescent="0.2">
      <c r="A393">
        <v>2020</v>
      </c>
      <c r="B393" t="s">
        <v>23</v>
      </c>
      <c r="C393" t="s">
        <v>24</v>
      </c>
      <c r="D393">
        <v>196</v>
      </c>
      <c r="E393">
        <v>2</v>
      </c>
      <c r="F393">
        <v>10</v>
      </c>
      <c r="G393" t="s">
        <v>221</v>
      </c>
      <c r="H393">
        <v>7</v>
      </c>
      <c r="I393">
        <v>58</v>
      </c>
      <c r="J393">
        <v>60</v>
      </c>
      <c r="K393">
        <v>2</v>
      </c>
      <c r="L393">
        <v>186</v>
      </c>
      <c r="M393">
        <v>93</v>
      </c>
      <c r="N393">
        <v>2</v>
      </c>
      <c r="O393">
        <v>2.5</v>
      </c>
      <c r="P393">
        <v>8</v>
      </c>
      <c r="Q393">
        <v>0.8</v>
      </c>
      <c r="R393">
        <v>8</v>
      </c>
      <c r="S393">
        <v>1</v>
      </c>
      <c r="T393">
        <v>2</v>
      </c>
      <c r="U393">
        <v>9</v>
      </c>
      <c r="V393">
        <v>3045.2287581699347</v>
      </c>
      <c r="W393">
        <v>2</v>
      </c>
    </row>
    <row r="394" spans="1:23" x14ac:dyDescent="0.2">
      <c r="A394">
        <v>2020</v>
      </c>
      <c r="B394" t="s">
        <v>23</v>
      </c>
      <c r="C394" t="s">
        <v>24</v>
      </c>
      <c r="D394">
        <v>197</v>
      </c>
      <c r="E394">
        <v>1</v>
      </c>
      <c r="F394">
        <v>13</v>
      </c>
      <c r="G394" t="s">
        <v>222</v>
      </c>
      <c r="H394" s="1">
        <v>10</v>
      </c>
      <c r="I394" s="1">
        <v>67</v>
      </c>
      <c r="J394" s="1">
        <v>73</v>
      </c>
      <c r="K394" s="1">
        <f>J394-I394</f>
        <v>6</v>
      </c>
      <c r="L394" s="1">
        <v>125</v>
      </c>
      <c r="M394" s="1">
        <v>35</v>
      </c>
      <c r="N394" s="1">
        <v>2</v>
      </c>
      <c r="O394" s="1">
        <v>4.5</v>
      </c>
      <c r="P394" s="1">
        <v>6</v>
      </c>
      <c r="Q394" s="2">
        <v>0.124</v>
      </c>
      <c r="R394" s="1">
        <v>4</v>
      </c>
      <c r="S394" s="1">
        <f>R394/P394</f>
        <v>0.66666666666666663</v>
      </c>
      <c r="T394" s="1">
        <v>5</v>
      </c>
      <c r="U394" s="1">
        <v>12.5</v>
      </c>
      <c r="V394" s="1">
        <v>453.85620915032678</v>
      </c>
      <c r="W394" s="1">
        <v>4</v>
      </c>
    </row>
    <row r="395" spans="1:23" x14ac:dyDescent="0.2">
      <c r="A395">
        <v>2020</v>
      </c>
      <c r="B395" t="s">
        <v>23</v>
      </c>
      <c r="C395" t="s">
        <v>24</v>
      </c>
      <c r="D395">
        <v>197</v>
      </c>
      <c r="E395">
        <v>2</v>
      </c>
      <c r="F395">
        <v>8</v>
      </c>
      <c r="G395" t="s">
        <v>222</v>
      </c>
      <c r="H395" s="1">
        <v>3</v>
      </c>
      <c r="I395" s="1">
        <v>64</v>
      </c>
      <c r="J395" s="1">
        <v>68</v>
      </c>
      <c r="K395" s="1">
        <f>J395-I395</f>
        <v>4</v>
      </c>
      <c r="L395" s="1">
        <v>92</v>
      </c>
      <c r="M395" s="1">
        <v>25</v>
      </c>
      <c r="N395" s="1">
        <v>1.5</v>
      </c>
      <c r="O395" s="1">
        <v>5</v>
      </c>
      <c r="P395" s="1">
        <v>4</v>
      </c>
      <c r="Q395" s="2">
        <v>3.56E-2</v>
      </c>
      <c r="R395" s="1">
        <v>2</v>
      </c>
      <c r="S395" s="1">
        <f>R395/P395</f>
        <v>0.5</v>
      </c>
      <c r="T395" s="1">
        <v>5</v>
      </c>
      <c r="U395" s="1">
        <v>12.5</v>
      </c>
      <c r="V395" s="1">
        <v>130.30065359477123</v>
      </c>
      <c r="W395" s="1">
        <v>8</v>
      </c>
    </row>
    <row r="396" spans="1:23" x14ac:dyDescent="0.2">
      <c r="A396">
        <v>2020</v>
      </c>
      <c r="B396" t="s">
        <v>23</v>
      </c>
      <c r="C396" t="s">
        <v>24</v>
      </c>
      <c r="D396">
        <v>198</v>
      </c>
      <c r="E396">
        <v>1</v>
      </c>
      <c r="F396">
        <v>5</v>
      </c>
      <c r="G396" t="s">
        <v>223</v>
      </c>
      <c r="H396" s="1">
        <v>14</v>
      </c>
      <c r="I396" s="1">
        <v>70</v>
      </c>
      <c r="J396" s="1">
        <v>74</v>
      </c>
      <c r="K396" s="1">
        <f>J396-I396</f>
        <v>4</v>
      </c>
      <c r="L396" s="1">
        <v>133</v>
      </c>
      <c r="M396" s="1">
        <v>82</v>
      </c>
      <c r="N396" s="1">
        <v>2</v>
      </c>
      <c r="O396" s="1">
        <v>3.5</v>
      </c>
      <c r="P396" s="1">
        <f>H396-1</f>
        <v>13</v>
      </c>
      <c r="Q396" s="2">
        <v>0.40229999999999994</v>
      </c>
      <c r="R396" s="1">
        <v>10</v>
      </c>
      <c r="S396" s="1">
        <f>R396/P396</f>
        <v>0.76923076923076927</v>
      </c>
      <c r="T396" s="1">
        <v>5</v>
      </c>
      <c r="U396" s="1">
        <v>12.5</v>
      </c>
      <c r="V396" s="1">
        <v>1472.4705882352939</v>
      </c>
      <c r="W396" s="1">
        <v>5</v>
      </c>
    </row>
    <row r="397" spans="1:23" x14ac:dyDescent="0.2">
      <c r="A397">
        <v>2020</v>
      </c>
      <c r="B397" t="s">
        <v>23</v>
      </c>
      <c r="C397" t="s">
        <v>24</v>
      </c>
      <c r="D397">
        <v>198</v>
      </c>
      <c r="E397">
        <v>2</v>
      </c>
      <c r="F397">
        <v>14</v>
      </c>
      <c r="G397" t="s">
        <v>223</v>
      </c>
      <c r="H397">
        <v>13</v>
      </c>
      <c r="I397">
        <v>55</v>
      </c>
      <c r="J397">
        <v>58</v>
      </c>
      <c r="K397">
        <v>3</v>
      </c>
      <c r="L397">
        <v>178</v>
      </c>
      <c r="M397">
        <v>58</v>
      </c>
      <c r="N397">
        <v>1</v>
      </c>
      <c r="O397">
        <v>2</v>
      </c>
      <c r="P397">
        <v>13</v>
      </c>
      <c r="Q397">
        <v>0.7</v>
      </c>
      <c r="R397">
        <v>12</v>
      </c>
      <c r="S397">
        <v>0.92307692307692313</v>
      </c>
      <c r="T397">
        <v>3</v>
      </c>
      <c r="U397">
        <v>9.8000000000000007</v>
      </c>
      <c r="V397">
        <v>2641.1503267973858</v>
      </c>
      <c r="W397">
        <v>2</v>
      </c>
    </row>
    <row r="398" spans="1:23" x14ac:dyDescent="0.2">
      <c r="A398">
        <v>2020</v>
      </c>
      <c r="B398" t="s">
        <v>23</v>
      </c>
      <c r="C398" t="s">
        <v>24</v>
      </c>
      <c r="D398">
        <v>199</v>
      </c>
      <c r="E398">
        <v>1</v>
      </c>
      <c r="F398">
        <v>6</v>
      </c>
      <c r="G398" t="s">
        <v>224</v>
      </c>
      <c r="H398" s="1">
        <v>8</v>
      </c>
      <c r="I398" s="1">
        <v>68</v>
      </c>
      <c r="J398" s="1">
        <v>72</v>
      </c>
      <c r="K398" s="1">
        <f>J398-I398</f>
        <v>4</v>
      </c>
      <c r="L398" s="1">
        <v>106</v>
      </c>
      <c r="M398" s="1">
        <v>15</v>
      </c>
      <c r="N398" s="1">
        <v>2</v>
      </c>
      <c r="O398" s="1">
        <v>4</v>
      </c>
      <c r="P398" s="1">
        <v>5</v>
      </c>
      <c r="Q398" s="2">
        <v>0.19800000000000001</v>
      </c>
      <c r="R398" s="1">
        <v>4</v>
      </c>
      <c r="S398" s="1">
        <f>R398/P398</f>
        <v>0.8</v>
      </c>
      <c r="T398" s="1">
        <v>5</v>
      </c>
      <c r="U398" s="1">
        <v>12.5</v>
      </c>
      <c r="V398" s="1">
        <v>724.7058823529411</v>
      </c>
      <c r="W398" s="1">
        <v>5</v>
      </c>
    </row>
    <row r="399" spans="1:23" x14ac:dyDescent="0.2">
      <c r="A399">
        <v>2020</v>
      </c>
      <c r="B399" t="s">
        <v>23</v>
      </c>
      <c r="C399" t="s">
        <v>24</v>
      </c>
      <c r="D399">
        <v>199</v>
      </c>
      <c r="E399">
        <v>2</v>
      </c>
      <c r="F399">
        <v>5</v>
      </c>
      <c r="G399" t="s">
        <v>224</v>
      </c>
      <c r="H399" s="1">
        <v>10</v>
      </c>
      <c r="I399" s="1">
        <v>64</v>
      </c>
      <c r="J399" s="1">
        <v>68</v>
      </c>
      <c r="K399" s="1">
        <f>J399-I399</f>
        <v>4</v>
      </c>
      <c r="L399" s="1">
        <v>135</v>
      </c>
      <c r="M399" s="1">
        <v>50</v>
      </c>
      <c r="N399" s="1">
        <v>2</v>
      </c>
      <c r="O399" s="1">
        <v>4</v>
      </c>
      <c r="P399" s="1">
        <v>5</v>
      </c>
      <c r="Q399" s="2">
        <v>0.38144</v>
      </c>
      <c r="R399" s="1">
        <v>5</v>
      </c>
      <c r="S399" s="1">
        <f>R399/P399</f>
        <v>1</v>
      </c>
      <c r="T399" s="1">
        <v>5</v>
      </c>
      <c r="U399" s="1">
        <v>12.5</v>
      </c>
      <c r="V399" s="1">
        <v>1396.1202614379085</v>
      </c>
      <c r="W399" s="1">
        <v>7</v>
      </c>
    </row>
    <row r="400" spans="1:23" x14ac:dyDescent="0.2">
      <c r="A400">
        <v>2020</v>
      </c>
      <c r="B400" t="s">
        <v>23</v>
      </c>
      <c r="C400" t="s">
        <v>24</v>
      </c>
      <c r="D400">
        <v>200</v>
      </c>
      <c r="E400">
        <v>1</v>
      </c>
      <c r="F400">
        <v>13</v>
      </c>
      <c r="G400" t="s">
        <v>225</v>
      </c>
      <c r="H400" s="1">
        <v>12</v>
      </c>
      <c r="I400" s="1">
        <v>58</v>
      </c>
      <c r="J400" s="1">
        <v>60</v>
      </c>
      <c r="K400" s="1">
        <f>J400-I400</f>
        <v>2</v>
      </c>
      <c r="L400" s="1">
        <v>99</v>
      </c>
      <c r="M400" s="1">
        <v>44</v>
      </c>
      <c r="N400" s="1">
        <v>2</v>
      </c>
      <c r="O400" s="1">
        <v>4</v>
      </c>
      <c r="P400" s="1">
        <v>8</v>
      </c>
      <c r="Q400" s="2">
        <v>0.155</v>
      </c>
      <c r="R400" s="1">
        <v>6</v>
      </c>
      <c r="S400" s="1">
        <f>R400/P400</f>
        <v>0.75</v>
      </c>
      <c r="T400" s="1">
        <v>4</v>
      </c>
      <c r="U400" s="1">
        <v>12.5</v>
      </c>
      <c r="V400" s="1">
        <v>567.32026143790847</v>
      </c>
      <c r="W400" s="1">
        <v>5</v>
      </c>
    </row>
    <row r="401" spans="1:23" x14ac:dyDescent="0.2">
      <c r="A401">
        <v>2020</v>
      </c>
      <c r="B401" t="s">
        <v>23</v>
      </c>
      <c r="C401" t="s">
        <v>24</v>
      </c>
      <c r="D401">
        <v>200</v>
      </c>
      <c r="E401">
        <v>2</v>
      </c>
      <c r="F401">
        <v>2</v>
      </c>
      <c r="G401" t="s">
        <v>225</v>
      </c>
      <c r="H401">
        <v>14</v>
      </c>
      <c r="I401">
        <v>55</v>
      </c>
      <c r="J401">
        <v>61</v>
      </c>
      <c r="K401">
        <v>6</v>
      </c>
      <c r="L401">
        <v>185</v>
      </c>
      <c r="M401">
        <v>72</v>
      </c>
      <c r="N401">
        <v>1</v>
      </c>
      <c r="O401">
        <v>2</v>
      </c>
      <c r="P401">
        <v>13</v>
      </c>
      <c r="Q401">
        <v>0.3</v>
      </c>
      <c r="R401">
        <v>4</v>
      </c>
      <c r="S401">
        <v>0.30769230769230771</v>
      </c>
      <c r="T401">
        <v>2</v>
      </c>
      <c r="U401">
        <v>11.3</v>
      </c>
      <c r="V401">
        <v>1113.0980392156862</v>
      </c>
      <c r="W401">
        <v>2</v>
      </c>
    </row>
    <row r="402" spans="1:23" x14ac:dyDescent="0.2">
      <c r="A402">
        <v>2020</v>
      </c>
      <c r="B402" t="s">
        <v>23</v>
      </c>
      <c r="C402" t="s">
        <v>24</v>
      </c>
      <c r="D402">
        <v>201</v>
      </c>
      <c r="E402">
        <v>1</v>
      </c>
      <c r="F402">
        <v>2</v>
      </c>
      <c r="G402" t="s">
        <v>226</v>
      </c>
      <c r="H402" s="1">
        <v>12</v>
      </c>
      <c r="I402" s="1">
        <v>62</v>
      </c>
      <c r="J402" s="1">
        <v>67</v>
      </c>
      <c r="K402" s="1">
        <f>J402-I402</f>
        <v>5</v>
      </c>
      <c r="L402" s="1">
        <v>141</v>
      </c>
      <c r="M402" s="1">
        <v>63</v>
      </c>
      <c r="N402" s="1">
        <v>2</v>
      </c>
      <c r="O402" s="1">
        <v>3.5</v>
      </c>
      <c r="P402" s="1">
        <v>10</v>
      </c>
      <c r="Q402" s="2">
        <v>0.82479999999999998</v>
      </c>
      <c r="R402" s="1">
        <v>10</v>
      </c>
      <c r="S402" s="1">
        <f>R402/P402</f>
        <v>1</v>
      </c>
      <c r="T402" s="1">
        <v>5</v>
      </c>
      <c r="U402" s="1">
        <v>9</v>
      </c>
      <c r="V402" s="1">
        <v>3139.6308496732026</v>
      </c>
      <c r="W402" s="1">
        <v>4</v>
      </c>
    </row>
    <row r="403" spans="1:23" x14ac:dyDescent="0.2">
      <c r="A403">
        <v>2020</v>
      </c>
      <c r="B403" t="s">
        <v>23</v>
      </c>
      <c r="C403" t="s">
        <v>24</v>
      </c>
      <c r="D403">
        <v>201</v>
      </c>
      <c r="E403">
        <v>2</v>
      </c>
      <c r="F403">
        <v>15</v>
      </c>
      <c r="G403" t="s">
        <v>226</v>
      </c>
      <c r="H403" s="1">
        <v>8</v>
      </c>
      <c r="I403" s="1">
        <v>61</v>
      </c>
      <c r="J403" s="1">
        <v>65</v>
      </c>
      <c r="K403" s="1">
        <f>J403-I403</f>
        <v>4</v>
      </c>
      <c r="L403" s="1">
        <v>105</v>
      </c>
      <c r="M403" s="1">
        <v>46</v>
      </c>
      <c r="N403" s="1">
        <v>1.5</v>
      </c>
      <c r="O403" s="1">
        <v>4.5</v>
      </c>
      <c r="P403" s="1">
        <v>6</v>
      </c>
      <c r="Q403" s="2">
        <v>4.6799999999999994E-2</v>
      </c>
      <c r="R403" s="1">
        <v>3</v>
      </c>
      <c r="S403" s="1">
        <f>R403/P403</f>
        <v>0.5</v>
      </c>
      <c r="T403" s="1">
        <v>5</v>
      </c>
      <c r="U403" s="1">
        <v>12.5</v>
      </c>
      <c r="V403" s="1">
        <v>171.29411764705884</v>
      </c>
      <c r="W403" s="1">
        <v>5</v>
      </c>
    </row>
    <row r="404" spans="1:23" x14ac:dyDescent="0.2">
      <c r="A404">
        <v>2020</v>
      </c>
      <c r="B404" t="s">
        <v>23</v>
      </c>
      <c r="C404" t="s">
        <v>24</v>
      </c>
      <c r="D404">
        <v>202</v>
      </c>
      <c r="E404">
        <v>1</v>
      </c>
      <c r="F404">
        <v>10</v>
      </c>
      <c r="G404" t="s">
        <v>227</v>
      </c>
      <c r="H404" s="1">
        <v>8</v>
      </c>
      <c r="I404" s="1">
        <v>62</v>
      </c>
      <c r="J404" s="1">
        <v>67</v>
      </c>
      <c r="K404" s="1">
        <f>J404-I404</f>
        <v>5</v>
      </c>
      <c r="L404" s="1">
        <v>86</v>
      </c>
      <c r="M404" s="1">
        <v>15</v>
      </c>
      <c r="N404" s="1">
        <v>2</v>
      </c>
      <c r="O404" s="1">
        <v>4</v>
      </c>
      <c r="P404" s="1">
        <v>5</v>
      </c>
      <c r="Q404" s="2">
        <v>0.19800000000000001</v>
      </c>
      <c r="R404" s="1">
        <v>4</v>
      </c>
      <c r="S404" s="1">
        <f>R404/P404</f>
        <v>0.8</v>
      </c>
      <c r="T404" s="1">
        <v>5</v>
      </c>
      <c r="U404" s="1">
        <v>12.5</v>
      </c>
      <c r="V404" s="1">
        <v>724.7058823529411</v>
      </c>
      <c r="W404" s="1">
        <v>5</v>
      </c>
    </row>
    <row r="405" spans="1:23" x14ac:dyDescent="0.2">
      <c r="A405">
        <v>2020</v>
      </c>
      <c r="B405" t="s">
        <v>23</v>
      </c>
      <c r="C405" t="s">
        <v>24</v>
      </c>
      <c r="D405">
        <v>202</v>
      </c>
      <c r="E405">
        <v>2</v>
      </c>
      <c r="F405">
        <v>15</v>
      </c>
      <c r="G405" t="s">
        <v>227</v>
      </c>
      <c r="H405" s="1">
        <v>7</v>
      </c>
      <c r="I405" s="1">
        <v>67</v>
      </c>
      <c r="J405" s="1">
        <v>72</v>
      </c>
      <c r="K405" s="1">
        <f>J405-I405</f>
        <v>5</v>
      </c>
      <c r="L405" s="1">
        <v>128</v>
      </c>
      <c r="M405" s="1">
        <v>65</v>
      </c>
      <c r="N405" s="1">
        <v>2</v>
      </c>
      <c r="O405" s="1">
        <v>3.5</v>
      </c>
      <c r="P405" s="1">
        <v>2</v>
      </c>
      <c r="Q405" s="2">
        <v>0.1016</v>
      </c>
      <c r="R405" s="1">
        <v>3</v>
      </c>
      <c r="S405" s="1">
        <f>R405/P405</f>
        <v>1.5</v>
      </c>
      <c r="T405" s="1">
        <v>5</v>
      </c>
      <c r="U405" s="1">
        <v>12.5</v>
      </c>
      <c r="V405" s="1">
        <v>371.86928104575156</v>
      </c>
      <c r="W405" s="1">
        <v>5</v>
      </c>
    </row>
    <row r="406" spans="1:23" x14ac:dyDescent="0.2">
      <c r="A406">
        <v>2020</v>
      </c>
      <c r="B406" t="s">
        <v>23</v>
      </c>
      <c r="C406" t="s">
        <v>24</v>
      </c>
      <c r="D406">
        <v>203</v>
      </c>
      <c r="E406">
        <v>1</v>
      </c>
      <c r="F406">
        <v>5</v>
      </c>
      <c r="G406" t="s">
        <v>228</v>
      </c>
      <c r="H406">
        <v>16</v>
      </c>
      <c r="I406">
        <v>57</v>
      </c>
      <c r="J406">
        <v>58</v>
      </c>
      <c r="K406">
        <v>1</v>
      </c>
      <c r="L406">
        <v>157</v>
      </c>
      <c r="M406">
        <v>41</v>
      </c>
      <c r="N406">
        <v>2</v>
      </c>
      <c r="O406">
        <v>2</v>
      </c>
      <c r="P406">
        <v>14</v>
      </c>
      <c r="Q406">
        <v>1.869</v>
      </c>
      <c r="R406">
        <v>16</v>
      </c>
      <c r="S406">
        <v>1.1428571428571428</v>
      </c>
      <c r="T406">
        <v>2</v>
      </c>
      <c r="U406">
        <v>12.5</v>
      </c>
      <c r="V406">
        <v>6840.7843137254904</v>
      </c>
      <c r="W406">
        <v>1</v>
      </c>
    </row>
    <row r="407" spans="1:23" x14ac:dyDescent="0.2">
      <c r="A407">
        <v>2020</v>
      </c>
      <c r="B407" t="s">
        <v>23</v>
      </c>
      <c r="C407" t="s">
        <v>24</v>
      </c>
      <c r="D407">
        <v>203</v>
      </c>
      <c r="E407">
        <v>2</v>
      </c>
      <c r="F407">
        <v>7</v>
      </c>
      <c r="G407" t="s">
        <v>228</v>
      </c>
      <c r="H407" s="1">
        <v>13</v>
      </c>
      <c r="I407" s="1">
        <v>63</v>
      </c>
      <c r="J407" s="1">
        <v>66</v>
      </c>
      <c r="K407" s="1">
        <f>J407-I407</f>
        <v>3</v>
      </c>
      <c r="L407" s="1">
        <v>110</v>
      </c>
      <c r="M407" s="1">
        <v>51</v>
      </c>
      <c r="N407" s="1">
        <v>3</v>
      </c>
      <c r="O407" s="1">
        <v>3.5</v>
      </c>
      <c r="P407" s="1">
        <f>H407</f>
        <v>13</v>
      </c>
      <c r="Q407" s="2">
        <v>0.32850000000000001</v>
      </c>
      <c r="R407" s="1">
        <v>10</v>
      </c>
      <c r="S407" s="1">
        <f>R407/P407</f>
        <v>0.76923076923076927</v>
      </c>
      <c r="T407" s="1">
        <v>5</v>
      </c>
      <c r="U407" s="1">
        <v>12.5</v>
      </c>
      <c r="V407" s="1">
        <v>1202.3529411764707</v>
      </c>
      <c r="W407" s="1">
        <v>5</v>
      </c>
    </row>
    <row r="408" spans="1:23" x14ac:dyDescent="0.2">
      <c r="A408">
        <v>2020</v>
      </c>
      <c r="B408" t="s">
        <v>23</v>
      </c>
      <c r="C408" t="s">
        <v>24</v>
      </c>
      <c r="D408">
        <v>204</v>
      </c>
      <c r="E408">
        <v>1</v>
      </c>
      <c r="F408">
        <v>9</v>
      </c>
      <c r="G408" t="s">
        <v>229</v>
      </c>
      <c r="H408" s="1">
        <v>12</v>
      </c>
      <c r="I408" s="1">
        <v>69</v>
      </c>
      <c r="J408" s="1">
        <v>74</v>
      </c>
      <c r="K408" s="1">
        <f>J408-I408</f>
        <v>5</v>
      </c>
      <c r="L408" s="1">
        <v>125</v>
      </c>
      <c r="M408" s="1">
        <v>70</v>
      </c>
      <c r="N408" s="1">
        <v>1.5</v>
      </c>
      <c r="O408" s="1">
        <v>4</v>
      </c>
      <c r="P408" s="1">
        <v>10</v>
      </c>
      <c r="Q408" s="2">
        <v>0.35799999999999998</v>
      </c>
      <c r="R408" s="1">
        <v>8</v>
      </c>
      <c r="S408" s="1">
        <f>R408/P408</f>
        <v>0.8</v>
      </c>
      <c r="T408" s="1">
        <v>3.5</v>
      </c>
      <c r="U408" s="1">
        <v>12.5</v>
      </c>
      <c r="V408" s="1">
        <v>1310.3267973856209</v>
      </c>
      <c r="W408" s="1">
        <v>2</v>
      </c>
    </row>
    <row r="409" spans="1:23" x14ac:dyDescent="0.2">
      <c r="A409">
        <v>2020</v>
      </c>
      <c r="B409" t="s">
        <v>23</v>
      </c>
      <c r="C409" t="s">
        <v>24</v>
      </c>
      <c r="D409">
        <v>204</v>
      </c>
      <c r="E409">
        <v>2</v>
      </c>
      <c r="F409">
        <v>15</v>
      </c>
      <c r="G409" t="s">
        <v>229</v>
      </c>
      <c r="H409">
        <v>13</v>
      </c>
      <c r="I409">
        <v>53</v>
      </c>
      <c r="J409">
        <v>56</v>
      </c>
      <c r="K409">
        <v>3</v>
      </c>
      <c r="L409">
        <v>112</v>
      </c>
      <c r="M409">
        <v>68</v>
      </c>
      <c r="N409">
        <v>2</v>
      </c>
      <c r="O409">
        <v>2</v>
      </c>
      <c r="P409">
        <v>12</v>
      </c>
      <c r="Q409">
        <v>0.6</v>
      </c>
      <c r="R409">
        <v>11</v>
      </c>
      <c r="S409">
        <v>0.91666666666666663</v>
      </c>
      <c r="T409">
        <v>4</v>
      </c>
      <c r="U409">
        <v>8.6</v>
      </c>
      <c r="V409">
        <v>2293.9607843137255</v>
      </c>
      <c r="W409">
        <v>2</v>
      </c>
    </row>
    <row r="410" spans="1:23" x14ac:dyDescent="0.2">
      <c r="A410">
        <v>2020</v>
      </c>
      <c r="B410" t="s">
        <v>23</v>
      </c>
      <c r="C410" t="s">
        <v>24</v>
      </c>
      <c r="D410">
        <v>205</v>
      </c>
      <c r="E410">
        <v>1</v>
      </c>
      <c r="F410">
        <v>14</v>
      </c>
      <c r="G410" t="s">
        <v>230</v>
      </c>
      <c r="H410" s="1">
        <v>7</v>
      </c>
      <c r="I410" s="1">
        <v>69</v>
      </c>
      <c r="J410" s="1">
        <v>73</v>
      </c>
      <c r="K410" s="1">
        <f>J410-I410</f>
        <v>4</v>
      </c>
      <c r="L410" s="1">
        <v>141</v>
      </c>
      <c r="M410" s="1">
        <v>60</v>
      </c>
      <c r="N410" s="1">
        <v>1.5</v>
      </c>
      <c r="O410" s="1">
        <v>2.5</v>
      </c>
      <c r="P410" s="1">
        <v>5</v>
      </c>
      <c r="Q410" s="2">
        <v>0.42319999999999997</v>
      </c>
      <c r="R410" s="1">
        <v>5</v>
      </c>
      <c r="S410" s="1">
        <f>R410/P410</f>
        <v>1</v>
      </c>
      <c r="T410" s="1">
        <v>2.5</v>
      </c>
      <c r="U410" s="1">
        <v>12.5</v>
      </c>
      <c r="V410" s="1">
        <v>1548.9673202614376</v>
      </c>
      <c r="W410" s="1">
        <v>4</v>
      </c>
    </row>
    <row r="411" spans="1:23" x14ac:dyDescent="0.2">
      <c r="A411">
        <v>2020</v>
      </c>
      <c r="B411" t="s">
        <v>23</v>
      </c>
      <c r="C411" t="s">
        <v>24</v>
      </c>
      <c r="D411">
        <v>205</v>
      </c>
      <c r="E411">
        <v>2</v>
      </c>
      <c r="F411">
        <v>11</v>
      </c>
      <c r="G411" t="s">
        <v>230</v>
      </c>
      <c r="H411">
        <v>9</v>
      </c>
      <c r="I411">
        <v>54</v>
      </c>
      <c r="J411">
        <v>56</v>
      </c>
      <c r="K411">
        <v>2</v>
      </c>
      <c r="L411">
        <v>132</v>
      </c>
      <c r="M411">
        <v>35</v>
      </c>
      <c r="N411">
        <v>2</v>
      </c>
      <c r="O411">
        <v>2</v>
      </c>
      <c r="P411">
        <v>5</v>
      </c>
      <c r="Q411">
        <v>1</v>
      </c>
      <c r="R411">
        <v>5</v>
      </c>
      <c r="S411">
        <v>1</v>
      </c>
      <c r="T411">
        <v>2</v>
      </c>
      <c r="U411">
        <v>10.4</v>
      </c>
      <c r="V411">
        <v>3747.9738562091497</v>
      </c>
      <c r="W411">
        <v>2</v>
      </c>
    </row>
    <row r="412" spans="1:23" x14ac:dyDescent="0.2">
      <c r="A412">
        <v>2020</v>
      </c>
      <c r="B412" t="s">
        <v>23</v>
      </c>
      <c r="C412" t="s">
        <v>24</v>
      </c>
      <c r="D412">
        <v>206</v>
      </c>
      <c r="E412">
        <v>1</v>
      </c>
      <c r="F412">
        <v>3</v>
      </c>
      <c r="G412" t="s">
        <v>231</v>
      </c>
      <c r="H412" s="1">
        <v>10</v>
      </c>
      <c r="I412" s="1">
        <v>63</v>
      </c>
      <c r="J412" s="1">
        <v>66</v>
      </c>
      <c r="K412" s="1">
        <f>J412-I412</f>
        <v>3</v>
      </c>
      <c r="L412" s="1">
        <v>128</v>
      </c>
      <c r="M412" s="1">
        <v>48</v>
      </c>
      <c r="N412" s="1">
        <v>3</v>
      </c>
      <c r="O412" s="1">
        <v>4</v>
      </c>
      <c r="P412" s="1">
        <v>3</v>
      </c>
      <c r="Q412" s="2">
        <v>6.7500000000000004E-2</v>
      </c>
      <c r="R412" s="1">
        <v>3</v>
      </c>
      <c r="S412" s="1">
        <f>R412/P412</f>
        <v>1</v>
      </c>
      <c r="T412" s="1">
        <v>4.5</v>
      </c>
      <c r="U412" s="1">
        <v>12.5</v>
      </c>
      <c r="V412" s="1">
        <v>247.05882352941177</v>
      </c>
      <c r="W412" s="1">
        <v>5</v>
      </c>
    </row>
    <row r="413" spans="1:23" x14ac:dyDescent="0.2">
      <c r="A413">
        <v>2020</v>
      </c>
      <c r="B413" t="s">
        <v>23</v>
      </c>
      <c r="C413" t="s">
        <v>24</v>
      </c>
      <c r="D413">
        <v>206</v>
      </c>
      <c r="E413">
        <v>2</v>
      </c>
      <c r="F413">
        <v>12</v>
      </c>
      <c r="G413" t="s">
        <v>231</v>
      </c>
      <c r="H413" s="1">
        <v>7</v>
      </c>
      <c r="I413" s="1">
        <v>64</v>
      </c>
      <c r="J413" s="1">
        <v>69</v>
      </c>
      <c r="K413" s="1">
        <f>J413-I413</f>
        <v>5</v>
      </c>
      <c r="L413" s="1">
        <v>147</v>
      </c>
      <c r="M413" s="1">
        <v>60</v>
      </c>
      <c r="N413" s="1">
        <v>3</v>
      </c>
      <c r="O413" s="1">
        <v>3.5</v>
      </c>
      <c r="P413" s="1">
        <v>4</v>
      </c>
      <c r="Q413" s="2">
        <v>0.46700000000000003</v>
      </c>
      <c r="R413" s="1">
        <v>4</v>
      </c>
      <c r="S413" s="1">
        <f>R413/P413</f>
        <v>1</v>
      </c>
      <c r="T413" s="1">
        <v>5</v>
      </c>
      <c r="U413" s="1">
        <v>8</v>
      </c>
      <c r="V413" s="1">
        <v>1797.1869281045756</v>
      </c>
      <c r="W413" s="1">
        <v>4</v>
      </c>
    </row>
    <row r="414" spans="1:23" x14ac:dyDescent="0.2">
      <c r="A414">
        <v>2020</v>
      </c>
      <c r="B414" t="s">
        <v>23</v>
      </c>
      <c r="C414" t="s">
        <v>24</v>
      </c>
      <c r="D414">
        <v>207</v>
      </c>
      <c r="E414">
        <v>1</v>
      </c>
      <c r="F414">
        <v>15</v>
      </c>
      <c r="G414" t="s">
        <v>232</v>
      </c>
      <c r="H414">
        <v>15</v>
      </c>
      <c r="I414">
        <v>57</v>
      </c>
      <c r="J414">
        <v>60</v>
      </c>
      <c r="K414">
        <v>3</v>
      </c>
      <c r="L414">
        <v>172</v>
      </c>
      <c r="M414">
        <v>74</v>
      </c>
      <c r="N414">
        <v>2</v>
      </c>
      <c r="O414">
        <v>2</v>
      </c>
      <c r="P414">
        <v>14</v>
      </c>
      <c r="Q414">
        <v>0.6</v>
      </c>
      <c r="R414">
        <v>11</v>
      </c>
      <c r="S414">
        <v>0.7857142857142857</v>
      </c>
      <c r="T414">
        <v>2</v>
      </c>
      <c r="U414">
        <v>9.6999999999999993</v>
      </c>
      <c r="V414">
        <v>2266.3529411764703</v>
      </c>
      <c r="W414">
        <v>2</v>
      </c>
    </row>
    <row r="415" spans="1:23" x14ac:dyDescent="0.2">
      <c r="A415">
        <v>2020</v>
      </c>
      <c r="B415" t="s">
        <v>23</v>
      </c>
      <c r="C415" t="s">
        <v>24</v>
      </c>
      <c r="D415">
        <v>207</v>
      </c>
      <c r="E415">
        <v>2</v>
      </c>
      <c r="F415">
        <v>12</v>
      </c>
      <c r="G415" t="s">
        <v>232</v>
      </c>
      <c r="H415">
        <v>4</v>
      </c>
      <c r="I415">
        <v>55</v>
      </c>
      <c r="J415">
        <v>56</v>
      </c>
      <c r="K415">
        <v>1</v>
      </c>
      <c r="L415">
        <v>185</v>
      </c>
      <c r="M415">
        <v>59</v>
      </c>
      <c r="N415">
        <v>2.5</v>
      </c>
      <c r="O415">
        <v>3</v>
      </c>
      <c r="P415">
        <v>4</v>
      </c>
      <c r="Q415">
        <v>0.3</v>
      </c>
      <c r="R415">
        <v>4</v>
      </c>
      <c r="S415">
        <v>1</v>
      </c>
      <c r="T415">
        <v>3</v>
      </c>
      <c r="U415">
        <v>12.5</v>
      </c>
      <c r="V415">
        <v>1098.0392156862745</v>
      </c>
      <c r="W415">
        <v>1</v>
      </c>
    </row>
    <row r="416" spans="1:23" x14ac:dyDescent="0.2">
      <c r="A416">
        <v>2020</v>
      </c>
      <c r="B416" t="s">
        <v>23</v>
      </c>
      <c r="C416" t="s">
        <v>24</v>
      </c>
      <c r="D416">
        <v>208</v>
      </c>
      <c r="E416">
        <v>1</v>
      </c>
      <c r="F416">
        <v>2</v>
      </c>
      <c r="G416" t="s">
        <v>233</v>
      </c>
      <c r="H416" s="1">
        <v>12</v>
      </c>
      <c r="I416" s="1">
        <v>61</v>
      </c>
      <c r="J416" s="1">
        <v>64</v>
      </c>
      <c r="K416" s="1">
        <f>J416-I416</f>
        <v>3</v>
      </c>
      <c r="L416" s="1">
        <v>152</v>
      </c>
      <c r="M416" s="1">
        <v>47</v>
      </c>
      <c r="N416" s="1">
        <v>3</v>
      </c>
      <c r="O416" s="1">
        <v>4.5</v>
      </c>
      <c r="P416" s="1">
        <v>3</v>
      </c>
      <c r="Q416" s="2">
        <v>0.10199999999999999</v>
      </c>
      <c r="R416" s="1">
        <v>3</v>
      </c>
      <c r="S416" s="1">
        <f>R416/P416</f>
        <v>1</v>
      </c>
      <c r="T416" s="1">
        <v>3</v>
      </c>
      <c r="U416" s="1">
        <v>12.5</v>
      </c>
      <c r="V416" s="1">
        <v>373.33333333333326</v>
      </c>
      <c r="W416" s="1">
        <v>5</v>
      </c>
    </row>
    <row r="417" spans="1:23" x14ac:dyDescent="0.2">
      <c r="A417">
        <v>2020</v>
      </c>
      <c r="B417" t="s">
        <v>23</v>
      </c>
      <c r="C417" t="s">
        <v>24</v>
      </c>
      <c r="D417">
        <v>208</v>
      </c>
      <c r="E417">
        <v>2</v>
      </c>
      <c r="F417">
        <v>7</v>
      </c>
      <c r="G417" t="s">
        <v>233</v>
      </c>
      <c r="H417">
        <v>15</v>
      </c>
      <c r="I417">
        <v>54</v>
      </c>
      <c r="J417">
        <v>58</v>
      </c>
      <c r="K417">
        <v>4</v>
      </c>
      <c r="L417">
        <v>152</v>
      </c>
      <c r="M417">
        <v>65</v>
      </c>
      <c r="N417">
        <v>2</v>
      </c>
      <c r="O417">
        <v>2.5</v>
      </c>
      <c r="P417">
        <v>14</v>
      </c>
      <c r="Q417">
        <v>0.6</v>
      </c>
      <c r="R417">
        <v>14</v>
      </c>
      <c r="S417">
        <v>1</v>
      </c>
      <c r="T417">
        <v>2</v>
      </c>
      <c r="U417">
        <v>10</v>
      </c>
      <c r="V417">
        <v>2258.8235294117644</v>
      </c>
      <c r="W417">
        <v>2</v>
      </c>
    </row>
    <row r="418" spans="1:23" x14ac:dyDescent="0.2">
      <c r="A418">
        <v>2020</v>
      </c>
      <c r="B418" t="s">
        <v>23</v>
      </c>
      <c r="C418" t="s">
        <v>24</v>
      </c>
      <c r="D418">
        <v>209</v>
      </c>
      <c r="E418">
        <v>1</v>
      </c>
      <c r="F418">
        <v>13</v>
      </c>
      <c r="G418" t="s">
        <v>234</v>
      </c>
      <c r="H418">
        <v>1</v>
      </c>
      <c r="I418">
        <v>59</v>
      </c>
      <c r="J418">
        <v>62</v>
      </c>
      <c r="K418">
        <v>3</v>
      </c>
      <c r="L418">
        <v>145</v>
      </c>
      <c r="M418">
        <v>50</v>
      </c>
      <c r="N418">
        <v>2</v>
      </c>
      <c r="O418">
        <v>3</v>
      </c>
      <c r="P418">
        <v>1</v>
      </c>
      <c r="Q418">
        <v>0.1</v>
      </c>
      <c r="R418">
        <v>1</v>
      </c>
      <c r="S418">
        <v>1</v>
      </c>
      <c r="T418">
        <v>2.5</v>
      </c>
      <c r="U418">
        <v>12.5</v>
      </c>
      <c r="V418">
        <v>366.01307189542484</v>
      </c>
      <c r="W418">
        <v>2</v>
      </c>
    </row>
    <row r="419" spans="1:23" x14ac:dyDescent="0.2">
      <c r="A419">
        <v>2020</v>
      </c>
      <c r="B419" t="s">
        <v>23</v>
      </c>
      <c r="C419" t="s">
        <v>24</v>
      </c>
      <c r="D419">
        <v>209</v>
      </c>
      <c r="E419">
        <v>2</v>
      </c>
      <c r="F419">
        <v>7</v>
      </c>
      <c r="G419" t="s">
        <v>234</v>
      </c>
      <c r="H419" s="1">
        <v>10</v>
      </c>
      <c r="I419" s="1">
        <v>69</v>
      </c>
      <c r="J419" s="1">
        <v>71</v>
      </c>
      <c r="K419" s="1">
        <f>J419-I419</f>
        <v>2</v>
      </c>
      <c r="L419" s="1">
        <v>116</v>
      </c>
      <c r="M419" s="1">
        <v>45</v>
      </c>
      <c r="N419" s="1">
        <v>2</v>
      </c>
      <c r="O419" s="1">
        <v>4.5</v>
      </c>
      <c r="P419" s="1">
        <v>6</v>
      </c>
      <c r="Q419" s="2">
        <v>0.19080000000000003</v>
      </c>
      <c r="R419" s="1">
        <v>5</v>
      </c>
      <c r="S419" s="1">
        <f>R419/P419</f>
        <v>0.83333333333333337</v>
      </c>
      <c r="T419" s="1">
        <v>5</v>
      </c>
      <c r="U419" s="1">
        <v>12.5</v>
      </c>
      <c r="V419" s="1">
        <v>698.35294117647072</v>
      </c>
      <c r="W419" s="1">
        <v>5</v>
      </c>
    </row>
    <row r="420" spans="1:23" x14ac:dyDescent="0.2">
      <c r="A420">
        <v>2020</v>
      </c>
      <c r="B420" t="s">
        <v>23</v>
      </c>
      <c r="C420" t="s">
        <v>24</v>
      </c>
      <c r="D420">
        <v>210</v>
      </c>
      <c r="E420">
        <v>1</v>
      </c>
      <c r="F420">
        <v>14</v>
      </c>
      <c r="G420" t="s">
        <v>235</v>
      </c>
      <c r="H420" s="1">
        <v>3</v>
      </c>
      <c r="I420" s="1">
        <v>69</v>
      </c>
      <c r="J420" s="1">
        <v>70</v>
      </c>
      <c r="K420" s="1">
        <f>J420-I420</f>
        <v>1</v>
      </c>
      <c r="L420" s="1">
        <v>115</v>
      </c>
      <c r="M420" s="1">
        <v>77</v>
      </c>
      <c r="N420" s="1">
        <v>2</v>
      </c>
      <c r="O420" s="1">
        <v>3.5</v>
      </c>
      <c r="P420" s="1">
        <f>H420</f>
        <v>3</v>
      </c>
      <c r="Q420" s="2">
        <v>0.09</v>
      </c>
      <c r="R420" s="1">
        <v>2</v>
      </c>
      <c r="S420" s="1">
        <f>R420/P420</f>
        <v>0.66666666666666663</v>
      </c>
      <c r="T420" s="1">
        <v>5</v>
      </c>
      <c r="U420" s="1">
        <v>12.5</v>
      </c>
      <c r="V420" s="1">
        <v>329.41176470588232</v>
      </c>
      <c r="W420" s="1">
        <v>3</v>
      </c>
    </row>
    <row r="421" spans="1:23" x14ac:dyDescent="0.2">
      <c r="A421">
        <v>2020</v>
      </c>
      <c r="B421" t="s">
        <v>23</v>
      </c>
      <c r="C421" t="s">
        <v>24</v>
      </c>
      <c r="D421">
        <v>210</v>
      </c>
      <c r="E421">
        <v>2</v>
      </c>
      <c r="F421">
        <v>5</v>
      </c>
      <c r="G421" t="s">
        <v>235</v>
      </c>
      <c r="H421" s="1">
        <v>10</v>
      </c>
      <c r="I421" s="1">
        <v>62</v>
      </c>
      <c r="J421" s="1">
        <v>66</v>
      </c>
      <c r="K421" s="1">
        <f>J421-I421</f>
        <v>4</v>
      </c>
      <c r="L421" s="1">
        <v>133</v>
      </c>
      <c r="M421" s="1">
        <v>76</v>
      </c>
      <c r="N421" s="1">
        <v>2</v>
      </c>
      <c r="O421" s="1">
        <v>4</v>
      </c>
      <c r="P421" s="1">
        <f>H421</f>
        <v>10</v>
      </c>
      <c r="Q421" s="2">
        <v>0.1323</v>
      </c>
      <c r="R421" s="1">
        <v>7</v>
      </c>
      <c r="S421" s="1">
        <f>R421/P421</f>
        <v>0.7</v>
      </c>
      <c r="T421" s="1">
        <v>5</v>
      </c>
      <c r="U421" s="1">
        <v>12.5</v>
      </c>
      <c r="V421" s="1">
        <v>484.23529411764707</v>
      </c>
      <c r="W421" s="1">
        <v>6</v>
      </c>
    </row>
    <row r="422" spans="1:23" x14ac:dyDescent="0.2">
      <c r="A422">
        <v>2020</v>
      </c>
      <c r="B422" t="s">
        <v>23</v>
      </c>
      <c r="C422" t="s">
        <v>24</v>
      </c>
      <c r="D422">
        <v>211</v>
      </c>
      <c r="E422">
        <v>1</v>
      </c>
      <c r="F422">
        <v>15</v>
      </c>
      <c r="G422" t="s">
        <v>236</v>
      </c>
      <c r="H422">
        <v>4</v>
      </c>
      <c r="I422">
        <v>58</v>
      </c>
      <c r="J422">
        <v>60</v>
      </c>
      <c r="K422">
        <v>2</v>
      </c>
      <c r="L422">
        <v>92</v>
      </c>
      <c r="M422">
        <v>22</v>
      </c>
      <c r="N422">
        <v>2</v>
      </c>
      <c r="O422">
        <v>3</v>
      </c>
      <c r="P422">
        <v>4</v>
      </c>
      <c r="Q422">
        <v>0.4</v>
      </c>
      <c r="R422">
        <v>3</v>
      </c>
      <c r="S422">
        <v>0.75</v>
      </c>
      <c r="T422">
        <v>2.5</v>
      </c>
      <c r="U422">
        <v>12.5</v>
      </c>
      <c r="V422">
        <v>1464.0522875816994</v>
      </c>
      <c r="W422">
        <v>1</v>
      </c>
    </row>
    <row r="423" spans="1:23" x14ac:dyDescent="0.2">
      <c r="A423">
        <v>2020</v>
      </c>
      <c r="B423" t="s">
        <v>23</v>
      </c>
      <c r="C423" t="s">
        <v>24</v>
      </c>
      <c r="D423">
        <v>211</v>
      </c>
      <c r="E423">
        <v>2</v>
      </c>
      <c r="F423">
        <v>15</v>
      </c>
      <c r="G423" t="s">
        <v>236</v>
      </c>
      <c r="H423" s="1">
        <v>8</v>
      </c>
      <c r="I423" s="1">
        <v>67</v>
      </c>
      <c r="J423" s="1">
        <v>72</v>
      </c>
      <c r="K423" s="1">
        <f>J423-I423</f>
        <v>5</v>
      </c>
      <c r="L423" s="1">
        <v>80</v>
      </c>
      <c r="M423" s="1">
        <v>30</v>
      </c>
      <c r="N423" s="1">
        <v>2.5</v>
      </c>
      <c r="O423" s="1">
        <v>4.5</v>
      </c>
      <c r="P423" s="1">
        <v>5</v>
      </c>
      <c r="Q423" s="2">
        <v>0.109</v>
      </c>
      <c r="R423" s="1">
        <v>4</v>
      </c>
      <c r="S423" s="1">
        <f>R423/P423</f>
        <v>0.8</v>
      </c>
      <c r="T423" s="1">
        <v>5</v>
      </c>
      <c r="U423" s="1">
        <v>12.5</v>
      </c>
      <c r="V423" s="1">
        <v>398.95424836601308</v>
      </c>
      <c r="W423" s="1">
        <v>6</v>
      </c>
    </row>
    <row r="424" spans="1:23" x14ac:dyDescent="0.2">
      <c r="A424">
        <v>2020</v>
      </c>
      <c r="B424" t="s">
        <v>23</v>
      </c>
      <c r="C424" t="s">
        <v>24</v>
      </c>
      <c r="D424">
        <v>212</v>
      </c>
      <c r="E424">
        <v>1</v>
      </c>
      <c r="F424">
        <v>9</v>
      </c>
      <c r="G424" t="s">
        <v>237</v>
      </c>
      <c r="H424">
        <v>6</v>
      </c>
      <c r="I424">
        <v>56</v>
      </c>
      <c r="J424">
        <v>60</v>
      </c>
      <c r="K424">
        <v>4</v>
      </c>
      <c r="L424">
        <v>91</v>
      </c>
      <c r="M424">
        <v>23</v>
      </c>
      <c r="N424">
        <v>2</v>
      </c>
      <c r="O424">
        <v>3</v>
      </c>
      <c r="P424">
        <v>6</v>
      </c>
      <c r="Q424">
        <v>0.5</v>
      </c>
      <c r="R424">
        <v>7</v>
      </c>
      <c r="S424">
        <v>1.1666666666666667</v>
      </c>
      <c r="T424">
        <v>2</v>
      </c>
      <c r="U424">
        <v>12.5</v>
      </c>
      <c r="V424">
        <v>1830.0653594771243</v>
      </c>
      <c r="W424">
        <v>1</v>
      </c>
    </row>
    <row r="425" spans="1:23" x14ac:dyDescent="0.2">
      <c r="A425">
        <v>2020</v>
      </c>
      <c r="B425" t="s">
        <v>23</v>
      </c>
      <c r="C425" t="s">
        <v>24</v>
      </c>
      <c r="D425">
        <v>212</v>
      </c>
      <c r="E425">
        <v>2</v>
      </c>
      <c r="F425">
        <v>9</v>
      </c>
      <c r="G425" t="s">
        <v>237</v>
      </c>
      <c r="H425" s="1">
        <v>5</v>
      </c>
      <c r="I425" s="1">
        <v>68</v>
      </c>
      <c r="J425" s="1">
        <v>72</v>
      </c>
      <c r="K425" s="1">
        <f t="shared" ref="K425:K435" si="14">J425-I425</f>
        <v>4</v>
      </c>
      <c r="L425" s="1">
        <v>154</v>
      </c>
      <c r="M425" s="1">
        <v>62</v>
      </c>
      <c r="N425" s="1">
        <v>2</v>
      </c>
      <c r="O425" s="1">
        <v>3</v>
      </c>
      <c r="P425" s="1">
        <v>5</v>
      </c>
      <c r="Q425" s="2">
        <v>0.53520000000000001</v>
      </c>
      <c r="R425" s="1">
        <v>5</v>
      </c>
      <c r="S425" s="1">
        <f t="shared" ref="S425:S435" si="15">R425/P425</f>
        <v>1</v>
      </c>
      <c r="T425" s="1">
        <v>4</v>
      </c>
      <c r="U425" s="1">
        <v>12.5</v>
      </c>
      <c r="V425" s="1">
        <v>1958.9019607843138</v>
      </c>
      <c r="W425" s="1">
        <v>4</v>
      </c>
    </row>
    <row r="426" spans="1:23" x14ac:dyDescent="0.2">
      <c r="A426">
        <v>2020</v>
      </c>
      <c r="B426" t="s">
        <v>23</v>
      </c>
      <c r="C426" t="s">
        <v>24</v>
      </c>
      <c r="D426">
        <v>213</v>
      </c>
      <c r="E426">
        <v>1</v>
      </c>
      <c r="F426">
        <v>3</v>
      </c>
      <c r="G426" t="s">
        <v>238</v>
      </c>
      <c r="H426" s="1">
        <v>8</v>
      </c>
      <c r="I426" s="1">
        <v>67</v>
      </c>
      <c r="J426" s="1">
        <v>70</v>
      </c>
      <c r="K426" s="1">
        <f t="shared" si="14"/>
        <v>3</v>
      </c>
      <c r="L426" s="1">
        <v>93</v>
      </c>
      <c r="M426" s="1">
        <v>31</v>
      </c>
      <c r="N426" s="1">
        <v>2</v>
      </c>
      <c r="O426" s="1">
        <v>4</v>
      </c>
      <c r="P426" s="1">
        <v>5</v>
      </c>
      <c r="Q426" s="2">
        <v>0.11</v>
      </c>
      <c r="R426" s="1">
        <v>3</v>
      </c>
      <c r="S426" s="1">
        <f t="shared" si="15"/>
        <v>0.6</v>
      </c>
      <c r="T426" s="1">
        <v>5</v>
      </c>
      <c r="U426" s="1">
        <v>12.5</v>
      </c>
      <c r="V426" s="1">
        <v>402.61437908496731</v>
      </c>
      <c r="W426" s="1">
        <v>5</v>
      </c>
    </row>
    <row r="427" spans="1:23" x14ac:dyDescent="0.2">
      <c r="A427">
        <v>2020</v>
      </c>
      <c r="B427" t="s">
        <v>23</v>
      </c>
      <c r="C427" t="s">
        <v>24</v>
      </c>
      <c r="D427">
        <v>213</v>
      </c>
      <c r="E427">
        <v>2</v>
      </c>
      <c r="F427">
        <v>5</v>
      </c>
      <c r="G427" t="s">
        <v>238</v>
      </c>
      <c r="H427" s="1">
        <v>16</v>
      </c>
      <c r="I427" s="1">
        <v>64</v>
      </c>
      <c r="J427" s="1">
        <v>69</v>
      </c>
      <c r="K427" s="1">
        <f t="shared" si="14"/>
        <v>5</v>
      </c>
      <c r="L427" s="1">
        <v>160</v>
      </c>
      <c r="M427" s="1">
        <v>80</v>
      </c>
      <c r="N427" s="1">
        <v>2</v>
      </c>
      <c r="O427" s="1">
        <v>3.5</v>
      </c>
      <c r="P427" s="1">
        <v>14</v>
      </c>
      <c r="Q427" s="2">
        <v>1.1000000000000001</v>
      </c>
      <c r="R427" s="1">
        <v>12</v>
      </c>
      <c r="S427" s="1">
        <f t="shared" si="15"/>
        <v>0.8571428571428571</v>
      </c>
      <c r="T427" s="1">
        <v>4</v>
      </c>
      <c r="U427" s="1">
        <v>12.5</v>
      </c>
      <c r="V427" s="1">
        <v>4026.1437908496737</v>
      </c>
      <c r="W427" s="1">
        <v>4</v>
      </c>
    </row>
    <row r="428" spans="1:23" x14ac:dyDescent="0.2">
      <c r="A428">
        <v>2020</v>
      </c>
      <c r="B428" t="s">
        <v>23</v>
      </c>
      <c r="C428" t="s">
        <v>24</v>
      </c>
      <c r="D428">
        <v>214</v>
      </c>
      <c r="E428">
        <v>1</v>
      </c>
      <c r="F428">
        <v>5</v>
      </c>
      <c r="G428" t="s">
        <v>239</v>
      </c>
      <c r="H428" s="1">
        <v>12</v>
      </c>
      <c r="I428" s="1">
        <v>67</v>
      </c>
      <c r="J428" s="1">
        <v>70</v>
      </c>
      <c r="K428" s="1">
        <f t="shared" si="14"/>
        <v>3</v>
      </c>
      <c r="L428" s="1">
        <v>163</v>
      </c>
      <c r="M428" s="1">
        <v>80</v>
      </c>
      <c r="N428" s="1">
        <v>2</v>
      </c>
      <c r="O428" s="1">
        <v>3.5</v>
      </c>
      <c r="P428" s="1">
        <v>9</v>
      </c>
      <c r="Q428" s="2">
        <v>0.1772</v>
      </c>
      <c r="R428" s="1">
        <v>5</v>
      </c>
      <c r="S428" s="1">
        <f t="shared" si="15"/>
        <v>0.55555555555555558</v>
      </c>
      <c r="T428" s="1">
        <v>5</v>
      </c>
      <c r="U428" s="1">
        <v>12.5</v>
      </c>
      <c r="V428" s="1">
        <v>648.57516339869278</v>
      </c>
      <c r="W428" s="1">
        <v>5</v>
      </c>
    </row>
    <row r="429" spans="1:23" x14ac:dyDescent="0.2">
      <c r="A429">
        <v>2020</v>
      </c>
      <c r="B429" t="s">
        <v>23</v>
      </c>
      <c r="C429" t="s">
        <v>24</v>
      </c>
      <c r="D429">
        <v>214</v>
      </c>
      <c r="E429">
        <v>2</v>
      </c>
      <c r="F429">
        <v>3</v>
      </c>
      <c r="G429" t="s">
        <v>239</v>
      </c>
      <c r="H429" s="1">
        <v>6</v>
      </c>
      <c r="I429" s="1">
        <v>67</v>
      </c>
      <c r="J429" s="1">
        <v>72</v>
      </c>
      <c r="K429" s="1">
        <f t="shared" si="14"/>
        <v>5</v>
      </c>
      <c r="L429" s="1">
        <v>101</v>
      </c>
      <c r="M429" s="1">
        <v>26</v>
      </c>
      <c r="N429" s="1">
        <v>2</v>
      </c>
      <c r="O429" s="1">
        <v>4.5</v>
      </c>
      <c r="P429" s="1">
        <v>6</v>
      </c>
      <c r="Q429" s="2">
        <v>0.08</v>
      </c>
      <c r="R429" s="1">
        <v>5</v>
      </c>
      <c r="S429" s="1">
        <f t="shared" si="15"/>
        <v>0.83333333333333337</v>
      </c>
      <c r="T429" s="1">
        <v>5</v>
      </c>
      <c r="U429" s="1">
        <v>12.5</v>
      </c>
      <c r="V429" s="1">
        <v>292.81045751633991</v>
      </c>
      <c r="W429" s="1">
        <v>6</v>
      </c>
    </row>
    <row r="430" spans="1:23" x14ac:dyDescent="0.2">
      <c r="A430">
        <v>2020</v>
      </c>
      <c r="B430" t="s">
        <v>23</v>
      </c>
      <c r="C430" t="s">
        <v>24</v>
      </c>
      <c r="D430">
        <v>215</v>
      </c>
      <c r="E430">
        <v>1</v>
      </c>
      <c r="F430">
        <v>12</v>
      </c>
      <c r="G430" t="s">
        <v>240</v>
      </c>
      <c r="H430" s="1">
        <v>5</v>
      </c>
      <c r="I430" s="1">
        <v>61</v>
      </c>
      <c r="J430" s="1">
        <v>66</v>
      </c>
      <c r="K430" s="1">
        <f t="shared" si="14"/>
        <v>5</v>
      </c>
      <c r="L430" s="1">
        <v>142</v>
      </c>
      <c r="M430" s="1">
        <v>46</v>
      </c>
      <c r="N430" s="1">
        <v>3</v>
      </c>
      <c r="O430" s="1">
        <v>4</v>
      </c>
      <c r="P430" s="1">
        <v>5</v>
      </c>
      <c r="Q430" s="2">
        <v>0.3</v>
      </c>
      <c r="R430" s="1">
        <v>5</v>
      </c>
      <c r="S430" s="1">
        <f t="shared" si="15"/>
        <v>1</v>
      </c>
      <c r="T430" s="1">
        <v>3</v>
      </c>
      <c r="U430" s="1">
        <v>12.5</v>
      </c>
      <c r="V430" s="1">
        <v>1098.0392156862745</v>
      </c>
      <c r="W430" s="1">
        <v>3</v>
      </c>
    </row>
    <row r="431" spans="1:23" x14ac:dyDescent="0.2">
      <c r="A431">
        <v>2020</v>
      </c>
      <c r="B431" t="s">
        <v>23</v>
      </c>
      <c r="C431" t="s">
        <v>24</v>
      </c>
      <c r="D431">
        <v>215</v>
      </c>
      <c r="E431">
        <v>2</v>
      </c>
      <c r="F431">
        <v>14</v>
      </c>
      <c r="G431" t="s">
        <v>240</v>
      </c>
      <c r="H431" s="3">
        <v>2</v>
      </c>
      <c r="I431" s="3">
        <v>62</v>
      </c>
      <c r="J431" s="3">
        <v>64</v>
      </c>
      <c r="K431" s="3">
        <f t="shared" si="14"/>
        <v>2</v>
      </c>
      <c r="L431" s="3">
        <v>53</v>
      </c>
      <c r="M431" s="3">
        <v>30</v>
      </c>
      <c r="N431" s="3">
        <v>4</v>
      </c>
      <c r="O431" s="3">
        <v>5</v>
      </c>
      <c r="P431" s="3">
        <v>1</v>
      </c>
      <c r="Q431" s="4">
        <v>0.02</v>
      </c>
      <c r="R431" s="3">
        <v>1</v>
      </c>
      <c r="S431" s="3">
        <f t="shared" si="15"/>
        <v>1</v>
      </c>
      <c r="T431" s="3">
        <v>5</v>
      </c>
      <c r="U431" s="3">
        <v>12.5</v>
      </c>
      <c r="V431" s="3">
        <v>73.202614379084977</v>
      </c>
      <c r="W431" s="3">
        <v>8</v>
      </c>
    </row>
    <row r="432" spans="1:23" x14ac:dyDescent="0.2">
      <c r="A432">
        <v>2020</v>
      </c>
      <c r="B432" t="s">
        <v>23</v>
      </c>
      <c r="C432" t="s">
        <v>24</v>
      </c>
      <c r="D432">
        <v>216</v>
      </c>
      <c r="E432">
        <v>1</v>
      </c>
      <c r="F432">
        <v>5</v>
      </c>
      <c r="G432" t="s">
        <v>241</v>
      </c>
      <c r="H432" s="1">
        <v>7</v>
      </c>
      <c r="I432" s="1">
        <v>61</v>
      </c>
      <c r="J432" s="1">
        <v>66</v>
      </c>
      <c r="K432" s="1">
        <f t="shared" si="14"/>
        <v>5</v>
      </c>
      <c r="L432" s="1">
        <v>137</v>
      </c>
      <c r="M432" s="1">
        <v>75</v>
      </c>
      <c r="N432" s="1">
        <v>2</v>
      </c>
      <c r="O432" s="1">
        <v>3.5</v>
      </c>
      <c r="P432" s="1">
        <v>4</v>
      </c>
      <c r="Q432" s="2">
        <v>9.1400000000000009E-2</v>
      </c>
      <c r="R432" s="1">
        <v>4</v>
      </c>
      <c r="S432" s="1">
        <f t="shared" si="15"/>
        <v>1</v>
      </c>
      <c r="T432" s="1">
        <v>5</v>
      </c>
      <c r="U432" s="1">
        <v>12.5</v>
      </c>
      <c r="V432" s="1">
        <v>334.53594771241831</v>
      </c>
      <c r="W432" s="1">
        <v>5</v>
      </c>
    </row>
    <row r="433" spans="1:23" x14ac:dyDescent="0.2">
      <c r="A433">
        <v>2020</v>
      </c>
      <c r="B433" t="s">
        <v>23</v>
      </c>
      <c r="C433" t="s">
        <v>24</v>
      </c>
      <c r="D433">
        <v>216</v>
      </c>
      <c r="E433">
        <v>2</v>
      </c>
      <c r="F433">
        <v>4</v>
      </c>
      <c r="G433" t="s">
        <v>241</v>
      </c>
      <c r="H433" s="1">
        <v>13</v>
      </c>
      <c r="I433" s="1">
        <v>60</v>
      </c>
      <c r="J433" s="1">
        <v>65</v>
      </c>
      <c r="K433" s="1">
        <f t="shared" si="14"/>
        <v>5</v>
      </c>
      <c r="L433" s="1">
        <v>120</v>
      </c>
      <c r="M433" s="1">
        <v>70</v>
      </c>
      <c r="N433" s="1">
        <v>2</v>
      </c>
      <c r="O433" s="1">
        <v>3.5</v>
      </c>
      <c r="P433" s="1">
        <f>H433-2</f>
        <v>11</v>
      </c>
      <c r="Q433" s="2">
        <v>0.09</v>
      </c>
      <c r="R433" s="1">
        <v>8</v>
      </c>
      <c r="S433" s="1">
        <f t="shared" si="15"/>
        <v>0.72727272727272729</v>
      </c>
      <c r="T433" s="1">
        <v>5</v>
      </c>
      <c r="U433" s="1">
        <v>12.5</v>
      </c>
      <c r="V433" s="1">
        <v>329.41176470588232</v>
      </c>
      <c r="W433" s="1">
        <v>4</v>
      </c>
    </row>
    <row r="434" spans="1:23" x14ac:dyDescent="0.2">
      <c r="A434">
        <v>2020</v>
      </c>
      <c r="B434" t="s">
        <v>23</v>
      </c>
      <c r="C434" t="s">
        <v>24</v>
      </c>
      <c r="D434">
        <v>217</v>
      </c>
      <c r="E434">
        <v>1</v>
      </c>
      <c r="F434">
        <v>8</v>
      </c>
      <c r="G434" t="s">
        <v>242</v>
      </c>
      <c r="H434" s="1">
        <v>9</v>
      </c>
      <c r="I434" s="1">
        <v>67</v>
      </c>
      <c r="J434" s="1">
        <v>72</v>
      </c>
      <c r="K434" s="1">
        <f t="shared" si="14"/>
        <v>5</v>
      </c>
      <c r="L434" s="1">
        <v>127</v>
      </c>
      <c r="M434" s="1">
        <v>80</v>
      </c>
      <c r="N434" s="1">
        <v>2</v>
      </c>
      <c r="O434" s="1">
        <v>3.5</v>
      </c>
      <c r="P434" s="1">
        <f>H434</f>
        <v>9</v>
      </c>
      <c r="Q434" s="2">
        <v>5.3249999999999999E-2</v>
      </c>
      <c r="R434" s="1">
        <v>9</v>
      </c>
      <c r="S434" s="1">
        <f t="shared" si="15"/>
        <v>1</v>
      </c>
      <c r="T434" s="1">
        <v>5</v>
      </c>
      <c r="U434" s="1">
        <v>12.5</v>
      </c>
      <c r="V434" s="1">
        <v>194.9019607843137</v>
      </c>
      <c r="W434" s="1">
        <v>6</v>
      </c>
    </row>
    <row r="435" spans="1:23" x14ac:dyDescent="0.2">
      <c r="A435">
        <v>2020</v>
      </c>
      <c r="B435" t="s">
        <v>23</v>
      </c>
      <c r="C435" t="s">
        <v>24</v>
      </c>
      <c r="D435">
        <v>217</v>
      </c>
      <c r="E435">
        <v>2</v>
      </c>
      <c r="F435">
        <v>7</v>
      </c>
      <c r="G435" t="s">
        <v>242</v>
      </c>
      <c r="H435" s="1">
        <v>1</v>
      </c>
      <c r="I435" s="1">
        <v>67</v>
      </c>
      <c r="J435" s="1">
        <v>70</v>
      </c>
      <c r="K435" s="1">
        <f t="shared" si="14"/>
        <v>3</v>
      </c>
      <c r="L435" s="1">
        <v>103</v>
      </c>
      <c r="M435" s="1">
        <v>40</v>
      </c>
      <c r="N435" s="1">
        <v>2</v>
      </c>
      <c r="O435" s="1">
        <v>3.5</v>
      </c>
      <c r="P435" s="1">
        <f>H435</f>
        <v>1</v>
      </c>
      <c r="Q435" s="2">
        <v>3.7499999999999999E-2</v>
      </c>
      <c r="R435" s="1">
        <v>1</v>
      </c>
      <c r="S435" s="1">
        <f t="shared" si="15"/>
        <v>1</v>
      </c>
      <c r="T435" s="1">
        <v>5</v>
      </c>
      <c r="U435" s="1">
        <v>12.5</v>
      </c>
      <c r="V435" s="1">
        <v>137.25490196078431</v>
      </c>
      <c r="W435" s="1">
        <v>3</v>
      </c>
    </row>
    <row r="436" spans="1:23" x14ac:dyDescent="0.2">
      <c r="A436">
        <v>2020</v>
      </c>
      <c r="B436" t="s">
        <v>23</v>
      </c>
      <c r="C436" t="s">
        <v>24</v>
      </c>
      <c r="D436">
        <v>218</v>
      </c>
      <c r="E436">
        <v>1</v>
      </c>
      <c r="F436">
        <v>11</v>
      </c>
      <c r="G436" t="s">
        <v>243</v>
      </c>
      <c r="H436">
        <v>12</v>
      </c>
      <c r="I436">
        <v>56</v>
      </c>
      <c r="J436">
        <v>60</v>
      </c>
      <c r="K436">
        <v>4</v>
      </c>
      <c r="L436">
        <v>86</v>
      </c>
      <c r="M436">
        <v>28</v>
      </c>
      <c r="N436">
        <v>2</v>
      </c>
      <c r="O436">
        <v>3</v>
      </c>
      <c r="P436">
        <v>12</v>
      </c>
      <c r="Q436">
        <v>1.4</v>
      </c>
      <c r="R436">
        <v>12</v>
      </c>
      <c r="S436">
        <v>1</v>
      </c>
      <c r="T436">
        <v>3</v>
      </c>
      <c r="U436">
        <v>12.5</v>
      </c>
      <c r="V436">
        <v>5124.1830065359472</v>
      </c>
      <c r="W436">
        <v>1</v>
      </c>
    </row>
    <row r="437" spans="1:23" x14ac:dyDescent="0.2">
      <c r="A437">
        <v>2020</v>
      </c>
      <c r="B437" t="s">
        <v>23</v>
      </c>
      <c r="C437" t="s">
        <v>24</v>
      </c>
      <c r="D437">
        <v>218</v>
      </c>
      <c r="E437">
        <v>2</v>
      </c>
      <c r="F437">
        <v>6</v>
      </c>
      <c r="G437" t="s">
        <v>243</v>
      </c>
      <c r="H437" s="3">
        <v>7</v>
      </c>
      <c r="I437" s="3">
        <v>66</v>
      </c>
      <c r="J437" s="3">
        <v>68</v>
      </c>
      <c r="K437" s="3">
        <f>J437-I437</f>
        <v>2</v>
      </c>
      <c r="L437" s="3">
        <v>126</v>
      </c>
      <c r="M437" s="3">
        <v>45</v>
      </c>
      <c r="N437" s="3">
        <v>2</v>
      </c>
      <c r="O437" s="3">
        <v>4</v>
      </c>
      <c r="P437" s="3">
        <v>5</v>
      </c>
      <c r="Q437" s="4">
        <v>0.32300000000000001</v>
      </c>
      <c r="R437" s="3">
        <v>5</v>
      </c>
      <c r="S437" s="3">
        <f>R437/P437</f>
        <v>1</v>
      </c>
      <c r="T437" s="3">
        <v>3</v>
      </c>
      <c r="U437" s="3">
        <v>12.5</v>
      </c>
      <c r="V437" s="3">
        <v>1182.2222222222222</v>
      </c>
      <c r="W437" s="3">
        <v>3</v>
      </c>
    </row>
    <row r="438" spans="1:23" x14ac:dyDescent="0.2">
      <c r="A438">
        <v>2020</v>
      </c>
      <c r="B438" t="s">
        <v>23</v>
      </c>
      <c r="C438" t="s">
        <v>24</v>
      </c>
      <c r="D438">
        <v>219</v>
      </c>
      <c r="E438">
        <v>1</v>
      </c>
      <c r="F438">
        <v>14</v>
      </c>
      <c r="G438" t="s">
        <v>244</v>
      </c>
      <c r="H438">
        <v>16</v>
      </c>
      <c r="I438">
        <v>53</v>
      </c>
      <c r="J438">
        <v>56</v>
      </c>
      <c r="K438">
        <v>3</v>
      </c>
      <c r="L438">
        <v>132</v>
      </c>
      <c r="M438">
        <v>70</v>
      </c>
      <c r="N438">
        <v>2</v>
      </c>
      <c r="O438">
        <v>2</v>
      </c>
      <c r="P438">
        <v>16</v>
      </c>
      <c r="Q438">
        <v>0.8</v>
      </c>
      <c r="R438">
        <v>14</v>
      </c>
      <c r="S438">
        <v>0.875</v>
      </c>
      <c r="T438">
        <v>3</v>
      </c>
      <c r="U438">
        <v>11.1</v>
      </c>
      <c r="V438">
        <v>2974.9542483660134</v>
      </c>
      <c r="W438">
        <v>2</v>
      </c>
    </row>
    <row r="439" spans="1:23" x14ac:dyDescent="0.2">
      <c r="A439">
        <v>2020</v>
      </c>
      <c r="B439" t="s">
        <v>23</v>
      </c>
      <c r="C439" t="s">
        <v>24</v>
      </c>
      <c r="D439">
        <v>219</v>
      </c>
      <c r="E439">
        <v>2</v>
      </c>
      <c r="F439">
        <v>13</v>
      </c>
      <c r="G439" t="s">
        <v>244</v>
      </c>
      <c r="H439">
        <v>15</v>
      </c>
      <c r="I439">
        <v>56</v>
      </c>
      <c r="J439">
        <v>59</v>
      </c>
      <c r="K439">
        <v>3</v>
      </c>
      <c r="L439">
        <v>167</v>
      </c>
      <c r="M439">
        <v>72</v>
      </c>
      <c r="N439">
        <v>2</v>
      </c>
      <c r="O439">
        <v>2</v>
      </c>
      <c r="P439">
        <v>13</v>
      </c>
      <c r="Q439">
        <v>0.9</v>
      </c>
      <c r="R439">
        <v>12</v>
      </c>
      <c r="S439">
        <v>0.92307692307692313</v>
      </c>
      <c r="T439">
        <v>3</v>
      </c>
      <c r="U439">
        <v>11.2</v>
      </c>
      <c r="V439">
        <v>3343.0588235294117</v>
      </c>
      <c r="W439">
        <v>2</v>
      </c>
    </row>
    <row r="440" spans="1:23" x14ac:dyDescent="0.2">
      <c r="A440">
        <v>2020</v>
      </c>
      <c r="B440" t="s">
        <v>23</v>
      </c>
      <c r="C440" t="s">
        <v>24</v>
      </c>
      <c r="D440">
        <v>220</v>
      </c>
      <c r="E440">
        <v>1</v>
      </c>
      <c r="F440">
        <v>8</v>
      </c>
      <c r="G440" t="s">
        <v>245</v>
      </c>
      <c r="H440" s="1">
        <v>8</v>
      </c>
      <c r="I440" s="1">
        <v>67</v>
      </c>
      <c r="J440" s="1">
        <v>70</v>
      </c>
      <c r="K440" s="1">
        <f>J440-I440</f>
        <v>3</v>
      </c>
      <c r="L440" s="1">
        <v>104</v>
      </c>
      <c r="M440" s="1">
        <v>25</v>
      </c>
      <c r="N440" s="1">
        <v>2</v>
      </c>
      <c r="O440" s="1">
        <v>4</v>
      </c>
      <c r="P440" s="1">
        <v>4</v>
      </c>
      <c r="Q440" s="2">
        <v>0.16400000000000001</v>
      </c>
      <c r="R440" s="1">
        <v>3</v>
      </c>
      <c r="S440" s="1">
        <f>R440/P440</f>
        <v>0.75</v>
      </c>
      <c r="T440" s="1">
        <v>5</v>
      </c>
      <c r="U440" s="1">
        <v>12.5</v>
      </c>
      <c r="V440" s="1">
        <v>600.26143790849665</v>
      </c>
      <c r="W440" s="1">
        <v>4</v>
      </c>
    </row>
    <row r="441" spans="1:23" x14ac:dyDescent="0.2">
      <c r="A441">
        <v>2020</v>
      </c>
      <c r="B441" t="s">
        <v>23</v>
      </c>
      <c r="C441" t="s">
        <v>24</v>
      </c>
      <c r="D441">
        <v>220</v>
      </c>
      <c r="E441">
        <v>2</v>
      </c>
      <c r="F441">
        <v>1</v>
      </c>
      <c r="G441" t="s">
        <v>245</v>
      </c>
      <c r="H441" s="1">
        <v>3</v>
      </c>
      <c r="I441" s="1">
        <v>68</v>
      </c>
      <c r="J441" s="1">
        <v>72</v>
      </c>
      <c r="K441" s="1">
        <f>J441-I441</f>
        <v>4</v>
      </c>
      <c r="L441" s="1">
        <v>221</v>
      </c>
      <c r="M441" s="1">
        <v>109</v>
      </c>
      <c r="N441" s="1">
        <v>3</v>
      </c>
      <c r="O441" s="1">
        <v>4</v>
      </c>
      <c r="P441" s="1">
        <v>2</v>
      </c>
      <c r="Q441" s="2">
        <v>7.4999999999999997E-2</v>
      </c>
      <c r="R441" s="1">
        <v>3</v>
      </c>
      <c r="S441" s="1">
        <f>R441/P441</f>
        <v>1.5</v>
      </c>
      <c r="T441" s="1">
        <v>4</v>
      </c>
      <c r="U441" s="1">
        <v>12.5</v>
      </c>
      <c r="V441" s="1">
        <v>274.50980392156862</v>
      </c>
      <c r="W441" s="1">
        <v>2</v>
      </c>
    </row>
    <row r="442" spans="1:23" x14ac:dyDescent="0.2">
      <c r="A442">
        <v>2020</v>
      </c>
      <c r="B442" t="s">
        <v>23</v>
      </c>
      <c r="C442" t="s">
        <v>24</v>
      </c>
      <c r="D442">
        <v>221</v>
      </c>
      <c r="E442">
        <v>1</v>
      </c>
      <c r="F442">
        <v>9</v>
      </c>
      <c r="G442" t="s">
        <v>246</v>
      </c>
      <c r="H442">
        <v>10</v>
      </c>
      <c r="I442">
        <v>59</v>
      </c>
      <c r="J442">
        <v>61</v>
      </c>
      <c r="K442">
        <v>2</v>
      </c>
      <c r="L442">
        <v>192</v>
      </c>
      <c r="M442">
        <v>57</v>
      </c>
      <c r="N442">
        <v>2</v>
      </c>
      <c r="O442">
        <v>2</v>
      </c>
      <c r="P442">
        <v>9</v>
      </c>
      <c r="Q442">
        <v>0.7</v>
      </c>
      <c r="R442">
        <v>9</v>
      </c>
      <c r="S442">
        <v>1</v>
      </c>
      <c r="T442">
        <v>3</v>
      </c>
      <c r="U442">
        <v>12.8</v>
      </c>
      <c r="V442">
        <v>2553.3071895424837</v>
      </c>
      <c r="W442">
        <v>1</v>
      </c>
    </row>
    <row r="443" spans="1:23" x14ac:dyDescent="0.2">
      <c r="A443">
        <v>2020</v>
      </c>
      <c r="B443" t="s">
        <v>23</v>
      </c>
      <c r="C443" t="s">
        <v>24</v>
      </c>
      <c r="D443">
        <v>221</v>
      </c>
      <c r="E443">
        <v>2</v>
      </c>
      <c r="F443">
        <v>6</v>
      </c>
      <c r="G443" t="s">
        <v>246</v>
      </c>
      <c r="H443" s="1">
        <v>6</v>
      </c>
      <c r="I443" s="1">
        <v>65</v>
      </c>
      <c r="J443" s="1">
        <v>71</v>
      </c>
      <c r="K443" s="1">
        <f>J443-I443</f>
        <v>6</v>
      </c>
      <c r="L443" s="1">
        <v>99</v>
      </c>
      <c r="M443" s="1">
        <v>67</v>
      </c>
      <c r="N443" s="1">
        <v>2</v>
      </c>
      <c r="O443" s="1">
        <v>3.5</v>
      </c>
      <c r="P443" s="1">
        <f>H443-2</f>
        <v>4</v>
      </c>
      <c r="Q443" s="2">
        <v>0.15</v>
      </c>
      <c r="R443" s="1">
        <v>2</v>
      </c>
      <c r="S443" s="1">
        <f>R443/P443</f>
        <v>0.5</v>
      </c>
      <c r="T443" s="1">
        <v>5</v>
      </c>
      <c r="U443" s="1">
        <v>12.5</v>
      </c>
      <c r="V443" s="1">
        <v>549.01960784313724</v>
      </c>
      <c r="W443" s="1">
        <v>2</v>
      </c>
    </row>
    <row r="444" spans="1:23" x14ac:dyDescent="0.2">
      <c r="A444">
        <v>2020</v>
      </c>
      <c r="B444" t="s">
        <v>23</v>
      </c>
      <c r="C444" t="s">
        <v>24</v>
      </c>
      <c r="D444">
        <v>222</v>
      </c>
      <c r="E444">
        <v>1</v>
      </c>
      <c r="F444">
        <v>13</v>
      </c>
      <c r="G444" t="s">
        <v>247</v>
      </c>
      <c r="H444">
        <v>7</v>
      </c>
      <c r="I444">
        <v>55</v>
      </c>
      <c r="J444">
        <v>58</v>
      </c>
      <c r="K444">
        <v>3</v>
      </c>
      <c r="L444">
        <v>172</v>
      </c>
      <c r="M444">
        <v>40</v>
      </c>
      <c r="N444">
        <v>3</v>
      </c>
      <c r="O444">
        <v>3</v>
      </c>
      <c r="P444">
        <v>6</v>
      </c>
      <c r="Q444">
        <v>0.14199999999999999</v>
      </c>
      <c r="R444">
        <v>3</v>
      </c>
      <c r="S444">
        <v>0.5</v>
      </c>
      <c r="T444">
        <v>5</v>
      </c>
      <c r="U444">
        <v>12.5</v>
      </c>
      <c r="V444">
        <v>519.73856209150335</v>
      </c>
      <c r="W444">
        <v>1</v>
      </c>
    </row>
    <row r="445" spans="1:23" x14ac:dyDescent="0.2">
      <c r="A445">
        <v>2020</v>
      </c>
      <c r="B445" t="s">
        <v>23</v>
      </c>
      <c r="C445" t="s">
        <v>24</v>
      </c>
      <c r="D445">
        <v>222</v>
      </c>
      <c r="E445">
        <v>2</v>
      </c>
      <c r="F445">
        <v>4</v>
      </c>
      <c r="G445" t="s">
        <v>247</v>
      </c>
      <c r="H445">
        <v>14</v>
      </c>
      <c r="I445">
        <v>57</v>
      </c>
      <c r="J445">
        <v>58</v>
      </c>
      <c r="K445">
        <v>1</v>
      </c>
      <c r="L445">
        <v>164</v>
      </c>
      <c r="M445">
        <v>55</v>
      </c>
      <c r="N445">
        <v>2</v>
      </c>
      <c r="O445">
        <v>2.5</v>
      </c>
      <c r="P445">
        <v>12</v>
      </c>
      <c r="Q445">
        <v>1.6</v>
      </c>
      <c r="R445">
        <v>13</v>
      </c>
      <c r="S445">
        <v>1.0833333333333333</v>
      </c>
      <c r="T445">
        <v>3</v>
      </c>
      <c r="U445">
        <v>9.5</v>
      </c>
      <c r="V445">
        <v>6056.9934640522879</v>
      </c>
      <c r="W445">
        <v>2</v>
      </c>
    </row>
    <row r="446" spans="1:23" x14ac:dyDescent="0.2">
      <c r="A446">
        <v>2020</v>
      </c>
      <c r="B446" t="s">
        <v>23</v>
      </c>
      <c r="C446" t="s">
        <v>24</v>
      </c>
      <c r="D446">
        <v>223</v>
      </c>
      <c r="E446">
        <v>1</v>
      </c>
      <c r="F446">
        <v>12</v>
      </c>
      <c r="G446" t="s">
        <v>248</v>
      </c>
      <c r="H446">
        <v>16</v>
      </c>
      <c r="I446">
        <v>55</v>
      </c>
      <c r="J446">
        <v>58</v>
      </c>
      <c r="K446">
        <v>3</v>
      </c>
      <c r="L446">
        <v>154</v>
      </c>
      <c r="M446">
        <v>81</v>
      </c>
      <c r="N446">
        <v>2</v>
      </c>
      <c r="O446">
        <v>2.5</v>
      </c>
      <c r="P446">
        <v>12</v>
      </c>
      <c r="Q446">
        <v>0.3</v>
      </c>
      <c r="R446">
        <v>8</v>
      </c>
      <c r="S446">
        <v>0.66666666666666663</v>
      </c>
      <c r="T446">
        <v>3</v>
      </c>
      <c r="U446">
        <v>10.7</v>
      </c>
      <c r="V446">
        <v>1120.6274509803923</v>
      </c>
      <c r="W446">
        <v>1</v>
      </c>
    </row>
    <row r="447" spans="1:23" x14ac:dyDescent="0.2">
      <c r="A447">
        <v>2020</v>
      </c>
      <c r="B447" t="s">
        <v>23</v>
      </c>
      <c r="C447" t="s">
        <v>24</v>
      </c>
      <c r="D447">
        <v>223</v>
      </c>
      <c r="E447">
        <v>2</v>
      </c>
      <c r="F447">
        <v>5</v>
      </c>
      <c r="G447" t="s">
        <v>248</v>
      </c>
      <c r="H447" s="1">
        <v>10</v>
      </c>
      <c r="I447" s="1">
        <v>64</v>
      </c>
      <c r="J447" s="1">
        <v>68</v>
      </c>
      <c r="K447" s="1">
        <f t="shared" ref="K447:K452" si="16">J447-I447</f>
        <v>4</v>
      </c>
      <c r="L447" s="1">
        <v>120</v>
      </c>
      <c r="M447" s="1">
        <v>55</v>
      </c>
      <c r="N447" s="1">
        <v>3</v>
      </c>
      <c r="O447" s="1">
        <v>4</v>
      </c>
      <c r="P447" s="1">
        <f>H447</f>
        <v>10</v>
      </c>
      <c r="Q447" s="2">
        <v>9.0899999999999995E-2</v>
      </c>
      <c r="R447" s="1">
        <v>8</v>
      </c>
      <c r="S447" s="1">
        <f t="shared" ref="S447:S452" si="17">R447/P447</f>
        <v>0.8</v>
      </c>
      <c r="T447" s="1">
        <v>5</v>
      </c>
      <c r="U447" s="1">
        <v>12.5</v>
      </c>
      <c r="V447" s="1">
        <v>332.70588235294122</v>
      </c>
      <c r="W447" s="1">
        <v>3</v>
      </c>
    </row>
    <row r="448" spans="1:23" x14ac:dyDescent="0.2">
      <c r="A448">
        <v>2020</v>
      </c>
      <c r="B448" t="s">
        <v>23</v>
      </c>
      <c r="C448" t="s">
        <v>24</v>
      </c>
      <c r="D448">
        <v>224</v>
      </c>
      <c r="E448">
        <v>1</v>
      </c>
      <c r="F448">
        <v>4</v>
      </c>
      <c r="G448" t="s">
        <v>249</v>
      </c>
      <c r="H448" s="1">
        <v>9</v>
      </c>
      <c r="I448" s="1">
        <v>63</v>
      </c>
      <c r="J448" s="1">
        <v>67</v>
      </c>
      <c r="K448" s="1">
        <f t="shared" si="16"/>
        <v>4</v>
      </c>
      <c r="L448" s="1">
        <v>135</v>
      </c>
      <c r="M448" s="1">
        <v>83</v>
      </c>
      <c r="N448" s="1">
        <v>2</v>
      </c>
      <c r="O448" s="1">
        <v>2.5</v>
      </c>
      <c r="P448" s="1">
        <v>7</v>
      </c>
      <c r="Q448" s="2">
        <v>0.28871999999999998</v>
      </c>
      <c r="R448" s="1">
        <v>5</v>
      </c>
      <c r="S448" s="1">
        <f t="shared" si="17"/>
        <v>0.7142857142857143</v>
      </c>
      <c r="T448" s="1">
        <v>2</v>
      </c>
      <c r="U448" s="1">
        <v>12.5</v>
      </c>
      <c r="V448" s="1">
        <v>1056.7529411764706</v>
      </c>
      <c r="W448" s="1">
        <v>4</v>
      </c>
    </row>
    <row r="449" spans="1:23" x14ac:dyDescent="0.2">
      <c r="A449">
        <v>2020</v>
      </c>
      <c r="B449" t="s">
        <v>23</v>
      </c>
      <c r="C449" t="s">
        <v>24</v>
      </c>
      <c r="D449">
        <v>224</v>
      </c>
      <c r="E449">
        <v>2</v>
      </c>
      <c r="F449">
        <v>14</v>
      </c>
      <c r="G449" t="s">
        <v>249</v>
      </c>
      <c r="H449" s="1">
        <v>8</v>
      </c>
      <c r="I449" s="1">
        <v>66</v>
      </c>
      <c r="J449" s="1">
        <v>68</v>
      </c>
      <c r="K449" s="1">
        <f t="shared" si="16"/>
        <v>2</v>
      </c>
      <c r="L449" s="1">
        <v>113</v>
      </c>
      <c r="M449" s="1">
        <v>25</v>
      </c>
      <c r="N449" s="1">
        <v>2</v>
      </c>
      <c r="O449" s="1">
        <v>4</v>
      </c>
      <c r="P449" s="1">
        <v>4</v>
      </c>
      <c r="Q449" s="2">
        <v>9.1999999999999998E-2</v>
      </c>
      <c r="R449" s="1">
        <v>3</v>
      </c>
      <c r="S449" s="1">
        <f t="shared" si="17"/>
        <v>0.75</v>
      </c>
      <c r="T449" s="1">
        <v>5</v>
      </c>
      <c r="U449" s="1">
        <v>12.5</v>
      </c>
      <c r="V449" s="1">
        <v>336.73202614379085</v>
      </c>
      <c r="W449" s="1">
        <v>4</v>
      </c>
    </row>
    <row r="450" spans="1:23" x14ac:dyDescent="0.2">
      <c r="A450">
        <v>2020</v>
      </c>
      <c r="B450" t="s">
        <v>23</v>
      </c>
      <c r="C450" t="s">
        <v>24</v>
      </c>
      <c r="D450">
        <v>225</v>
      </c>
      <c r="E450">
        <v>1</v>
      </c>
      <c r="F450">
        <v>11</v>
      </c>
      <c r="G450" t="s">
        <v>250</v>
      </c>
      <c r="H450" s="1">
        <v>5</v>
      </c>
      <c r="I450" s="1">
        <v>58</v>
      </c>
      <c r="J450" s="1">
        <v>63</v>
      </c>
      <c r="K450" s="1">
        <f t="shared" si="16"/>
        <v>5</v>
      </c>
      <c r="L450" s="1">
        <v>173</v>
      </c>
      <c r="M450" s="1">
        <v>92</v>
      </c>
      <c r="N450" s="1">
        <v>2</v>
      </c>
      <c r="O450" s="1">
        <v>2.5</v>
      </c>
      <c r="P450" s="1">
        <v>5</v>
      </c>
      <c r="Q450" s="2">
        <v>1.0116000000000001</v>
      </c>
      <c r="R450" s="1">
        <v>5</v>
      </c>
      <c r="S450" s="1">
        <f t="shared" si="17"/>
        <v>1</v>
      </c>
      <c r="T450" s="1">
        <v>5</v>
      </c>
      <c r="U450" s="1">
        <v>9.1</v>
      </c>
      <c r="V450" s="1">
        <v>3846.4602352941179</v>
      </c>
      <c r="W450" s="1">
        <v>5</v>
      </c>
    </row>
    <row r="451" spans="1:23" x14ac:dyDescent="0.2">
      <c r="A451">
        <v>2020</v>
      </c>
      <c r="B451" t="s">
        <v>23</v>
      </c>
      <c r="C451" t="s">
        <v>24</v>
      </c>
      <c r="D451">
        <v>225</v>
      </c>
      <c r="E451">
        <v>2</v>
      </c>
      <c r="F451">
        <v>13</v>
      </c>
      <c r="G451" t="s">
        <v>250</v>
      </c>
      <c r="H451" s="1">
        <v>12</v>
      </c>
      <c r="I451" s="1">
        <v>65</v>
      </c>
      <c r="J451" s="1">
        <v>70</v>
      </c>
      <c r="K451" s="1">
        <f t="shared" si="16"/>
        <v>5</v>
      </c>
      <c r="L451" s="1">
        <v>120</v>
      </c>
      <c r="M451" s="1">
        <v>32</v>
      </c>
      <c r="N451" s="1">
        <v>2</v>
      </c>
      <c r="O451" s="1">
        <v>4</v>
      </c>
      <c r="P451" s="1">
        <v>8</v>
      </c>
      <c r="Q451" s="2">
        <v>0.28199999999999997</v>
      </c>
      <c r="R451" s="1">
        <v>8</v>
      </c>
      <c r="S451" s="1">
        <f t="shared" si="17"/>
        <v>1</v>
      </c>
      <c r="T451" s="1">
        <v>3.5</v>
      </c>
      <c r="U451" s="1">
        <v>12.5</v>
      </c>
      <c r="V451" s="1">
        <v>1032.1568627450981</v>
      </c>
      <c r="W451" s="1">
        <v>5</v>
      </c>
    </row>
    <row r="452" spans="1:23" x14ac:dyDescent="0.2">
      <c r="A452">
        <v>2020</v>
      </c>
      <c r="B452" t="s">
        <v>23</v>
      </c>
      <c r="C452" t="s">
        <v>24</v>
      </c>
      <c r="D452">
        <v>226</v>
      </c>
      <c r="E452">
        <v>1</v>
      </c>
      <c r="F452">
        <v>7</v>
      </c>
      <c r="G452" t="s">
        <v>251</v>
      </c>
      <c r="H452" s="1">
        <v>8</v>
      </c>
      <c r="I452" s="1">
        <v>62</v>
      </c>
      <c r="J452" s="1">
        <v>66</v>
      </c>
      <c r="K452" s="1">
        <f t="shared" si="16"/>
        <v>4</v>
      </c>
      <c r="L452" s="1">
        <v>196</v>
      </c>
      <c r="M452" s="1">
        <v>108</v>
      </c>
      <c r="N452" s="1">
        <v>1</v>
      </c>
      <c r="O452" s="1">
        <v>1.5</v>
      </c>
      <c r="P452" s="1">
        <f>H452</f>
        <v>8</v>
      </c>
      <c r="Q452" s="2">
        <v>0.27750000000000002</v>
      </c>
      <c r="R452" s="1">
        <v>8</v>
      </c>
      <c r="S452" s="1">
        <f t="shared" si="17"/>
        <v>1</v>
      </c>
      <c r="T452" s="1">
        <v>2</v>
      </c>
      <c r="U452" s="1">
        <v>12.5</v>
      </c>
      <c r="V452" s="1">
        <v>1015.686274509804</v>
      </c>
      <c r="W452" s="1">
        <v>3</v>
      </c>
    </row>
    <row r="453" spans="1:23" x14ac:dyDescent="0.2">
      <c r="A453">
        <v>2020</v>
      </c>
      <c r="B453" t="s">
        <v>23</v>
      </c>
      <c r="C453" t="s">
        <v>24</v>
      </c>
      <c r="D453">
        <v>226</v>
      </c>
      <c r="E453">
        <v>2</v>
      </c>
      <c r="F453">
        <v>2</v>
      </c>
      <c r="G453" t="s">
        <v>251</v>
      </c>
      <c r="H453">
        <v>8</v>
      </c>
      <c r="I453">
        <v>58</v>
      </c>
      <c r="J453">
        <v>63</v>
      </c>
      <c r="K453">
        <v>5</v>
      </c>
      <c r="L453">
        <v>54</v>
      </c>
      <c r="M453">
        <v>18</v>
      </c>
      <c r="N453">
        <v>2</v>
      </c>
      <c r="O453">
        <v>4</v>
      </c>
      <c r="P453">
        <v>3</v>
      </c>
      <c r="Q453">
        <v>0.45</v>
      </c>
      <c r="R453">
        <v>3</v>
      </c>
      <c r="S453">
        <v>1</v>
      </c>
      <c r="T453">
        <v>2</v>
      </c>
      <c r="U453">
        <v>12.5</v>
      </c>
      <c r="V453">
        <v>1647.0588235294117</v>
      </c>
      <c r="W453">
        <v>1</v>
      </c>
    </row>
    <row r="454" spans="1:23" x14ac:dyDescent="0.2">
      <c r="A454">
        <v>2020</v>
      </c>
      <c r="B454" t="s">
        <v>23</v>
      </c>
      <c r="C454" t="s">
        <v>24</v>
      </c>
      <c r="D454">
        <v>227</v>
      </c>
      <c r="E454">
        <v>1</v>
      </c>
      <c r="F454">
        <v>1</v>
      </c>
      <c r="G454" t="s">
        <v>252</v>
      </c>
      <c r="H454" s="1">
        <v>4</v>
      </c>
      <c r="I454" s="1">
        <v>60</v>
      </c>
      <c r="J454" s="1">
        <v>64</v>
      </c>
      <c r="K454" s="1">
        <f>J454-I454</f>
        <v>4</v>
      </c>
      <c r="L454" s="1">
        <v>148</v>
      </c>
      <c r="M454" s="1">
        <v>65</v>
      </c>
      <c r="N454" s="1">
        <v>2</v>
      </c>
      <c r="O454" s="1">
        <v>4</v>
      </c>
      <c r="P454" s="1">
        <f>H454</f>
        <v>4</v>
      </c>
      <c r="Q454" s="2">
        <v>7.4999999999999997E-2</v>
      </c>
      <c r="R454" s="1">
        <v>2</v>
      </c>
      <c r="S454" s="1">
        <f>R454/P454</f>
        <v>0.5</v>
      </c>
      <c r="T454" s="1">
        <v>5</v>
      </c>
      <c r="U454" s="1">
        <v>12.5</v>
      </c>
      <c r="V454" s="1">
        <v>274.50980392156862</v>
      </c>
      <c r="W454" s="1">
        <v>6</v>
      </c>
    </row>
    <row r="455" spans="1:23" x14ac:dyDescent="0.2">
      <c r="A455">
        <v>2020</v>
      </c>
      <c r="B455" t="s">
        <v>23</v>
      </c>
      <c r="C455" t="s">
        <v>24</v>
      </c>
      <c r="D455">
        <v>227</v>
      </c>
      <c r="E455">
        <v>2</v>
      </c>
      <c r="F455">
        <v>4</v>
      </c>
      <c r="G455" t="s">
        <v>252</v>
      </c>
      <c r="H455" s="1">
        <v>13</v>
      </c>
      <c r="I455" s="1">
        <v>61</v>
      </c>
      <c r="J455" s="1">
        <v>66</v>
      </c>
      <c r="K455" s="1">
        <f>J455-I455</f>
        <v>5</v>
      </c>
      <c r="L455" s="1">
        <v>163</v>
      </c>
      <c r="M455" s="1">
        <v>70</v>
      </c>
      <c r="N455" s="1">
        <v>3</v>
      </c>
      <c r="O455" s="1">
        <v>4</v>
      </c>
      <c r="P455" s="1">
        <f>H455-2</f>
        <v>11</v>
      </c>
      <c r="Q455" s="2">
        <v>0.18</v>
      </c>
      <c r="R455" s="1">
        <v>8</v>
      </c>
      <c r="S455" s="1">
        <f>R455/P455</f>
        <v>0.72727272727272729</v>
      </c>
      <c r="T455" s="1">
        <v>5</v>
      </c>
      <c r="U455" s="1">
        <v>12.5</v>
      </c>
      <c r="V455" s="1">
        <v>658.82352941176464</v>
      </c>
      <c r="W455" s="1">
        <v>5</v>
      </c>
    </row>
    <row r="456" spans="1:23" x14ac:dyDescent="0.2">
      <c r="A456">
        <v>2020</v>
      </c>
      <c r="B456" t="s">
        <v>23</v>
      </c>
      <c r="C456" t="s">
        <v>24</v>
      </c>
      <c r="D456">
        <v>228</v>
      </c>
      <c r="E456">
        <v>1</v>
      </c>
      <c r="F456">
        <v>8</v>
      </c>
      <c r="G456" t="s">
        <v>253</v>
      </c>
      <c r="H456" s="1">
        <v>6</v>
      </c>
      <c r="I456" s="1">
        <v>69</v>
      </c>
      <c r="J456" s="1">
        <v>73</v>
      </c>
      <c r="K456" s="1">
        <f>J456-I456</f>
        <v>4</v>
      </c>
      <c r="L456" s="1">
        <v>95</v>
      </c>
      <c r="M456" s="1">
        <v>45</v>
      </c>
      <c r="N456" s="1">
        <v>2</v>
      </c>
      <c r="O456" s="1">
        <v>4.5</v>
      </c>
      <c r="P456" s="1">
        <v>5</v>
      </c>
      <c r="Q456" s="2">
        <v>0.17</v>
      </c>
      <c r="R456" s="1">
        <v>4</v>
      </c>
      <c r="S456" s="1">
        <f>R456/P456</f>
        <v>0.8</v>
      </c>
      <c r="T456" s="1">
        <v>4.5</v>
      </c>
      <c r="U456" s="1">
        <v>12.5</v>
      </c>
      <c r="V456" s="1">
        <v>622.2222222222224</v>
      </c>
      <c r="W456" s="1">
        <v>5</v>
      </c>
    </row>
    <row r="457" spans="1:23" x14ac:dyDescent="0.2">
      <c r="A457">
        <v>2020</v>
      </c>
      <c r="B457" t="s">
        <v>23</v>
      </c>
      <c r="C457" t="s">
        <v>24</v>
      </c>
      <c r="D457">
        <v>228</v>
      </c>
      <c r="E457">
        <v>2</v>
      </c>
      <c r="F457">
        <v>11</v>
      </c>
      <c r="G457" t="s">
        <v>253</v>
      </c>
      <c r="H457" s="1">
        <v>12</v>
      </c>
      <c r="I457" s="1">
        <v>67</v>
      </c>
      <c r="J457" s="1">
        <v>72</v>
      </c>
      <c r="K457" s="1">
        <f>J457-I457</f>
        <v>5</v>
      </c>
      <c r="L457" s="1">
        <v>163</v>
      </c>
      <c r="M457" s="1">
        <v>82</v>
      </c>
      <c r="N457" s="1">
        <v>2</v>
      </c>
      <c r="O457" s="1">
        <v>3.5</v>
      </c>
      <c r="P457" s="1">
        <v>12</v>
      </c>
      <c r="Q457" s="2">
        <v>0.82399999999999995</v>
      </c>
      <c r="R457" s="1">
        <v>10</v>
      </c>
      <c r="S457" s="1">
        <f>R457/P457</f>
        <v>0.83333333333333337</v>
      </c>
      <c r="T457" s="1">
        <v>5</v>
      </c>
      <c r="U457" s="1">
        <v>10.1</v>
      </c>
      <c r="V457" s="1">
        <v>3098.6708496732031</v>
      </c>
      <c r="W457" s="1">
        <v>5</v>
      </c>
    </row>
    <row r="458" spans="1:23" x14ac:dyDescent="0.2">
      <c r="A458">
        <v>2020</v>
      </c>
      <c r="B458" t="s">
        <v>23</v>
      </c>
      <c r="C458" t="s">
        <v>24</v>
      </c>
      <c r="D458">
        <v>229</v>
      </c>
      <c r="E458">
        <v>1</v>
      </c>
      <c r="F458">
        <v>8</v>
      </c>
      <c r="G458" t="s">
        <v>254</v>
      </c>
      <c r="H458">
        <v>9</v>
      </c>
      <c r="I458">
        <v>60</v>
      </c>
      <c r="J458">
        <v>63</v>
      </c>
      <c r="K458">
        <v>3</v>
      </c>
      <c r="L458">
        <v>98</v>
      </c>
      <c r="M458">
        <v>22</v>
      </c>
      <c r="N458">
        <v>1</v>
      </c>
      <c r="O458">
        <v>2</v>
      </c>
      <c r="P458">
        <v>9</v>
      </c>
      <c r="Q458">
        <v>0.222</v>
      </c>
      <c r="R458">
        <v>9</v>
      </c>
      <c r="S458">
        <v>1</v>
      </c>
      <c r="T458">
        <v>3</v>
      </c>
      <c r="U458">
        <v>12.5</v>
      </c>
      <c r="V458">
        <v>812.54901960784309</v>
      </c>
      <c r="W458">
        <v>1</v>
      </c>
    </row>
    <row r="459" spans="1:23" x14ac:dyDescent="0.2">
      <c r="A459">
        <v>2020</v>
      </c>
      <c r="B459" t="s">
        <v>23</v>
      </c>
      <c r="C459" t="s">
        <v>24</v>
      </c>
      <c r="D459">
        <v>229</v>
      </c>
      <c r="E459">
        <v>2</v>
      </c>
      <c r="F459">
        <v>11</v>
      </c>
      <c r="G459" t="s">
        <v>254</v>
      </c>
      <c r="H459" s="1">
        <v>8</v>
      </c>
      <c r="I459" s="1">
        <v>62</v>
      </c>
      <c r="J459" s="1">
        <v>64</v>
      </c>
      <c r="K459" s="1">
        <f>J459-I459</f>
        <v>2</v>
      </c>
      <c r="L459" s="1">
        <v>81</v>
      </c>
      <c r="M459" s="1">
        <v>30</v>
      </c>
      <c r="N459" s="1">
        <v>3</v>
      </c>
      <c r="O459" s="1">
        <v>4</v>
      </c>
      <c r="P459" s="1">
        <v>5</v>
      </c>
      <c r="Q459" s="2">
        <v>0.24199999999999999</v>
      </c>
      <c r="R459" s="1">
        <v>5</v>
      </c>
      <c r="S459" s="1">
        <f>R459/P459</f>
        <v>1</v>
      </c>
      <c r="T459" s="1">
        <v>4</v>
      </c>
      <c r="U459" s="1">
        <v>12.5</v>
      </c>
      <c r="V459" s="1">
        <v>885.75163398692814</v>
      </c>
      <c r="W459" s="1">
        <v>5</v>
      </c>
    </row>
    <row r="460" spans="1:23" x14ac:dyDescent="0.2">
      <c r="A460">
        <v>2020</v>
      </c>
      <c r="B460" t="s">
        <v>23</v>
      </c>
      <c r="C460" t="s">
        <v>24</v>
      </c>
      <c r="D460">
        <v>230</v>
      </c>
      <c r="E460">
        <v>1</v>
      </c>
      <c r="F460">
        <v>3</v>
      </c>
      <c r="G460" t="s">
        <v>255</v>
      </c>
      <c r="H460" s="1">
        <v>8</v>
      </c>
      <c r="I460" s="1">
        <v>65</v>
      </c>
      <c r="J460" s="1">
        <v>69</v>
      </c>
      <c r="K460" s="1">
        <f>J460-I460</f>
        <v>4</v>
      </c>
      <c r="L460" s="1">
        <v>142</v>
      </c>
      <c r="M460" s="1">
        <v>41</v>
      </c>
      <c r="N460" s="1">
        <v>2</v>
      </c>
      <c r="O460" s="1">
        <v>3</v>
      </c>
      <c r="P460" s="1">
        <v>6</v>
      </c>
      <c r="Q460" s="2">
        <v>0.29399999999999998</v>
      </c>
      <c r="R460" s="1">
        <v>6</v>
      </c>
      <c r="S460" s="1">
        <f>R460/P460</f>
        <v>1</v>
      </c>
      <c r="T460" s="1">
        <v>2.5</v>
      </c>
      <c r="U460" s="1">
        <v>12.5</v>
      </c>
      <c r="V460" s="1">
        <v>1076.0784313725489</v>
      </c>
      <c r="W460" s="1">
        <v>5</v>
      </c>
    </row>
    <row r="461" spans="1:23" x14ac:dyDescent="0.2">
      <c r="A461">
        <v>2020</v>
      </c>
      <c r="B461" t="s">
        <v>23</v>
      </c>
      <c r="C461" t="s">
        <v>24</v>
      </c>
      <c r="D461">
        <v>230</v>
      </c>
      <c r="E461">
        <v>2</v>
      </c>
      <c r="F461">
        <v>4</v>
      </c>
      <c r="G461" t="s">
        <v>255</v>
      </c>
      <c r="H461" s="1">
        <v>12</v>
      </c>
      <c r="I461" s="1">
        <v>57</v>
      </c>
      <c r="J461" s="1">
        <v>61</v>
      </c>
      <c r="K461" s="1">
        <f>J461-I461</f>
        <v>4</v>
      </c>
      <c r="L461" s="1">
        <v>140</v>
      </c>
      <c r="M461" s="1">
        <v>70</v>
      </c>
      <c r="N461" s="1">
        <v>3</v>
      </c>
      <c r="O461" s="1">
        <v>3.5</v>
      </c>
      <c r="P461" s="1">
        <f>H461</f>
        <v>12</v>
      </c>
      <c r="Q461" s="2">
        <v>4.8150000000000005E-2</v>
      </c>
      <c r="R461" s="1">
        <v>8</v>
      </c>
      <c r="S461" s="1">
        <f>R461/P461</f>
        <v>0.66666666666666663</v>
      </c>
      <c r="T461" s="1">
        <v>5</v>
      </c>
      <c r="U461" s="1">
        <v>12.5</v>
      </c>
      <c r="V461" s="1">
        <v>176.2352941176471</v>
      </c>
      <c r="W461" s="1">
        <v>5</v>
      </c>
    </row>
    <row r="462" spans="1:23" x14ac:dyDescent="0.2">
      <c r="A462">
        <v>2020</v>
      </c>
      <c r="B462" t="s">
        <v>23</v>
      </c>
      <c r="C462" t="s">
        <v>24</v>
      </c>
      <c r="D462">
        <v>231</v>
      </c>
      <c r="E462">
        <v>1</v>
      </c>
      <c r="F462">
        <v>15</v>
      </c>
      <c r="G462" t="s">
        <v>256</v>
      </c>
      <c r="H462">
        <v>14</v>
      </c>
      <c r="I462">
        <v>63</v>
      </c>
      <c r="J462">
        <v>67</v>
      </c>
      <c r="K462">
        <v>4</v>
      </c>
      <c r="L462">
        <v>150</v>
      </c>
      <c r="M462">
        <v>60</v>
      </c>
      <c r="N462">
        <v>1.5</v>
      </c>
      <c r="O462">
        <v>2</v>
      </c>
      <c r="P462">
        <v>14</v>
      </c>
      <c r="Q462">
        <v>0.9</v>
      </c>
      <c r="R462">
        <v>15</v>
      </c>
      <c r="S462">
        <v>1.0714285714285714</v>
      </c>
      <c r="T462">
        <v>2.5</v>
      </c>
      <c r="U462">
        <v>12.5</v>
      </c>
      <c r="V462">
        <v>3294.1176470588234</v>
      </c>
      <c r="W462">
        <v>1</v>
      </c>
    </row>
    <row r="463" spans="1:23" x14ac:dyDescent="0.2">
      <c r="A463">
        <v>2020</v>
      </c>
      <c r="B463" t="s">
        <v>23</v>
      </c>
      <c r="C463" t="s">
        <v>24</v>
      </c>
      <c r="D463">
        <v>231</v>
      </c>
      <c r="E463">
        <v>2</v>
      </c>
      <c r="F463">
        <v>2</v>
      </c>
      <c r="G463" t="s">
        <v>256</v>
      </c>
      <c r="H463">
        <v>4</v>
      </c>
      <c r="I463">
        <v>60</v>
      </c>
      <c r="J463">
        <v>63</v>
      </c>
      <c r="K463">
        <v>3</v>
      </c>
      <c r="L463">
        <v>98</v>
      </c>
      <c r="M463">
        <v>22</v>
      </c>
      <c r="N463">
        <v>2</v>
      </c>
      <c r="O463">
        <v>3</v>
      </c>
      <c r="P463">
        <v>4</v>
      </c>
      <c r="Q463">
        <v>0.3</v>
      </c>
      <c r="R463">
        <v>5</v>
      </c>
      <c r="S463">
        <v>1.25</v>
      </c>
      <c r="T463">
        <v>3</v>
      </c>
      <c r="U463">
        <v>12.5</v>
      </c>
      <c r="V463">
        <v>1098.0392156862745</v>
      </c>
      <c r="W463">
        <v>2</v>
      </c>
    </row>
    <row r="464" spans="1:23" x14ac:dyDescent="0.2">
      <c r="A464">
        <v>2020</v>
      </c>
      <c r="B464" t="s">
        <v>23</v>
      </c>
      <c r="C464" t="s">
        <v>24</v>
      </c>
      <c r="D464">
        <v>232</v>
      </c>
      <c r="E464">
        <v>1</v>
      </c>
      <c r="F464">
        <v>9</v>
      </c>
      <c r="G464" t="s">
        <v>257</v>
      </c>
      <c r="H464" s="1">
        <v>3</v>
      </c>
      <c r="I464" s="1">
        <v>64</v>
      </c>
      <c r="J464" s="1">
        <v>69</v>
      </c>
      <c r="K464" s="1">
        <f>J464-I464</f>
        <v>5</v>
      </c>
      <c r="L464" s="1">
        <v>145</v>
      </c>
      <c r="M464" s="1">
        <v>78</v>
      </c>
      <c r="N464" s="1">
        <v>2</v>
      </c>
      <c r="O464" s="1">
        <v>3.5</v>
      </c>
      <c r="P464" s="1">
        <f>H464</f>
        <v>3</v>
      </c>
      <c r="Q464" s="2">
        <v>0.11430000000000001</v>
      </c>
      <c r="R464" s="1">
        <v>3</v>
      </c>
      <c r="S464" s="1">
        <f>R464/P464</f>
        <v>1</v>
      </c>
      <c r="T464" s="1">
        <v>5</v>
      </c>
      <c r="U464" s="1">
        <v>12.5</v>
      </c>
      <c r="V464" s="1">
        <v>418.35294117647055</v>
      </c>
      <c r="W464" s="1">
        <v>5</v>
      </c>
    </row>
    <row r="465" spans="1:23" x14ac:dyDescent="0.2">
      <c r="A465">
        <v>2020</v>
      </c>
      <c r="B465" t="s">
        <v>23</v>
      </c>
      <c r="C465" t="s">
        <v>24</v>
      </c>
      <c r="D465">
        <v>232</v>
      </c>
      <c r="E465">
        <v>2</v>
      </c>
      <c r="F465">
        <v>4</v>
      </c>
      <c r="G465" t="s">
        <v>257</v>
      </c>
      <c r="H465" s="1">
        <v>16</v>
      </c>
      <c r="I465" s="1">
        <v>65</v>
      </c>
      <c r="J465" s="1">
        <v>70</v>
      </c>
      <c r="K465" s="1">
        <f>J465-I465</f>
        <v>5</v>
      </c>
      <c r="L465" s="1">
        <v>124</v>
      </c>
      <c r="M465" s="1">
        <v>42</v>
      </c>
      <c r="N465" s="1">
        <v>2</v>
      </c>
      <c r="O465" s="1">
        <v>4</v>
      </c>
      <c r="P465" s="1">
        <v>15</v>
      </c>
      <c r="Q465" s="2">
        <v>0.55100000000000005</v>
      </c>
      <c r="R465" s="1">
        <v>16</v>
      </c>
      <c r="S465" s="1">
        <f>R465/P465</f>
        <v>1.0666666666666667</v>
      </c>
      <c r="T465" s="1">
        <v>3</v>
      </c>
      <c r="U465" s="1">
        <v>12.5</v>
      </c>
      <c r="V465" s="1">
        <v>2016.732026143791</v>
      </c>
      <c r="W465" s="1">
        <v>6</v>
      </c>
    </row>
    <row r="466" spans="1:23" x14ac:dyDescent="0.2">
      <c r="A466">
        <v>2020</v>
      </c>
      <c r="B466" t="s">
        <v>23</v>
      </c>
      <c r="C466" t="s">
        <v>24</v>
      </c>
      <c r="D466">
        <v>233</v>
      </c>
      <c r="E466">
        <v>1</v>
      </c>
      <c r="F466">
        <v>15</v>
      </c>
      <c r="G466" t="s">
        <v>258</v>
      </c>
      <c r="H466" s="1">
        <v>2</v>
      </c>
      <c r="I466" s="1">
        <v>62</v>
      </c>
      <c r="J466" s="1">
        <v>67</v>
      </c>
      <c r="K466" s="1">
        <f>J466-I466</f>
        <v>5</v>
      </c>
      <c r="L466" s="1">
        <v>83</v>
      </c>
      <c r="M466" s="1">
        <v>52</v>
      </c>
      <c r="N466" s="1">
        <v>2</v>
      </c>
      <c r="O466" s="1">
        <v>3</v>
      </c>
      <c r="P466" s="1">
        <v>2</v>
      </c>
      <c r="Q466" s="2">
        <v>0.35880000000000001</v>
      </c>
      <c r="R466" s="1">
        <v>2</v>
      </c>
      <c r="S466" s="1">
        <f>R466/P466</f>
        <v>1</v>
      </c>
      <c r="T466" s="1">
        <v>3</v>
      </c>
      <c r="U466" s="1">
        <v>12.5</v>
      </c>
      <c r="V466" s="1">
        <v>1313.2549019607843</v>
      </c>
      <c r="W466" s="1">
        <v>3</v>
      </c>
    </row>
    <row r="467" spans="1:23" x14ac:dyDescent="0.2">
      <c r="A467">
        <v>2020</v>
      </c>
      <c r="B467" t="s">
        <v>23</v>
      </c>
      <c r="C467" t="s">
        <v>24</v>
      </c>
      <c r="D467">
        <v>233</v>
      </c>
      <c r="E467">
        <v>2</v>
      </c>
      <c r="F467">
        <v>14</v>
      </c>
      <c r="G467" t="s">
        <v>258</v>
      </c>
      <c r="H467" s="1">
        <v>6</v>
      </c>
      <c r="I467" s="1">
        <v>62</v>
      </c>
      <c r="J467" s="1">
        <v>66</v>
      </c>
      <c r="K467" s="1">
        <f>J467-I467</f>
        <v>4</v>
      </c>
      <c r="L467" s="1">
        <v>163</v>
      </c>
      <c r="M467" s="1">
        <v>64</v>
      </c>
      <c r="N467" s="1">
        <v>2</v>
      </c>
      <c r="O467" s="1">
        <v>3</v>
      </c>
      <c r="P467" s="1">
        <v>6</v>
      </c>
      <c r="Q467" s="2">
        <v>0.32759999999999995</v>
      </c>
      <c r="R467" s="1">
        <v>4</v>
      </c>
      <c r="S467" s="1">
        <f>R467/P467</f>
        <v>0.66666666666666663</v>
      </c>
      <c r="T467" s="1">
        <v>2.5</v>
      </c>
      <c r="U467" s="1">
        <v>12.5</v>
      </c>
      <c r="V467" s="1">
        <v>1199.0588235294117</v>
      </c>
      <c r="W467" s="1">
        <v>2</v>
      </c>
    </row>
    <row r="468" spans="1:23" x14ac:dyDescent="0.2">
      <c r="A468">
        <v>2020</v>
      </c>
      <c r="B468" t="s">
        <v>23</v>
      </c>
      <c r="C468" t="s">
        <v>24</v>
      </c>
      <c r="D468">
        <v>234</v>
      </c>
      <c r="E468">
        <v>1</v>
      </c>
      <c r="F468">
        <v>5</v>
      </c>
      <c r="G468" t="s">
        <v>259</v>
      </c>
      <c r="H468" s="1">
        <v>13</v>
      </c>
      <c r="I468" s="1">
        <v>57</v>
      </c>
      <c r="J468" s="1">
        <v>60</v>
      </c>
      <c r="K468" s="1">
        <f>J468-I468</f>
        <v>3</v>
      </c>
      <c r="L468" s="1">
        <v>137</v>
      </c>
      <c r="M468" s="1">
        <v>65</v>
      </c>
      <c r="N468" s="1">
        <v>2</v>
      </c>
      <c r="O468" s="1">
        <v>2.5</v>
      </c>
      <c r="P468" s="1">
        <f>H468-2</f>
        <v>11</v>
      </c>
      <c r="Q468" s="2">
        <v>9.1687500000000005E-2</v>
      </c>
      <c r="R468" s="1">
        <v>8</v>
      </c>
      <c r="S468" s="1">
        <f>R468/P468</f>
        <v>0.72727272727272729</v>
      </c>
      <c r="T468" s="1">
        <v>5</v>
      </c>
      <c r="U468" s="1">
        <v>12.5</v>
      </c>
      <c r="V468" s="1">
        <v>335.58823529411768</v>
      </c>
      <c r="W468" s="1">
        <v>4</v>
      </c>
    </row>
    <row r="469" spans="1:23" x14ac:dyDescent="0.2">
      <c r="A469">
        <v>2020</v>
      </c>
      <c r="B469" t="s">
        <v>23</v>
      </c>
      <c r="C469" t="s">
        <v>24</v>
      </c>
      <c r="D469">
        <v>234</v>
      </c>
      <c r="E469">
        <v>2</v>
      </c>
      <c r="F469">
        <v>3</v>
      </c>
      <c r="G469" t="s">
        <v>259</v>
      </c>
      <c r="H469">
        <v>2</v>
      </c>
      <c r="I469">
        <v>63</v>
      </c>
      <c r="J469">
        <v>67</v>
      </c>
      <c r="K469">
        <v>4</v>
      </c>
      <c r="L469">
        <v>115</v>
      </c>
      <c r="M469">
        <v>61</v>
      </c>
      <c r="N469">
        <v>1.5</v>
      </c>
      <c r="O469">
        <v>4</v>
      </c>
      <c r="P469">
        <v>2</v>
      </c>
      <c r="Q469">
        <v>0.2</v>
      </c>
      <c r="R469">
        <v>3</v>
      </c>
      <c r="S469">
        <v>1.5</v>
      </c>
      <c r="T469">
        <v>3</v>
      </c>
      <c r="U469">
        <v>12.5</v>
      </c>
      <c r="V469">
        <v>732.02614379084969</v>
      </c>
      <c r="W469">
        <v>1</v>
      </c>
    </row>
    <row r="470" spans="1:23" x14ac:dyDescent="0.2">
      <c r="A470">
        <v>2020</v>
      </c>
      <c r="B470" t="s">
        <v>23</v>
      </c>
      <c r="C470" t="s">
        <v>24</v>
      </c>
      <c r="D470">
        <v>235</v>
      </c>
      <c r="E470">
        <v>1</v>
      </c>
      <c r="F470">
        <v>9</v>
      </c>
      <c r="G470" t="s">
        <v>260</v>
      </c>
      <c r="H470">
        <v>15</v>
      </c>
      <c r="I470">
        <v>58</v>
      </c>
      <c r="J470">
        <v>61</v>
      </c>
      <c r="K470">
        <v>3</v>
      </c>
      <c r="L470">
        <v>182</v>
      </c>
      <c r="M470">
        <v>59</v>
      </c>
      <c r="N470">
        <v>2</v>
      </c>
      <c r="O470">
        <v>2</v>
      </c>
      <c r="P470">
        <v>12</v>
      </c>
      <c r="Q470">
        <v>1.5</v>
      </c>
      <c r="R470">
        <v>10</v>
      </c>
      <c r="S470">
        <v>0.83333333333333337</v>
      </c>
      <c r="T470">
        <v>3</v>
      </c>
      <c r="U470">
        <v>9.8000000000000007</v>
      </c>
      <c r="V470">
        <v>5659.6078431372553</v>
      </c>
      <c r="W470">
        <v>1</v>
      </c>
    </row>
    <row r="471" spans="1:23" x14ac:dyDescent="0.2">
      <c r="A471">
        <v>2020</v>
      </c>
      <c r="B471" t="s">
        <v>23</v>
      </c>
      <c r="C471" t="s">
        <v>24</v>
      </c>
      <c r="D471">
        <v>235</v>
      </c>
      <c r="E471">
        <v>2</v>
      </c>
      <c r="F471">
        <v>10</v>
      </c>
      <c r="G471" t="s">
        <v>260</v>
      </c>
      <c r="H471" s="1">
        <v>4</v>
      </c>
      <c r="I471" s="1">
        <v>62</v>
      </c>
      <c r="J471" s="1">
        <v>66</v>
      </c>
      <c r="K471" s="1">
        <f>J471-I471</f>
        <v>4</v>
      </c>
      <c r="L471" s="1">
        <v>84</v>
      </c>
      <c r="M471" s="1">
        <v>20</v>
      </c>
      <c r="N471" s="1">
        <v>3</v>
      </c>
      <c r="O471" s="1">
        <v>5</v>
      </c>
      <c r="P471" s="1">
        <v>3</v>
      </c>
      <c r="Q471" s="2">
        <v>2.9000000000000001E-2</v>
      </c>
      <c r="R471" s="1">
        <v>3</v>
      </c>
      <c r="S471" s="1">
        <f>R471/P471</f>
        <v>1</v>
      </c>
      <c r="T471" s="1">
        <v>5</v>
      </c>
      <c r="U471" s="1">
        <v>12.5</v>
      </c>
      <c r="V471" s="1">
        <v>106.14379084967319</v>
      </c>
      <c r="W471" s="1">
        <v>5</v>
      </c>
    </row>
    <row r="472" spans="1:23" x14ac:dyDescent="0.2">
      <c r="A472">
        <v>2020</v>
      </c>
      <c r="B472" t="s">
        <v>23</v>
      </c>
      <c r="C472" t="s">
        <v>24</v>
      </c>
      <c r="D472">
        <v>236</v>
      </c>
      <c r="E472">
        <v>1</v>
      </c>
      <c r="F472">
        <v>9</v>
      </c>
      <c r="G472" t="s">
        <v>261</v>
      </c>
      <c r="H472" s="1">
        <v>8</v>
      </c>
      <c r="I472" s="1">
        <v>68</v>
      </c>
      <c r="J472" s="1">
        <v>70</v>
      </c>
      <c r="K472" s="1">
        <f>J472-I472</f>
        <v>2</v>
      </c>
      <c r="L472" s="1">
        <v>117</v>
      </c>
      <c r="M472" s="1">
        <v>50</v>
      </c>
      <c r="N472" s="1">
        <v>2.5</v>
      </c>
      <c r="O472" s="1">
        <v>4</v>
      </c>
      <c r="P472" s="1">
        <v>5</v>
      </c>
      <c r="Q472" s="2">
        <v>9.9500000000000005E-2</v>
      </c>
      <c r="R472" s="1">
        <v>3</v>
      </c>
      <c r="S472" s="1">
        <f>R472/P472</f>
        <v>0.6</v>
      </c>
      <c r="T472" s="1">
        <v>3</v>
      </c>
      <c r="U472" s="1">
        <v>12.5</v>
      </c>
      <c r="V472" s="1">
        <v>364.1830065359477</v>
      </c>
      <c r="W472" s="1">
        <v>5</v>
      </c>
    </row>
    <row r="473" spans="1:23" x14ac:dyDescent="0.2">
      <c r="A473">
        <v>2020</v>
      </c>
      <c r="B473" t="s">
        <v>23</v>
      </c>
      <c r="C473" t="s">
        <v>24</v>
      </c>
      <c r="D473">
        <v>236</v>
      </c>
      <c r="E473">
        <v>2</v>
      </c>
      <c r="F473">
        <v>11</v>
      </c>
      <c r="G473" t="s">
        <v>261</v>
      </c>
      <c r="H473" s="1">
        <v>10</v>
      </c>
      <c r="I473" s="1">
        <v>68</v>
      </c>
      <c r="J473" s="1">
        <v>71</v>
      </c>
      <c r="K473" s="1">
        <f>J473-I473</f>
        <v>3</v>
      </c>
      <c r="L473" s="1">
        <v>181</v>
      </c>
      <c r="M473" s="1">
        <v>87</v>
      </c>
      <c r="N473" s="1">
        <v>2</v>
      </c>
      <c r="O473" s="1">
        <v>2.5</v>
      </c>
      <c r="P473" s="1">
        <v>9</v>
      </c>
      <c r="Q473" s="2">
        <v>0.78</v>
      </c>
      <c r="R473" s="1">
        <v>9</v>
      </c>
      <c r="S473" s="1">
        <f>R473/P473</f>
        <v>1</v>
      </c>
      <c r="T473" s="1">
        <v>3</v>
      </c>
      <c r="U473" s="1">
        <v>12.5</v>
      </c>
      <c r="V473" s="1">
        <v>2854.9019607843138</v>
      </c>
      <c r="W473" s="1">
        <v>5</v>
      </c>
    </row>
    <row r="474" spans="1:23" x14ac:dyDescent="0.2">
      <c r="A474">
        <v>2020</v>
      </c>
      <c r="B474" t="s">
        <v>23</v>
      </c>
      <c r="C474" t="s">
        <v>24</v>
      </c>
      <c r="D474">
        <v>237</v>
      </c>
      <c r="E474">
        <v>1</v>
      </c>
      <c r="F474">
        <v>15</v>
      </c>
      <c r="G474" t="s">
        <v>262</v>
      </c>
      <c r="H474">
        <v>9</v>
      </c>
      <c r="I474">
        <v>55</v>
      </c>
      <c r="J474">
        <v>58</v>
      </c>
      <c r="K474">
        <v>3</v>
      </c>
      <c r="L474">
        <v>130</v>
      </c>
      <c r="M474">
        <v>51</v>
      </c>
      <c r="N474">
        <v>2</v>
      </c>
      <c r="O474">
        <v>3</v>
      </c>
      <c r="P474">
        <v>9</v>
      </c>
      <c r="Q474">
        <v>0.8</v>
      </c>
      <c r="R474">
        <v>10</v>
      </c>
      <c r="S474">
        <v>1.1111111111111112</v>
      </c>
      <c r="T474">
        <v>3</v>
      </c>
      <c r="U474">
        <v>12.5</v>
      </c>
      <c r="V474">
        <v>2928.1045751633987</v>
      </c>
      <c r="W474">
        <v>1</v>
      </c>
    </row>
    <row r="475" spans="1:23" x14ac:dyDescent="0.2">
      <c r="A475">
        <v>2020</v>
      </c>
      <c r="B475" t="s">
        <v>23</v>
      </c>
      <c r="C475" t="s">
        <v>24</v>
      </c>
      <c r="D475">
        <v>237</v>
      </c>
      <c r="E475">
        <v>2</v>
      </c>
      <c r="F475">
        <v>13</v>
      </c>
      <c r="G475" t="s">
        <v>262</v>
      </c>
      <c r="H475">
        <v>2</v>
      </c>
      <c r="I475">
        <v>53</v>
      </c>
      <c r="J475">
        <v>55</v>
      </c>
      <c r="K475">
        <v>2</v>
      </c>
      <c r="L475">
        <v>125</v>
      </c>
      <c r="M475">
        <v>65</v>
      </c>
      <c r="N475">
        <v>4</v>
      </c>
      <c r="O475">
        <v>5</v>
      </c>
      <c r="P475">
        <v>2</v>
      </c>
      <c r="Q475">
        <v>0.14199999999999999</v>
      </c>
      <c r="R475">
        <v>1</v>
      </c>
      <c r="S475">
        <v>0.5</v>
      </c>
      <c r="T475">
        <v>3</v>
      </c>
      <c r="U475">
        <v>12.5</v>
      </c>
      <c r="V475">
        <v>519.73856209150335</v>
      </c>
      <c r="W475">
        <v>2</v>
      </c>
    </row>
    <row r="476" spans="1:23" x14ac:dyDescent="0.2">
      <c r="A476">
        <v>2021</v>
      </c>
      <c r="B476" t="s">
        <v>23</v>
      </c>
      <c r="C476" t="s">
        <v>24</v>
      </c>
      <c r="D476">
        <v>1</v>
      </c>
      <c r="E476">
        <v>1</v>
      </c>
      <c r="F476">
        <v>9</v>
      </c>
      <c r="G476" t="s">
        <v>25</v>
      </c>
      <c r="H476">
        <v>10</v>
      </c>
      <c r="I476">
        <v>55</v>
      </c>
      <c r="J476">
        <v>56</v>
      </c>
      <c r="K476">
        <v>1</v>
      </c>
      <c r="L476">
        <v>172</v>
      </c>
      <c r="M476">
        <v>72</v>
      </c>
      <c r="N476">
        <v>2</v>
      </c>
      <c r="O476">
        <v>1.5</v>
      </c>
      <c r="P476">
        <v>12</v>
      </c>
      <c r="Q476">
        <v>0.5</v>
      </c>
      <c r="R476">
        <v>10</v>
      </c>
      <c r="S476">
        <v>0.83333333333333337</v>
      </c>
      <c r="T476">
        <v>3</v>
      </c>
      <c r="U476">
        <v>8.6</v>
      </c>
      <c r="V476">
        <v>1911.6339869281046</v>
      </c>
      <c r="W476">
        <v>2</v>
      </c>
    </row>
    <row r="477" spans="1:23" x14ac:dyDescent="0.2">
      <c r="A477">
        <v>2021</v>
      </c>
      <c r="B477" t="s">
        <v>23</v>
      </c>
      <c r="C477" t="s">
        <v>24</v>
      </c>
      <c r="D477">
        <v>1</v>
      </c>
      <c r="E477">
        <v>2</v>
      </c>
      <c r="F477">
        <v>4</v>
      </c>
      <c r="G477" t="s">
        <v>25</v>
      </c>
      <c r="H477">
        <v>12</v>
      </c>
      <c r="I477">
        <v>57</v>
      </c>
      <c r="J477">
        <v>59</v>
      </c>
      <c r="K477">
        <v>2</v>
      </c>
      <c r="L477">
        <v>177</v>
      </c>
      <c r="M477">
        <v>81</v>
      </c>
      <c r="N477">
        <v>2</v>
      </c>
      <c r="O477">
        <v>2.5</v>
      </c>
      <c r="P477">
        <v>11</v>
      </c>
      <c r="Q477">
        <v>1.4</v>
      </c>
      <c r="R477">
        <v>12</v>
      </c>
      <c r="S477">
        <v>1.0909090909090908</v>
      </c>
      <c r="T477">
        <v>3</v>
      </c>
      <c r="U477">
        <v>9.8000000000000007</v>
      </c>
      <c r="V477">
        <v>5282.3006535947716</v>
      </c>
      <c r="W477">
        <v>1</v>
      </c>
    </row>
    <row r="478" spans="1:23" x14ac:dyDescent="0.2">
      <c r="A478">
        <v>2021</v>
      </c>
      <c r="B478" t="s">
        <v>23</v>
      </c>
      <c r="C478" t="s">
        <v>24</v>
      </c>
      <c r="D478">
        <v>2</v>
      </c>
      <c r="E478">
        <v>1</v>
      </c>
      <c r="F478">
        <v>5</v>
      </c>
      <c r="G478" t="s">
        <v>26</v>
      </c>
      <c r="H478">
        <v>8</v>
      </c>
      <c r="I478">
        <v>60</v>
      </c>
      <c r="J478">
        <v>63</v>
      </c>
      <c r="K478">
        <v>3</v>
      </c>
      <c r="L478">
        <v>118</v>
      </c>
      <c r="M478">
        <v>22</v>
      </c>
      <c r="N478">
        <v>2</v>
      </c>
      <c r="O478">
        <v>3</v>
      </c>
      <c r="P478">
        <v>8</v>
      </c>
      <c r="Q478">
        <v>0.9</v>
      </c>
      <c r="R478">
        <v>8</v>
      </c>
      <c r="S478">
        <v>1</v>
      </c>
      <c r="T478">
        <v>3</v>
      </c>
      <c r="U478">
        <v>12.5</v>
      </c>
      <c r="V478">
        <v>3294.1176470588234</v>
      </c>
      <c r="W478">
        <v>1</v>
      </c>
    </row>
    <row r="479" spans="1:23" x14ac:dyDescent="0.2">
      <c r="A479">
        <v>2021</v>
      </c>
      <c r="B479" t="s">
        <v>23</v>
      </c>
      <c r="C479" t="s">
        <v>24</v>
      </c>
      <c r="D479">
        <v>2</v>
      </c>
      <c r="E479">
        <v>2</v>
      </c>
      <c r="F479">
        <v>5</v>
      </c>
      <c r="G479" t="s">
        <v>26</v>
      </c>
      <c r="H479" s="1">
        <v>5</v>
      </c>
      <c r="I479" s="1">
        <v>69</v>
      </c>
      <c r="J479" s="1">
        <v>73</v>
      </c>
      <c r="K479" s="1">
        <f>J479-I479</f>
        <v>4</v>
      </c>
      <c r="L479" s="1">
        <v>138</v>
      </c>
      <c r="M479" s="1">
        <v>36</v>
      </c>
      <c r="N479" s="1">
        <v>3</v>
      </c>
      <c r="O479" s="1">
        <v>4</v>
      </c>
      <c r="P479" s="1">
        <v>5</v>
      </c>
      <c r="Q479" s="2">
        <v>0.20279999999999998</v>
      </c>
      <c r="R479" s="1">
        <v>5</v>
      </c>
      <c r="S479" s="1">
        <f>R479/P479</f>
        <v>1</v>
      </c>
      <c r="T479" s="1">
        <v>4</v>
      </c>
      <c r="U479" s="1">
        <v>12.5</v>
      </c>
      <c r="V479" s="1">
        <v>742.27450980392143</v>
      </c>
      <c r="W479" s="1">
        <v>4</v>
      </c>
    </row>
    <row r="480" spans="1:23" x14ac:dyDescent="0.2">
      <c r="A480">
        <v>2021</v>
      </c>
      <c r="B480" t="s">
        <v>23</v>
      </c>
      <c r="C480" t="s">
        <v>24</v>
      </c>
      <c r="D480">
        <v>3</v>
      </c>
      <c r="E480">
        <v>1</v>
      </c>
      <c r="F480">
        <v>6</v>
      </c>
      <c r="G480" t="s">
        <v>27</v>
      </c>
      <c r="H480" s="1">
        <v>11</v>
      </c>
      <c r="I480" s="1">
        <v>64</v>
      </c>
      <c r="J480" s="1">
        <v>69</v>
      </c>
      <c r="K480" s="1">
        <f>J480-I480</f>
        <v>5</v>
      </c>
      <c r="L480" s="1">
        <v>137</v>
      </c>
      <c r="M480" s="1">
        <v>60</v>
      </c>
      <c r="N480" s="1">
        <v>2</v>
      </c>
      <c r="O480" s="1">
        <v>4</v>
      </c>
      <c r="P480" s="1">
        <v>7</v>
      </c>
      <c r="Q480" s="2">
        <v>0.50480000000000003</v>
      </c>
      <c r="R480" s="1">
        <v>2</v>
      </c>
      <c r="S480" s="1">
        <f>R480/P480</f>
        <v>0.2857142857142857</v>
      </c>
      <c r="T480" s="1">
        <v>5</v>
      </c>
      <c r="U480" s="1">
        <v>12.5</v>
      </c>
      <c r="V480" s="1">
        <v>1847.6339869281046</v>
      </c>
      <c r="W480" s="1">
        <v>6</v>
      </c>
    </row>
    <row r="481" spans="1:23" x14ac:dyDescent="0.2">
      <c r="A481">
        <v>2021</v>
      </c>
      <c r="B481" t="s">
        <v>23</v>
      </c>
      <c r="C481" t="s">
        <v>24</v>
      </c>
      <c r="D481">
        <v>3</v>
      </c>
      <c r="E481">
        <v>2</v>
      </c>
      <c r="F481">
        <v>15</v>
      </c>
      <c r="G481" t="s">
        <v>27</v>
      </c>
      <c r="H481" s="1">
        <v>3</v>
      </c>
      <c r="I481" s="1">
        <v>67</v>
      </c>
      <c r="J481" s="1">
        <v>69</v>
      </c>
      <c r="K481" s="1">
        <f>J481-I481</f>
        <v>2</v>
      </c>
      <c r="L481" s="1">
        <v>67</v>
      </c>
      <c r="M481" s="1">
        <v>38</v>
      </c>
      <c r="N481" s="1">
        <v>2</v>
      </c>
      <c r="O481" s="1">
        <v>3.5</v>
      </c>
      <c r="P481" s="1">
        <v>2</v>
      </c>
      <c r="Q481" s="2">
        <v>9.0400000000000008E-2</v>
      </c>
      <c r="R481" s="1">
        <v>3</v>
      </c>
      <c r="S481" s="1">
        <f>R481/P481</f>
        <v>1.5</v>
      </c>
      <c r="T481" s="1">
        <v>5</v>
      </c>
      <c r="U481" s="1">
        <v>12.5</v>
      </c>
      <c r="V481" s="1">
        <v>330.87581699346413</v>
      </c>
      <c r="W481" s="1">
        <v>5</v>
      </c>
    </row>
    <row r="482" spans="1:23" x14ac:dyDescent="0.2">
      <c r="A482">
        <v>2021</v>
      </c>
      <c r="B482" t="s">
        <v>23</v>
      </c>
      <c r="C482" t="s">
        <v>24</v>
      </c>
      <c r="D482">
        <v>4</v>
      </c>
      <c r="E482">
        <v>1</v>
      </c>
      <c r="F482">
        <v>11</v>
      </c>
      <c r="G482" t="s">
        <v>28</v>
      </c>
      <c r="H482">
        <v>7</v>
      </c>
      <c r="I482">
        <v>62</v>
      </c>
      <c r="J482">
        <v>65</v>
      </c>
      <c r="K482">
        <v>3</v>
      </c>
      <c r="L482">
        <v>170</v>
      </c>
      <c r="M482">
        <v>75</v>
      </c>
      <c r="N482">
        <v>1.5</v>
      </c>
      <c r="O482">
        <v>3.5</v>
      </c>
      <c r="P482">
        <v>7</v>
      </c>
      <c r="Q482">
        <v>0.3</v>
      </c>
      <c r="R482">
        <v>5</v>
      </c>
      <c r="S482">
        <v>0.7142857142857143</v>
      </c>
      <c r="T482">
        <v>2.5</v>
      </c>
      <c r="U482">
        <v>12.5</v>
      </c>
      <c r="V482">
        <v>1098.0392156862745</v>
      </c>
      <c r="W482">
        <v>1</v>
      </c>
    </row>
    <row r="483" spans="1:23" x14ac:dyDescent="0.2">
      <c r="A483">
        <v>2021</v>
      </c>
      <c r="B483" t="s">
        <v>23</v>
      </c>
      <c r="C483" t="s">
        <v>24</v>
      </c>
      <c r="D483">
        <v>4</v>
      </c>
      <c r="E483">
        <v>2</v>
      </c>
      <c r="F483">
        <v>10</v>
      </c>
      <c r="G483" t="s">
        <v>28</v>
      </c>
      <c r="H483">
        <v>8</v>
      </c>
      <c r="I483">
        <v>55</v>
      </c>
      <c r="J483">
        <v>59</v>
      </c>
      <c r="K483">
        <v>4</v>
      </c>
      <c r="L483">
        <v>169</v>
      </c>
      <c r="M483">
        <v>46</v>
      </c>
      <c r="N483">
        <v>4</v>
      </c>
      <c r="O483">
        <v>3</v>
      </c>
      <c r="P483">
        <v>6</v>
      </c>
      <c r="Q483">
        <v>0.25900000000000001</v>
      </c>
      <c r="R483">
        <v>6</v>
      </c>
      <c r="S483">
        <v>1</v>
      </c>
      <c r="T483">
        <v>3</v>
      </c>
      <c r="U483">
        <v>12.5</v>
      </c>
      <c r="V483">
        <v>947.97385620915031</v>
      </c>
      <c r="W483">
        <v>1</v>
      </c>
    </row>
    <row r="484" spans="1:23" x14ac:dyDescent="0.2">
      <c r="A484">
        <v>2021</v>
      </c>
      <c r="B484" t="s">
        <v>23</v>
      </c>
      <c r="C484" t="s">
        <v>24</v>
      </c>
      <c r="D484">
        <v>5</v>
      </c>
      <c r="E484">
        <v>1</v>
      </c>
      <c r="F484">
        <v>9</v>
      </c>
      <c r="G484" t="s">
        <v>29</v>
      </c>
      <c r="H484">
        <v>11</v>
      </c>
      <c r="I484">
        <v>60</v>
      </c>
      <c r="J484">
        <v>65</v>
      </c>
      <c r="K484">
        <v>5</v>
      </c>
      <c r="L484">
        <v>130</v>
      </c>
      <c r="M484">
        <v>49</v>
      </c>
      <c r="N484">
        <v>4</v>
      </c>
      <c r="O484">
        <v>3</v>
      </c>
      <c r="P484">
        <v>4</v>
      </c>
      <c r="Q484">
        <v>0.25600000000000001</v>
      </c>
      <c r="R484">
        <v>4</v>
      </c>
      <c r="S484">
        <v>1</v>
      </c>
      <c r="T484">
        <v>4</v>
      </c>
      <c r="U484">
        <v>12.5</v>
      </c>
      <c r="V484">
        <v>936.99346405228766</v>
      </c>
      <c r="W484">
        <v>2</v>
      </c>
    </row>
    <row r="485" spans="1:23" x14ac:dyDescent="0.2">
      <c r="A485">
        <v>2021</v>
      </c>
      <c r="B485" t="s">
        <v>23</v>
      </c>
      <c r="C485" t="s">
        <v>24</v>
      </c>
      <c r="D485">
        <v>5</v>
      </c>
      <c r="E485">
        <v>2</v>
      </c>
      <c r="F485">
        <v>3</v>
      </c>
      <c r="G485" t="s">
        <v>29</v>
      </c>
      <c r="H485" s="1">
        <v>13</v>
      </c>
      <c r="I485" s="1">
        <v>64</v>
      </c>
      <c r="J485" s="1">
        <v>67</v>
      </c>
      <c r="K485" s="1">
        <f>J485-I485</f>
        <v>3</v>
      </c>
      <c r="L485" s="1">
        <v>165</v>
      </c>
      <c r="M485" s="1">
        <v>98</v>
      </c>
      <c r="N485" s="1">
        <v>2</v>
      </c>
      <c r="O485" s="1">
        <v>3</v>
      </c>
      <c r="P485" s="1">
        <f>H485</f>
        <v>13</v>
      </c>
      <c r="Q485" s="2">
        <v>1.1227499999999999</v>
      </c>
      <c r="R485" s="1">
        <v>10</v>
      </c>
      <c r="S485" s="1">
        <f>R485/P485</f>
        <v>0.76923076923076927</v>
      </c>
      <c r="T485" s="1">
        <v>3</v>
      </c>
      <c r="U485" s="1">
        <v>12.5</v>
      </c>
      <c r="V485" s="1">
        <v>4109.4117647058829</v>
      </c>
      <c r="W485" s="1">
        <v>4</v>
      </c>
    </row>
    <row r="486" spans="1:23" x14ac:dyDescent="0.2">
      <c r="A486">
        <v>2021</v>
      </c>
      <c r="B486" t="s">
        <v>23</v>
      </c>
      <c r="C486" t="s">
        <v>24</v>
      </c>
      <c r="D486">
        <v>6</v>
      </c>
      <c r="E486">
        <v>1</v>
      </c>
      <c r="F486">
        <v>14</v>
      </c>
      <c r="G486" t="s">
        <v>30</v>
      </c>
      <c r="H486">
        <v>4</v>
      </c>
      <c r="I486">
        <v>58</v>
      </c>
      <c r="J486">
        <v>60</v>
      </c>
      <c r="K486">
        <v>2</v>
      </c>
      <c r="L486">
        <v>112</v>
      </c>
      <c r="M486">
        <v>22</v>
      </c>
      <c r="N486">
        <v>1.5</v>
      </c>
      <c r="O486">
        <v>4</v>
      </c>
      <c r="P486">
        <v>4</v>
      </c>
      <c r="Q486">
        <v>0.2</v>
      </c>
      <c r="R486">
        <v>3</v>
      </c>
      <c r="S486">
        <v>0.75</v>
      </c>
      <c r="T486">
        <v>2.5</v>
      </c>
      <c r="U486">
        <v>12.5</v>
      </c>
      <c r="V486">
        <v>732.02614379084969</v>
      </c>
      <c r="W486">
        <v>1</v>
      </c>
    </row>
    <row r="487" spans="1:23" x14ac:dyDescent="0.2">
      <c r="A487">
        <v>2021</v>
      </c>
      <c r="B487" t="s">
        <v>23</v>
      </c>
      <c r="C487" t="s">
        <v>24</v>
      </c>
      <c r="D487">
        <v>6</v>
      </c>
      <c r="E487">
        <v>2</v>
      </c>
      <c r="F487">
        <v>4</v>
      </c>
      <c r="G487" t="s">
        <v>30</v>
      </c>
      <c r="H487" s="1">
        <v>8</v>
      </c>
      <c r="I487" s="1">
        <v>67</v>
      </c>
      <c r="J487" s="1">
        <v>70</v>
      </c>
      <c r="K487" s="1">
        <f t="shared" ref="K487:K497" si="18">J487-I487</f>
        <v>3</v>
      </c>
      <c r="L487" s="1">
        <v>117</v>
      </c>
      <c r="M487" s="1">
        <v>51</v>
      </c>
      <c r="N487" s="1">
        <v>2</v>
      </c>
      <c r="O487" s="1">
        <v>3.5</v>
      </c>
      <c r="P487" s="1">
        <v>5</v>
      </c>
      <c r="Q487" s="2">
        <v>0.21099999999999999</v>
      </c>
      <c r="R487" s="1">
        <v>5</v>
      </c>
      <c r="S487" s="1">
        <f t="shared" ref="S487:S497" si="19">R487/P487</f>
        <v>1</v>
      </c>
      <c r="T487" s="1">
        <v>3.5</v>
      </c>
      <c r="U487" s="1">
        <v>12.5</v>
      </c>
      <c r="V487" s="1">
        <v>772.28758169934645</v>
      </c>
      <c r="W487" s="1">
        <v>2</v>
      </c>
    </row>
    <row r="488" spans="1:23" x14ac:dyDescent="0.2">
      <c r="A488">
        <v>2021</v>
      </c>
      <c r="B488" t="s">
        <v>23</v>
      </c>
      <c r="C488" t="s">
        <v>24</v>
      </c>
      <c r="D488">
        <v>7</v>
      </c>
      <c r="E488">
        <v>1</v>
      </c>
      <c r="F488">
        <v>6</v>
      </c>
      <c r="G488" t="s">
        <v>31</v>
      </c>
      <c r="H488" s="1">
        <v>1</v>
      </c>
      <c r="I488" s="1">
        <v>65</v>
      </c>
      <c r="J488" s="1">
        <v>67</v>
      </c>
      <c r="K488" s="1">
        <f t="shared" si="18"/>
        <v>2</v>
      </c>
      <c r="L488" s="1">
        <v>65</v>
      </c>
      <c r="M488" s="1">
        <v>35</v>
      </c>
      <c r="N488" s="1">
        <v>2</v>
      </c>
      <c r="O488" s="1">
        <v>5</v>
      </c>
      <c r="P488" s="1">
        <v>1</v>
      </c>
      <c r="Q488" s="2">
        <v>8.1000000000000003E-2</v>
      </c>
      <c r="R488" s="1">
        <v>1</v>
      </c>
      <c r="S488" s="1">
        <f t="shared" si="19"/>
        <v>1</v>
      </c>
      <c r="T488" s="1">
        <v>5</v>
      </c>
      <c r="U488" s="1">
        <v>12.5</v>
      </c>
      <c r="V488" s="1">
        <v>296.47058823529409</v>
      </c>
      <c r="W488" s="1">
        <v>6</v>
      </c>
    </row>
    <row r="489" spans="1:23" x14ac:dyDescent="0.2">
      <c r="A489">
        <v>2021</v>
      </c>
      <c r="B489" t="s">
        <v>23</v>
      </c>
      <c r="C489" t="s">
        <v>24</v>
      </c>
      <c r="D489">
        <v>7</v>
      </c>
      <c r="E489">
        <v>2</v>
      </c>
      <c r="F489">
        <v>8</v>
      </c>
      <c r="G489" t="s">
        <v>31</v>
      </c>
      <c r="H489" s="1">
        <v>6</v>
      </c>
      <c r="I489" s="1">
        <v>60</v>
      </c>
      <c r="J489" s="1">
        <v>63</v>
      </c>
      <c r="K489" s="1">
        <f t="shared" si="18"/>
        <v>3</v>
      </c>
      <c r="L489" s="1">
        <v>172</v>
      </c>
      <c r="M489" s="1">
        <v>50</v>
      </c>
      <c r="N489" s="1">
        <v>3</v>
      </c>
      <c r="O489" s="1">
        <v>5</v>
      </c>
      <c r="P489" s="1">
        <v>4</v>
      </c>
      <c r="Q489" s="2">
        <v>0.11899999999999999</v>
      </c>
      <c r="R489" s="1">
        <v>2</v>
      </c>
      <c r="S489" s="1">
        <f t="shared" si="19"/>
        <v>0.5</v>
      </c>
      <c r="T489" s="1">
        <v>5</v>
      </c>
      <c r="U489" s="1">
        <v>12.5</v>
      </c>
      <c r="V489" s="1">
        <v>435.55555555555554</v>
      </c>
      <c r="W489" s="1">
        <v>6</v>
      </c>
    </row>
    <row r="490" spans="1:23" x14ac:dyDescent="0.2">
      <c r="A490">
        <v>2021</v>
      </c>
      <c r="B490" t="s">
        <v>23</v>
      </c>
      <c r="C490" t="s">
        <v>24</v>
      </c>
      <c r="D490">
        <v>8</v>
      </c>
      <c r="E490">
        <v>1</v>
      </c>
      <c r="F490">
        <v>14</v>
      </c>
      <c r="G490" t="s">
        <v>32</v>
      </c>
      <c r="H490" s="1">
        <v>5</v>
      </c>
      <c r="I490" s="1">
        <v>65</v>
      </c>
      <c r="J490" s="1">
        <v>69</v>
      </c>
      <c r="K490" s="1">
        <f t="shared" si="18"/>
        <v>4</v>
      </c>
      <c r="L490" s="1">
        <v>134</v>
      </c>
      <c r="M490" s="1">
        <v>47</v>
      </c>
      <c r="N490" s="1">
        <v>2</v>
      </c>
      <c r="O490" s="1">
        <v>4</v>
      </c>
      <c r="P490" s="1">
        <v>4</v>
      </c>
      <c r="Q490" s="2">
        <v>0.1472</v>
      </c>
      <c r="R490" s="1">
        <v>3</v>
      </c>
      <c r="S490" s="1">
        <f t="shared" si="19"/>
        <v>0.75</v>
      </c>
      <c r="T490" s="1">
        <v>4</v>
      </c>
      <c r="U490" s="1">
        <v>12.5</v>
      </c>
      <c r="V490" s="1">
        <v>538.77124183006538</v>
      </c>
      <c r="W490" s="1">
        <v>4</v>
      </c>
    </row>
    <row r="491" spans="1:23" x14ac:dyDescent="0.2">
      <c r="A491">
        <v>2021</v>
      </c>
      <c r="B491" t="s">
        <v>23</v>
      </c>
      <c r="C491" t="s">
        <v>24</v>
      </c>
      <c r="D491">
        <v>8</v>
      </c>
      <c r="E491">
        <v>2</v>
      </c>
      <c r="F491">
        <v>10</v>
      </c>
      <c r="G491" t="s">
        <v>32</v>
      </c>
      <c r="H491" s="1">
        <v>4</v>
      </c>
      <c r="I491" s="1">
        <v>65</v>
      </c>
      <c r="J491" s="1">
        <v>70</v>
      </c>
      <c r="K491" s="1">
        <f t="shared" si="18"/>
        <v>5</v>
      </c>
      <c r="L491" s="1">
        <v>125</v>
      </c>
      <c r="M491" s="1">
        <v>87</v>
      </c>
      <c r="N491" s="1">
        <v>2</v>
      </c>
      <c r="O491" s="1">
        <v>2.5</v>
      </c>
      <c r="P491" s="1">
        <v>3</v>
      </c>
      <c r="Q491" s="2">
        <v>0.20599999999999999</v>
      </c>
      <c r="R491" s="1">
        <v>4</v>
      </c>
      <c r="S491" s="1">
        <f t="shared" si="19"/>
        <v>1.3333333333333333</v>
      </c>
      <c r="T491" s="1">
        <v>4</v>
      </c>
      <c r="U491" s="1">
        <v>10.3</v>
      </c>
      <c r="V491" s="1">
        <v>772.94431372549025</v>
      </c>
      <c r="W491" s="1">
        <v>4</v>
      </c>
    </row>
    <row r="492" spans="1:23" x14ac:dyDescent="0.2">
      <c r="A492">
        <v>2021</v>
      </c>
      <c r="B492" t="s">
        <v>23</v>
      </c>
      <c r="C492" t="s">
        <v>24</v>
      </c>
      <c r="D492">
        <v>9</v>
      </c>
      <c r="E492">
        <v>1</v>
      </c>
      <c r="F492">
        <v>12</v>
      </c>
      <c r="G492" t="s">
        <v>33</v>
      </c>
      <c r="H492" s="1">
        <v>5</v>
      </c>
      <c r="I492" s="1">
        <v>65</v>
      </c>
      <c r="J492" s="1">
        <v>70</v>
      </c>
      <c r="K492" s="1">
        <f t="shared" si="18"/>
        <v>5</v>
      </c>
      <c r="L492" s="1">
        <v>102</v>
      </c>
      <c r="M492" s="1">
        <v>40</v>
      </c>
      <c r="N492" s="1">
        <v>2</v>
      </c>
      <c r="O492" s="1">
        <v>4.5</v>
      </c>
      <c r="P492" s="1">
        <v>4</v>
      </c>
      <c r="Q492" s="2">
        <v>0.13600000000000001</v>
      </c>
      <c r="R492" s="1">
        <v>2</v>
      </c>
      <c r="S492" s="1">
        <f t="shared" si="19"/>
        <v>0.5</v>
      </c>
      <c r="T492" s="1">
        <v>4</v>
      </c>
      <c r="U492" s="1">
        <v>12.5</v>
      </c>
      <c r="V492" s="1">
        <v>497.77777777777777</v>
      </c>
      <c r="W492" s="1">
        <v>5</v>
      </c>
    </row>
    <row r="493" spans="1:23" x14ac:dyDescent="0.2">
      <c r="A493">
        <v>2021</v>
      </c>
      <c r="B493" t="s">
        <v>23</v>
      </c>
      <c r="C493" t="s">
        <v>24</v>
      </c>
      <c r="D493">
        <v>9</v>
      </c>
      <c r="E493">
        <v>2</v>
      </c>
      <c r="F493">
        <v>5</v>
      </c>
      <c r="G493" t="s">
        <v>33</v>
      </c>
      <c r="H493" s="1">
        <v>5</v>
      </c>
      <c r="I493" s="1">
        <v>60</v>
      </c>
      <c r="J493" s="1">
        <v>63</v>
      </c>
      <c r="K493" s="1">
        <f t="shared" si="18"/>
        <v>3</v>
      </c>
      <c r="L493" s="1">
        <v>140</v>
      </c>
      <c r="M493" s="1">
        <v>68</v>
      </c>
      <c r="N493" s="1">
        <v>3</v>
      </c>
      <c r="O493" s="1">
        <v>4</v>
      </c>
      <c r="P493" s="1">
        <v>4</v>
      </c>
      <c r="Q493" s="2">
        <v>0.40529999999999994</v>
      </c>
      <c r="R493" s="1">
        <v>5</v>
      </c>
      <c r="S493" s="1">
        <f t="shared" si="19"/>
        <v>1.25</v>
      </c>
      <c r="T493" s="1">
        <v>5</v>
      </c>
      <c r="U493" s="1">
        <v>7.8</v>
      </c>
      <c r="V493" s="1">
        <v>1563.1334901960784</v>
      </c>
      <c r="W493" s="1">
        <v>5</v>
      </c>
    </row>
    <row r="494" spans="1:23" x14ac:dyDescent="0.2">
      <c r="A494">
        <v>2021</v>
      </c>
      <c r="B494" t="s">
        <v>23</v>
      </c>
      <c r="C494" t="s">
        <v>24</v>
      </c>
      <c r="D494">
        <v>10</v>
      </c>
      <c r="E494">
        <v>1</v>
      </c>
      <c r="F494">
        <v>7</v>
      </c>
      <c r="G494" t="s">
        <v>34</v>
      </c>
      <c r="H494" s="1">
        <v>11</v>
      </c>
      <c r="I494" s="1">
        <v>56</v>
      </c>
      <c r="J494" s="1">
        <v>60</v>
      </c>
      <c r="K494" s="1">
        <f t="shared" si="18"/>
        <v>4</v>
      </c>
      <c r="L494" s="1">
        <v>138</v>
      </c>
      <c r="M494" s="1">
        <v>85</v>
      </c>
      <c r="N494" s="1">
        <v>2</v>
      </c>
      <c r="O494" s="1">
        <v>3</v>
      </c>
      <c r="P494" s="1">
        <v>11</v>
      </c>
      <c r="Q494" s="2">
        <v>0.73439999999999994</v>
      </c>
      <c r="R494" s="1">
        <v>9</v>
      </c>
      <c r="S494" s="1">
        <f t="shared" si="19"/>
        <v>0.81818181818181823</v>
      </c>
      <c r="T494" s="1">
        <v>5</v>
      </c>
      <c r="U494" s="1">
        <v>7.5</v>
      </c>
      <c r="V494" s="1">
        <v>2841.5999999999995</v>
      </c>
      <c r="W494" s="1">
        <v>5</v>
      </c>
    </row>
    <row r="495" spans="1:23" x14ac:dyDescent="0.2">
      <c r="A495">
        <v>2021</v>
      </c>
      <c r="B495" t="s">
        <v>23</v>
      </c>
      <c r="C495" t="s">
        <v>24</v>
      </c>
      <c r="D495">
        <v>10</v>
      </c>
      <c r="E495">
        <v>2</v>
      </c>
      <c r="F495">
        <v>8</v>
      </c>
      <c r="G495" t="s">
        <v>34</v>
      </c>
      <c r="H495" s="1">
        <v>1</v>
      </c>
      <c r="I495" s="1">
        <v>64</v>
      </c>
      <c r="J495" s="1">
        <v>68</v>
      </c>
      <c r="K495" s="1">
        <f t="shared" si="18"/>
        <v>4</v>
      </c>
      <c r="L495" s="1">
        <v>133</v>
      </c>
      <c r="M495" s="1">
        <v>37</v>
      </c>
      <c r="N495" s="1">
        <v>3</v>
      </c>
      <c r="O495" s="1">
        <v>3.5</v>
      </c>
      <c r="P495" s="1">
        <v>1</v>
      </c>
      <c r="Q495" s="2">
        <v>7.7399999999999997E-2</v>
      </c>
      <c r="R495" s="1">
        <v>1</v>
      </c>
      <c r="S495" s="1">
        <f t="shared" si="19"/>
        <v>1</v>
      </c>
      <c r="T495" s="1">
        <v>1</v>
      </c>
      <c r="U495" s="1">
        <v>12.5</v>
      </c>
      <c r="V495" s="1">
        <v>283.29411764705878</v>
      </c>
      <c r="W495" s="1">
        <v>3</v>
      </c>
    </row>
    <row r="496" spans="1:23" x14ac:dyDescent="0.2">
      <c r="A496">
        <v>2021</v>
      </c>
      <c r="B496" t="s">
        <v>23</v>
      </c>
      <c r="C496" t="s">
        <v>24</v>
      </c>
      <c r="D496">
        <v>11</v>
      </c>
      <c r="E496">
        <v>1</v>
      </c>
      <c r="F496">
        <v>6</v>
      </c>
      <c r="G496" t="s">
        <v>35</v>
      </c>
      <c r="H496" s="1">
        <v>10</v>
      </c>
      <c r="I496" s="1">
        <v>64</v>
      </c>
      <c r="J496" s="1">
        <v>69</v>
      </c>
      <c r="K496" s="1">
        <f t="shared" si="18"/>
        <v>5</v>
      </c>
      <c r="L496" s="1">
        <v>100</v>
      </c>
      <c r="M496" s="1">
        <v>55</v>
      </c>
      <c r="N496" s="1">
        <v>3</v>
      </c>
      <c r="O496" s="1">
        <v>4</v>
      </c>
      <c r="P496" s="1">
        <f>H496</f>
        <v>10</v>
      </c>
      <c r="Q496" s="2">
        <v>0.16650000000000001</v>
      </c>
      <c r="R496" s="1">
        <v>8</v>
      </c>
      <c r="S496" s="1">
        <f t="shared" si="19"/>
        <v>0.8</v>
      </c>
      <c r="T496" s="1">
        <v>5</v>
      </c>
      <c r="U496" s="1">
        <v>12.5</v>
      </c>
      <c r="V496" s="1">
        <v>609.41176470588243</v>
      </c>
      <c r="W496" s="1">
        <v>5</v>
      </c>
    </row>
    <row r="497" spans="1:23" x14ac:dyDescent="0.2">
      <c r="A497">
        <v>2021</v>
      </c>
      <c r="B497" t="s">
        <v>23</v>
      </c>
      <c r="C497" t="s">
        <v>24</v>
      </c>
      <c r="D497">
        <v>11</v>
      </c>
      <c r="E497">
        <v>2</v>
      </c>
      <c r="F497">
        <v>15</v>
      </c>
      <c r="G497" t="s">
        <v>35</v>
      </c>
      <c r="H497" s="1">
        <v>10</v>
      </c>
      <c r="I497" s="1">
        <v>67</v>
      </c>
      <c r="J497" s="1">
        <v>71</v>
      </c>
      <c r="K497" s="1">
        <f t="shared" si="18"/>
        <v>4</v>
      </c>
      <c r="L497" s="1">
        <v>130</v>
      </c>
      <c r="M497" s="1">
        <v>56</v>
      </c>
      <c r="N497" s="1">
        <v>2</v>
      </c>
      <c r="O497" s="1">
        <v>4</v>
      </c>
      <c r="P497" s="1">
        <v>10</v>
      </c>
      <c r="Q497" s="2">
        <v>0.93240000000000001</v>
      </c>
      <c r="R497" s="1">
        <v>10</v>
      </c>
      <c r="S497" s="1">
        <f t="shared" si="19"/>
        <v>1</v>
      </c>
      <c r="T497" s="1">
        <v>2.5</v>
      </c>
      <c r="U497" s="1">
        <v>12.5</v>
      </c>
      <c r="V497" s="1">
        <v>3412.7058823529414</v>
      </c>
      <c r="W497" s="1">
        <v>5</v>
      </c>
    </row>
    <row r="498" spans="1:23" x14ac:dyDescent="0.2">
      <c r="A498">
        <v>2021</v>
      </c>
      <c r="B498" t="s">
        <v>23</v>
      </c>
      <c r="C498" t="s">
        <v>24</v>
      </c>
      <c r="D498">
        <v>12</v>
      </c>
      <c r="E498">
        <v>1</v>
      </c>
      <c r="F498">
        <v>11</v>
      </c>
      <c r="G498" t="s">
        <v>36</v>
      </c>
      <c r="H498">
        <v>12</v>
      </c>
      <c r="I498">
        <v>60</v>
      </c>
      <c r="J498">
        <v>63</v>
      </c>
      <c r="K498">
        <v>3</v>
      </c>
      <c r="L498">
        <v>118</v>
      </c>
      <c r="M498">
        <v>22</v>
      </c>
      <c r="N498">
        <v>2</v>
      </c>
      <c r="O498">
        <v>3</v>
      </c>
      <c r="P498">
        <v>12</v>
      </c>
      <c r="Q498">
        <v>1.4</v>
      </c>
      <c r="R498">
        <v>9</v>
      </c>
      <c r="S498">
        <v>0.75</v>
      </c>
      <c r="T498">
        <v>2.5</v>
      </c>
      <c r="U498">
        <v>12.5</v>
      </c>
      <c r="V498">
        <v>5124.1830065359472</v>
      </c>
      <c r="W498">
        <v>1</v>
      </c>
    </row>
    <row r="499" spans="1:23" x14ac:dyDescent="0.2">
      <c r="A499">
        <v>2021</v>
      </c>
      <c r="B499" t="s">
        <v>23</v>
      </c>
      <c r="C499" t="s">
        <v>24</v>
      </c>
      <c r="D499">
        <v>12</v>
      </c>
      <c r="E499">
        <v>2</v>
      </c>
      <c r="F499">
        <v>5</v>
      </c>
      <c r="G499" t="s">
        <v>36</v>
      </c>
      <c r="H499" s="1">
        <v>11</v>
      </c>
      <c r="I499" s="1">
        <v>67</v>
      </c>
      <c r="J499" s="1">
        <v>72</v>
      </c>
      <c r="K499" s="1">
        <f>J499-I499</f>
        <v>5</v>
      </c>
      <c r="L499" s="1">
        <v>152</v>
      </c>
      <c r="M499" s="1">
        <v>88</v>
      </c>
      <c r="N499" s="1">
        <v>2</v>
      </c>
      <c r="O499" s="1">
        <v>3</v>
      </c>
      <c r="P499" s="1">
        <v>8</v>
      </c>
      <c r="Q499" s="2">
        <v>0.13994999999999999</v>
      </c>
      <c r="R499" s="1">
        <v>5</v>
      </c>
      <c r="S499" s="1">
        <f>R499/P499</f>
        <v>0.625</v>
      </c>
      <c r="T499" s="1">
        <v>2</v>
      </c>
      <c r="U499" s="1">
        <v>12.5</v>
      </c>
      <c r="V499" s="1">
        <v>512.23529411764707</v>
      </c>
      <c r="W499" s="1">
        <v>4</v>
      </c>
    </row>
    <row r="500" spans="1:23" x14ac:dyDescent="0.2">
      <c r="A500">
        <v>2021</v>
      </c>
      <c r="B500" t="s">
        <v>23</v>
      </c>
      <c r="C500" t="s">
        <v>24</v>
      </c>
      <c r="D500">
        <v>13</v>
      </c>
      <c r="E500">
        <v>1</v>
      </c>
      <c r="F500">
        <v>5</v>
      </c>
      <c r="G500" t="s">
        <v>37</v>
      </c>
      <c r="H500" s="1">
        <v>14</v>
      </c>
      <c r="I500" s="1">
        <v>61</v>
      </c>
      <c r="J500" s="1">
        <v>65</v>
      </c>
      <c r="K500" s="1">
        <f>J500-I500</f>
        <v>4</v>
      </c>
      <c r="L500" s="1">
        <v>138</v>
      </c>
      <c r="M500" s="1">
        <v>63</v>
      </c>
      <c r="N500" s="1">
        <v>2</v>
      </c>
      <c r="O500" s="1">
        <v>2</v>
      </c>
      <c r="P500" s="1">
        <f>H500</f>
        <v>14</v>
      </c>
      <c r="Q500" s="2">
        <v>0.48</v>
      </c>
      <c r="R500" s="1">
        <v>10</v>
      </c>
      <c r="S500" s="1">
        <f>R500/P500</f>
        <v>0.7142857142857143</v>
      </c>
      <c r="T500" s="1">
        <v>3</v>
      </c>
      <c r="U500" s="1">
        <v>12.5</v>
      </c>
      <c r="V500" s="1">
        <v>1756.8627450980393</v>
      </c>
      <c r="W500" s="1">
        <v>5</v>
      </c>
    </row>
    <row r="501" spans="1:23" x14ac:dyDescent="0.2">
      <c r="A501">
        <v>2021</v>
      </c>
      <c r="B501" t="s">
        <v>23</v>
      </c>
      <c r="C501" t="s">
        <v>24</v>
      </c>
      <c r="D501">
        <v>13</v>
      </c>
      <c r="E501">
        <v>2</v>
      </c>
      <c r="F501">
        <v>1</v>
      </c>
      <c r="G501" t="s">
        <v>37</v>
      </c>
      <c r="H501" s="1">
        <v>9</v>
      </c>
      <c r="I501" s="1">
        <v>63</v>
      </c>
      <c r="J501" s="1">
        <v>67</v>
      </c>
      <c r="K501" s="1">
        <f>J501-I501</f>
        <v>4</v>
      </c>
      <c r="L501" s="1">
        <v>135</v>
      </c>
      <c r="M501" s="1">
        <v>83</v>
      </c>
      <c r="N501" s="1">
        <v>2</v>
      </c>
      <c r="O501" s="1">
        <v>2.5</v>
      </c>
      <c r="P501" s="1">
        <v>7</v>
      </c>
      <c r="Q501" s="2">
        <v>0.28871999999999998</v>
      </c>
      <c r="R501" s="1">
        <v>5</v>
      </c>
      <c r="S501" s="1">
        <f>R501/P501</f>
        <v>0.7142857142857143</v>
      </c>
      <c r="T501" s="1">
        <v>2</v>
      </c>
      <c r="U501" s="1">
        <v>12.5</v>
      </c>
      <c r="V501" s="1">
        <v>1056.7529411764706</v>
      </c>
      <c r="W501" s="1">
        <v>4</v>
      </c>
    </row>
    <row r="502" spans="1:23" x14ac:dyDescent="0.2">
      <c r="A502">
        <v>2021</v>
      </c>
      <c r="B502" t="s">
        <v>23</v>
      </c>
      <c r="C502" t="s">
        <v>24</v>
      </c>
      <c r="D502">
        <v>14</v>
      </c>
      <c r="E502">
        <v>1</v>
      </c>
      <c r="F502">
        <v>15</v>
      </c>
      <c r="G502" t="s">
        <v>38</v>
      </c>
      <c r="H502">
        <v>6</v>
      </c>
      <c r="I502">
        <v>58</v>
      </c>
      <c r="J502">
        <v>63</v>
      </c>
      <c r="K502">
        <v>5</v>
      </c>
      <c r="L502">
        <v>120</v>
      </c>
      <c r="M502">
        <v>25</v>
      </c>
      <c r="N502">
        <v>4</v>
      </c>
      <c r="O502">
        <v>4</v>
      </c>
      <c r="P502">
        <v>5</v>
      </c>
      <c r="Q502">
        <v>0.16700000000000001</v>
      </c>
      <c r="R502">
        <v>3</v>
      </c>
      <c r="S502">
        <v>0.6</v>
      </c>
      <c r="T502">
        <v>2</v>
      </c>
      <c r="U502">
        <v>12.5</v>
      </c>
      <c r="V502">
        <v>611.24183006535941</v>
      </c>
      <c r="W502">
        <v>2</v>
      </c>
    </row>
    <row r="503" spans="1:23" x14ac:dyDescent="0.2">
      <c r="A503">
        <v>2021</v>
      </c>
      <c r="B503" t="s">
        <v>23</v>
      </c>
      <c r="C503" t="s">
        <v>24</v>
      </c>
      <c r="D503">
        <v>14</v>
      </c>
      <c r="E503">
        <v>2</v>
      </c>
      <c r="F503">
        <v>15</v>
      </c>
      <c r="G503" t="s">
        <v>38</v>
      </c>
      <c r="H503">
        <v>7</v>
      </c>
      <c r="I503">
        <v>55</v>
      </c>
      <c r="J503">
        <v>59</v>
      </c>
      <c r="K503">
        <v>4</v>
      </c>
      <c r="L503">
        <v>134</v>
      </c>
      <c r="M503">
        <v>21</v>
      </c>
      <c r="N503">
        <v>3</v>
      </c>
      <c r="O503">
        <v>4</v>
      </c>
      <c r="P503">
        <v>6</v>
      </c>
      <c r="Q503">
        <v>0.19400000000000001</v>
      </c>
      <c r="R503">
        <v>4</v>
      </c>
      <c r="S503">
        <v>0.66666666666666663</v>
      </c>
      <c r="T503">
        <v>5</v>
      </c>
      <c r="U503">
        <v>12.5</v>
      </c>
      <c r="V503">
        <v>710.06535947712428</v>
      </c>
      <c r="W503">
        <v>1</v>
      </c>
    </row>
    <row r="504" spans="1:23" x14ac:dyDescent="0.2">
      <c r="A504">
        <v>2021</v>
      </c>
      <c r="B504" t="s">
        <v>23</v>
      </c>
      <c r="C504" t="s">
        <v>24</v>
      </c>
      <c r="D504">
        <v>15</v>
      </c>
      <c r="E504">
        <v>1</v>
      </c>
      <c r="F504">
        <v>14</v>
      </c>
      <c r="G504" t="s">
        <v>39</v>
      </c>
      <c r="H504" s="1">
        <v>9</v>
      </c>
      <c r="I504" s="1">
        <v>67</v>
      </c>
      <c r="J504" s="1">
        <v>72</v>
      </c>
      <c r="K504" s="1">
        <f>J504-I504</f>
        <v>5</v>
      </c>
      <c r="L504" s="1">
        <v>117</v>
      </c>
      <c r="M504" s="1">
        <v>45</v>
      </c>
      <c r="N504" s="1">
        <v>2</v>
      </c>
      <c r="O504" s="1">
        <v>3.5</v>
      </c>
      <c r="P504" s="1">
        <v>7</v>
      </c>
      <c r="Q504" s="2">
        <v>6.5000000000000002E-2</v>
      </c>
      <c r="R504" s="1">
        <v>2</v>
      </c>
      <c r="S504" s="1">
        <f>R504/P504</f>
        <v>0.2857142857142857</v>
      </c>
      <c r="T504" s="1">
        <v>5</v>
      </c>
      <c r="U504" s="1">
        <v>12.5</v>
      </c>
      <c r="V504" s="1">
        <v>237.90849673202612</v>
      </c>
      <c r="W504" s="1">
        <v>6</v>
      </c>
    </row>
    <row r="505" spans="1:23" x14ac:dyDescent="0.2">
      <c r="A505">
        <v>2021</v>
      </c>
      <c r="B505" t="s">
        <v>23</v>
      </c>
      <c r="C505" t="s">
        <v>24</v>
      </c>
      <c r="D505">
        <v>15</v>
      </c>
      <c r="E505">
        <v>2</v>
      </c>
      <c r="F505">
        <v>13</v>
      </c>
      <c r="G505" t="s">
        <v>39</v>
      </c>
      <c r="H505">
        <v>16</v>
      </c>
      <c r="I505">
        <v>53</v>
      </c>
      <c r="J505">
        <v>56</v>
      </c>
      <c r="K505">
        <v>3</v>
      </c>
      <c r="L505">
        <v>165</v>
      </c>
      <c r="M505">
        <v>76</v>
      </c>
      <c r="N505">
        <v>2</v>
      </c>
      <c r="O505">
        <v>2</v>
      </c>
      <c r="P505">
        <v>12</v>
      </c>
      <c r="Q505">
        <v>1.9</v>
      </c>
      <c r="R505">
        <v>9</v>
      </c>
      <c r="S505">
        <v>0.75</v>
      </c>
      <c r="T505">
        <v>4</v>
      </c>
      <c r="U505">
        <v>10.7</v>
      </c>
      <c r="V505">
        <v>7097.3071895424837</v>
      </c>
      <c r="W505">
        <v>1</v>
      </c>
    </row>
    <row r="506" spans="1:23" x14ac:dyDescent="0.2">
      <c r="A506">
        <v>2021</v>
      </c>
      <c r="B506" t="s">
        <v>23</v>
      </c>
      <c r="C506" t="s">
        <v>24</v>
      </c>
      <c r="D506">
        <v>16</v>
      </c>
      <c r="E506">
        <v>1</v>
      </c>
      <c r="F506">
        <v>5</v>
      </c>
      <c r="G506" t="s">
        <v>40</v>
      </c>
      <c r="H506">
        <v>13</v>
      </c>
      <c r="I506">
        <v>51</v>
      </c>
      <c r="J506">
        <v>53</v>
      </c>
      <c r="K506">
        <v>2</v>
      </c>
      <c r="L506">
        <v>166</v>
      </c>
      <c r="M506">
        <v>73</v>
      </c>
      <c r="N506">
        <v>2</v>
      </c>
      <c r="O506">
        <v>2.5</v>
      </c>
      <c r="P506">
        <v>14</v>
      </c>
      <c r="Q506">
        <v>1.4</v>
      </c>
      <c r="R506">
        <v>12</v>
      </c>
      <c r="S506">
        <v>0.8571428571428571</v>
      </c>
      <c r="T506">
        <v>2</v>
      </c>
      <c r="U506">
        <v>12.1</v>
      </c>
      <c r="V506">
        <v>5147.6078431372553</v>
      </c>
      <c r="W506">
        <v>1</v>
      </c>
    </row>
    <row r="507" spans="1:23" x14ac:dyDescent="0.2">
      <c r="A507">
        <v>2021</v>
      </c>
      <c r="B507" t="s">
        <v>23</v>
      </c>
      <c r="C507" t="s">
        <v>24</v>
      </c>
      <c r="D507">
        <v>16</v>
      </c>
      <c r="E507">
        <v>2</v>
      </c>
      <c r="F507">
        <v>9</v>
      </c>
      <c r="G507" t="s">
        <v>40</v>
      </c>
      <c r="H507">
        <v>7</v>
      </c>
      <c r="I507">
        <v>62</v>
      </c>
      <c r="J507">
        <v>65</v>
      </c>
      <c r="K507">
        <v>3</v>
      </c>
      <c r="L507">
        <v>170</v>
      </c>
      <c r="M507">
        <v>75</v>
      </c>
      <c r="N507">
        <v>1.5</v>
      </c>
      <c r="O507">
        <v>3.5</v>
      </c>
      <c r="P507">
        <v>7</v>
      </c>
      <c r="Q507">
        <v>0.5</v>
      </c>
      <c r="R507">
        <v>6</v>
      </c>
      <c r="S507">
        <v>0.8571428571428571</v>
      </c>
      <c r="T507">
        <v>2.5</v>
      </c>
      <c r="U507">
        <v>12.5</v>
      </c>
      <c r="V507">
        <v>1830.0653594771243</v>
      </c>
      <c r="W507">
        <v>1</v>
      </c>
    </row>
    <row r="508" spans="1:23" x14ac:dyDescent="0.2">
      <c r="A508">
        <v>2021</v>
      </c>
      <c r="B508" t="s">
        <v>23</v>
      </c>
      <c r="C508" t="s">
        <v>24</v>
      </c>
      <c r="D508">
        <v>17</v>
      </c>
      <c r="E508">
        <v>1</v>
      </c>
      <c r="F508">
        <v>10</v>
      </c>
      <c r="G508" t="s">
        <v>41</v>
      </c>
      <c r="H508" s="1">
        <v>1</v>
      </c>
      <c r="I508" s="1">
        <v>63</v>
      </c>
      <c r="J508" s="1">
        <v>68</v>
      </c>
      <c r="K508" s="1">
        <f>J508-I508</f>
        <v>5</v>
      </c>
      <c r="L508" s="1">
        <v>39</v>
      </c>
      <c r="M508" s="1">
        <v>22</v>
      </c>
      <c r="N508" s="1">
        <v>2</v>
      </c>
      <c r="O508" s="1">
        <v>3</v>
      </c>
      <c r="P508" s="1">
        <v>1</v>
      </c>
      <c r="Q508" s="2">
        <v>4.4700000000000004E-2</v>
      </c>
      <c r="R508" s="1">
        <v>1</v>
      </c>
      <c r="S508" s="1">
        <f>R508/P508</f>
        <v>1</v>
      </c>
      <c r="T508" s="1">
        <v>5</v>
      </c>
      <c r="U508" s="1">
        <v>12.5</v>
      </c>
      <c r="V508" s="1">
        <v>163.60784313725492</v>
      </c>
      <c r="W508" s="1">
        <v>4</v>
      </c>
    </row>
    <row r="509" spans="1:23" x14ac:dyDescent="0.2">
      <c r="A509">
        <v>2021</v>
      </c>
      <c r="B509" t="s">
        <v>23</v>
      </c>
      <c r="C509" t="s">
        <v>24</v>
      </c>
      <c r="D509">
        <v>17</v>
      </c>
      <c r="E509">
        <v>2</v>
      </c>
      <c r="F509">
        <v>1</v>
      </c>
      <c r="G509" t="s">
        <v>41</v>
      </c>
      <c r="H509" s="1">
        <v>1</v>
      </c>
      <c r="I509" s="1">
        <v>65</v>
      </c>
      <c r="J509" s="1">
        <v>70</v>
      </c>
      <c r="K509" s="1">
        <f>J509-I509</f>
        <v>5</v>
      </c>
      <c r="L509" s="1">
        <v>48</v>
      </c>
      <c r="M509" s="1">
        <v>37</v>
      </c>
      <c r="N509" s="1">
        <v>2</v>
      </c>
      <c r="O509" s="1">
        <v>3</v>
      </c>
      <c r="P509" s="1">
        <v>1</v>
      </c>
      <c r="Q509" s="2">
        <v>4.3999999999999997E-2</v>
      </c>
      <c r="R509" s="1">
        <v>1</v>
      </c>
      <c r="S509" s="1">
        <f>R509/P509</f>
        <v>1</v>
      </c>
      <c r="T509" s="1">
        <v>3</v>
      </c>
      <c r="U509" s="1">
        <v>11.1</v>
      </c>
      <c r="V509" s="1">
        <v>163.62248366013074</v>
      </c>
      <c r="W509" s="1">
        <v>4</v>
      </c>
    </row>
    <row r="510" spans="1:23" x14ac:dyDescent="0.2">
      <c r="A510">
        <v>2021</v>
      </c>
      <c r="B510" t="s">
        <v>23</v>
      </c>
      <c r="C510" t="s">
        <v>24</v>
      </c>
      <c r="D510">
        <v>18</v>
      </c>
      <c r="E510">
        <v>1</v>
      </c>
      <c r="F510">
        <v>7</v>
      </c>
      <c r="G510" t="s">
        <v>42</v>
      </c>
      <c r="H510">
        <v>4</v>
      </c>
      <c r="I510">
        <v>55</v>
      </c>
      <c r="J510">
        <v>57</v>
      </c>
      <c r="K510">
        <v>2</v>
      </c>
      <c r="L510">
        <v>158</v>
      </c>
      <c r="M510">
        <v>71</v>
      </c>
      <c r="N510">
        <v>1.5</v>
      </c>
      <c r="O510">
        <v>2</v>
      </c>
      <c r="P510">
        <v>4</v>
      </c>
      <c r="Q510">
        <v>0.4</v>
      </c>
      <c r="R510">
        <v>5</v>
      </c>
      <c r="S510">
        <v>1.25</v>
      </c>
      <c r="T510">
        <v>2.5</v>
      </c>
      <c r="U510">
        <v>12.5</v>
      </c>
      <c r="V510">
        <v>1464.0522875816994</v>
      </c>
      <c r="W510">
        <v>1</v>
      </c>
    </row>
    <row r="511" spans="1:23" x14ac:dyDescent="0.2">
      <c r="A511">
        <v>2021</v>
      </c>
      <c r="B511" t="s">
        <v>23</v>
      </c>
      <c r="C511" t="s">
        <v>24</v>
      </c>
      <c r="D511">
        <v>18</v>
      </c>
      <c r="E511">
        <v>2</v>
      </c>
      <c r="F511">
        <v>7</v>
      </c>
      <c r="G511" t="s">
        <v>42</v>
      </c>
      <c r="H511" s="1">
        <v>11</v>
      </c>
      <c r="I511" s="1">
        <v>66</v>
      </c>
      <c r="J511" s="1">
        <v>71</v>
      </c>
      <c r="K511" s="1">
        <f>J511-I511</f>
        <v>5</v>
      </c>
      <c r="L511" s="1">
        <v>187</v>
      </c>
      <c r="M511" s="1">
        <v>100</v>
      </c>
      <c r="N511" s="1">
        <v>2</v>
      </c>
      <c r="O511" s="1">
        <v>2</v>
      </c>
      <c r="P511" s="1">
        <v>10</v>
      </c>
      <c r="Q511" s="2">
        <v>0.92400000000000004</v>
      </c>
      <c r="R511" s="1">
        <v>7</v>
      </c>
      <c r="S511" s="1">
        <f>R511/P511</f>
        <v>0.7</v>
      </c>
      <c r="T511" s="1">
        <v>3</v>
      </c>
      <c r="U511" s="1">
        <v>12.5</v>
      </c>
      <c r="V511" s="1">
        <v>3381.960784313726</v>
      </c>
      <c r="W511" s="1">
        <v>5</v>
      </c>
    </row>
    <row r="512" spans="1:23" x14ac:dyDescent="0.2">
      <c r="A512">
        <v>2021</v>
      </c>
      <c r="B512" t="s">
        <v>23</v>
      </c>
      <c r="C512" t="s">
        <v>24</v>
      </c>
      <c r="D512">
        <v>19</v>
      </c>
      <c r="E512">
        <v>1</v>
      </c>
      <c r="F512">
        <v>6</v>
      </c>
      <c r="G512" t="s">
        <v>263</v>
      </c>
      <c r="H512">
        <v>16</v>
      </c>
      <c r="I512">
        <v>51</v>
      </c>
      <c r="J512">
        <v>53</v>
      </c>
      <c r="K512">
        <v>2</v>
      </c>
      <c r="L512">
        <v>146</v>
      </c>
      <c r="M512">
        <v>69</v>
      </c>
      <c r="N512">
        <v>2</v>
      </c>
      <c r="O512">
        <v>2.5</v>
      </c>
      <c r="P512">
        <v>14</v>
      </c>
      <c r="Q512">
        <v>0.6</v>
      </c>
      <c r="R512">
        <v>11</v>
      </c>
      <c r="S512">
        <v>0.7857142857142857</v>
      </c>
      <c r="T512">
        <v>3</v>
      </c>
      <c r="U512">
        <v>10.5</v>
      </c>
      <c r="V512">
        <v>2246.2745098039213</v>
      </c>
      <c r="W512">
        <v>2</v>
      </c>
    </row>
    <row r="513" spans="1:23" x14ac:dyDescent="0.2">
      <c r="A513">
        <v>2021</v>
      </c>
      <c r="B513" t="s">
        <v>23</v>
      </c>
      <c r="C513" t="s">
        <v>24</v>
      </c>
      <c r="D513">
        <v>19</v>
      </c>
      <c r="E513">
        <v>2</v>
      </c>
      <c r="F513">
        <v>10</v>
      </c>
      <c r="G513" t="s">
        <v>263</v>
      </c>
      <c r="H513">
        <v>13</v>
      </c>
      <c r="I513">
        <v>56</v>
      </c>
      <c r="J513">
        <v>58</v>
      </c>
      <c r="K513">
        <v>2</v>
      </c>
      <c r="L513">
        <v>171</v>
      </c>
      <c r="M513">
        <v>61</v>
      </c>
      <c r="N513">
        <v>2</v>
      </c>
      <c r="O513">
        <v>2</v>
      </c>
      <c r="P513">
        <v>11</v>
      </c>
      <c r="Q513">
        <v>1</v>
      </c>
      <c r="R513">
        <v>9</v>
      </c>
      <c r="S513">
        <v>0.81818181818181823</v>
      </c>
      <c r="T513">
        <v>2</v>
      </c>
      <c r="U513">
        <v>10.7</v>
      </c>
      <c r="V513">
        <v>3735.4248366013071</v>
      </c>
      <c r="W513">
        <v>2</v>
      </c>
    </row>
    <row r="514" spans="1:23" x14ac:dyDescent="0.2">
      <c r="A514">
        <v>2021</v>
      </c>
      <c r="B514" t="s">
        <v>23</v>
      </c>
      <c r="C514" t="s">
        <v>24</v>
      </c>
      <c r="D514">
        <v>20</v>
      </c>
      <c r="E514">
        <v>1</v>
      </c>
      <c r="F514">
        <v>2</v>
      </c>
      <c r="G514" t="s">
        <v>264</v>
      </c>
      <c r="H514" s="1">
        <v>11</v>
      </c>
      <c r="I514" s="1">
        <v>69</v>
      </c>
      <c r="J514" s="1">
        <v>70</v>
      </c>
      <c r="K514" s="1">
        <f>J514-I514</f>
        <v>1</v>
      </c>
      <c r="L514" s="1">
        <v>200</v>
      </c>
      <c r="M514" s="1">
        <v>100</v>
      </c>
      <c r="N514" s="1">
        <v>2</v>
      </c>
      <c r="O514" s="1">
        <v>2.5</v>
      </c>
      <c r="P514" s="1">
        <v>10</v>
      </c>
      <c r="Q514" s="2">
        <v>0.92820000000000003</v>
      </c>
      <c r="R514" s="1">
        <v>9</v>
      </c>
      <c r="S514" s="1">
        <f>R514/P514</f>
        <v>0.9</v>
      </c>
      <c r="T514" s="1">
        <v>5</v>
      </c>
      <c r="U514" s="1">
        <v>7.1</v>
      </c>
      <c r="V514" s="1">
        <v>3606.9973333333342</v>
      </c>
      <c r="W514" s="1">
        <v>4</v>
      </c>
    </row>
    <row r="515" spans="1:23" x14ac:dyDescent="0.2">
      <c r="A515">
        <v>2021</v>
      </c>
      <c r="B515" t="s">
        <v>23</v>
      </c>
      <c r="C515" t="s">
        <v>24</v>
      </c>
      <c r="D515">
        <v>20</v>
      </c>
      <c r="E515">
        <v>2</v>
      </c>
      <c r="F515">
        <v>3</v>
      </c>
      <c r="G515" t="s">
        <v>264</v>
      </c>
      <c r="H515" s="1">
        <v>5</v>
      </c>
      <c r="I515" s="1">
        <v>66</v>
      </c>
      <c r="J515" s="1">
        <v>69</v>
      </c>
      <c r="K515" s="1">
        <f>J515-I515</f>
        <v>3</v>
      </c>
      <c r="L515" s="1">
        <v>151</v>
      </c>
      <c r="M515" s="1">
        <v>53</v>
      </c>
      <c r="N515" s="1">
        <v>2</v>
      </c>
      <c r="O515" s="1">
        <v>1</v>
      </c>
      <c r="P515" s="1">
        <v>4</v>
      </c>
      <c r="Q515" s="2">
        <v>0.52740000000000009</v>
      </c>
      <c r="R515" s="1">
        <v>4</v>
      </c>
      <c r="S515" s="1">
        <f>R515/P515</f>
        <v>1</v>
      </c>
      <c r="T515" s="1">
        <v>5</v>
      </c>
      <c r="U515" s="1">
        <v>8.4</v>
      </c>
      <c r="V515" s="1">
        <v>2020.8037647058829</v>
      </c>
      <c r="W515" s="1">
        <v>4</v>
      </c>
    </row>
    <row r="516" spans="1:23" x14ac:dyDescent="0.2">
      <c r="A516">
        <v>2021</v>
      </c>
      <c r="B516" t="s">
        <v>23</v>
      </c>
      <c r="C516" t="s">
        <v>24</v>
      </c>
      <c r="D516">
        <v>21</v>
      </c>
      <c r="E516">
        <v>1</v>
      </c>
      <c r="F516">
        <v>14</v>
      </c>
      <c r="G516" t="s">
        <v>265</v>
      </c>
      <c r="H516">
        <v>4</v>
      </c>
      <c r="I516">
        <v>55</v>
      </c>
      <c r="J516">
        <v>59</v>
      </c>
      <c r="K516">
        <v>4</v>
      </c>
      <c r="L516">
        <v>86</v>
      </c>
      <c r="M516">
        <v>23</v>
      </c>
      <c r="N516">
        <v>1.5</v>
      </c>
      <c r="O516">
        <v>2</v>
      </c>
      <c r="P516">
        <v>4</v>
      </c>
      <c r="Q516">
        <v>0.3</v>
      </c>
      <c r="R516">
        <v>5</v>
      </c>
      <c r="S516">
        <v>1.25</v>
      </c>
      <c r="T516">
        <v>2.5</v>
      </c>
      <c r="U516">
        <v>12.5</v>
      </c>
      <c r="V516">
        <v>1098.0392156862745</v>
      </c>
      <c r="W516">
        <v>2</v>
      </c>
    </row>
    <row r="517" spans="1:23" x14ac:dyDescent="0.2">
      <c r="A517">
        <v>2021</v>
      </c>
      <c r="B517" t="s">
        <v>23</v>
      </c>
      <c r="C517" t="s">
        <v>24</v>
      </c>
      <c r="D517">
        <v>21</v>
      </c>
      <c r="E517">
        <v>2</v>
      </c>
      <c r="F517">
        <v>11</v>
      </c>
      <c r="G517" t="s">
        <v>265</v>
      </c>
      <c r="H517" s="1">
        <v>12</v>
      </c>
      <c r="I517" s="1">
        <v>64</v>
      </c>
      <c r="J517" s="1">
        <v>68</v>
      </c>
      <c r="K517" s="1">
        <f>J517-I517</f>
        <v>4</v>
      </c>
      <c r="L517" s="1">
        <v>134</v>
      </c>
      <c r="M517" s="1">
        <v>37</v>
      </c>
      <c r="N517" s="1">
        <v>2</v>
      </c>
      <c r="O517" s="1">
        <v>3.5</v>
      </c>
      <c r="P517" s="1">
        <f>H517</f>
        <v>12</v>
      </c>
      <c r="Q517" s="2">
        <v>0.14099999999999999</v>
      </c>
      <c r="R517" s="1">
        <v>9</v>
      </c>
      <c r="S517" s="1">
        <f>R517/P517</f>
        <v>0.75</v>
      </c>
      <c r="T517" s="5" t="s">
        <v>273</v>
      </c>
      <c r="U517" s="1">
        <v>12.5</v>
      </c>
      <c r="V517" s="1">
        <v>516.07843137254906</v>
      </c>
      <c r="W517" s="1">
        <v>4</v>
      </c>
    </row>
    <row r="518" spans="1:23" x14ac:dyDescent="0.2">
      <c r="A518">
        <v>2021</v>
      </c>
      <c r="B518" t="s">
        <v>23</v>
      </c>
      <c r="C518" t="s">
        <v>24</v>
      </c>
      <c r="D518">
        <v>22</v>
      </c>
      <c r="E518">
        <v>1</v>
      </c>
      <c r="F518">
        <v>7</v>
      </c>
      <c r="G518" t="s">
        <v>46</v>
      </c>
      <c r="H518">
        <v>13</v>
      </c>
      <c r="I518">
        <v>50</v>
      </c>
      <c r="J518">
        <v>52</v>
      </c>
      <c r="K518">
        <v>2</v>
      </c>
      <c r="L518">
        <v>197</v>
      </c>
      <c r="M518">
        <v>53</v>
      </c>
      <c r="N518">
        <v>2</v>
      </c>
      <c r="O518">
        <v>2</v>
      </c>
      <c r="P518">
        <v>10</v>
      </c>
      <c r="Q518">
        <v>0.8</v>
      </c>
      <c r="R518">
        <v>10</v>
      </c>
      <c r="S518">
        <v>1</v>
      </c>
      <c r="T518">
        <v>4</v>
      </c>
      <c r="U518">
        <v>11.8</v>
      </c>
      <c r="V518">
        <v>2951.5294117647059</v>
      </c>
      <c r="W518">
        <v>2</v>
      </c>
    </row>
    <row r="519" spans="1:23" x14ac:dyDescent="0.2">
      <c r="A519">
        <v>2021</v>
      </c>
      <c r="B519" t="s">
        <v>23</v>
      </c>
      <c r="C519" t="s">
        <v>24</v>
      </c>
      <c r="D519">
        <v>22</v>
      </c>
      <c r="E519">
        <v>2</v>
      </c>
      <c r="F519">
        <v>14</v>
      </c>
      <c r="G519" t="s">
        <v>46</v>
      </c>
      <c r="H519">
        <v>10</v>
      </c>
      <c r="I519">
        <v>56</v>
      </c>
      <c r="J519">
        <v>60</v>
      </c>
      <c r="K519">
        <v>4</v>
      </c>
      <c r="L519">
        <v>198</v>
      </c>
      <c r="M519">
        <v>55</v>
      </c>
      <c r="N519">
        <v>2</v>
      </c>
      <c r="O519">
        <v>2</v>
      </c>
      <c r="P519">
        <v>8</v>
      </c>
      <c r="Q519">
        <v>0.2</v>
      </c>
      <c r="R519">
        <v>5</v>
      </c>
      <c r="S519">
        <v>0.625</v>
      </c>
      <c r="T519">
        <v>4</v>
      </c>
      <c r="U519">
        <v>9.8000000000000007</v>
      </c>
      <c r="V519">
        <v>754.61437908496748</v>
      </c>
      <c r="W519">
        <v>1</v>
      </c>
    </row>
    <row r="520" spans="1:23" x14ac:dyDescent="0.2">
      <c r="A520">
        <v>2021</v>
      </c>
      <c r="B520" t="s">
        <v>23</v>
      </c>
      <c r="C520" t="s">
        <v>24</v>
      </c>
      <c r="D520">
        <v>23</v>
      </c>
      <c r="E520">
        <v>1</v>
      </c>
      <c r="F520">
        <v>4</v>
      </c>
      <c r="G520" t="s">
        <v>47</v>
      </c>
      <c r="H520">
        <v>10</v>
      </c>
      <c r="I520">
        <v>60</v>
      </c>
      <c r="J520">
        <v>62</v>
      </c>
      <c r="K520">
        <v>2</v>
      </c>
      <c r="L520">
        <v>180</v>
      </c>
      <c r="M520">
        <v>68</v>
      </c>
      <c r="N520">
        <v>1.5</v>
      </c>
      <c r="O520">
        <v>2</v>
      </c>
      <c r="P520">
        <v>10</v>
      </c>
      <c r="Q520">
        <v>1.1000000000000001</v>
      </c>
      <c r="R520">
        <v>11</v>
      </c>
      <c r="S520">
        <v>1.1000000000000001</v>
      </c>
      <c r="T520">
        <v>2</v>
      </c>
      <c r="U520">
        <v>12.5</v>
      </c>
      <c r="V520">
        <v>4026.1437908496737</v>
      </c>
      <c r="W520">
        <v>2</v>
      </c>
    </row>
    <row r="521" spans="1:23" x14ac:dyDescent="0.2">
      <c r="A521">
        <v>2021</v>
      </c>
      <c r="B521" t="s">
        <v>23</v>
      </c>
      <c r="C521" t="s">
        <v>24</v>
      </c>
      <c r="D521">
        <v>23</v>
      </c>
      <c r="E521">
        <v>2</v>
      </c>
      <c r="F521">
        <v>8</v>
      </c>
      <c r="G521" t="s">
        <v>47</v>
      </c>
      <c r="H521" s="1">
        <v>16</v>
      </c>
      <c r="I521" s="1">
        <v>68</v>
      </c>
      <c r="J521" s="1">
        <v>71</v>
      </c>
      <c r="K521" s="1">
        <f>J521-I521</f>
        <v>3</v>
      </c>
      <c r="L521" s="1">
        <v>165</v>
      </c>
      <c r="M521" s="1">
        <v>88</v>
      </c>
      <c r="N521" s="1">
        <v>2</v>
      </c>
      <c r="O521" s="1">
        <v>3.5</v>
      </c>
      <c r="P521" s="1">
        <v>15</v>
      </c>
      <c r="Q521" s="2">
        <v>0.42090000000000005</v>
      </c>
      <c r="R521" s="1">
        <v>7</v>
      </c>
      <c r="S521" s="1">
        <f>R521/P521</f>
        <v>0.46666666666666667</v>
      </c>
      <c r="T521" s="1">
        <v>5</v>
      </c>
      <c r="U521" s="1">
        <v>12.5</v>
      </c>
      <c r="V521" s="1">
        <v>1540.5490196078435</v>
      </c>
      <c r="W521" s="1">
        <v>5</v>
      </c>
    </row>
    <row r="522" spans="1:23" x14ac:dyDescent="0.2">
      <c r="A522">
        <v>2021</v>
      </c>
      <c r="B522" t="s">
        <v>23</v>
      </c>
      <c r="C522" t="s">
        <v>24</v>
      </c>
      <c r="D522">
        <v>24</v>
      </c>
      <c r="E522">
        <v>1</v>
      </c>
      <c r="F522">
        <v>14</v>
      </c>
      <c r="G522" t="s">
        <v>48</v>
      </c>
      <c r="H522">
        <v>14</v>
      </c>
      <c r="I522">
        <v>56</v>
      </c>
      <c r="J522">
        <v>60</v>
      </c>
      <c r="K522">
        <v>4</v>
      </c>
      <c r="L522">
        <v>148</v>
      </c>
      <c r="M522">
        <v>55</v>
      </c>
      <c r="N522">
        <v>1</v>
      </c>
      <c r="O522">
        <v>2.5</v>
      </c>
      <c r="P522">
        <v>11</v>
      </c>
      <c r="Q522">
        <v>1</v>
      </c>
      <c r="R522">
        <v>11</v>
      </c>
      <c r="S522">
        <v>1</v>
      </c>
      <c r="T522">
        <v>2</v>
      </c>
      <c r="U522">
        <v>9.1999999999999993</v>
      </c>
      <c r="V522">
        <v>3798.169934640523</v>
      </c>
      <c r="W522">
        <v>2</v>
      </c>
    </row>
    <row r="523" spans="1:23" x14ac:dyDescent="0.2">
      <c r="A523">
        <v>2021</v>
      </c>
      <c r="B523" t="s">
        <v>23</v>
      </c>
      <c r="C523" t="s">
        <v>24</v>
      </c>
      <c r="D523">
        <v>24</v>
      </c>
      <c r="E523">
        <v>2</v>
      </c>
      <c r="F523">
        <v>13</v>
      </c>
      <c r="G523" t="s">
        <v>48</v>
      </c>
      <c r="H523" s="1">
        <v>7</v>
      </c>
      <c r="I523" s="1">
        <v>63</v>
      </c>
      <c r="J523" s="1">
        <v>68</v>
      </c>
      <c r="K523" s="1">
        <f>J523-I523</f>
        <v>5</v>
      </c>
      <c r="L523" s="1">
        <v>80</v>
      </c>
      <c r="M523" s="1">
        <v>35</v>
      </c>
      <c r="N523" s="1">
        <v>2</v>
      </c>
      <c r="O523" s="1">
        <v>3.5</v>
      </c>
      <c r="P523" s="1">
        <v>6</v>
      </c>
      <c r="Q523" s="2">
        <v>0.2</v>
      </c>
      <c r="R523" s="1">
        <v>6</v>
      </c>
      <c r="S523" s="1">
        <f>R523/P523</f>
        <v>1</v>
      </c>
      <c r="T523" s="1">
        <v>3.5</v>
      </c>
      <c r="U523" s="1">
        <v>12.5</v>
      </c>
      <c r="V523" s="1">
        <v>732.02614379084969</v>
      </c>
      <c r="W523" s="1">
        <v>4</v>
      </c>
    </row>
    <row r="524" spans="1:23" x14ac:dyDescent="0.2">
      <c r="A524">
        <v>2021</v>
      </c>
      <c r="B524" t="s">
        <v>23</v>
      </c>
      <c r="C524" t="s">
        <v>24</v>
      </c>
      <c r="D524">
        <v>25</v>
      </c>
      <c r="E524">
        <v>1</v>
      </c>
      <c r="F524">
        <v>8</v>
      </c>
      <c r="G524" t="s">
        <v>49</v>
      </c>
      <c r="H524" s="1">
        <v>10</v>
      </c>
      <c r="I524" s="1">
        <v>66</v>
      </c>
      <c r="J524" s="1">
        <v>69</v>
      </c>
      <c r="K524" s="1">
        <f>J524-I524</f>
        <v>3</v>
      </c>
      <c r="L524" s="1">
        <v>160</v>
      </c>
      <c r="M524" s="1">
        <v>78</v>
      </c>
      <c r="N524" s="1">
        <v>1</v>
      </c>
      <c r="O524" s="1">
        <v>3.5</v>
      </c>
      <c r="P524" s="1">
        <v>10</v>
      </c>
      <c r="Q524" s="2">
        <v>0.92100000000000004</v>
      </c>
      <c r="R524" s="1">
        <v>9</v>
      </c>
      <c r="S524" s="1">
        <f>R524/P524</f>
        <v>0.9</v>
      </c>
      <c r="T524" s="1">
        <v>3</v>
      </c>
      <c r="U524" s="1">
        <v>12.5</v>
      </c>
      <c r="V524" s="1">
        <v>3370.9803921568628</v>
      </c>
      <c r="W524" s="1">
        <v>5</v>
      </c>
    </row>
    <row r="525" spans="1:23" x14ac:dyDescent="0.2">
      <c r="A525">
        <v>2021</v>
      </c>
      <c r="B525" t="s">
        <v>23</v>
      </c>
      <c r="C525" t="s">
        <v>24</v>
      </c>
      <c r="D525">
        <v>25</v>
      </c>
      <c r="E525">
        <v>2</v>
      </c>
      <c r="F525">
        <v>7</v>
      </c>
      <c r="G525" t="s">
        <v>49</v>
      </c>
      <c r="H525" s="1">
        <v>2</v>
      </c>
      <c r="I525" s="1">
        <v>63</v>
      </c>
      <c r="J525" s="1">
        <v>68</v>
      </c>
      <c r="K525" s="1">
        <f>J525-I525</f>
        <v>5</v>
      </c>
      <c r="L525" s="1">
        <v>57</v>
      </c>
      <c r="M525" s="1">
        <v>40</v>
      </c>
      <c r="N525" s="1">
        <v>3</v>
      </c>
      <c r="O525" s="1">
        <v>3.5</v>
      </c>
      <c r="P525" s="1">
        <v>5</v>
      </c>
      <c r="Q525" s="2">
        <v>0.24</v>
      </c>
      <c r="R525" s="1">
        <v>2</v>
      </c>
      <c r="S525" s="1">
        <f>R525/P525</f>
        <v>0.4</v>
      </c>
      <c r="T525" s="1">
        <v>5</v>
      </c>
      <c r="U525" s="1">
        <v>12.5</v>
      </c>
      <c r="V525" s="1">
        <v>878.43137254901967</v>
      </c>
      <c r="W525" s="1">
        <v>5</v>
      </c>
    </row>
    <row r="526" spans="1:23" x14ac:dyDescent="0.2">
      <c r="A526">
        <v>2021</v>
      </c>
      <c r="B526" t="s">
        <v>23</v>
      </c>
      <c r="C526" t="s">
        <v>24</v>
      </c>
      <c r="D526">
        <v>26</v>
      </c>
      <c r="E526">
        <v>1</v>
      </c>
      <c r="F526">
        <v>1</v>
      </c>
      <c r="G526" t="s">
        <v>50</v>
      </c>
      <c r="H526" s="1">
        <v>13</v>
      </c>
      <c r="I526" s="1">
        <v>68</v>
      </c>
      <c r="J526" s="1">
        <v>71</v>
      </c>
      <c r="K526" s="1">
        <f>J526-I526</f>
        <v>3</v>
      </c>
      <c r="L526" s="1">
        <v>168</v>
      </c>
      <c r="M526" s="1">
        <v>63</v>
      </c>
      <c r="N526" s="1">
        <v>3</v>
      </c>
      <c r="O526" s="1">
        <v>4</v>
      </c>
      <c r="P526" s="1">
        <v>10</v>
      </c>
      <c r="Q526" s="2">
        <v>0.84960000000000002</v>
      </c>
      <c r="R526" s="1">
        <v>10</v>
      </c>
      <c r="S526" s="1">
        <f>R526/P526</f>
        <v>1</v>
      </c>
      <c r="T526" s="1">
        <v>5</v>
      </c>
      <c r="U526" s="1">
        <v>12.5</v>
      </c>
      <c r="V526" s="1">
        <v>3109.6470588235297</v>
      </c>
      <c r="W526" s="1">
        <v>5</v>
      </c>
    </row>
    <row r="527" spans="1:23" x14ac:dyDescent="0.2">
      <c r="A527">
        <v>2021</v>
      </c>
      <c r="B527" t="s">
        <v>23</v>
      </c>
      <c r="C527" t="s">
        <v>24</v>
      </c>
      <c r="D527">
        <v>26</v>
      </c>
      <c r="E527">
        <v>2</v>
      </c>
      <c r="F527">
        <v>1</v>
      </c>
      <c r="G527" t="s">
        <v>50</v>
      </c>
      <c r="H527" s="1">
        <v>2</v>
      </c>
      <c r="I527" s="1">
        <v>68</v>
      </c>
      <c r="J527" s="1">
        <v>73</v>
      </c>
      <c r="K527" s="1">
        <f>J527-I527</f>
        <v>5</v>
      </c>
      <c r="L527" s="1">
        <v>105</v>
      </c>
      <c r="M527" s="1">
        <v>50</v>
      </c>
      <c r="N527" s="1">
        <v>3</v>
      </c>
      <c r="O527" s="1">
        <v>4</v>
      </c>
      <c r="P527" s="1">
        <v>1</v>
      </c>
      <c r="Q527" s="2">
        <v>4.4999999999999998E-2</v>
      </c>
      <c r="R527" s="1">
        <v>1</v>
      </c>
      <c r="S527" s="1">
        <f>R527/P527</f>
        <v>1</v>
      </c>
      <c r="T527" s="5" t="s">
        <v>273</v>
      </c>
      <c r="U527" s="1">
        <v>12.5</v>
      </c>
      <c r="V527" s="1">
        <v>164.70588235294116</v>
      </c>
      <c r="W527" s="1">
        <v>0</v>
      </c>
    </row>
    <row r="528" spans="1:23" x14ac:dyDescent="0.2">
      <c r="A528">
        <v>2021</v>
      </c>
      <c r="B528" t="s">
        <v>23</v>
      </c>
      <c r="C528" t="s">
        <v>24</v>
      </c>
      <c r="D528">
        <v>27</v>
      </c>
      <c r="E528">
        <v>1</v>
      </c>
      <c r="F528">
        <v>12</v>
      </c>
      <c r="G528" t="s">
        <v>51</v>
      </c>
      <c r="H528">
        <v>16</v>
      </c>
      <c r="I528">
        <v>52</v>
      </c>
      <c r="J528">
        <v>54</v>
      </c>
      <c r="K528">
        <v>2</v>
      </c>
      <c r="L528">
        <v>193</v>
      </c>
      <c r="M528">
        <v>94</v>
      </c>
      <c r="N528">
        <v>2</v>
      </c>
      <c r="O528">
        <v>2</v>
      </c>
      <c r="P528">
        <v>13</v>
      </c>
      <c r="Q528">
        <v>1.7</v>
      </c>
      <c r="R528">
        <v>14</v>
      </c>
      <c r="S528">
        <v>1.0769230769230769</v>
      </c>
      <c r="T528">
        <v>2</v>
      </c>
      <c r="U528">
        <v>8.6</v>
      </c>
      <c r="V528">
        <v>6499.5555555555557</v>
      </c>
      <c r="W528">
        <v>2</v>
      </c>
    </row>
    <row r="529" spans="1:23" x14ac:dyDescent="0.2">
      <c r="A529">
        <v>2021</v>
      </c>
      <c r="B529" t="s">
        <v>23</v>
      </c>
      <c r="C529" t="s">
        <v>24</v>
      </c>
      <c r="D529">
        <v>27</v>
      </c>
      <c r="E529">
        <v>2</v>
      </c>
      <c r="F529">
        <v>11</v>
      </c>
      <c r="G529" t="s">
        <v>51</v>
      </c>
      <c r="H529" s="1">
        <v>1</v>
      </c>
      <c r="I529" s="1">
        <v>65</v>
      </c>
      <c r="J529" s="1">
        <v>68</v>
      </c>
      <c r="K529" s="1">
        <f>J529-I529</f>
        <v>3</v>
      </c>
      <c r="L529" s="1">
        <v>144</v>
      </c>
      <c r="M529" s="1">
        <v>62</v>
      </c>
      <c r="N529" s="1">
        <v>2</v>
      </c>
      <c r="O529" s="1">
        <v>3</v>
      </c>
      <c r="P529" s="1">
        <f>H529</f>
        <v>1</v>
      </c>
      <c r="Q529" s="2">
        <v>1.8749999999999999E-2</v>
      </c>
      <c r="R529" s="1">
        <v>1</v>
      </c>
      <c r="S529" s="1">
        <f>R529/P529</f>
        <v>1</v>
      </c>
      <c r="T529" s="1">
        <v>4</v>
      </c>
      <c r="U529" s="1">
        <v>12.5</v>
      </c>
      <c r="V529" s="1">
        <v>68.627450980392155</v>
      </c>
      <c r="W529" s="1">
        <v>4</v>
      </c>
    </row>
    <row r="530" spans="1:23" x14ac:dyDescent="0.2">
      <c r="A530">
        <v>2021</v>
      </c>
      <c r="B530" t="s">
        <v>23</v>
      </c>
      <c r="C530" t="s">
        <v>24</v>
      </c>
      <c r="D530">
        <v>28</v>
      </c>
      <c r="E530">
        <v>1</v>
      </c>
      <c r="F530">
        <v>8</v>
      </c>
      <c r="G530" t="s">
        <v>52</v>
      </c>
      <c r="H530" s="1">
        <v>9</v>
      </c>
      <c r="I530" s="1">
        <v>70</v>
      </c>
      <c r="J530" s="1">
        <v>74</v>
      </c>
      <c r="K530" s="1">
        <f>J530-I530</f>
        <v>4</v>
      </c>
      <c r="L530" s="1">
        <v>161</v>
      </c>
      <c r="M530" s="1">
        <v>31</v>
      </c>
      <c r="N530" s="1">
        <v>3</v>
      </c>
      <c r="O530" s="1">
        <v>4.5</v>
      </c>
      <c r="P530" s="1">
        <v>4</v>
      </c>
      <c r="Q530" s="2">
        <v>0.15440000000000001</v>
      </c>
      <c r="R530" s="1">
        <v>3</v>
      </c>
      <c r="S530" s="1">
        <f>R530/P530</f>
        <v>0.75</v>
      </c>
      <c r="T530" s="1">
        <v>5</v>
      </c>
      <c r="U530" s="1">
        <v>12.5</v>
      </c>
      <c r="V530" s="1">
        <v>565.1241830065361</v>
      </c>
      <c r="W530" s="1">
        <v>6</v>
      </c>
    </row>
    <row r="531" spans="1:23" x14ac:dyDescent="0.2">
      <c r="A531">
        <v>2021</v>
      </c>
      <c r="B531" t="s">
        <v>23</v>
      </c>
      <c r="C531" t="s">
        <v>24</v>
      </c>
      <c r="D531">
        <v>28</v>
      </c>
      <c r="E531">
        <v>2</v>
      </c>
      <c r="F531">
        <v>15</v>
      </c>
      <c r="G531" t="s">
        <v>52</v>
      </c>
      <c r="H531" s="1">
        <v>7</v>
      </c>
      <c r="I531" s="1">
        <v>66</v>
      </c>
      <c r="J531" s="1">
        <v>71</v>
      </c>
      <c r="K531" s="1">
        <f>J531-I531</f>
        <v>5</v>
      </c>
      <c r="L531" s="1">
        <v>143</v>
      </c>
      <c r="M531" s="1">
        <v>73</v>
      </c>
      <c r="N531" s="1">
        <v>2</v>
      </c>
      <c r="O531" s="1">
        <v>2.5</v>
      </c>
      <c r="P531" s="1">
        <v>4</v>
      </c>
      <c r="Q531" s="2">
        <v>0.21480000000000002</v>
      </c>
      <c r="R531" s="1">
        <v>5</v>
      </c>
      <c r="S531" s="1">
        <f>R531/P531</f>
        <v>1.25</v>
      </c>
      <c r="T531" s="1">
        <v>3</v>
      </c>
      <c r="U531" s="1">
        <v>12.5</v>
      </c>
      <c r="V531" s="1">
        <v>786.19607843137271</v>
      </c>
      <c r="W531" s="1">
        <v>5</v>
      </c>
    </row>
    <row r="532" spans="1:23" x14ac:dyDescent="0.2">
      <c r="A532">
        <v>2021</v>
      </c>
      <c r="B532" t="s">
        <v>23</v>
      </c>
      <c r="C532" t="s">
        <v>24</v>
      </c>
      <c r="D532">
        <v>29</v>
      </c>
      <c r="E532">
        <v>1</v>
      </c>
      <c r="F532">
        <v>1</v>
      </c>
      <c r="G532" t="s">
        <v>53</v>
      </c>
      <c r="H532" s="1">
        <v>8</v>
      </c>
      <c r="I532" s="1">
        <v>68</v>
      </c>
      <c r="J532" s="1">
        <v>72</v>
      </c>
      <c r="K532" s="1">
        <f>J532-I532</f>
        <v>4</v>
      </c>
      <c r="L532" s="1">
        <v>135</v>
      </c>
      <c r="M532" s="1">
        <v>60</v>
      </c>
      <c r="N532" s="1">
        <v>2</v>
      </c>
      <c r="O532" s="1">
        <v>4</v>
      </c>
      <c r="P532" s="1">
        <v>4</v>
      </c>
      <c r="Q532" s="2">
        <v>0.19600000000000001</v>
      </c>
      <c r="R532" s="1">
        <v>2</v>
      </c>
      <c r="S532" s="1">
        <f>R532/P532</f>
        <v>0.5</v>
      </c>
      <c r="T532" s="1">
        <v>4</v>
      </c>
      <c r="U532" s="1">
        <v>12.5</v>
      </c>
      <c r="V532" s="1">
        <v>717.38562091503286</v>
      </c>
      <c r="W532" s="1">
        <v>5</v>
      </c>
    </row>
    <row r="533" spans="1:23" x14ac:dyDescent="0.2">
      <c r="A533">
        <v>2021</v>
      </c>
      <c r="B533" t="s">
        <v>23</v>
      </c>
      <c r="C533" t="s">
        <v>24</v>
      </c>
      <c r="D533">
        <v>29</v>
      </c>
      <c r="E533">
        <v>2</v>
      </c>
      <c r="F533">
        <v>11</v>
      </c>
      <c r="G533" t="s">
        <v>53</v>
      </c>
      <c r="H533">
        <v>14</v>
      </c>
      <c r="I533">
        <v>51</v>
      </c>
      <c r="J533">
        <v>54</v>
      </c>
      <c r="K533">
        <v>3</v>
      </c>
      <c r="L533">
        <v>179</v>
      </c>
      <c r="M533">
        <v>85</v>
      </c>
      <c r="N533">
        <v>2</v>
      </c>
      <c r="O533">
        <v>2.5</v>
      </c>
      <c r="P533">
        <v>9</v>
      </c>
      <c r="Q533">
        <v>0.6</v>
      </c>
      <c r="R533">
        <v>9</v>
      </c>
      <c r="S533">
        <v>1</v>
      </c>
      <c r="T533">
        <v>4</v>
      </c>
      <c r="U533">
        <v>10.5</v>
      </c>
      <c r="V533">
        <v>2246.2745098039213</v>
      </c>
      <c r="W533">
        <v>2</v>
      </c>
    </row>
    <row r="534" spans="1:23" x14ac:dyDescent="0.2">
      <c r="A534">
        <v>2021</v>
      </c>
      <c r="B534" t="s">
        <v>23</v>
      </c>
      <c r="C534" t="s">
        <v>24</v>
      </c>
      <c r="D534">
        <v>30</v>
      </c>
      <c r="E534">
        <v>1</v>
      </c>
      <c r="F534">
        <v>10</v>
      </c>
      <c r="G534" t="s">
        <v>54</v>
      </c>
      <c r="H534">
        <v>4</v>
      </c>
      <c r="I534">
        <v>59</v>
      </c>
      <c r="J534">
        <v>62</v>
      </c>
      <c r="K534">
        <v>3</v>
      </c>
      <c r="L534">
        <v>155</v>
      </c>
      <c r="M534">
        <v>86</v>
      </c>
      <c r="N534">
        <v>1.5</v>
      </c>
      <c r="O534">
        <v>2</v>
      </c>
      <c r="P534">
        <v>4</v>
      </c>
      <c r="Q534">
        <v>0.5</v>
      </c>
      <c r="R534">
        <v>4</v>
      </c>
      <c r="S534">
        <v>1</v>
      </c>
      <c r="T534">
        <v>2.5</v>
      </c>
      <c r="U534">
        <v>12.5</v>
      </c>
      <c r="V534">
        <v>1830.0653594771243</v>
      </c>
      <c r="W534">
        <v>1</v>
      </c>
    </row>
    <row r="535" spans="1:23" x14ac:dyDescent="0.2">
      <c r="A535">
        <v>2021</v>
      </c>
      <c r="B535" t="s">
        <v>23</v>
      </c>
      <c r="C535" t="s">
        <v>24</v>
      </c>
      <c r="D535">
        <v>30</v>
      </c>
      <c r="E535">
        <v>2</v>
      </c>
      <c r="F535">
        <v>9</v>
      </c>
      <c r="G535" t="s">
        <v>54</v>
      </c>
      <c r="H535">
        <v>8</v>
      </c>
      <c r="I535">
        <v>60</v>
      </c>
      <c r="J535">
        <v>62</v>
      </c>
      <c r="K535">
        <v>2</v>
      </c>
      <c r="L535">
        <v>168</v>
      </c>
      <c r="M535">
        <v>58</v>
      </c>
      <c r="N535">
        <v>2</v>
      </c>
      <c r="O535">
        <v>3</v>
      </c>
      <c r="P535">
        <v>8</v>
      </c>
      <c r="Q535">
        <v>0.45</v>
      </c>
      <c r="R535">
        <v>9</v>
      </c>
      <c r="S535">
        <v>1.125</v>
      </c>
      <c r="T535">
        <v>2</v>
      </c>
      <c r="U535">
        <v>12.5</v>
      </c>
      <c r="V535">
        <v>1647.0588235294117</v>
      </c>
      <c r="W535">
        <v>1</v>
      </c>
    </row>
    <row r="536" spans="1:23" x14ac:dyDescent="0.2">
      <c r="A536">
        <v>2021</v>
      </c>
      <c r="B536" t="s">
        <v>23</v>
      </c>
      <c r="C536" t="s">
        <v>24</v>
      </c>
      <c r="D536">
        <v>31</v>
      </c>
      <c r="E536">
        <v>1</v>
      </c>
      <c r="F536">
        <v>5</v>
      </c>
      <c r="G536" t="s">
        <v>55</v>
      </c>
      <c r="H536" s="1">
        <v>2</v>
      </c>
      <c r="I536" s="1">
        <v>61</v>
      </c>
      <c r="J536" s="1">
        <v>65</v>
      </c>
      <c r="K536" s="1">
        <f>J536-I536</f>
        <v>4</v>
      </c>
      <c r="L536" s="1">
        <v>120</v>
      </c>
      <c r="M536" s="1">
        <v>35</v>
      </c>
      <c r="N536" s="1">
        <v>1.5</v>
      </c>
      <c r="O536" s="1">
        <v>2.5</v>
      </c>
      <c r="P536" s="1">
        <v>2</v>
      </c>
      <c r="Q536" s="2">
        <v>0.32</v>
      </c>
      <c r="R536" s="1">
        <v>2</v>
      </c>
      <c r="S536" s="1">
        <f>R536/P536</f>
        <v>1</v>
      </c>
      <c r="T536" s="1">
        <v>2</v>
      </c>
      <c r="U536" s="1">
        <v>12.5</v>
      </c>
      <c r="V536" s="1">
        <v>1171.2418300653596</v>
      </c>
      <c r="W536" s="1">
        <v>4</v>
      </c>
    </row>
    <row r="537" spans="1:23" x14ac:dyDescent="0.2">
      <c r="A537">
        <v>2021</v>
      </c>
      <c r="B537" t="s">
        <v>23</v>
      </c>
      <c r="C537" t="s">
        <v>24</v>
      </c>
      <c r="D537">
        <v>31</v>
      </c>
      <c r="E537">
        <v>2</v>
      </c>
      <c r="F537">
        <v>3</v>
      </c>
      <c r="G537" t="s">
        <v>55</v>
      </c>
      <c r="H537" s="1">
        <v>11</v>
      </c>
      <c r="I537" s="1">
        <v>66</v>
      </c>
      <c r="J537" s="1">
        <v>71</v>
      </c>
      <c r="K537" s="1">
        <f>J537-I537</f>
        <v>5</v>
      </c>
      <c r="L537" s="1">
        <v>187</v>
      </c>
      <c r="M537" s="1">
        <v>100</v>
      </c>
      <c r="N537" s="1">
        <v>2</v>
      </c>
      <c r="O537" s="1">
        <v>2</v>
      </c>
      <c r="P537" s="1">
        <v>10</v>
      </c>
      <c r="Q537" s="2">
        <v>0.92400000000000004</v>
      </c>
      <c r="R537" s="1">
        <v>7</v>
      </c>
      <c r="S537" s="1">
        <f>R537/P537</f>
        <v>0.7</v>
      </c>
      <c r="T537" s="1">
        <v>3</v>
      </c>
      <c r="U537" s="1">
        <v>12.5</v>
      </c>
      <c r="V537" s="1">
        <v>3381.960784313726</v>
      </c>
      <c r="W537" s="1">
        <v>5</v>
      </c>
    </row>
    <row r="538" spans="1:23" x14ac:dyDescent="0.2">
      <c r="A538">
        <v>2021</v>
      </c>
      <c r="B538" t="s">
        <v>23</v>
      </c>
      <c r="C538" t="s">
        <v>24</v>
      </c>
      <c r="D538">
        <v>32</v>
      </c>
      <c r="E538">
        <v>1</v>
      </c>
      <c r="F538">
        <v>8</v>
      </c>
      <c r="G538" t="s">
        <v>56</v>
      </c>
      <c r="H538">
        <v>14</v>
      </c>
      <c r="I538">
        <v>58</v>
      </c>
      <c r="J538">
        <v>60</v>
      </c>
      <c r="K538">
        <v>2</v>
      </c>
      <c r="L538">
        <v>150</v>
      </c>
      <c r="M538">
        <v>92</v>
      </c>
      <c r="N538">
        <v>2</v>
      </c>
      <c r="O538">
        <v>2</v>
      </c>
      <c r="P538">
        <v>14</v>
      </c>
      <c r="Q538">
        <v>0.9</v>
      </c>
      <c r="R538">
        <v>12</v>
      </c>
      <c r="S538">
        <v>0.8571428571428571</v>
      </c>
      <c r="T538">
        <v>3</v>
      </c>
      <c r="U538">
        <v>9.1</v>
      </c>
      <c r="V538">
        <v>3422.1176470588234</v>
      </c>
      <c r="W538">
        <v>2</v>
      </c>
    </row>
    <row r="539" spans="1:23" x14ac:dyDescent="0.2">
      <c r="A539">
        <v>2021</v>
      </c>
      <c r="B539" t="s">
        <v>23</v>
      </c>
      <c r="C539" t="s">
        <v>24</v>
      </c>
      <c r="D539">
        <v>32</v>
      </c>
      <c r="E539">
        <v>2</v>
      </c>
      <c r="F539">
        <v>9</v>
      </c>
      <c r="G539" t="s">
        <v>56</v>
      </c>
      <c r="H539" s="1">
        <v>10</v>
      </c>
      <c r="I539" s="1">
        <v>59</v>
      </c>
      <c r="J539" s="1">
        <v>63</v>
      </c>
      <c r="K539" s="1">
        <f>J539-I539</f>
        <v>4</v>
      </c>
      <c r="L539" s="1">
        <v>127</v>
      </c>
      <c r="M539" s="1">
        <v>62</v>
      </c>
      <c r="N539" s="1">
        <v>2</v>
      </c>
      <c r="O539" s="1">
        <v>4</v>
      </c>
      <c r="P539" s="1">
        <v>7</v>
      </c>
      <c r="Q539" s="2">
        <v>0.45200000000000001</v>
      </c>
      <c r="R539" s="1">
        <v>7</v>
      </c>
      <c r="S539" s="1">
        <f>R539/P539</f>
        <v>1</v>
      </c>
      <c r="T539" s="1">
        <v>3.5</v>
      </c>
      <c r="U539" s="1">
        <v>12.5</v>
      </c>
      <c r="V539" s="1">
        <v>1654.3790849673205</v>
      </c>
      <c r="W539" s="1">
        <v>6</v>
      </c>
    </row>
    <row r="540" spans="1:23" x14ac:dyDescent="0.2">
      <c r="A540">
        <v>2021</v>
      </c>
      <c r="B540" t="s">
        <v>23</v>
      </c>
      <c r="C540" t="s">
        <v>24</v>
      </c>
      <c r="D540">
        <v>33</v>
      </c>
      <c r="E540">
        <v>1</v>
      </c>
      <c r="F540">
        <v>14</v>
      </c>
      <c r="G540" t="s">
        <v>57</v>
      </c>
      <c r="H540" s="1">
        <v>15</v>
      </c>
      <c r="I540" s="1">
        <v>68</v>
      </c>
      <c r="J540" s="1">
        <v>70</v>
      </c>
      <c r="K540" s="1">
        <f>J540-I540</f>
        <v>2</v>
      </c>
      <c r="L540" s="1">
        <v>181</v>
      </c>
      <c r="M540" s="1">
        <v>110</v>
      </c>
      <c r="N540" s="1">
        <v>2</v>
      </c>
      <c r="O540" s="1">
        <v>2.5</v>
      </c>
      <c r="P540" s="1">
        <f>H540</f>
        <v>15</v>
      </c>
      <c r="Q540" s="2">
        <v>0.56399999999999995</v>
      </c>
      <c r="R540" s="1">
        <v>8</v>
      </c>
      <c r="S540" s="1">
        <f>R540/P540</f>
        <v>0.53333333333333333</v>
      </c>
      <c r="T540" s="1">
        <v>3</v>
      </c>
      <c r="U540" s="1">
        <v>12.5</v>
      </c>
      <c r="V540" s="1">
        <v>2064.3137254901962</v>
      </c>
      <c r="W540" s="1">
        <v>4</v>
      </c>
    </row>
    <row r="541" spans="1:23" x14ac:dyDescent="0.2">
      <c r="A541">
        <v>2021</v>
      </c>
      <c r="B541" t="s">
        <v>23</v>
      </c>
      <c r="C541" t="s">
        <v>24</v>
      </c>
      <c r="D541">
        <v>33</v>
      </c>
      <c r="E541">
        <v>2</v>
      </c>
      <c r="F541">
        <v>8</v>
      </c>
      <c r="G541" t="s">
        <v>57</v>
      </c>
      <c r="H541" s="1">
        <v>13</v>
      </c>
      <c r="I541" s="1">
        <v>68</v>
      </c>
      <c r="J541" s="1">
        <v>70</v>
      </c>
      <c r="K541" s="1">
        <f>J541-I541</f>
        <v>2</v>
      </c>
      <c r="L541" s="1">
        <v>102</v>
      </c>
      <c r="M541" s="1">
        <v>45</v>
      </c>
      <c r="N541" s="1">
        <v>2.5</v>
      </c>
      <c r="O541" s="1">
        <v>3</v>
      </c>
      <c r="P541" s="1">
        <v>10</v>
      </c>
      <c r="Q541" s="2">
        <v>0.22700000000000001</v>
      </c>
      <c r="R541" s="1">
        <v>9</v>
      </c>
      <c r="S541" s="1">
        <f>R541/P541</f>
        <v>0.9</v>
      </c>
      <c r="T541" s="1">
        <v>3</v>
      </c>
      <c r="U541" s="1">
        <v>12.5</v>
      </c>
      <c r="V541" s="1">
        <v>830.84967320261444</v>
      </c>
      <c r="W541" s="1">
        <v>5</v>
      </c>
    </row>
    <row r="542" spans="1:23" x14ac:dyDescent="0.2">
      <c r="A542">
        <v>2021</v>
      </c>
      <c r="B542" t="s">
        <v>23</v>
      </c>
      <c r="C542" t="s">
        <v>24</v>
      </c>
      <c r="D542">
        <v>34</v>
      </c>
      <c r="E542">
        <v>1</v>
      </c>
      <c r="F542">
        <v>6</v>
      </c>
      <c r="G542" t="s">
        <v>58</v>
      </c>
      <c r="H542">
        <v>3</v>
      </c>
      <c r="I542">
        <v>55</v>
      </c>
      <c r="J542">
        <v>58</v>
      </c>
      <c r="K542">
        <v>3</v>
      </c>
      <c r="L542">
        <v>188</v>
      </c>
      <c r="M542">
        <v>81</v>
      </c>
      <c r="N542">
        <v>1.5</v>
      </c>
      <c r="O542">
        <v>3.5</v>
      </c>
      <c r="P542">
        <v>2</v>
      </c>
      <c r="Q542">
        <v>0.15</v>
      </c>
      <c r="R542">
        <v>2</v>
      </c>
      <c r="S542">
        <v>1</v>
      </c>
      <c r="T542">
        <v>3</v>
      </c>
      <c r="U542">
        <v>12.5</v>
      </c>
      <c r="V542">
        <v>549.01960784313724</v>
      </c>
      <c r="W542">
        <v>2</v>
      </c>
    </row>
    <row r="543" spans="1:23" x14ac:dyDescent="0.2">
      <c r="A543">
        <v>2021</v>
      </c>
      <c r="B543" t="s">
        <v>23</v>
      </c>
      <c r="C543" t="s">
        <v>24</v>
      </c>
      <c r="D543">
        <v>34</v>
      </c>
      <c r="E543">
        <v>2</v>
      </c>
      <c r="F543">
        <v>3</v>
      </c>
      <c r="G543" t="s">
        <v>58</v>
      </c>
      <c r="H543">
        <v>13</v>
      </c>
      <c r="I543">
        <v>57</v>
      </c>
      <c r="J543">
        <v>60</v>
      </c>
      <c r="K543">
        <v>3</v>
      </c>
      <c r="L543">
        <v>187</v>
      </c>
      <c r="M543">
        <v>61</v>
      </c>
      <c r="N543">
        <v>2</v>
      </c>
      <c r="O543">
        <v>2.5</v>
      </c>
      <c r="P543">
        <v>13</v>
      </c>
      <c r="Q543">
        <v>0.5</v>
      </c>
      <c r="R543">
        <v>11</v>
      </c>
      <c r="S543">
        <v>0.84615384615384615</v>
      </c>
      <c r="T543">
        <v>2</v>
      </c>
      <c r="U543">
        <v>9.1</v>
      </c>
      <c r="V543">
        <v>1901.1764705882354</v>
      </c>
      <c r="W543">
        <v>2</v>
      </c>
    </row>
    <row r="544" spans="1:23" x14ac:dyDescent="0.2">
      <c r="A544">
        <v>2021</v>
      </c>
      <c r="B544" t="s">
        <v>23</v>
      </c>
      <c r="C544" t="s">
        <v>24</v>
      </c>
      <c r="D544">
        <v>35</v>
      </c>
      <c r="E544">
        <v>1</v>
      </c>
      <c r="F544">
        <v>9</v>
      </c>
      <c r="G544" t="s">
        <v>59</v>
      </c>
      <c r="H544" s="1">
        <v>7</v>
      </c>
      <c r="I544" s="1">
        <v>65</v>
      </c>
      <c r="J544" s="1">
        <v>70</v>
      </c>
      <c r="K544" s="1">
        <f t="shared" ref="K544:K549" si="20">J544-I544</f>
        <v>5</v>
      </c>
      <c r="L544" s="1">
        <v>76</v>
      </c>
      <c r="M544" s="1">
        <v>41</v>
      </c>
      <c r="N544" s="1">
        <v>2</v>
      </c>
      <c r="O544" s="1">
        <v>4</v>
      </c>
      <c r="P544" s="1">
        <v>4</v>
      </c>
      <c r="Q544" s="2">
        <v>7.6999999999999999E-2</v>
      </c>
      <c r="R544" s="1">
        <v>3</v>
      </c>
      <c r="S544" s="1">
        <f t="shared" ref="S544:S549" si="21">R544/P544</f>
        <v>0.75</v>
      </c>
      <c r="T544" s="1">
        <v>4</v>
      </c>
      <c r="U544" s="1">
        <v>12.5</v>
      </c>
      <c r="V544" s="1">
        <v>281.83006535947715</v>
      </c>
      <c r="W544" s="1">
        <v>5</v>
      </c>
    </row>
    <row r="545" spans="1:23" x14ac:dyDescent="0.2">
      <c r="A545">
        <v>2021</v>
      </c>
      <c r="B545" t="s">
        <v>23</v>
      </c>
      <c r="C545" t="s">
        <v>24</v>
      </c>
      <c r="D545">
        <v>35</v>
      </c>
      <c r="E545">
        <v>2</v>
      </c>
      <c r="F545">
        <v>9</v>
      </c>
      <c r="G545" t="s">
        <v>59</v>
      </c>
      <c r="H545" s="1">
        <v>2</v>
      </c>
      <c r="I545" s="1">
        <v>65</v>
      </c>
      <c r="J545" s="1">
        <v>67</v>
      </c>
      <c r="K545" s="1">
        <f t="shared" si="20"/>
        <v>2</v>
      </c>
      <c r="L545" s="1">
        <v>38</v>
      </c>
      <c r="M545" s="1">
        <v>15</v>
      </c>
      <c r="N545" s="1">
        <v>1.5</v>
      </c>
      <c r="O545" s="1">
        <v>4.5</v>
      </c>
      <c r="P545" s="1">
        <v>2</v>
      </c>
      <c r="Q545" s="2">
        <v>0.14499999999999999</v>
      </c>
      <c r="R545" s="1">
        <v>3</v>
      </c>
      <c r="S545" s="1">
        <f t="shared" si="21"/>
        <v>1.5</v>
      </c>
      <c r="T545" s="1">
        <v>4.5</v>
      </c>
      <c r="U545" s="1">
        <v>12.5</v>
      </c>
      <c r="V545" s="1">
        <v>530.718954248366</v>
      </c>
      <c r="W545" s="1">
        <v>4</v>
      </c>
    </row>
    <row r="546" spans="1:23" x14ac:dyDescent="0.2">
      <c r="A546">
        <v>2021</v>
      </c>
      <c r="B546" t="s">
        <v>23</v>
      </c>
      <c r="C546" t="s">
        <v>24</v>
      </c>
      <c r="D546">
        <v>36</v>
      </c>
      <c r="E546">
        <v>1</v>
      </c>
      <c r="F546">
        <v>2</v>
      </c>
      <c r="G546" t="s">
        <v>60</v>
      </c>
      <c r="H546" s="1">
        <v>10</v>
      </c>
      <c r="I546" s="1">
        <v>59</v>
      </c>
      <c r="J546" s="1">
        <v>64</v>
      </c>
      <c r="K546" s="1">
        <f t="shared" si="20"/>
        <v>5</v>
      </c>
      <c r="L546" s="1">
        <v>128</v>
      </c>
      <c r="M546" s="1">
        <v>100</v>
      </c>
      <c r="N546" s="1">
        <v>2</v>
      </c>
      <c r="O546" s="1">
        <v>3.5</v>
      </c>
      <c r="P546" s="1">
        <v>9</v>
      </c>
      <c r="Q546" s="2">
        <v>0.68200000000000005</v>
      </c>
      <c r="R546" s="1">
        <v>9</v>
      </c>
      <c r="S546" s="1">
        <f t="shared" si="21"/>
        <v>1</v>
      </c>
      <c r="T546" s="1">
        <v>5</v>
      </c>
      <c r="U546" s="1">
        <v>12.5</v>
      </c>
      <c r="V546" s="1">
        <v>2496.209150326797</v>
      </c>
      <c r="W546" s="1">
        <v>5</v>
      </c>
    </row>
    <row r="547" spans="1:23" x14ac:dyDescent="0.2">
      <c r="A547">
        <v>2021</v>
      </c>
      <c r="B547" t="s">
        <v>23</v>
      </c>
      <c r="C547" t="s">
        <v>24</v>
      </c>
      <c r="D547">
        <v>36</v>
      </c>
      <c r="E547">
        <v>2</v>
      </c>
      <c r="F547">
        <v>13</v>
      </c>
      <c r="G547" t="s">
        <v>60</v>
      </c>
      <c r="H547" s="1">
        <v>7</v>
      </c>
      <c r="I547" s="1">
        <v>69</v>
      </c>
      <c r="J547" s="1">
        <v>70</v>
      </c>
      <c r="K547" s="1">
        <f t="shared" si="20"/>
        <v>1</v>
      </c>
      <c r="L547" s="1">
        <v>107</v>
      </c>
      <c r="M547" s="1">
        <v>36</v>
      </c>
      <c r="N547" s="1">
        <v>3</v>
      </c>
      <c r="O547" s="1">
        <v>4.5</v>
      </c>
      <c r="P547" s="1">
        <v>5</v>
      </c>
      <c r="Q547" s="2">
        <v>0.122</v>
      </c>
      <c r="R547" s="1">
        <v>5</v>
      </c>
      <c r="S547" s="1">
        <f t="shared" si="21"/>
        <v>1</v>
      </c>
      <c r="T547" s="1">
        <v>4.5</v>
      </c>
      <c r="U547" s="1">
        <v>12.5</v>
      </c>
      <c r="V547" s="1">
        <v>446.53594771241831</v>
      </c>
      <c r="W547" s="1">
        <v>5</v>
      </c>
    </row>
    <row r="548" spans="1:23" x14ac:dyDescent="0.2">
      <c r="A548">
        <v>2021</v>
      </c>
      <c r="B548" t="s">
        <v>23</v>
      </c>
      <c r="C548" t="s">
        <v>24</v>
      </c>
      <c r="D548">
        <v>37</v>
      </c>
      <c r="E548">
        <v>1</v>
      </c>
      <c r="F548">
        <v>14</v>
      </c>
      <c r="G548" t="s">
        <v>61</v>
      </c>
      <c r="H548" s="1">
        <v>7</v>
      </c>
      <c r="I548" s="1">
        <v>64</v>
      </c>
      <c r="J548" s="1">
        <v>68</v>
      </c>
      <c r="K548" s="1">
        <f t="shared" si="20"/>
        <v>4</v>
      </c>
      <c r="L548" s="1">
        <v>142</v>
      </c>
      <c r="M548" s="1">
        <v>77</v>
      </c>
      <c r="N548" s="1">
        <v>3</v>
      </c>
      <c r="O548" s="1">
        <v>3.5</v>
      </c>
      <c r="P548" s="1">
        <v>7</v>
      </c>
      <c r="Q548" s="2">
        <v>0.38639999999999997</v>
      </c>
      <c r="R548" s="1">
        <v>4</v>
      </c>
      <c r="S548" s="1">
        <f t="shared" si="21"/>
        <v>0.5714285714285714</v>
      </c>
      <c r="T548" s="1">
        <v>5</v>
      </c>
      <c r="U548" s="1">
        <v>12.5</v>
      </c>
      <c r="V548" s="1">
        <v>1414.2745098039213</v>
      </c>
      <c r="W548" s="1">
        <v>4</v>
      </c>
    </row>
    <row r="549" spans="1:23" x14ac:dyDescent="0.2">
      <c r="A549">
        <v>2021</v>
      </c>
      <c r="B549" t="s">
        <v>23</v>
      </c>
      <c r="C549" t="s">
        <v>24</v>
      </c>
      <c r="D549">
        <v>37</v>
      </c>
      <c r="E549">
        <v>2</v>
      </c>
      <c r="F549">
        <v>15</v>
      </c>
      <c r="G549" t="s">
        <v>61</v>
      </c>
      <c r="H549" s="1">
        <v>13</v>
      </c>
      <c r="I549" s="1">
        <v>59</v>
      </c>
      <c r="J549" s="1">
        <v>64</v>
      </c>
      <c r="K549" s="1">
        <f t="shared" si="20"/>
        <v>5</v>
      </c>
      <c r="L549" s="1">
        <v>155</v>
      </c>
      <c r="M549" s="1">
        <v>98</v>
      </c>
      <c r="N549" s="1">
        <v>2</v>
      </c>
      <c r="O549" s="1">
        <v>2.5</v>
      </c>
      <c r="P549" s="1">
        <v>13</v>
      </c>
      <c r="Q549" s="2">
        <v>0.65600000000000003</v>
      </c>
      <c r="R549" s="1">
        <v>9</v>
      </c>
      <c r="S549" s="1">
        <f t="shared" si="21"/>
        <v>0.69230769230769229</v>
      </c>
      <c r="T549" s="1">
        <v>5</v>
      </c>
      <c r="U549" s="1">
        <v>8.1999999999999993</v>
      </c>
      <c r="V549" s="1">
        <v>2519.04</v>
      </c>
      <c r="W549" s="1">
        <v>5</v>
      </c>
    </row>
    <row r="550" spans="1:23" x14ac:dyDescent="0.2">
      <c r="A550">
        <v>2021</v>
      </c>
      <c r="B550" t="s">
        <v>23</v>
      </c>
      <c r="C550" t="s">
        <v>24</v>
      </c>
      <c r="D550">
        <v>38</v>
      </c>
      <c r="E550">
        <v>1</v>
      </c>
      <c r="F550">
        <v>5</v>
      </c>
      <c r="G550" t="s">
        <v>62</v>
      </c>
      <c r="H550">
        <v>16</v>
      </c>
      <c r="I550">
        <v>59</v>
      </c>
      <c r="J550">
        <v>63</v>
      </c>
      <c r="K550">
        <v>4</v>
      </c>
      <c r="L550">
        <v>165</v>
      </c>
      <c r="M550">
        <v>94</v>
      </c>
      <c r="N550">
        <v>1</v>
      </c>
      <c r="O550">
        <v>1.5</v>
      </c>
      <c r="P550">
        <v>16</v>
      </c>
      <c r="Q550">
        <v>1.6</v>
      </c>
      <c r="R550">
        <v>15</v>
      </c>
      <c r="S550">
        <v>0.9375</v>
      </c>
      <c r="T550">
        <v>2</v>
      </c>
      <c r="U550">
        <v>12.8</v>
      </c>
      <c r="V550">
        <v>5836.1307189542486</v>
      </c>
      <c r="W550">
        <v>2</v>
      </c>
    </row>
    <row r="551" spans="1:23" x14ac:dyDescent="0.2">
      <c r="A551">
        <v>2021</v>
      </c>
      <c r="B551" t="s">
        <v>23</v>
      </c>
      <c r="C551" t="s">
        <v>24</v>
      </c>
      <c r="D551">
        <v>38</v>
      </c>
      <c r="E551">
        <v>2</v>
      </c>
      <c r="F551">
        <v>3</v>
      </c>
      <c r="G551" t="s">
        <v>62</v>
      </c>
      <c r="H551" s="1">
        <v>2</v>
      </c>
      <c r="I551" s="1">
        <v>57</v>
      </c>
      <c r="J551" s="1">
        <v>60</v>
      </c>
      <c r="K551" s="1">
        <f>J551-I551</f>
        <v>3</v>
      </c>
      <c r="L551" s="1">
        <v>110</v>
      </c>
      <c r="M551" s="1">
        <v>52</v>
      </c>
      <c r="N551" s="1">
        <v>2</v>
      </c>
      <c r="O551" s="1">
        <v>2.5</v>
      </c>
      <c r="P551" s="1">
        <v>2</v>
      </c>
      <c r="Q551" s="2">
        <v>0.24149999999999999</v>
      </c>
      <c r="R551" s="1">
        <v>3</v>
      </c>
      <c r="S551" s="1">
        <f>R551/P551</f>
        <v>1.5</v>
      </c>
      <c r="T551" s="1">
        <v>3</v>
      </c>
      <c r="U551" s="1">
        <v>10.1</v>
      </c>
      <c r="V551" s="1">
        <v>908.166274509804</v>
      </c>
      <c r="W551" s="1">
        <v>4</v>
      </c>
    </row>
    <row r="552" spans="1:23" x14ac:dyDescent="0.2">
      <c r="A552">
        <v>2021</v>
      </c>
      <c r="B552" t="s">
        <v>23</v>
      </c>
      <c r="C552" t="s">
        <v>24</v>
      </c>
      <c r="D552">
        <v>39</v>
      </c>
      <c r="E552">
        <v>1</v>
      </c>
      <c r="F552">
        <v>15</v>
      </c>
      <c r="G552" t="s">
        <v>63</v>
      </c>
      <c r="H552" s="1">
        <v>6</v>
      </c>
      <c r="I552" s="1">
        <v>64</v>
      </c>
      <c r="J552" s="1">
        <v>69</v>
      </c>
      <c r="K552" s="1">
        <f>J552-I552</f>
        <v>5</v>
      </c>
      <c r="L552" s="1">
        <v>128</v>
      </c>
      <c r="M552" s="1">
        <v>36</v>
      </c>
      <c r="N552" s="1">
        <v>2.5</v>
      </c>
      <c r="O552" s="1">
        <v>3.5</v>
      </c>
      <c r="P552" s="1">
        <v>6</v>
      </c>
      <c r="Q552" s="2">
        <v>0.222</v>
      </c>
      <c r="R552" s="1">
        <v>6</v>
      </c>
      <c r="S552" s="1">
        <f>R552/P552</f>
        <v>1</v>
      </c>
      <c r="T552" s="1">
        <v>4</v>
      </c>
      <c r="U552" s="1">
        <v>12.5</v>
      </c>
      <c r="V552" s="1">
        <v>812.54901960784309</v>
      </c>
      <c r="W552" s="1">
        <v>4</v>
      </c>
    </row>
    <row r="553" spans="1:23" x14ac:dyDescent="0.2">
      <c r="A553">
        <v>2021</v>
      </c>
      <c r="B553" t="s">
        <v>23</v>
      </c>
      <c r="C553" t="s">
        <v>24</v>
      </c>
      <c r="D553">
        <v>39</v>
      </c>
      <c r="E553">
        <v>2</v>
      </c>
      <c r="F553">
        <v>4</v>
      </c>
      <c r="G553" t="s">
        <v>63</v>
      </c>
      <c r="H553">
        <v>1</v>
      </c>
      <c r="I553">
        <v>62</v>
      </c>
      <c r="J553">
        <v>65</v>
      </c>
      <c r="K553">
        <v>3</v>
      </c>
      <c r="L553">
        <v>169</v>
      </c>
      <c r="M553">
        <v>65</v>
      </c>
      <c r="N553">
        <v>1.5</v>
      </c>
      <c r="O553">
        <v>3.5</v>
      </c>
      <c r="P553">
        <v>1</v>
      </c>
      <c r="Q553">
        <v>0.1</v>
      </c>
      <c r="R553">
        <v>1</v>
      </c>
      <c r="S553">
        <v>1</v>
      </c>
      <c r="T553">
        <v>2.5</v>
      </c>
      <c r="U553">
        <v>12.5</v>
      </c>
      <c r="V553">
        <v>366.01307189542484</v>
      </c>
      <c r="W553">
        <v>2</v>
      </c>
    </row>
    <row r="554" spans="1:23" x14ac:dyDescent="0.2">
      <c r="A554">
        <v>2021</v>
      </c>
      <c r="B554" t="s">
        <v>23</v>
      </c>
      <c r="C554" t="s">
        <v>24</v>
      </c>
      <c r="D554">
        <v>40</v>
      </c>
      <c r="E554">
        <v>1</v>
      </c>
      <c r="F554">
        <v>12</v>
      </c>
      <c r="G554" t="s">
        <v>64</v>
      </c>
      <c r="H554">
        <v>14</v>
      </c>
      <c r="I554">
        <v>52</v>
      </c>
      <c r="J554">
        <v>55</v>
      </c>
      <c r="K554">
        <v>3</v>
      </c>
      <c r="L554">
        <v>170</v>
      </c>
      <c r="M554">
        <v>82</v>
      </c>
      <c r="N554">
        <v>2</v>
      </c>
      <c r="O554">
        <v>2</v>
      </c>
      <c r="P554">
        <v>11</v>
      </c>
      <c r="Q554">
        <v>0.6</v>
      </c>
      <c r="R554">
        <v>9</v>
      </c>
      <c r="S554">
        <v>0.81818181818181823</v>
      </c>
      <c r="T554">
        <v>3</v>
      </c>
      <c r="U554">
        <v>9.6</v>
      </c>
      <c r="V554">
        <v>2268.8627450980393</v>
      </c>
      <c r="W554">
        <v>1</v>
      </c>
    </row>
    <row r="555" spans="1:23" x14ac:dyDescent="0.2">
      <c r="A555">
        <v>2021</v>
      </c>
      <c r="B555" t="s">
        <v>23</v>
      </c>
      <c r="C555" t="s">
        <v>24</v>
      </c>
      <c r="D555">
        <v>40</v>
      </c>
      <c r="E555">
        <v>2</v>
      </c>
      <c r="F555">
        <v>14</v>
      </c>
      <c r="G555" t="s">
        <v>64</v>
      </c>
      <c r="H555" s="1">
        <v>12</v>
      </c>
      <c r="I555" s="1">
        <v>62</v>
      </c>
      <c r="J555" s="1">
        <v>67</v>
      </c>
      <c r="K555" s="1">
        <f>J555-I555</f>
        <v>5</v>
      </c>
      <c r="L555" s="1">
        <v>152</v>
      </c>
      <c r="M555" s="1">
        <v>73</v>
      </c>
      <c r="N555" s="1">
        <v>2</v>
      </c>
      <c r="O555" s="1">
        <v>3.5</v>
      </c>
      <c r="P555" s="1">
        <v>12</v>
      </c>
      <c r="Q555" s="2">
        <v>0.54</v>
      </c>
      <c r="R555" s="1">
        <v>11</v>
      </c>
      <c r="S555" s="1">
        <f>R555/P555</f>
        <v>0.91666666666666663</v>
      </c>
      <c r="T555" s="1">
        <v>4</v>
      </c>
      <c r="U555" s="1">
        <v>9</v>
      </c>
      <c r="V555" s="1">
        <v>2055.5294117647059</v>
      </c>
      <c r="W555" s="1">
        <v>5</v>
      </c>
    </row>
    <row r="556" spans="1:23" x14ac:dyDescent="0.2">
      <c r="A556">
        <v>2021</v>
      </c>
      <c r="B556" t="s">
        <v>23</v>
      </c>
      <c r="C556" t="s">
        <v>24</v>
      </c>
      <c r="D556">
        <v>41</v>
      </c>
      <c r="E556">
        <v>1</v>
      </c>
      <c r="F556">
        <v>7</v>
      </c>
      <c r="G556" t="s">
        <v>65</v>
      </c>
      <c r="H556" s="1">
        <v>4</v>
      </c>
      <c r="I556" s="1">
        <v>59</v>
      </c>
      <c r="J556" s="1">
        <v>64</v>
      </c>
      <c r="K556" s="1">
        <f>J556-I556</f>
        <v>5</v>
      </c>
      <c r="L556" s="1">
        <v>83</v>
      </c>
      <c r="M556" s="1">
        <v>26</v>
      </c>
      <c r="N556" s="1">
        <v>2</v>
      </c>
      <c r="O556" s="1">
        <v>4.5</v>
      </c>
      <c r="P556" s="1">
        <v>3</v>
      </c>
      <c r="Q556" s="2">
        <v>4.5999999999999999E-2</v>
      </c>
      <c r="R556" s="1">
        <v>3</v>
      </c>
      <c r="S556" s="1">
        <f>R556/P556</f>
        <v>1</v>
      </c>
      <c r="T556" s="1">
        <v>5</v>
      </c>
      <c r="U556" s="1">
        <v>12.5</v>
      </c>
      <c r="V556" s="1">
        <v>168.36601307189542</v>
      </c>
      <c r="W556" s="1">
        <v>5</v>
      </c>
    </row>
    <row r="557" spans="1:23" x14ac:dyDescent="0.2">
      <c r="A557">
        <v>2021</v>
      </c>
      <c r="B557" t="s">
        <v>23</v>
      </c>
      <c r="C557" t="s">
        <v>24</v>
      </c>
      <c r="D557">
        <v>41</v>
      </c>
      <c r="E557">
        <v>2</v>
      </c>
      <c r="F557">
        <v>9</v>
      </c>
      <c r="G557" t="s">
        <v>65</v>
      </c>
      <c r="H557">
        <v>16</v>
      </c>
      <c r="I557">
        <v>55</v>
      </c>
      <c r="J557">
        <v>58</v>
      </c>
      <c r="K557">
        <v>3</v>
      </c>
      <c r="L557">
        <v>177</v>
      </c>
      <c r="M557">
        <v>86</v>
      </c>
      <c r="N557">
        <v>1</v>
      </c>
      <c r="O557">
        <v>1.5</v>
      </c>
      <c r="P557">
        <v>13</v>
      </c>
      <c r="Q557">
        <v>1.5</v>
      </c>
      <c r="R557">
        <v>10</v>
      </c>
      <c r="S557">
        <v>0.76923076923076927</v>
      </c>
      <c r="T557">
        <v>2</v>
      </c>
      <c r="U557">
        <v>11.8</v>
      </c>
      <c r="V557">
        <v>5534.1176470588234</v>
      </c>
      <c r="W557">
        <v>1</v>
      </c>
    </row>
    <row r="558" spans="1:23" x14ac:dyDescent="0.2">
      <c r="A558">
        <v>2021</v>
      </c>
      <c r="B558" t="s">
        <v>23</v>
      </c>
      <c r="C558" t="s">
        <v>24</v>
      </c>
      <c r="D558">
        <v>42</v>
      </c>
      <c r="E558">
        <v>1</v>
      </c>
      <c r="F558">
        <v>3</v>
      </c>
      <c r="G558" t="s">
        <v>66</v>
      </c>
      <c r="H558" s="1">
        <v>8</v>
      </c>
      <c r="I558" s="1">
        <v>62</v>
      </c>
      <c r="J558" s="1">
        <v>65</v>
      </c>
      <c r="K558" s="1">
        <f>J558-I558</f>
        <v>3</v>
      </c>
      <c r="L558" s="1">
        <v>145</v>
      </c>
      <c r="M558" s="1">
        <v>51</v>
      </c>
      <c r="N558" s="1">
        <v>2.5</v>
      </c>
      <c r="O558" s="1">
        <v>3</v>
      </c>
      <c r="P558" s="1">
        <v>6</v>
      </c>
      <c r="Q558" s="2">
        <v>0.23400000000000001</v>
      </c>
      <c r="R558" s="1">
        <v>5</v>
      </c>
      <c r="S558" s="1">
        <f>R558/P558</f>
        <v>0.83333333333333337</v>
      </c>
      <c r="T558" s="1">
        <v>4</v>
      </c>
      <c r="U558" s="1">
        <v>12.5</v>
      </c>
      <c r="V558" s="1">
        <v>856.47058823529414</v>
      </c>
      <c r="W558" s="1">
        <v>4</v>
      </c>
    </row>
    <row r="559" spans="1:23" x14ac:dyDescent="0.2">
      <c r="A559">
        <v>2021</v>
      </c>
      <c r="B559" t="s">
        <v>23</v>
      </c>
      <c r="C559" t="s">
        <v>24</v>
      </c>
      <c r="D559">
        <v>42</v>
      </c>
      <c r="E559">
        <v>2</v>
      </c>
      <c r="F559">
        <v>13</v>
      </c>
      <c r="G559" t="s">
        <v>66</v>
      </c>
      <c r="H559" s="1">
        <v>4</v>
      </c>
      <c r="I559" s="1">
        <v>67</v>
      </c>
      <c r="J559" s="1">
        <v>72</v>
      </c>
      <c r="K559" s="1">
        <f>J559-I559</f>
        <v>5</v>
      </c>
      <c r="L559" s="1">
        <v>183</v>
      </c>
      <c r="M559" s="1">
        <v>85</v>
      </c>
      <c r="N559" s="1">
        <v>2</v>
      </c>
      <c r="O559" s="1">
        <v>3</v>
      </c>
      <c r="P559" s="1">
        <v>4</v>
      </c>
      <c r="Q559" s="2">
        <v>0.19600000000000001</v>
      </c>
      <c r="R559" s="1">
        <v>5</v>
      </c>
      <c r="S559" s="1">
        <f>R559/P559</f>
        <v>1.25</v>
      </c>
      <c r="T559" s="1">
        <v>4</v>
      </c>
      <c r="U559" s="1">
        <v>8.1999999999999993</v>
      </c>
      <c r="V559" s="1">
        <v>752.63999999999987</v>
      </c>
      <c r="W559" s="1">
        <v>5</v>
      </c>
    </row>
    <row r="560" spans="1:23" x14ac:dyDescent="0.2">
      <c r="A560">
        <v>2021</v>
      </c>
      <c r="B560" t="s">
        <v>23</v>
      </c>
      <c r="C560" t="s">
        <v>24</v>
      </c>
      <c r="D560">
        <v>43</v>
      </c>
      <c r="E560">
        <v>1</v>
      </c>
      <c r="F560">
        <v>10</v>
      </c>
      <c r="G560" t="s">
        <v>67</v>
      </c>
      <c r="H560" s="1">
        <v>8</v>
      </c>
      <c r="I560" s="1">
        <v>66</v>
      </c>
      <c r="J560" s="1">
        <v>70</v>
      </c>
      <c r="K560" s="1">
        <f>J560-I560</f>
        <v>4</v>
      </c>
      <c r="L560" s="1">
        <v>106</v>
      </c>
      <c r="M560" s="1">
        <v>36</v>
      </c>
      <c r="N560" s="1">
        <v>2.5</v>
      </c>
      <c r="O560" s="1">
        <v>4.5</v>
      </c>
      <c r="P560" s="1">
        <v>6</v>
      </c>
      <c r="Q560" s="2">
        <v>0.35</v>
      </c>
      <c r="R560" s="1">
        <v>5</v>
      </c>
      <c r="S560" s="1">
        <f>R560/P560</f>
        <v>0.83333333333333337</v>
      </c>
      <c r="T560" s="1">
        <v>3.5</v>
      </c>
      <c r="U560" s="1">
        <v>12.5</v>
      </c>
      <c r="V560" s="1">
        <v>1281.0457516339868</v>
      </c>
      <c r="W560" s="1">
        <v>5</v>
      </c>
    </row>
    <row r="561" spans="1:23" x14ac:dyDescent="0.2">
      <c r="A561">
        <v>2021</v>
      </c>
      <c r="B561" t="s">
        <v>23</v>
      </c>
      <c r="C561" t="s">
        <v>24</v>
      </c>
      <c r="D561">
        <v>43</v>
      </c>
      <c r="E561">
        <v>2</v>
      </c>
      <c r="F561">
        <v>10</v>
      </c>
      <c r="G561" t="s">
        <v>67</v>
      </c>
      <c r="H561" s="1">
        <v>6</v>
      </c>
      <c r="I561" s="1">
        <v>65</v>
      </c>
      <c r="J561" s="1">
        <v>71</v>
      </c>
      <c r="K561" s="1">
        <f>J561-I561</f>
        <v>6</v>
      </c>
      <c r="L561" s="1">
        <v>123</v>
      </c>
      <c r="M561" s="1">
        <v>72</v>
      </c>
      <c r="N561" s="1">
        <v>2</v>
      </c>
      <c r="O561" s="1">
        <v>3.5</v>
      </c>
      <c r="P561" s="1">
        <v>6</v>
      </c>
      <c r="Q561" s="2">
        <v>0.18840000000000001</v>
      </c>
      <c r="R561" s="1">
        <v>3</v>
      </c>
      <c r="S561" s="1">
        <f>R561/P561</f>
        <v>0.5</v>
      </c>
      <c r="T561" s="1">
        <v>5</v>
      </c>
      <c r="U561" s="1">
        <v>14.1</v>
      </c>
      <c r="V561" s="1">
        <v>676.9593725490198</v>
      </c>
      <c r="W561" s="1">
        <v>4</v>
      </c>
    </row>
    <row r="562" spans="1:23" x14ac:dyDescent="0.2">
      <c r="A562">
        <v>2021</v>
      </c>
      <c r="B562" t="s">
        <v>23</v>
      </c>
      <c r="C562" t="s">
        <v>24</v>
      </c>
      <c r="D562">
        <v>44</v>
      </c>
      <c r="E562">
        <v>1</v>
      </c>
      <c r="F562">
        <v>14</v>
      </c>
      <c r="G562" t="s">
        <v>68</v>
      </c>
      <c r="H562">
        <v>15</v>
      </c>
      <c r="I562">
        <v>54</v>
      </c>
      <c r="J562">
        <v>57</v>
      </c>
      <c r="K562">
        <v>3</v>
      </c>
      <c r="L562">
        <v>167</v>
      </c>
      <c r="M562">
        <v>93</v>
      </c>
      <c r="N562">
        <v>2</v>
      </c>
      <c r="O562">
        <v>2</v>
      </c>
      <c r="P562">
        <v>11</v>
      </c>
      <c r="Q562">
        <v>0.7</v>
      </c>
      <c r="R562">
        <v>10</v>
      </c>
      <c r="S562">
        <v>0.90909090909090906</v>
      </c>
      <c r="T562">
        <v>3</v>
      </c>
      <c r="U562">
        <v>8.6</v>
      </c>
      <c r="V562">
        <v>2676.2875816993464</v>
      </c>
      <c r="W562">
        <v>2</v>
      </c>
    </row>
    <row r="563" spans="1:23" x14ac:dyDescent="0.2">
      <c r="A563">
        <v>2021</v>
      </c>
      <c r="B563" t="s">
        <v>23</v>
      </c>
      <c r="C563" t="s">
        <v>24</v>
      </c>
      <c r="D563">
        <v>44</v>
      </c>
      <c r="E563">
        <v>2</v>
      </c>
      <c r="F563">
        <v>12</v>
      </c>
      <c r="G563" t="s">
        <v>68</v>
      </c>
      <c r="H563" s="1">
        <v>6</v>
      </c>
      <c r="I563" s="1">
        <v>64</v>
      </c>
      <c r="J563" s="1">
        <v>69</v>
      </c>
      <c r="K563" s="1">
        <f>J563-I563</f>
        <v>5</v>
      </c>
      <c r="L563" s="1">
        <v>115</v>
      </c>
      <c r="M563" s="1">
        <v>71</v>
      </c>
      <c r="N563" s="1">
        <v>2.5</v>
      </c>
      <c r="O563" s="1">
        <v>4.5</v>
      </c>
      <c r="P563" s="1">
        <v>6</v>
      </c>
      <c r="Q563" s="2">
        <v>0.16400000000000001</v>
      </c>
      <c r="R563" s="1">
        <v>3</v>
      </c>
      <c r="S563" s="1">
        <f>R563/P563</f>
        <v>0.5</v>
      </c>
      <c r="T563" s="1">
        <v>3.5</v>
      </c>
      <c r="U563" s="1">
        <v>12.5</v>
      </c>
      <c r="V563" s="1">
        <v>600.26143790849665</v>
      </c>
      <c r="W563" s="1">
        <v>6</v>
      </c>
    </row>
    <row r="564" spans="1:23" x14ac:dyDescent="0.2">
      <c r="A564">
        <v>2021</v>
      </c>
      <c r="B564" t="s">
        <v>23</v>
      </c>
      <c r="C564" t="s">
        <v>24</v>
      </c>
      <c r="D564">
        <v>45</v>
      </c>
      <c r="E564">
        <v>1</v>
      </c>
      <c r="F564">
        <v>7</v>
      </c>
      <c r="G564" t="s">
        <v>69</v>
      </c>
      <c r="H564">
        <v>2</v>
      </c>
      <c r="I564">
        <v>63</v>
      </c>
      <c r="J564">
        <v>65</v>
      </c>
      <c r="K564">
        <v>2</v>
      </c>
      <c r="L564">
        <v>140</v>
      </c>
      <c r="M564">
        <v>56</v>
      </c>
      <c r="N564">
        <v>2</v>
      </c>
      <c r="O564">
        <v>3</v>
      </c>
      <c r="P564">
        <v>2</v>
      </c>
      <c r="Q564">
        <v>0.2</v>
      </c>
      <c r="R564">
        <v>2</v>
      </c>
      <c r="S564">
        <v>1</v>
      </c>
      <c r="T564">
        <v>2.5</v>
      </c>
      <c r="U564">
        <v>12.5</v>
      </c>
      <c r="V564">
        <v>732.02614379084969</v>
      </c>
      <c r="W564">
        <v>1</v>
      </c>
    </row>
    <row r="565" spans="1:23" x14ac:dyDescent="0.2">
      <c r="A565">
        <v>2021</v>
      </c>
      <c r="B565" t="s">
        <v>23</v>
      </c>
      <c r="C565" t="s">
        <v>24</v>
      </c>
      <c r="D565">
        <v>45</v>
      </c>
      <c r="E565">
        <v>2</v>
      </c>
      <c r="F565">
        <v>11</v>
      </c>
      <c r="G565" t="s">
        <v>69</v>
      </c>
      <c r="H565">
        <v>7</v>
      </c>
      <c r="I565">
        <v>59</v>
      </c>
      <c r="J565">
        <v>62</v>
      </c>
      <c r="K565">
        <v>3</v>
      </c>
      <c r="L565">
        <v>150</v>
      </c>
      <c r="M565">
        <v>65</v>
      </c>
      <c r="N565">
        <v>1.5</v>
      </c>
      <c r="O565">
        <v>3.5</v>
      </c>
      <c r="P565">
        <v>7</v>
      </c>
      <c r="Q565">
        <v>0.5</v>
      </c>
      <c r="R565">
        <v>6</v>
      </c>
      <c r="S565">
        <v>0.8571428571428571</v>
      </c>
      <c r="T565" t="s">
        <v>273</v>
      </c>
      <c r="U565">
        <v>12.5</v>
      </c>
      <c r="V565">
        <v>1830.0653594771243</v>
      </c>
      <c r="W565">
        <v>2</v>
      </c>
    </row>
    <row r="566" spans="1:23" x14ac:dyDescent="0.2">
      <c r="A566">
        <v>2021</v>
      </c>
      <c r="B566" t="s">
        <v>23</v>
      </c>
      <c r="C566" t="s">
        <v>24</v>
      </c>
      <c r="D566">
        <v>46</v>
      </c>
      <c r="E566">
        <v>1</v>
      </c>
      <c r="F566">
        <v>8</v>
      </c>
      <c r="G566" t="s">
        <v>70</v>
      </c>
      <c r="H566" s="1">
        <v>7</v>
      </c>
      <c r="I566" s="1">
        <v>65</v>
      </c>
      <c r="J566" s="1">
        <v>68</v>
      </c>
      <c r="K566" s="1">
        <f>J566-I566</f>
        <v>3</v>
      </c>
      <c r="L566" s="1">
        <v>110</v>
      </c>
      <c r="M566" s="1">
        <v>30</v>
      </c>
      <c r="N566" s="1">
        <v>2</v>
      </c>
      <c r="O566" s="1">
        <v>4</v>
      </c>
      <c r="P566" s="1">
        <v>5</v>
      </c>
      <c r="Q566" s="2">
        <v>0.126</v>
      </c>
      <c r="R566" s="1">
        <v>4</v>
      </c>
      <c r="S566" s="1">
        <f>R566/P566</f>
        <v>0.8</v>
      </c>
      <c r="T566" s="1">
        <v>5</v>
      </c>
      <c r="U566" s="1">
        <v>12.5</v>
      </c>
      <c r="V566" s="1">
        <v>461.17647058823536</v>
      </c>
      <c r="W566" s="1">
        <v>6</v>
      </c>
    </row>
    <row r="567" spans="1:23" x14ac:dyDescent="0.2">
      <c r="A567">
        <v>2021</v>
      </c>
      <c r="B567" t="s">
        <v>23</v>
      </c>
      <c r="C567" t="s">
        <v>24</v>
      </c>
      <c r="D567">
        <v>46</v>
      </c>
      <c r="E567">
        <v>2</v>
      </c>
      <c r="F567">
        <v>15</v>
      </c>
      <c r="G567" t="s">
        <v>70</v>
      </c>
      <c r="H567">
        <v>5</v>
      </c>
      <c r="I567">
        <v>55</v>
      </c>
      <c r="J567">
        <v>59</v>
      </c>
      <c r="K567">
        <v>4</v>
      </c>
      <c r="L567">
        <v>67</v>
      </c>
      <c r="M567">
        <v>28</v>
      </c>
      <c r="N567">
        <v>1</v>
      </c>
      <c r="O567">
        <v>2</v>
      </c>
      <c r="P567">
        <v>5</v>
      </c>
      <c r="Q567">
        <v>0.25600000000000001</v>
      </c>
      <c r="R567">
        <v>5</v>
      </c>
      <c r="S567">
        <v>1</v>
      </c>
      <c r="T567">
        <v>3</v>
      </c>
      <c r="U567">
        <v>12.5</v>
      </c>
      <c r="V567">
        <v>936.99346405228766</v>
      </c>
      <c r="W567">
        <v>2</v>
      </c>
    </row>
    <row r="568" spans="1:23" x14ac:dyDescent="0.2">
      <c r="A568">
        <v>2021</v>
      </c>
      <c r="B568" t="s">
        <v>23</v>
      </c>
      <c r="C568" t="s">
        <v>24</v>
      </c>
      <c r="D568">
        <v>47</v>
      </c>
      <c r="E568">
        <v>1</v>
      </c>
      <c r="F568">
        <v>9</v>
      </c>
      <c r="G568" t="s">
        <v>71</v>
      </c>
      <c r="H568" s="3">
        <v>15</v>
      </c>
      <c r="I568" s="3">
        <v>62</v>
      </c>
      <c r="J568" s="3">
        <v>67</v>
      </c>
      <c r="K568" s="3">
        <f>J568-I568</f>
        <v>5</v>
      </c>
      <c r="L568" s="3">
        <v>178</v>
      </c>
      <c r="M568" s="3">
        <v>63</v>
      </c>
      <c r="N568" s="3">
        <v>2</v>
      </c>
      <c r="O568" s="3">
        <v>3.5</v>
      </c>
      <c r="P568" s="3">
        <v>12</v>
      </c>
      <c r="Q568" s="4">
        <v>0.19725000000000001</v>
      </c>
      <c r="R568" s="3">
        <v>8</v>
      </c>
      <c r="S568" s="3">
        <f>R568/P568</f>
        <v>0.66666666666666663</v>
      </c>
      <c r="T568" s="3">
        <v>5</v>
      </c>
      <c r="U568" s="3">
        <v>12.5</v>
      </c>
      <c r="V568" s="3">
        <v>721.96078431372564</v>
      </c>
      <c r="W568" s="3">
        <v>6</v>
      </c>
    </row>
    <row r="569" spans="1:23" x14ac:dyDescent="0.2">
      <c r="A569">
        <v>2021</v>
      </c>
      <c r="B569" t="s">
        <v>23</v>
      </c>
      <c r="C569" t="s">
        <v>24</v>
      </c>
      <c r="D569">
        <v>47</v>
      </c>
      <c r="E569">
        <v>2</v>
      </c>
      <c r="F569">
        <v>7</v>
      </c>
      <c r="G569" t="s">
        <v>71</v>
      </c>
      <c r="H569">
        <v>5</v>
      </c>
      <c r="I569">
        <v>60</v>
      </c>
      <c r="J569">
        <v>64</v>
      </c>
      <c r="K569">
        <v>4</v>
      </c>
      <c r="L569">
        <v>137</v>
      </c>
      <c r="M569">
        <v>65</v>
      </c>
      <c r="N569">
        <v>1.5</v>
      </c>
      <c r="O569">
        <v>2</v>
      </c>
      <c r="P569">
        <v>5</v>
      </c>
      <c r="Q569">
        <v>0.3</v>
      </c>
      <c r="R569">
        <v>5</v>
      </c>
      <c r="S569">
        <v>1</v>
      </c>
      <c r="T569">
        <v>2.5</v>
      </c>
      <c r="U569">
        <v>12.5</v>
      </c>
      <c r="V569">
        <v>1098.0392156862745</v>
      </c>
      <c r="W569">
        <v>1</v>
      </c>
    </row>
    <row r="570" spans="1:23" x14ac:dyDescent="0.2">
      <c r="A570">
        <v>2021</v>
      </c>
      <c r="B570" t="s">
        <v>23</v>
      </c>
      <c r="C570" t="s">
        <v>24</v>
      </c>
      <c r="D570">
        <v>48</v>
      </c>
      <c r="E570">
        <v>1</v>
      </c>
      <c r="F570">
        <v>4</v>
      </c>
      <c r="G570" t="s">
        <v>72</v>
      </c>
      <c r="H570">
        <v>10</v>
      </c>
      <c r="I570">
        <v>55</v>
      </c>
      <c r="J570">
        <v>59</v>
      </c>
      <c r="K570">
        <v>4</v>
      </c>
      <c r="L570">
        <v>72</v>
      </c>
      <c r="M570">
        <v>38</v>
      </c>
      <c r="N570">
        <v>2</v>
      </c>
      <c r="O570">
        <v>2</v>
      </c>
      <c r="P570">
        <v>10</v>
      </c>
      <c r="Q570">
        <v>1.163</v>
      </c>
      <c r="R570">
        <v>10</v>
      </c>
      <c r="S570">
        <v>1</v>
      </c>
      <c r="T570">
        <v>3</v>
      </c>
      <c r="U570">
        <v>12.5</v>
      </c>
      <c r="V570">
        <v>4256.7320261437908</v>
      </c>
      <c r="W570">
        <v>2</v>
      </c>
    </row>
    <row r="571" spans="1:23" x14ac:dyDescent="0.2">
      <c r="A571">
        <v>2021</v>
      </c>
      <c r="B571" t="s">
        <v>23</v>
      </c>
      <c r="C571" t="s">
        <v>24</v>
      </c>
      <c r="D571">
        <v>48</v>
      </c>
      <c r="E571">
        <v>2</v>
      </c>
      <c r="F571">
        <v>5</v>
      </c>
      <c r="G571" t="s">
        <v>72</v>
      </c>
      <c r="H571">
        <v>7</v>
      </c>
      <c r="I571">
        <v>60</v>
      </c>
      <c r="J571">
        <v>63</v>
      </c>
      <c r="K571">
        <v>3</v>
      </c>
      <c r="L571">
        <v>130</v>
      </c>
      <c r="M571">
        <v>70</v>
      </c>
      <c r="N571">
        <v>2</v>
      </c>
      <c r="O571">
        <v>3</v>
      </c>
      <c r="P571">
        <v>7</v>
      </c>
      <c r="Q571">
        <v>0.8</v>
      </c>
      <c r="R571">
        <v>8</v>
      </c>
      <c r="S571">
        <v>1.1428571428571428</v>
      </c>
      <c r="T571">
        <v>2</v>
      </c>
      <c r="U571">
        <v>12.5</v>
      </c>
      <c r="V571">
        <v>2928.1045751633987</v>
      </c>
      <c r="W571">
        <v>1</v>
      </c>
    </row>
    <row r="572" spans="1:23" x14ac:dyDescent="0.2">
      <c r="A572">
        <v>2021</v>
      </c>
      <c r="B572" t="s">
        <v>23</v>
      </c>
      <c r="C572" t="s">
        <v>24</v>
      </c>
      <c r="D572">
        <v>49</v>
      </c>
      <c r="E572">
        <v>1</v>
      </c>
      <c r="F572">
        <v>6</v>
      </c>
      <c r="G572" t="s">
        <v>73</v>
      </c>
      <c r="H572">
        <v>8</v>
      </c>
      <c r="I572">
        <v>60</v>
      </c>
      <c r="J572">
        <v>63</v>
      </c>
      <c r="K572">
        <v>3</v>
      </c>
      <c r="L572">
        <v>130</v>
      </c>
      <c r="M572">
        <v>70</v>
      </c>
      <c r="N572">
        <v>2</v>
      </c>
      <c r="O572">
        <v>3</v>
      </c>
      <c r="P572">
        <v>8</v>
      </c>
      <c r="Q572">
        <v>0.6</v>
      </c>
      <c r="R572">
        <v>8</v>
      </c>
      <c r="S572">
        <v>1</v>
      </c>
      <c r="T572">
        <v>2</v>
      </c>
      <c r="U572">
        <v>12.5</v>
      </c>
      <c r="V572">
        <v>2196.0784313725489</v>
      </c>
      <c r="W572">
        <v>1</v>
      </c>
    </row>
    <row r="573" spans="1:23" x14ac:dyDescent="0.2">
      <c r="A573">
        <v>2021</v>
      </c>
      <c r="B573" t="s">
        <v>23</v>
      </c>
      <c r="C573" t="s">
        <v>24</v>
      </c>
      <c r="D573">
        <v>49</v>
      </c>
      <c r="E573">
        <v>2</v>
      </c>
      <c r="F573">
        <v>6</v>
      </c>
      <c r="G573" t="s">
        <v>73</v>
      </c>
      <c r="H573">
        <v>10</v>
      </c>
      <c r="I573">
        <v>56</v>
      </c>
      <c r="J573">
        <v>60</v>
      </c>
      <c r="K573">
        <v>4</v>
      </c>
      <c r="L573">
        <v>103</v>
      </c>
      <c r="M573">
        <v>83</v>
      </c>
      <c r="N573">
        <v>1.5</v>
      </c>
      <c r="O573">
        <v>2</v>
      </c>
      <c r="P573">
        <v>9</v>
      </c>
      <c r="Q573">
        <v>1.2</v>
      </c>
      <c r="R573">
        <v>7</v>
      </c>
      <c r="S573">
        <v>0.77777777777777779</v>
      </c>
      <c r="T573">
        <v>2</v>
      </c>
      <c r="U573">
        <v>12.5</v>
      </c>
      <c r="V573">
        <v>4392.1568627450979</v>
      </c>
      <c r="W573">
        <v>2</v>
      </c>
    </row>
    <row r="574" spans="1:23" x14ac:dyDescent="0.2">
      <c r="A574">
        <v>2021</v>
      </c>
      <c r="B574" t="s">
        <v>23</v>
      </c>
      <c r="C574" t="s">
        <v>24</v>
      </c>
      <c r="D574">
        <v>50</v>
      </c>
      <c r="E574">
        <v>1</v>
      </c>
      <c r="F574">
        <v>4</v>
      </c>
      <c r="G574" t="s">
        <v>74</v>
      </c>
      <c r="H574">
        <v>6</v>
      </c>
      <c r="I574">
        <v>59</v>
      </c>
      <c r="J574">
        <v>62</v>
      </c>
      <c r="K574">
        <v>3</v>
      </c>
      <c r="L574">
        <v>145</v>
      </c>
      <c r="M574">
        <v>50</v>
      </c>
      <c r="N574">
        <v>2</v>
      </c>
      <c r="O574">
        <v>3</v>
      </c>
      <c r="P574">
        <v>6</v>
      </c>
      <c r="Q574">
        <v>0.2</v>
      </c>
      <c r="R574">
        <v>6</v>
      </c>
      <c r="S574">
        <v>1</v>
      </c>
      <c r="T574">
        <v>3</v>
      </c>
      <c r="U574">
        <v>12.5</v>
      </c>
      <c r="V574">
        <v>732.02614379084969</v>
      </c>
      <c r="W574">
        <v>1</v>
      </c>
    </row>
    <row r="575" spans="1:23" x14ac:dyDescent="0.2">
      <c r="A575">
        <v>2021</v>
      </c>
      <c r="B575" t="s">
        <v>23</v>
      </c>
      <c r="C575" t="s">
        <v>24</v>
      </c>
      <c r="D575">
        <v>50</v>
      </c>
      <c r="E575">
        <v>2</v>
      </c>
      <c r="F575">
        <v>13</v>
      </c>
      <c r="G575" t="s">
        <v>74</v>
      </c>
      <c r="H575" s="1">
        <v>5</v>
      </c>
      <c r="I575" s="1">
        <v>67</v>
      </c>
      <c r="J575" s="1">
        <v>72</v>
      </c>
      <c r="K575" s="1">
        <f>J575-I575</f>
        <v>5</v>
      </c>
      <c r="L575" s="1">
        <v>160</v>
      </c>
      <c r="M575" s="1">
        <v>73</v>
      </c>
      <c r="N575" s="1">
        <v>1.5</v>
      </c>
      <c r="O575" s="1">
        <v>4.5</v>
      </c>
      <c r="P575" s="1">
        <v>4</v>
      </c>
      <c r="Q575" s="2">
        <v>0.106</v>
      </c>
      <c r="R575" s="1">
        <v>4</v>
      </c>
      <c r="S575" s="1">
        <f>R575/P575</f>
        <v>1</v>
      </c>
      <c r="T575" s="1">
        <v>5</v>
      </c>
      <c r="U575" s="1">
        <v>12.5</v>
      </c>
      <c r="V575" s="1">
        <v>387.97385620915037</v>
      </c>
      <c r="W575" s="1">
        <v>6</v>
      </c>
    </row>
    <row r="576" spans="1:23" x14ac:dyDescent="0.2">
      <c r="A576">
        <v>2021</v>
      </c>
      <c r="B576" t="s">
        <v>23</v>
      </c>
      <c r="C576" t="s">
        <v>24</v>
      </c>
      <c r="D576">
        <v>51</v>
      </c>
      <c r="E576">
        <v>1</v>
      </c>
      <c r="F576">
        <v>13</v>
      </c>
      <c r="G576" t="s">
        <v>75</v>
      </c>
      <c r="H576">
        <v>8</v>
      </c>
      <c r="I576">
        <v>58</v>
      </c>
      <c r="J576">
        <v>60</v>
      </c>
      <c r="K576">
        <v>2</v>
      </c>
      <c r="L576">
        <v>104</v>
      </c>
      <c r="M576">
        <v>22</v>
      </c>
      <c r="N576">
        <v>2</v>
      </c>
      <c r="O576">
        <v>3</v>
      </c>
      <c r="P576">
        <v>8</v>
      </c>
      <c r="Q576">
        <v>1</v>
      </c>
      <c r="R576">
        <v>9</v>
      </c>
      <c r="S576">
        <v>1.125</v>
      </c>
      <c r="T576">
        <v>2</v>
      </c>
      <c r="U576">
        <v>12.5</v>
      </c>
      <c r="V576">
        <v>3660.1307189542486</v>
      </c>
      <c r="W576">
        <v>1</v>
      </c>
    </row>
    <row r="577" spans="1:23" x14ac:dyDescent="0.2">
      <c r="A577">
        <v>2021</v>
      </c>
      <c r="B577" t="s">
        <v>23</v>
      </c>
      <c r="C577" t="s">
        <v>24</v>
      </c>
      <c r="D577">
        <v>51</v>
      </c>
      <c r="E577">
        <v>2</v>
      </c>
      <c r="F577">
        <v>15</v>
      </c>
      <c r="G577" t="s">
        <v>75</v>
      </c>
      <c r="H577" s="1">
        <v>3</v>
      </c>
      <c r="I577" s="1">
        <v>62</v>
      </c>
      <c r="J577" s="1">
        <v>66</v>
      </c>
      <c r="K577" s="1">
        <f>J577-I577</f>
        <v>4</v>
      </c>
      <c r="L577" s="1">
        <v>131</v>
      </c>
      <c r="M577" s="1">
        <v>67</v>
      </c>
      <c r="N577" s="1">
        <v>2</v>
      </c>
      <c r="O577" s="1">
        <v>3</v>
      </c>
      <c r="P577" s="1">
        <v>3</v>
      </c>
      <c r="Q577" s="2">
        <v>0.19440000000000002</v>
      </c>
      <c r="R577" s="1">
        <v>3</v>
      </c>
      <c r="S577" s="1">
        <f>R577/P577</f>
        <v>1</v>
      </c>
      <c r="T577" s="1">
        <v>4</v>
      </c>
      <c r="U577" s="1">
        <v>12.5</v>
      </c>
      <c r="V577" s="1">
        <v>711.52941176470597</v>
      </c>
      <c r="W577" s="1">
        <v>3</v>
      </c>
    </row>
    <row r="578" spans="1:23" x14ac:dyDescent="0.2">
      <c r="A578">
        <v>2021</v>
      </c>
      <c r="B578" t="s">
        <v>23</v>
      </c>
      <c r="C578" t="s">
        <v>24</v>
      </c>
      <c r="D578">
        <v>52</v>
      </c>
      <c r="E578">
        <v>1</v>
      </c>
      <c r="F578">
        <v>13</v>
      </c>
      <c r="G578" t="s">
        <v>76</v>
      </c>
      <c r="H578">
        <v>14</v>
      </c>
      <c r="I578">
        <v>55</v>
      </c>
      <c r="J578">
        <v>58</v>
      </c>
      <c r="K578">
        <v>3</v>
      </c>
      <c r="L578">
        <v>199</v>
      </c>
      <c r="M578">
        <v>48</v>
      </c>
      <c r="N578">
        <v>1</v>
      </c>
      <c r="O578">
        <v>2.5</v>
      </c>
      <c r="P578">
        <v>14</v>
      </c>
      <c r="Q578">
        <v>1</v>
      </c>
      <c r="R578">
        <v>10</v>
      </c>
      <c r="S578">
        <v>0.7142857142857143</v>
      </c>
      <c r="T578">
        <v>2</v>
      </c>
      <c r="U578">
        <v>11.5</v>
      </c>
      <c r="V578">
        <v>3701.9607843137255</v>
      </c>
      <c r="W578">
        <v>2</v>
      </c>
    </row>
    <row r="579" spans="1:23" x14ac:dyDescent="0.2">
      <c r="A579">
        <v>2021</v>
      </c>
      <c r="B579" t="s">
        <v>23</v>
      </c>
      <c r="C579" t="s">
        <v>24</v>
      </c>
      <c r="D579">
        <v>52</v>
      </c>
      <c r="E579">
        <v>2</v>
      </c>
      <c r="F579">
        <v>5</v>
      </c>
      <c r="G579" t="s">
        <v>76</v>
      </c>
      <c r="H579">
        <v>9</v>
      </c>
      <c r="I579">
        <v>58</v>
      </c>
      <c r="J579">
        <v>60</v>
      </c>
      <c r="K579">
        <v>2</v>
      </c>
      <c r="L579">
        <v>102</v>
      </c>
      <c r="M579">
        <v>27</v>
      </c>
      <c r="N579">
        <v>2</v>
      </c>
      <c r="O579">
        <v>3</v>
      </c>
      <c r="P579">
        <v>9</v>
      </c>
      <c r="Q579">
        <v>1</v>
      </c>
      <c r="R579">
        <v>9</v>
      </c>
      <c r="S579">
        <v>1</v>
      </c>
      <c r="T579">
        <v>3</v>
      </c>
      <c r="U579">
        <v>12.5</v>
      </c>
      <c r="V579">
        <v>3660.1307189542486</v>
      </c>
      <c r="W579">
        <v>1</v>
      </c>
    </row>
    <row r="580" spans="1:23" x14ac:dyDescent="0.2">
      <c r="A580">
        <v>2021</v>
      </c>
      <c r="B580" t="s">
        <v>23</v>
      </c>
      <c r="C580" t="s">
        <v>24</v>
      </c>
      <c r="D580">
        <v>53</v>
      </c>
      <c r="E580">
        <v>1</v>
      </c>
      <c r="F580">
        <v>5</v>
      </c>
      <c r="G580" t="s">
        <v>77</v>
      </c>
      <c r="H580" s="1">
        <v>12</v>
      </c>
      <c r="I580" s="1">
        <v>61</v>
      </c>
      <c r="J580" s="1">
        <v>66</v>
      </c>
      <c r="K580" s="1">
        <f>J580-I580</f>
        <v>5</v>
      </c>
      <c r="L580" s="1">
        <v>102</v>
      </c>
      <c r="M580" s="1">
        <v>83</v>
      </c>
      <c r="N580" s="1">
        <v>2</v>
      </c>
      <c r="O580" s="1">
        <v>3.5</v>
      </c>
      <c r="P580" s="1">
        <f>H580</f>
        <v>12</v>
      </c>
      <c r="Q580" s="2">
        <v>0.40649999999999997</v>
      </c>
      <c r="R580" s="1">
        <v>10</v>
      </c>
      <c r="S580" s="1">
        <f>R580/P580</f>
        <v>0.83333333333333337</v>
      </c>
      <c r="T580" s="1">
        <v>5</v>
      </c>
      <c r="U580" s="1">
        <v>12.5</v>
      </c>
      <c r="V580" s="1">
        <v>1487.8431372549016</v>
      </c>
      <c r="W580" s="1">
        <v>6</v>
      </c>
    </row>
    <row r="581" spans="1:23" x14ac:dyDescent="0.2">
      <c r="A581">
        <v>2021</v>
      </c>
      <c r="B581" t="s">
        <v>23</v>
      </c>
      <c r="C581" t="s">
        <v>24</v>
      </c>
      <c r="D581">
        <v>53</v>
      </c>
      <c r="E581">
        <v>2</v>
      </c>
      <c r="F581">
        <v>3</v>
      </c>
      <c r="G581" t="s">
        <v>77</v>
      </c>
      <c r="H581" s="1">
        <v>6</v>
      </c>
      <c r="I581" s="1">
        <v>70</v>
      </c>
      <c r="J581" s="1">
        <v>74</v>
      </c>
      <c r="K581" s="1">
        <f>J581-I581</f>
        <v>4</v>
      </c>
      <c r="L581" s="1">
        <v>119</v>
      </c>
      <c r="M581" s="1">
        <v>36</v>
      </c>
      <c r="N581" s="1">
        <v>2.5</v>
      </c>
      <c r="O581" s="1">
        <v>4.5</v>
      </c>
      <c r="P581" s="1">
        <v>1</v>
      </c>
      <c r="Q581" s="2">
        <v>1.7999999999999999E-2</v>
      </c>
      <c r="R581" s="1">
        <v>1</v>
      </c>
      <c r="S581" s="1">
        <f>R581/P581</f>
        <v>1</v>
      </c>
      <c r="T581" s="1">
        <v>5</v>
      </c>
      <c r="U581" s="1">
        <v>12.5</v>
      </c>
      <c r="V581" s="1">
        <v>65.882352941176478</v>
      </c>
      <c r="W581" s="1">
        <v>7</v>
      </c>
    </row>
    <row r="582" spans="1:23" x14ac:dyDescent="0.2">
      <c r="A582">
        <v>2021</v>
      </c>
      <c r="B582" t="s">
        <v>23</v>
      </c>
      <c r="C582" t="s">
        <v>24</v>
      </c>
      <c r="D582">
        <v>54</v>
      </c>
      <c r="E582">
        <v>1</v>
      </c>
      <c r="F582">
        <v>14</v>
      </c>
      <c r="G582" t="s">
        <v>78</v>
      </c>
      <c r="H582" s="1">
        <v>7</v>
      </c>
      <c r="I582" s="1">
        <v>67</v>
      </c>
      <c r="J582" s="1">
        <v>72</v>
      </c>
      <c r="K582" s="1">
        <f>J582-I582</f>
        <v>5</v>
      </c>
      <c r="L582" s="1">
        <v>145</v>
      </c>
      <c r="M582" s="1">
        <v>63</v>
      </c>
      <c r="N582" s="1">
        <v>2</v>
      </c>
      <c r="O582" s="1">
        <v>2</v>
      </c>
      <c r="P582" s="1">
        <f>H582-2</f>
        <v>5</v>
      </c>
      <c r="Q582" s="2">
        <v>0.156</v>
      </c>
      <c r="R582" s="1">
        <v>3</v>
      </c>
      <c r="S582" s="1">
        <f>R582/P582</f>
        <v>0.6</v>
      </c>
      <c r="T582" s="1">
        <v>3</v>
      </c>
      <c r="U582" s="1">
        <v>12.5</v>
      </c>
      <c r="V582" s="1">
        <v>570.98039215686276</v>
      </c>
      <c r="W582" s="1">
        <v>5</v>
      </c>
    </row>
    <row r="583" spans="1:23" x14ac:dyDescent="0.2">
      <c r="A583">
        <v>2021</v>
      </c>
      <c r="B583" t="s">
        <v>23</v>
      </c>
      <c r="C583" t="s">
        <v>24</v>
      </c>
      <c r="D583">
        <v>54</v>
      </c>
      <c r="E583">
        <v>2</v>
      </c>
      <c r="F583">
        <v>11</v>
      </c>
      <c r="G583" t="s">
        <v>78</v>
      </c>
      <c r="H583" s="1">
        <v>1</v>
      </c>
      <c r="I583" s="1">
        <v>66</v>
      </c>
      <c r="J583" s="1">
        <v>69</v>
      </c>
      <c r="K583" s="1">
        <f>J583-I583</f>
        <v>3</v>
      </c>
      <c r="L583" s="1">
        <v>139</v>
      </c>
      <c r="M583" s="1">
        <v>58</v>
      </c>
      <c r="N583" s="1">
        <v>2</v>
      </c>
      <c r="O583" s="1">
        <v>3.5</v>
      </c>
      <c r="P583" s="1">
        <v>1</v>
      </c>
      <c r="Q583" s="2">
        <v>1.4999999999999999E-2</v>
      </c>
      <c r="R583" s="1">
        <v>1</v>
      </c>
      <c r="S583" s="1">
        <f>R583/P583</f>
        <v>1</v>
      </c>
      <c r="T583" s="1">
        <v>5</v>
      </c>
      <c r="U583" s="1">
        <v>12.5</v>
      </c>
      <c r="V583" s="1">
        <v>54.901960784313729</v>
      </c>
      <c r="W583" s="1">
        <v>4</v>
      </c>
    </row>
    <row r="584" spans="1:23" x14ac:dyDescent="0.2">
      <c r="A584">
        <v>2021</v>
      </c>
      <c r="B584" t="s">
        <v>23</v>
      </c>
      <c r="C584" t="s">
        <v>24</v>
      </c>
      <c r="D584">
        <v>55</v>
      </c>
      <c r="E584">
        <v>1</v>
      </c>
      <c r="F584">
        <v>2</v>
      </c>
      <c r="G584" t="s">
        <v>79</v>
      </c>
      <c r="H584" s="1">
        <v>7</v>
      </c>
      <c r="I584" s="1">
        <v>59</v>
      </c>
      <c r="J584" s="1">
        <v>64</v>
      </c>
      <c r="K584" s="1">
        <f>J584-I584</f>
        <v>5</v>
      </c>
      <c r="L584" s="1">
        <v>156</v>
      </c>
      <c r="M584" s="1">
        <v>61</v>
      </c>
      <c r="N584" s="1">
        <v>3</v>
      </c>
      <c r="O584" s="1">
        <v>4</v>
      </c>
      <c r="P584" s="1">
        <v>6</v>
      </c>
      <c r="Q584" s="2">
        <v>0.23400000000000001</v>
      </c>
      <c r="R584" s="1">
        <v>5</v>
      </c>
      <c r="S584" s="1">
        <f>R584/P584</f>
        <v>0.83333333333333337</v>
      </c>
      <c r="T584" s="1">
        <v>4.5</v>
      </c>
      <c r="U584" s="1">
        <v>12.5</v>
      </c>
      <c r="V584" s="1">
        <v>856.47058823529414</v>
      </c>
      <c r="W584" s="1">
        <v>5</v>
      </c>
    </row>
    <row r="585" spans="1:23" x14ac:dyDescent="0.2">
      <c r="A585">
        <v>2021</v>
      </c>
      <c r="B585" t="s">
        <v>23</v>
      </c>
      <c r="C585" t="s">
        <v>24</v>
      </c>
      <c r="D585">
        <v>55</v>
      </c>
      <c r="E585">
        <v>2</v>
      </c>
      <c r="F585">
        <v>10</v>
      </c>
      <c r="G585" t="s">
        <v>79</v>
      </c>
      <c r="H585">
        <v>8</v>
      </c>
      <c r="I585">
        <v>52</v>
      </c>
      <c r="J585">
        <v>58</v>
      </c>
      <c r="K585">
        <v>6</v>
      </c>
      <c r="L585">
        <v>84</v>
      </c>
      <c r="M585">
        <v>20</v>
      </c>
      <c r="N585">
        <v>4</v>
      </c>
      <c r="O585">
        <v>3</v>
      </c>
      <c r="P585">
        <v>2</v>
      </c>
      <c r="Q585">
        <v>0.2</v>
      </c>
      <c r="R585">
        <v>2</v>
      </c>
      <c r="S585">
        <v>1</v>
      </c>
      <c r="T585">
        <v>4</v>
      </c>
      <c r="U585">
        <v>12.5</v>
      </c>
      <c r="V585">
        <v>732.02614379084969</v>
      </c>
      <c r="W585">
        <v>2</v>
      </c>
    </row>
    <row r="586" spans="1:23" x14ac:dyDescent="0.2">
      <c r="A586">
        <v>2021</v>
      </c>
      <c r="B586" t="s">
        <v>23</v>
      </c>
      <c r="C586" t="s">
        <v>24</v>
      </c>
      <c r="D586">
        <v>56</v>
      </c>
      <c r="E586">
        <v>1</v>
      </c>
      <c r="F586">
        <v>4</v>
      </c>
      <c r="G586" t="s">
        <v>80</v>
      </c>
      <c r="H586">
        <v>4</v>
      </c>
      <c r="I586">
        <v>55</v>
      </c>
      <c r="J586">
        <v>57</v>
      </c>
      <c r="K586">
        <v>2</v>
      </c>
      <c r="L586">
        <v>101</v>
      </c>
      <c r="M586">
        <v>67</v>
      </c>
      <c r="N586">
        <v>4</v>
      </c>
      <c r="O586">
        <v>5</v>
      </c>
      <c r="P586">
        <v>3</v>
      </c>
      <c r="Q586">
        <v>0.13800000000000001</v>
      </c>
      <c r="R586">
        <v>4</v>
      </c>
      <c r="S586">
        <v>1.3333333333333333</v>
      </c>
      <c r="T586">
        <v>3</v>
      </c>
      <c r="U586">
        <v>12.5</v>
      </c>
      <c r="V586">
        <v>505.09803921568641</v>
      </c>
      <c r="W586">
        <v>2</v>
      </c>
    </row>
    <row r="587" spans="1:23" x14ac:dyDescent="0.2">
      <c r="A587">
        <v>2021</v>
      </c>
      <c r="B587" t="s">
        <v>23</v>
      </c>
      <c r="C587" t="s">
        <v>24</v>
      </c>
      <c r="D587">
        <v>56</v>
      </c>
      <c r="E587">
        <v>2</v>
      </c>
      <c r="F587">
        <v>12</v>
      </c>
      <c r="G587" t="s">
        <v>80</v>
      </c>
      <c r="H587">
        <v>3</v>
      </c>
      <c r="I587">
        <v>63</v>
      </c>
      <c r="J587">
        <v>65</v>
      </c>
      <c r="K587">
        <v>2</v>
      </c>
      <c r="L587">
        <v>145</v>
      </c>
      <c r="M587">
        <v>75</v>
      </c>
      <c r="N587">
        <v>1.5</v>
      </c>
      <c r="O587">
        <v>2</v>
      </c>
      <c r="P587">
        <v>3</v>
      </c>
      <c r="Q587">
        <v>0.4</v>
      </c>
      <c r="R587">
        <v>4</v>
      </c>
      <c r="S587">
        <v>1.3333333333333333</v>
      </c>
      <c r="T587">
        <v>2.5</v>
      </c>
      <c r="U587">
        <v>12.5</v>
      </c>
      <c r="V587">
        <v>1464.0522875816994</v>
      </c>
      <c r="W587">
        <v>1</v>
      </c>
    </row>
    <row r="588" spans="1:23" x14ac:dyDescent="0.2">
      <c r="A588">
        <v>2021</v>
      </c>
      <c r="B588" t="s">
        <v>23</v>
      </c>
      <c r="C588" t="s">
        <v>24</v>
      </c>
      <c r="D588">
        <v>57</v>
      </c>
      <c r="E588">
        <v>1</v>
      </c>
      <c r="F588">
        <v>1</v>
      </c>
      <c r="G588" t="s">
        <v>81</v>
      </c>
      <c r="H588" s="1">
        <v>2</v>
      </c>
      <c r="I588" s="1">
        <v>62</v>
      </c>
      <c r="J588" s="1">
        <v>67</v>
      </c>
      <c r="K588" s="1">
        <f t="shared" ref="K588:K593" si="22">J588-I588</f>
        <v>5</v>
      </c>
      <c r="L588" s="1">
        <v>83</v>
      </c>
      <c r="M588" s="1">
        <v>52</v>
      </c>
      <c r="N588" s="1">
        <v>2</v>
      </c>
      <c r="O588" s="1">
        <v>3</v>
      </c>
      <c r="P588" s="1">
        <v>2</v>
      </c>
      <c r="Q588" s="2">
        <v>0.35880000000000001</v>
      </c>
      <c r="R588" s="1">
        <v>2</v>
      </c>
      <c r="S588" s="1">
        <f t="shared" ref="S588:S593" si="23">R588/P588</f>
        <v>1</v>
      </c>
      <c r="T588" s="1">
        <v>3</v>
      </c>
      <c r="U588" s="1">
        <v>12.5</v>
      </c>
      <c r="V588" s="1">
        <v>1313.2549019607843</v>
      </c>
      <c r="W588" s="1">
        <v>3</v>
      </c>
    </row>
    <row r="589" spans="1:23" x14ac:dyDescent="0.2">
      <c r="A589">
        <v>2021</v>
      </c>
      <c r="B589" t="s">
        <v>23</v>
      </c>
      <c r="C589" t="s">
        <v>24</v>
      </c>
      <c r="D589">
        <v>57</v>
      </c>
      <c r="E589">
        <v>2</v>
      </c>
      <c r="F589">
        <v>13</v>
      </c>
      <c r="G589" t="s">
        <v>81</v>
      </c>
      <c r="H589" s="1">
        <v>3</v>
      </c>
      <c r="I589" s="1">
        <v>64</v>
      </c>
      <c r="J589" s="1">
        <v>68</v>
      </c>
      <c r="K589" s="1">
        <f t="shared" si="22"/>
        <v>4</v>
      </c>
      <c r="L589" s="1">
        <v>155</v>
      </c>
      <c r="M589" s="1">
        <v>46</v>
      </c>
      <c r="N589" s="1">
        <v>2</v>
      </c>
      <c r="O589" s="1">
        <v>2.5</v>
      </c>
      <c r="P589" s="1">
        <v>3</v>
      </c>
      <c r="Q589" s="2">
        <v>0.191</v>
      </c>
      <c r="R589" s="1">
        <v>2</v>
      </c>
      <c r="S589" s="1">
        <f t="shared" si="23"/>
        <v>0.66666666666666663</v>
      </c>
      <c r="T589" s="1">
        <v>2</v>
      </c>
      <c r="U589" s="1">
        <v>12.5</v>
      </c>
      <c r="V589" s="1">
        <v>699.08496732026151</v>
      </c>
      <c r="W589" s="1">
        <v>3</v>
      </c>
    </row>
    <row r="590" spans="1:23" x14ac:dyDescent="0.2">
      <c r="A590">
        <v>2021</v>
      </c>
      <c r="B590" t="s">
        <v>23</v>
      </c>
      <c r="C590" t="s">
        <v>24</v>
      </c>
      <c r="D590">
        <v>58</v>
      </c>
      <c r="E590">
        <v>1</v>
      </c>
      <c r="F590">
        <v>10</v>
      </c>
      <c r="G590" t="s">
        <v>82</v>
      </c>
      <c r="H590" s="1">
        <v>14</v>
      </c>
      <c r="I590" s="1">
        <v>59</v>
      </c>
      <c r="J590" s="1">
        <v>62</v>
      </c>
      <c r="K590" s="1">
        <f t="shared" si="22"/>
        <v>3</v>
      </c>
      <c r="L590" s="1">
        <v>178</v>
      </c>
      <c r="M590" s="1">
        <v>73</v>
      </c>
      <c r="N590" s="1">
        <v>2</v>
      </c>
      <c r="O590" s="1">
        <v>3.5</v>
      </c>
      <c r="P590" s="1">
        <f>H590-2</f>
        <v>12</v>
      </c>
      <c r="Q590" s="2">
        <v>0.39937499999999998</v>
      </c>
      <c r="R590" s="1">
        <v>9</v>
      </c>
      <c r="S590" s="1">
        <f t="shared" si="23"/>
        <v>0.75</v>
      </c>
      <c r="T590" s="1">
        <v>5</v>
      </c>
      <c r="U590" s="1">
        <v>12.5</v>
      </c>
      <c r="V590" s="1">
        <v>1461.7647058823529</v>
      </c>
      <c r="W590" s="1">
        <v>5</v>
      </c>
    </row>
    <row r="591" spans="1:23" x14ac:dyDescent="0.2">
      <c r="A591">
        <v>2021</v>
      </c>
      <c r="B591" t="s">
        <v>23</v>
      </c>
      <c r="C591" t="s">
        <v>24</v>
      </c>
      <c r="D591">
        <v>58</v>
      </c>
      <c r="E591">
        <v>2</v>
      </c>
      <c r="F591">
        <v>3</v>
      </c>
      <c r="G591" t="s">
        <v>82</v>
      </c>
      <c r="H591" s="3">
        <v>2</v>
      </c>
      <c r="I591" s="3">
        <v>70</v>
      </c>
      <c r="J591" s="3">
        <v>72</v>
      </c>
      <c r="K591" s="3">
        <f t="shared" si="22"/>
        <v>2</v>
      </c>
      <c r="L591" s="3">
        <v>158</v>
      </c>
      <c r="M591" s="3">
        <v>77</v>
      </c>
      <c r="N591" s="3">
        <v>2</v>
      </c>
      <c r="O591" s="3">
        <v>2.5</v>
      </c>
      <c r="P591" s="3">
        <v>8</v>
      </c>
      <c r="Q591" s="4">
        <v>0.33</v>
      </c>
      <c r="R591" s="3">
        <v>6</v>
      </c>
      <c r="S591" s="3">
        <f t="shared" si="23"/>
        <v>0.75</v>
      </c>
      <c r="T591" s="3">
        <v>4</v>
      </c>
      <c r="U591" s="3">
        <v>12.5</v>
      </c>
      <c r="V591" s="3">
        <v>1207.8431372549019</v>
      </c>
      <c r="W591" s="3">
        <v>5</v>
      </c>
    </row>
    <row r="592" spans="1:23" x14ac:dyDescent="0.2">
      <c r="A592">
        <v>2021</v>
      </c>
      <c r="B592" t="s">
        <v>23</v>
      </c>
      <c r="C592" t="s">
        <v>24</v>
      </c>
      <c r="D592">
        <v>59</v>
      </c>
      <c r="E592">
        <v>1</v>
      </c>
      <c r="F592">
        <v>12</v>
      </c>
      <c r="G592" t="s">
        <v>83</v>
      </c>
      <c r="H592" s="1">
        <v>7</v>
      </c>
      <c r="I592" s="1">
        <v>62</v>
      </c>
      <c r="J592" s="1">
        <v>66</v>
      </c>
      <c r="K592" s="1">
        <f t="shared" si="22"/>
        <v>4</v>
      </c>
      <c r="L592" s="1">
        <v>115</v>
      </c>
      <c r="M592" s="1">
        <v>41</v>
      </c>
      <c r="N592" s="1">
        <v>1.5</v>
      </c>
      <c r="O592" s="1">
        <v>4</v>
      </c>
      <c r="P592" s="1">
        <v>6</v>
      </c>
      <c r="Q592" s="2">
        <v>0.1736</v>
      </c>
      <c r="R592" s="1">
        <v>6</v>
      </c>
      <c r="S592" s="1">
        <f t="shared" si="23"/>
        <v>1</v>
      </c>
      <c r="T592" s="1">
        <v>4</v>
      </c>
      <c r="U592" s="1">
        <v>12.5</v>
      </c>
      <c r="V592" s="1">
        <v>635.39869281045753</v>
      </c>
      <c r="W592" s="1">
        <v>4</v>
      </c>
    </row>
    <row r="593" spans="1:23" x14ac:dyDescent="0.2">
      <c r="A593">
        <v>2021</v>
      </c>
      <c r="B593" t="s">
        <v>23</v>
      </c>
      <c r="C593" t="s">
        <v>24</v>
      </c>
      <c r="D593">
        <v>59</v>
      </c>
      <c r="E593">
        <v>2</v>
      </c>
      <c r="F593">
        <v>11</v>
      </c>
      <c r="G593" t="s">
        <v>83</v>
      </c>
      <c r="H593" s="1">
        <v>11</v>
      </c>
      <c r="I593" s="1">
        <v>66</v>
      </c>
      <c r="J593" s="1">
        <v>71</v>
      </c>
      <c r="K593" s="1">
        <f t="shared" si="22"/>
        <v>5</v>
      </c>
      <c r="L593" s="1">
        <v>187</v>
      </c>
      <c r="M593" s="1">
        <v>100</v>
      </c>
      <c r="N593" s="1">
        <v>2</v>
      </c>
      <c r="O593" s="1">
        <v>2</v>
      </c>
      <c r="P593" s="1">
        <v>10</v>
      </c>
      <c r="Q593" s="2">
        <v>0.92400000000000004</v>
      </c>
      <c r="R593" s="1">
        <v>7</v>
      </c>
      <c r="S593" s="1">
        <f t="shared" si="23"/>
        <v>0.7</v>
      </c>
      <c r="T593" s="1">
        <v>3</v>
      </c>
      <c r="U593" s="1">
        <v>12.5</v>
      </c>
      <c r="V593" s="1">
        <v>3381.960784313726</v>
      </c>
      <c r="W593" s="1">
        <v>5</v>
      </c>
    </row>
    <row r="594" spans="1:23" x14ac:dyDescent="0.2">
      <c r="A594">
        <v>2021</v>
      </c>
      <c r="B594" t="s">
        <v>23</v>
      </c>
      <c r="C594" t="s">
        <v>24</v>
      </c>
      <c r="D594">
        <v>60</v>
      </c>
      <c r="E594">
        <v>1</v>
      </c>
      <c r="F594">
        <v>8</v>
      </c>
      <c r="G594" t="s">
        <v>84</v>
      </c>
      <c r="H594">
        <v>16</v>
      </c>
      <c r="I594">
        <v>54</v>
      </c>
      <c r="J594">
        <v>55</v>
      </c>
      <c r="K594">
        <v>1</v>
      </c>
      <c r="L594">
        <v>140</v>
      </c>
      <c r="M594">
        <v>65</v>
      </c>
      <c r="N594">
        <v>2</v>
      </c>
      <c r="O594">
        <v>2</v>
      </c>
      <c r="P594">
        <v>13</v>
      </c>
      <c r="Q594">
        <v>0.3</v>
      </c>
      <c r="R594">
        <v>11</v>
      </c>
      <c r="S594">
        <v>0.84615384615384615</v>
      </c>
      <c r="T594">
        <v>4</v>
      </c>
      <c r="U594">
        <v>7.9</v>
      </c>
      <c r="V594">
        <v>1155.7647058823529</v>
      </c>
      <c r="W594">
        <v>1</v>
      </c>
    </row>
    <row r="595" spans="1:23" x14ac:dyDescent="0.2">
      <c r="A595">
        <v>2021</v>
      </c>
      <c r="B595" t="s">
        <v>23</v>
      </c>
      <c r="C595" t="s">
        <v>24</v>
      </c>
      <c r="D595">
        <v>60</v>
      </c>
      <c r="E595">
        <v>2</v>
      </c>
      <c r="F595">
        <v>14</v>
      </c>
      <c r="G595" t="s">
        <v>84</v>
      </c>
      <c r="H595" s="1">
        <v>6</v>
      </c>
      <c r="I595" s="1">
        <v>62</v>
      </c>
      <c r="J595" s="1">
        <v>67</v>
      </c>
      <c r="K595" s="1">
        <f>J595-I595</f>
        <v>5</v>
      </c>
      <c r="L595" s="1">
        <v>105</v>
      </c>
      <c r="M595" s="1">
        <v>21</v>
      </c>
      <c r="N595" s="1">
        <v>2</v>
      </c>
      <c r="O595" s="1">
        <v>4</v>
      </c>
      <c r="P595" s="1">
        <v>2</v>
      </c>
      <c r="Q595" s="2">
        <v>0.09</v>
      </c>
      <c r="R595" s="1">
        <v>2</v>
      </c>
      <c r="S595" s="1">
        <f>R595/P595</f>
        <v>1</v>
      </c>
      <c r="T595" s="1">
        <v>4</v>
      </c>
      <c r="U595" s="1">
        <v>12.5</v>
      </c>
      <c r="V595" s="1">
        <v>329.41176470588232</v>
      </c>
      <c r="W595" s="1">
        <v>5</v>
      </c>
    </row>
    <row r="596" spans="1:23" x14ac:dyDescent="0.2">
      <c r="A596">
        <v>2021</v>
      </c>
      <c r="B596" t="s">
        <v>23</v>
      </c>
      <c r="C596" t="s">
        <v>24</v>
      </c>
      <c r="D596">
        <v>61</v>
      </c>
      <c r="E596">
        <v>1</v>
      </c>
      <c r="F596">
        <v>12</v>
      </c>
      <c r="G596" t="s">
        <v>85</v>
      </c>
      <c r="H596" s="1">
        <v>1</v>
      </c>
      <c r="I596" s="1">
        <v>60</v>
      </c>
      <c r="J596" s="1">
        <v>64</v>
      </c>
      <c r="K596" s="1">
        <f>J596-I596</f>
        <v>4</v>
      </c>
      <c r="L596" s="1">
        <v>173</v>
      </c>
      <c r="M596" s="1">
        <v>93</v>
      </c>
      <c r="N596" s="1">
        <v>2</v>
      </c>
      <c r="O596" s="1">
        <v>2.5</v>
      </c>
      <c r="P596" s="1">
        <f>H596</f>
        <v>1</v>
      </c>
      <c r="Q596" s="2">
        <v>1.4999999999999999E-2</v>
      </c>
      <c r="R596" s="1">
        <v>1</v>
      </c>
      <c r="S596" s="1">
        <f>R596/P596</f>
        <v>1</v>
      </c>
      <c r="T596" s="1">
        <v>4</v>
      </c>
      <c r="U596" s="1">
        <v>12.5</v>
      </c>
      <c r="V596" s="1">
        <v>54.901960784313729</v>
      </c>
      <c r="W596" s="1">
        <v>3</v>
      </c>
    </row>
    <row r="597" spans="1:23" x14ac:dyDescent="0.2">
      <c r="A597">
        <v>2021</v>
      </c>
      <c r="B597" t="s">
        <v>23</v>
      </c>
      <c r="C597" t="s">
        <v>24</v>
      </c>
      <c r="D597">
        <v>61</v>
      </c>
      <c r="E597">
        <v>2</v>
      </c>
      <c r="F597">
        <v>2</v>
      </c>
      <c r="G597" t="s">
        <v>85</v>
      </c>
      <c r="H597">
        <v>6</v>
      </c>
      <c r="I597">
        <v>59</v>
      </c>
      <c r="J597">
        <v>64</v>
      </c>
      <c r="K597">
        <v>5</v>
      </c>
      <c r="L597">
        <v>151</v>
      </c>
      <c r="M597">
        <v>71</v>
      </c>
      <c r="N597">
        <v>1</v>
      </c>
      <c r="O597">
        <v>4</v>
      </c>
      <c r="P597">
        <v>5</v>
      </c>
      <c r="Q597">
        <v>0.26800000000000002</v>
      </c>
      <c r="R597">
        <v>4</v>
      </c>
      <c r="S597">
        <v>0.8</v>
      </c>
      <c r="T597">
        <v>3</v>
      </c>
      <c r="U597">
        <v>12.5</v>
      </c>
      <c r="V597">
        <v>980.91503267973872</v>
      </c>
      <c r="W597">
        <v>2</v>
      </c>
    </row>
    <row r="598" spans="1:23" x14ac:dyDescent="0.2">
      <c r="A598">
        <v>2021</v>
      </c>
      <c r="B598" t="s">
        <v>23</v>
      </c>
      <c r="C598" t="s">
        <v>24</v>
      </c>
      <c r="D598">
        <v>62</v>
      </c>
      <c r="E598">
        <v>1</v>
      </c>
      <c r="F598">
        <v>7</v>
      </c>
      <c r="G598" t="s">
        <v>86</v>
      </c>
      <c r="H598" s="1">
        <v>5</v>
      </c>
      <c r="I598" s="1">
        <v>61</v>
      </c>
      <c r="J598" s="1">
        <v>66</v>
      </c>
      <c r="K598" s="1">
        <f>J598-I598</f>
        <v>5</v>
      </c>
      <c r="L598" s="1">
        <v>195</v>
      </c>
      <c r="M598" s="1">
        <v>102</v>
      </c>
      <c r="N598" s="1">
        <v>1</v>
      </c>
      <c r="O598" s="1">
        <v>2</v>
      </c>
      <c r="P598" s="1">
        <v>5</v>
      </c>
      <c r="Q598" s="2">
        <v>1</v>
      </c>
      <c r="R598" s="1">
        <v>5</v>
      </c>
      <c r="S598" s="1">
        <f>R598/P598</f>
        <v>1</v>
      </c>
      <c r="T598" s="1">
        <v>2</v>
      </c>
      <c r="U598" s="1">
        <v>8</v>
      </c>
      <c r="V598" s="1">
        <v>3848.3660130718949</v>
      </c>
      <c r="W598" s="1">
        <v>4</v>
      </c>
    </row>
    <row r="599" spans="1:23" x14ac:dyDescent="0.2">
      <c r="A599">
        <v>2021</v>
      </c>
      <c r="B599" t="s">
        <v>23</v>
      </c>
      <c r="C599" t="s">
        <v>24</v>
      </c>
      <c r="D599">
        <v>62</v>
      </c>
      <c r="E599">
        <v>2</v>
      </c>
      <c r="F599">
        <v>4</v>
      </c>
      <c r="G599" t="s">
        <v>86</v>
      </c>
      <c r="H599">
        <v>14</v>
      </c>
      <c r="I599">
        <v>55</v>
      </c>
      <c r="J599">
        <v>59</v>
      </c>
      <c r="K599">
        <v>4</v>
      </c>
      <c r="L599">
        <v>187</v>
      </c>
      <c r="M599">
        <v>67</v>
      </c>
      <c r="N599">
        <v>2</v>
      </c>
      <c r="O599">
        <v>1.5</v>
      </c>
      <c r="P599">
        <v>12</v>
      </c>
      <c r="Q599">
        <v>1.2</v>
      </c>
      <c r="R599">
        <v>13</v>
      </c>
      <c r="S599">
        <v>1.0833333333333333</v>
      </c>
      <c r="T599">
        <v>2</v>
      </c>
      <c r="U599">
        <v>9.8000000000000007</v>
      </c>
      <c r="V599">
        <v>4527.6862745098042</v>
      </c>
      <c r="W599">
        <v>2</v>
      </c>
    </row>
    <row r="600" spans="1:23" x14ac:dyDescent="0.2">
      <c r="A600">
        <v>2021</v>
      </c>
      <c r="B600" t="s">
        <v>23</v>
      </c>
      <c r="C600" t="s">
        <v>24</v>
      </c>
      <c r="D600">
        <v>63</v>
      </c>
      <c r="E600">
        <v>1</v>
      </c>
      <c r="F600">
        <v>6</v>
      </c>
      <c r="G600" t="s">
        <v>87</v>
      </c>
      <c r="H600">
        <v>12</v>
      </c>
      <c r="I600">
        <v>57</v>
      </c>
      <c r="J600">
        <v>60</v>
      </c>
      <c r="K600">
        <v>3</v>
      </c>
      <c r="L600">
        <v>103</v>
      </c>
      <c r="M600">
        <v>83</v>
      </c>
      <c r="N600">
        <v>1.5</v>
      </c>
      <c r="O600">
        <v>2</v>
      </c>
      <c r="P600">
        <v>11</v>
      </c>
      <c r="Q600">
        <v>1.1000000000000001</v>
      </c>
      <c r="R600">
        <v>9</v>
      </c>
      <c r="S600">
        <v>0.81818181818181823</v>
      </c>
      <c r="T600">
        <v>2</v>
      </c>
      <c r="U600">
        <v>12.5</v>
      </c>
      <c r="V600">
        <v>4026.1437908496737</v>
      </c>
      <c r="W600">
        <v>2</v>
      </c>
    </row>
    <row r="601" spans="1:23" x14ac:dyDescent="0.2">
      <c r="A601">
        <v>2021</v>
      </c>
      <c r="B601" t="s">
        <v>23</v>
      </c>
      <c r="C601" t="s">
        <v>24</v>
      </c>
      <c r="D601">
        <v>63</v>
      </c>
      <c r="E601">
        <v>2</v>
      </c>
      <c r="F601">
        <v>3</v>
      </c>
      <c r="G601" t="s">
        <v>87</v>
      </c>
      <c r="H601" s="1">
        <v>6</v>
      </c>
      <c r="I601" s="1">
        <v>59</v>
      </c>
      <c r="J601" s="1">
        <v>63</v>
      </c>
      <c r="K601" s="1">
        <f>J601-I601</f>
        <v>4</v>
      </c>
      <c r="L601" s="1">
        <v>203</v>
      </c>
      <c r="M601" s="1">
        <v>103</v>
      </c>
      <c r="N601" s="1">
        <v>2</v>
      </c>
      <c r="O601" s="1">
        <v>2.5</v>
      </c>
      <c r="P601" s="1">
        <v>5</v>
      </c>
      <c r="Q601" s="2">
        <v>0.67379999999999995</v>
      </c>
      <c r="R601" s="1">
        <v>5</v>
      </c>
      <c r="S601" s="1">
        <f>R601/P601</f>
        <v>1</v>
      </c>
      <c r="T601" s="1">
        <v>5</v>
      </c>
      <c r="U601" s="1">
        <v>12.5</v>
      </c>
      <c r="V601" s="1">
        <v>2466.1960784313724</v>
      </c>
      <c r="W601" s="1">
        <v>4</v>
      </c>
    </row>
    <row r="602" spans="1:23" x14ac:dyDescent="0.2">
      <c r="A602">
        <v>2021</v>
      </c>
      <c r="B602" t="s">
        <v>23</v>
      </c>
      <c r="C602" t="s">
        <v>24</v>
      </c>
      <c r="D602">
        <v>64</v>
      </c>
      <c r="E602">
        <v>1</v>
      </c>
      <c r="F602">
        <v>2</v>
      </c>
      <c r="G602" t="s">
        <v>88</v>
      </c>
      <c r="H602">
        <v>16</v>
      </c>
      <c r="I602">
        <v>59</v>
      </c>
      <c r="J602">
        <v>63</v>
      </c>
      <c r="K602">
        <v>4</v>
      </c>
      <c r="L602">
        <v>182</v>
      </c>
      <c r="M602">
        <v>69</v>
      </c>
      <c r="N602">
        <v>2</v>
      </c>
      <c r="O602">
        <v>2</v>
      </c>
      <c r="P602">
        <v>12</v>
      </c>
      <c r="Q602">
        <v>1.2</v>
      </c>
      <c r="R602">
        <v>11</v>
      </c>
      <c r="S602">
        <v>0.91666666666666663</v>
      </c>
      <c r="T602">
        <v>2</v>
      </c>
      <c r="U602">
        <v>8.3000000000000007</v>
      </c>
      <c r="V602">
        <v>4602.9803921568628</v>
      </c>
      <c r="W602">
        <v>1</v>
      </c>
    </row>
    <row r="603" spans="1:23" x14ac:dyDescent="0.2">
      <c r="A603">
        <v>2021</v>
      </c>
      <c r="B603" t="s">
        <v>23</v>
      </c>
      <c r="C603" t="s">
        <v>24</v>
      </c>
      <c r="D603">
        <v>64</v>
      </c>
      <c r="E603">
        <v>2</v>
      </c>
      <c r="F603">
        <v>6</v>
      </c>
      <c r="G603" t="s">
        <v>88</v>
      </c>
      <c r="H603">
        <v>14</v>
      </c>
      <c r="I603">
        <v>54</v>
      </c>
      <c r="J603">
        <v>57</v>
      </c>
      <c r="K603">
        <v>3</v>
      </c>
      <c r="L603">
        <v>186</v>
      </c>
      <c r="M603">
        <v>80</v>
      </c>
      <c r="N603">
        <v>1</v>
      </c>
      <c r="O603">
        <v>2</v>
      </c>
      <c r="P603">
        <v>14</v>
      </c>
      <c r="Q603">
        <v>1</v>
      </c>
      <c r="R603">
        <v>14</v>
      </c>
      <c r="S603">
        <v>1</v>
      </c>
      <c r="T603">
        <v>3</v>
      </c>
      <c r="U603">
        <v>11.2</v>
      </c>
      <c r="V603">
        <v>3714.5098039215686</v>
      </c>
      <c r="W603">
        <v>2</v>
      </c>
    </row>
    <row r="604" spans="1:23" x14ac:dyDescent="0.2">
      <c r="A604">
        <v>2021</v>
      </c>
      <c r="B604" t="s">
        <v>23</v>
      </c>
      <c r="C604" t="s">
        <v>24</v>
      </c>
      <c r="D604">
        <v>65</v>
      </c>
      <c r="E604">
        <v>1</v>
      </c>
      <c r="F604">
        <v>4</v>
      </c>
      <c r="G604" t="s">
        <v>89</v>
      </c>
      <c r="H604" s="3">
        <v>7</v>
      </c>
      <c r="I604" s="3">
        <v>69</v>
      </c>
      <c r="J604" s="3">
        <v>72</v>
      </c>
      <c r="K604" s="3">
        <f>J604-I604</f>
        <v>3</v>
      </c>
      <c r="L604" s="3">
        <v>168</v>
      </c>
      <c r="M604" s="3">
        <v>70</v>
      </c>
      <c r="N604" s="3">
        <v>2</v>
      </c>
      <c r="O604" s="3">
        <v>2.5</v>
      </c>
      <c r="P604" s="3">
        <f>H604-1</f>
        <v>6</v>
      </c>
      <c r="Q604" s="4">
        <v>9.6000000000000002E-2</v>
      </c>
      <c r="R604" s="3">
        <v>5</v>
      </c>
      <c r="S604" s="3">
        <f>R604/P604</f>
        <v>0.83333333333333337</v>
      </c>
      <c r="T604" s="3">
        <v>3</v>
      </c>
      <c r="U604" s="3">
        <v>12.5</v>
      </c>
      <c r="V604" s="3">
        <v>351.37254901960785</v>
      </c>
      <c r="W604" s="3">
        <v>4</v>
      </c>
    </row>
    <row r="605" spans="1:23" x14ac:dyDescent="0.2">
      <c r="A605">
        <v>2021</v>
      </c>
      <c r="B605" t="s">
        <v>23</v>
      </c>
      <c r="C605" t="s">
        <v>24</v>
      </c>
      <c r="D605">
        <v>65</v>
      </c>
      <c r="E605">
        <v>2</v>
      </c>
      <c r="F605">
        <v>2</v>
      </c>
      <c r="G605" t="s">
        <v>89</v>
      </c>
      <c r="H605" s="1">
        <v>10</v>
      </c>
      <c r="I605" s="1">
        <v>64</v>
      </c>
      <c r="J605" s="1">
        <v>69</v>
      </c>
      <c r="K605" s="1">
        <f>J605-I605</f>
        <v>5</v>
      </c>
      <c r="L605" s="1">
        <v>75</v>
      </c>
      <c r="M605" s="1">
        <v>32</v>
      </c>
      <c r="N605" s="1">
        <v>1.5</v>
      </c>
      <c r="O605" s="1">
        <v>4</v>
      </c>
      <c r="P605" s="1">
        <v>8</v>
      </c>
      <c r="Q605" s="2">
        <v>0.24</v>
      </c>
      <c r="R605" s="1">
        <v>6</v>
      </c>
      <c r="S605" s="1">
        <f>R605/P605</f>
        <v>0.75</v>
      </c>
      <c r="T605" s="1">
        <v>3.5</v>
      </c>
      <c r="U605" s="1">
        <v>12.5</v>
      </c>
      <c r="V605" s="1">
        <v>878.43137254901967</v>
      </c>
      <c r="W605" s="1">
        <v>5</v>
      </c>
    </row>
    <row r="606" spans="1:23" x14ac:dyDescent="0.2">
      <c r="A606">
        <v>2021</v>
      </c>
      <c r="B606" t="s">
        <v>23</v>
      </c>
      <c r="C606" t="s">
        <v>24</v>
      </c>
      <c r="D606">
        <v>66</v>
      </c>
      <c r="E606">
        <v>1</v>
      </c>
      <c r="F606">
        <v>4</v>
      </c>
      <c r="G606" t="s">
        <v>90</v>
      </c>
      <c r="H606">
        <v>4</v>
      </c>
      <c r="I606">
        <v>59</v>
      </c>
      <c r="J606">
        <v>62</v>
      </c>
      <c r="K606">
        <v>3</v>
      </c>
      <c r="L606">
        <v>113</v>
      </c>
      <c r="M606">
        <v>66</v>
      </c>
      <c r="N606">
        <v>1.5</v>
      </c>
      <c r="O606">
        <v>4</v>
      </c>
      <c r="P606">
        <v>4</v>
      </c>
      <c r="Q606">
        <v>0.2</v>
      </c>
      <c r="R606">
        <v>5</v>
      </c>
      <c r="S606">
        <v>1.25</v>
      </c>
      <c r="T606">
        <v>2</v>
      </c>
      <c r="U606">
        <v>12.5</v>
      </c>
      <c r="V606">
        <v>732.02614379084969</v>
      </c>
      <c r="W606">
        <v>1</v>
      </c>
    </row>
    <row r="607" spans="1:23" x14ac:dyDescent="0.2">
      <c r="A607">
        <v>2021</v>
      </c>
      <c r="B607" t="s">
        <v>23</v>
      </c>
      <c r="C607" t="s">
        <v>24</v>
      </c>
      <c r="D607">
        <v>66</v>
      </c>
      <c r="E607">
        <v>2</v>
      </c>
      <c r="F607">
        <v>6</v>
      </c>
      <c r="G607" t="s">
        <v>90</v>
      </c>
      <c r="H607">
        <v>9</v>
      </c>
      <c r="I607">
        <v>55</v>
      </c>
      <c r="J607">
        <v>57</v>
      </c>
      <c r="K607">
        <v>2</v>
      </c>
      <c r="L607">
        <v>167</v>
      </c>
      <c r="M607">
        <v>61</v>
      </c>
      <c r="N607">
        <v>3</v>
      </c>
      <c r="O607">
        <v>3</v>
      </c>
      <c r="P607">
        <v>8</v>
      </c>
      <c r="Q607">
        <v>0.18099999999999999</v>
      </c>
      <c r="R607">
        <v>4</v>
      </c>
      <c r="S607">
        <v>0.5</v>
      </c>
      <c r="T607">
        <v>3</v>
      </c>
      <c r="U607">
        <v>12.5</v>
      </c>
      <c r="V607">
        <v>662.48366013071893</v>
      </c>
      <c r="W607">
        <v>1</v>
      </c>
    </row>
    <row r="608" spans="1:23" x14ac:dyDescent="0.2">
      <c r="A608">
        <v>2021</v>
      </c>
      <c r="B608" t="s">
        <v>23</v>
      </c>
      <c r="C608" t="s">
        <v>24</v>
      </c>
      <c r="D608">
        <v>67</v>
      </c>
      <c r="E608">
        <v>1</v>
      </c>
      <c r="F608">
        <v>2</v>
      </c>
      <c r="G608" t="s">
        <v>91</v>
      </c>
      <c r="H608" s="1">
        <v>15</v>
      </c>
      <c r="I608" s="1">
        <v>63</v>
      </c>
      <c r="J608" s="1">
        <v>66</v>
      </c>
      <c r="K608" s="1">
        <f>J608-I608</f>
        <v>3</v>
      </c>
      <c r="L608" s="1">
        <v>188</v>
      </c>
      <c r="M608" s="1">
        <v>85</v>
      </c>
      <c r="N608" s="1">
        <v>2</v>
      </c>
      <c r="O608" s="1">
        <v>2.5</v>
      </c>
      <c r="P608" s="1">
        <f>H608-2</f>
        <v>13</v>
      </c>
      <c r="Q608" s="2">
        <v>0.19350000000000001</v>
      </c>
      <c r="R608" s="1">
        <v>11</v>
      </c>
      <c r="S608" s="1">
        <f>R608/P608</f>
        <v>0.84615384615384615</v>
      </c>
      <c r="T608" s="1">
        <v>2</v>
      </c>
      <c r="U608" s="1">
        <v>12.5</v>
      </c>
      <c r="V608" s="1">
        <v>708.2352941176473</v>
      </c>
      <c r="W608" s="1">
        <v>5</v>
      </c>
    </row>
    <row r="609" spans="1:23" x14ac:dyDescent="0.2">
      <c r="A609">
        <v>2021</v>
      </c>
      <c r="B609" t="s">
        <v>23</v>
      </c>
      <c r="C609" t="s">
        <v>24</v>
      </c>
      <c r="D609">
        <v>67</v>
      </c>
      <c r="E609">
        <v>2</v>
      </c>
      <c r="F609">
        <v>14</v>
      </c>
      <c r="G609" t="s">
        <v>91</v>
      </c>
      <c r="H609">
        <v>8</v>
      </c>
      <c r="I609">
        <v>58</v>
      </c>
      <c r="J609">
        <v>62</v>
      </c>
      <c r="K609">
        <v>4</v>
      </c>
      <c r="L609">
        <v>54</v>
      </c>
      <c r="M609">
        <v>18</v>
      </c>
      <c r="N609">
        <v>2</v>
      </c>
      <c r="O609">
        <v>4</v>
      </c>
      <c r="P609">
        <v>3</v>
      </c>
      <c r="Q609">
        <v>7.640000000000001E-2</v>
      </c>
      <c r="R609">
        <v>3</v>
      </c>
      <c r="S609">
        <v>1</v>
      </c>
      <c r="T609">
        <v>2</v>
      </c>
      <c r="U609">
        <v>12.5</v>
      </c>
      <c r="V609">
        <v>279.63398692810455</v>
      </c>
      <c r="W609">
        <v>1</v>
      </c>
    </row>
    <row r="610" spans="1:23" x14ac:dyDescent="0.2">
      <c r="A610">
        <v>2021</v>
      </c>
      <c r="B610" t="s">
        <v>23</v>
      </c>
      <c r="C610" t="s">
        <v>24</v>
      </c>
      <c r="D610">
        <v>68</v>
      </c>
      <c r="E610">
        <v>1</v>
      </c>
      <c r="F610">
        <v>7</v>
      </c>
      <c r="G610" t="s">
        <v>92</v>
      </c>
      <c r="H610" s="1">
        <v>7</v>
      </c>
      <c r="I610" s="1">
        <v>60</v>
      </c>
      <c r="J610" s="1">
        <v>64</v>
      </c>
      <c r="K610" s="1">
        <f>J610-I610</f>
        <v>4</v>
      </c>
      <c r="L610" s="1">
        <v>23</v>
      </c>
      <c r="M610" s="1">
        <v>35</v>
      </c>
      <c r="N610" s="1">
        <v>2</v>
      </c>
      <c r="O610" s="1">
        <v>3</v>
      </c>
      <c r="P610" s="1">
        <f>H610-2</f>
        <v>5</v>
      </c>
      <c r="Q610" s="2">
        <v>0.22650000000000001</v>
      </c>
      <c r="R610" s="1">
        <v>6</v>
      </c>
      <c r="S610" s="1">
        <f>R610/P610</f>
        <v>1.2</v>
      </c>
      <c r="T610" s="1">
        <v>5</v>
      </c>
      <c r="U610" s="1">
        <v>12.5</v>
      </c>
      <c r="V610" s="1">
        <v>829.01960784313724</v>
      </c>
      <c r="W610" s="1">
        <v>4</v>
      </c>
    </row>
    <row r="611" spans="1:23" x14ac:dyDescent="0.2">
      <c r="A611">
        <v>2021</v>
      </c>
      <c r="B611" t="s">
        <v>23</v>
      </c>
      <c r="C611" t="s">
        <v>24</v>
      </c>
      <c r="D611">
        <v>68</v>
      </c>
      <c r="E611">
        <v>2</v>
      </c>
      <c r="F611">
        <v>13</v>
      </c>
      <c r="G611" t="s">
        <v>92</v>
      </c>
      <c r="H611">
        <v>16</v>
      </c>
      <c r="I611">
        <v>54</v>
      </c>
      <c r="J611">
        <v>57</v>
      </c>
      <c r="K611">
        <v>3</v>
      </c>
      <c r="L611">
        <v>183</v>
      </c>
      <c r="M611">
        <v>64</v>
      </c>
      <c r="N611">
        <v>2</v>
      </c>
      <c r="O611">
        <v>2.5</v>
      </c>
      <c r="P611">
        <v>16</v>
      </c>
      <c r="Q611">
        <v>0.9</v>
      </c>
      <c r="R611">
        <v>13</v>
      </c>
      <c r="S611">
        <v>0.8125</v>
      </c>
      <c r="T611">
        <v>4</v>
      </c>
      <c r="U611">
        <v>8.5</v>
      </c>
      <c r="V611">
        <v>3444.7058823529419</v>
      </c>
      <c r="W611">
        <v>2</v>
      </c>
    </row>
    <row r="612" spans="1:23" x14ac:dyDescent="0.2">
      <c r="A612">
        <v>2021</v>
      </c>
      <c r="B612" t="s">
        <v>23</v>
      </c>
      <c r="C612" t="s">
        <v>24</v>
      </c>
      <c r="D612">
        <v>69</v>
      </c>
      <c r="E612">
        <v>1</v>
      </c>
      <c r="F612">
        <v>14</v>
      </c>
      <c r="G612" t="s">
        <v>93</v>
      </c>
      <c r="H612" s="1">
        <v>4</v>
      </c>
      <c r="I612" s="1">
        <v>67</v>
      </c>
      <c r="J612" s="1">
        <v>70</v>
      </c>
      <c r="K612" s="1">
        <f>J612-I612</f>
        <v>3</v>
      </c>
      <c r="L612" s="1">
        <v>127</v>
      </c>
      <c r="M612" s="1">
        <v>40</v>
      </c>
      <c r="N612" s="1">
        <v>2</v>
      </c>
      <c r="O612" s="1">
        <v>3.5</v>
      </c>
      <c r="P612" s="1">
        <v>4</v>
      </c>
      <c r="Q612" s="2">
        <v>0.39800000000000002</v>
      </c>
      <c r="R612" s="1">
        <v>5</v>
      </c>
      <c r="S612" s="1">
        <f>R612/P612</f>
        <v>1.25</v>
      </c>
      <c r="T612" s="1">
        <v>2</v>
      </c>
      <c r="U612" s="1">
        <v>12.5</v>
      </c>
      <c r="V612" s="1">
        <v>1456.7320261437908</v>
      </c>
      <c r="W612" s="1">
        <v>2</v>
      </c>
    </row>
    <row r="613" spans="1:23" x14ac:dyDescent="0.2">
      <c r="A613">
        <v>2021</v>
      </c>
      <c r="B613" t="s">
        <v>23</v>
      </c>
      <c r="C613" t="s">
        <v>24</v>
      </c>
      <c r="D613">
        <v>69</v>
      </c>
      <c r="E613">
        <v>2</v>
      </c>
      <c r="F613">
        <v>15</v>
      </c>
      <c r="G613" t="s">
        <v>93</v>
      </c>
      <c r="H613">
        <v>6</v>
      </c>
      <c r="I613">
        <v>58</v>
      </c>
      <c r="J613">
        <v>60</v>
      </c>
      <c r="K613">
        <v>2</v>
      </c>
      <c r="L613">
        <v>154</v>
      </c>
      <c r="M613">
        <v>82</v>
      </c>
      <c r="N613">
        <v>2</v>
      </c>
      <c r="O613">
        <v>2</v>
      </c>
      <c r="P613">
        <v>6</v>
      </c>
      <c r="Q613">
        <v>0.3</v>
      </c>
      <c r="R613">
        <v>3</v>
      </c>
      <c r="S613">
        <v>0.5</v>
      </c>
      <c r="T613">
        <v>3</v>
      </c>
      <c r="U613">
        <v>12.5</v>
      </c>
      <c r="V613">
        <v>1098.0392156862745</v>
      </c>
      <c r="W613">
        <v>2</v>
      </c>
    </row>
    <row r="614" spans="1:23" x14ac:dyDescent="0.2">
      <c r="A614">
        <v>2021</v>
      </c>
      <c r="B614" t="s">
        <v>23</v>
      </c>
      <c r="C614" t="s">
        <v>24</v>
      </c>
      <c r="D614">
        <v>70</v>
      </c>
      <c r="E614">
        <v>1</v>
      </c>
      <c r="F614">
        <v>14</v>
      </c>
      <c r="G614" t="s">
        <v>94</v>
      </c>
      <c r="H614" s="1">
        <v>3</v>
      </c>
      <c r="I614" s="1">
        <v>68</v>
      </c>
      <c r="J614" s="1">
        <v>72</v>
      </c>
      <c r="K614" s="1">
        <f>J614-I614</f>
        <v>4</v>
      </c>
      <c r="L614" s="1">
        <v>179</v>
      </c>
      <c r="M614" s="1">
        <v>98</v>
      </c>
      <c r="N614" s="1">
        <v>2</v>
      </c>
      <c r="O614" s="1">
        <v>4</v>
      </c>
      <c r="P614" s="1">
        <f>H614</f>
        <v>3</v>
      </c>
      <c r="Q614" s="2">
        <v>4.8599999999999997E-2</v>
      </c>
      <c r="R614" s="1">
        <v>4</v>
      </c>
      <c r="S614" s="1">
        <f>R614/P614</f>
        <v>1.3333333333333333</v>
      </c>
      <c r="T614" s="1">
        <v>5</v>
      </c>
      <c r="U614" s="1">
        <v>12.5</v>
      </c>
      <c r="V614" s="1">
        <v>177.88235294117644</v>
      </c>
      <c r="W614" s="1">
        <v>7</v>
      </c>
    </row>
    <row r="615" spans="1:23" x14ac:dyDescent="0.2">
      <c r="A615">
        <v>2021</v>
      </c>
      <c r="B615" t="s">
        <v>23</v>
      </c>
      <c r="C615" t="s">
        <v>24</v>
      </c>
      <c r="D615">
        <v>70</v>
      </c>
      <c r="E615">
        <v>2</v>
      </c>
      <c r="F615">
        <v>4</v>
      </c>
      <c r="G615" t="s">
        <v>94</v>
      </c>
      <c r="H615">
        <v>12</v>
      </c>
      <c r="I615">
        <v>52</v>
      </c>
      <c r="J615">
        <v>55</v>
      </c>
      <c r="K615">
        <v>3</v>
      </c>
      <c r="L615">
        <v>172</v>
      </c>
      <c r="M615">
        <v>85</v>
      </c>
      <c r="N615">
        <v>1</v>
      </c>
      <c r="O615">
        <v>2.5</v>
      </c>
      <c r="P615">
        <v>10</v>
      </c>
      <c r="Q615">
        <v>1</v>
      </c>
      <c r="R615">
        <v>8</v>
      </c>
      <c r="S615">
        <v>0.8</v>
      </c>
      <c r="T615">
        <v>2</v>
      </c>
      <c r="U615">
        <v>10.199999999999999</v>
      </c>
      <c r="V615">
        <v>3756.339869281046</v>
      </c>
      <c r="W615">
        <v>1</v>
      </c>
    </row>
    <row r="616" spans="1:23" x14ac:dyDescent="0.2">
      <c r="A616">
        <v>2021</v>
      </c>
      <c r="B616" t="s">
        <v>23</v>
      </c>
      <c r="C616" t="s">
        <v>24</v>
      </c>
      <c r="D616">
        <v>71</v>
      </c>
      <c r="E616">
        <v>1</v>
      </c>
      <c r="F616">
        <v>7</v>
      </c>
      <c r="G616" t="s">
        <v>95</v>
      </c>
      <c r="H616" s="1">
        <v>11</v>
      </c>
      <c r="I616" s="1">
        <v>60</v>
      </c>
      <c r="J616" s="1">
        <v>63</v>
      </c>
      <c r="K616" s="1">
        <f>J616-I616</f>
        <v>3</v>
      </c>
      <c r="L616" s="1">
        <v>162</v>
      </c>
      <c r="M616" s="1">
        <v>80</v>
      </c>
      <c r="N616" s="1">
        <v>2</v>
      </c>
      <c r="O616" s="1">
        <v>3.5</v>
      </c>
      <c r="P616" s="1">
        <v>6</v>
      </c>
      <c r="Q616" s="2">
        <v>0.30399999999999999</v>
      </c>
      <c r="R616" s="1">
        <v>7</v>
      </c>
      <c r="S616" s="1">
        <f>R616/P616</f>
        <v>1.1666666666666667</v>
      </c>
      <c r="T616" s="1">
        <v>5</v>
      </c>
      <c r="U616" s="1">
        <v>12.5</v>
      </c>
      <c r="V616" s="1">
        <v>1112.6797385620914</v>
      </c>
      <c r="W616" s="1">
        <v>5</v>
      </c>
    </row>
    <row r="617" spans="1:23" x14ac:dyDescent="0.2">
      <c r="A617">
        <v>2021</v>
      </c>
      <c r="B617" t="s">
        <v>23</v>
      </c>
      <c r="C617" t="s">
        <v>24</v>
      </c>
      <c r="D617">
        <v>71</v>
      </c>
      <c r="E617">
        <v>2</v>
      </c>
      <c r="F617">
        <v>13</v>
      </c>
      <c r="G617" t="s">
        <v>95</v>
      </c>
      <c r="H617">
        <v>3</v>
      </c>
      <c r="I617">
        <v>53</v>
      </c>
      <c r="J617">
        <v>55</v>
      </c>
      <c r="K617">
        <v>2</v>
      </c>
      <c r="L617">
        <v>105</v>
      </c>
      <c r="M617">
        <v>69</v>
      </c>
      <c r="N617">
        <v>3</v>
      </c>
      <c r="O617">
        <v>4</v>
      </c>
      <c r="P617">
        <v>3</v>
      </c>
      <c r="Q617">
        <v>0.15</v>
      </c>
      <c r="R617">
        <v>3</v>
      </c>
      <c r="S617">
        <v>1</v>
      </c>
      <c r="T617">
        <v>3</v>
      </c>
      <c r="U617">
        <v>12.5</v>
      </c>
      <c r="V617">
        <v>549.01960784313724</v>
      </c>
      <c r="W617">
        <v>1</v>
      </c>
    </row>
    <row r="618" spans="1:23" x14ac:dyDescent="0.2">
      <c r="A618">
        <v>2021</v>
      </c>
      <c r="B618" t="s">
        <v>23</v>
      </c>
      <c r="C618" t="s">
        <v>24</v>
      </c>
      <c r="D618">
        <v>72</v>
      </c>
      <c r="E618">
        <v>1</v>
      </c>
      <c r="F618">
        <v>4</v>
      </c>
      <c r="G618" t="s">
        <v>96</v>
      </c>
      <c r="H618" s="1">
        <v>10</v>
      </c>
      <c r="I618" s="1">
        <v>63</v>
      </c>
      <c r="J618" s="1">
        <v>67</v>
      </c>
      <c r="K618" s="1">
        <f>J618-I618</f>
        <v>4</v>
      </c>
      <c r="L618" s="1">
        <v>170</v>
      </c>
      <c r="M618" s="1">
        <v>63</v>
      </c>
      <c r="N618" s="1">
        <v>2</v>
      </c>
      <c r="O618" s="1">
        <v>2</v>
      </c>
      <c r="P618" s="1">
        <v>9</v>
      </c>
      <c r="Q618" s="2">
        <v>0.43342000000000003</v>
      </c>
      <c r="R618" s="1">
        <v>7</v>
      </c>
      <c r="S618" s="1">
        <f>R618/P618</f>
        <v>0.77777777777777779</v>
      </c>
      <c r="T618" s="1">
        <v>3</v>
      </c>
      <c r="U618" s="1">
        <v>12.5</v>
      </c>
      <c r="V618" s="1">
        <v>1586.3738562091503</v>
      </c>
      <c r="W618" s="1">
        <v>3</v>
      </c>
    </row>
    <row r="619" spans="1:23" x14ac:dyDescent="0.2">
      <c r="A619">
        <v>2021</v>
      </c>
      <c r="B619" t="s">
        <v>23</v>
      </c>
      <c r="C619" t="s">
        <v>24</v>
      </c>
      <c r="D619">
        <v>72</v>
      </c>
      <c r="E619">
        <v>2</v>
      </c>
      <c r="F619">
        <v>13</v>
      </c>
      <c r="G619" t="s">
        <v>96</v>
      </c>
      <c r="H619" s="1">
        <v>2</v>
      </c>
      <c r="I619" s="1">
        <v>68</v>
      </c>
      <c r="J619" s="1">
        <v>72</v>
      </c>
      <c r="K619" s="1">
        <f>J619-I619</f>
        <v>4</v>
      </c>
      <c r="L619" s="1">
        <v>102</v>
      </c>
      <c r="M619" s="1">
        <v>47</v>
      </c>
      <c r="N619" s="1">
        <v>2</v>
      </c>
      <c r="O619" s="1">
        <v>3</v>
      </c>
      <c r="P619" s="1">
        <v>2</v>
      </c>
      <c r="Q619" s="2">
        <v>0.13700000000000001</v>
      </c>
      <c r="R619" s="1">
        <v>2</v>
      </c>
      <c r="S619" s="1">
        <f>R619/P619</f>
        <v>1</v>
      </c>
      <c r="T619" s="1">
        <v>3</v>
      </c>
      <c r="U619" s="1">
        <v>11.3</v>
      </c>
      <c r="V619" s="1">
        <v>508.3147712418301</v>
      </c>
      <c r="W619" s="1">
        <v>4</v>
      </c>
    </row>
    <row r="620" spans="1:23" x14ac:dyDescent="0.2">
      <c r="A620">
        <v>2021</v>
      </c>
      <c r="B620" t="s">
        <v>23</v>
      </c>
      <c r="C620" t="s">
        <v>24</v>
      </c>
      <c r="D620">
        <v>73</v>
      </c>
      <c r="E620">
        <v>1</v>
      </c>
      <c r="F620">
        <v>6</v>
      </c>
      <c r="G620" t="s">
        <v>97</v>
      </c>
      <c r="H620">
        <v>3</v>
      </c>
      <c r="I620">
        <v>55</v>
      </c>
      <c r="J620">
        <v>57</v>
      </c>
      <c r="K620">
        <v>2</v>
      </c>
      <c r="L620">
        <v>104</v>
      </c>
      <c r="M620">
        <v>96</v>
      </c>
      <c r="N620">
        <v>3</v>
      </c>
      <c r="O620">
        <v>4</v>
      </c>
      <c r="P620">
        <v>3</v>
      </c>
      <c r="Q620">
        <v>0.21099999999999999</v>
      </c>
      <c r="R620">
        <v>3</v>
      </c>
      <c r="S620">
        <v>1</v>
      </c>
      <c r="T620">
        <v>4</v>
      </c>
      <c r="U620">
        <v>12.5</v>
      </c>
      <c r="V620">
        <v>772.28758169934645</v>
      </c>
      <c r="W620">
        <v>2</v>
      </c>
    </row>
    <row r="621" spans="1:23" x14ac:dyDescent="0.2">
      <c r="A621">
        <v>2021</v>
      </c>
      <c r="B621" t="s">
        <v>23</v>
      </c>
      <c r="C621" t="s">
        <v>24</v>
      </c>
      <c r="D621">
        <v>73</v>
      </c>
      <c r="E621">
        <v>2</v>
      </c>
      <c r="F621">
        <v>3</v>
      </c>
      <c r="G621" t="s">
        <v>97</v>
      </c>
      <c r="H621" s="1">
        <v>8</v>
      </c>
      <c r="I621" s="1">
        <v>68</v>
      </c>
      <c r="J621" s="1">
        <v>70</v>
      </c>
      <c r="K621" s="1">
        <f>J621-I621</f>
        <v>2</v>
      </c>
      <c r="L621" s="1">
        <v>90</v>
      </c>
      <c r="M621" s="1">
        <v>41</v>
      </c>
      <c r="N621" s="1">
        <v>2</v>
      </c>
      <c r="O621" s="1">
        <v>4</v>
      </c>
      <c r="P621" s="1">
        <v>6</v>
      </c>
      <c r="Q621" s="2">
        <v>0.17</v>
      </c>
      <c r="R621" s="1">
        <v>5</v>
      </c>
      <c r="S621" s="1">
        <f>R621/P621</f>
        <v>0.83333333333333337</v>
      </c>
      <c r="T621" s="1">
        <v>3.5</v>
      </c>
      <c r="U621" s="1">
        <v>12.5</v>
      </c>
      <c r="V621" s="1">
        <v>622.2222222222224</v>
      </c>
      <c r="W621" s="1">
        <v>4</v>
      </c>
    </row>
    <row r="622" spans="1:23" x14ac:dyDescent="0.2">
      <c r="A622">
        <v>2021</v>
      </c>
      <c r="B622" t="s">
        <v>23</v>
      </c>
      <c r="C622" t="s">
        <v>24</v>
      </c>
      <c r="D622">
        <v>74</v>
      </c>
      <c r="E622">
        <v>1</v>
      </c>
      <c r="F622">
        <v>12</v>
      </c>
      <c r="G622" t="s">
        <v>98</v>
      </c>
      <c r="H622">
        <v>8</v>
      </c>
      <c r="I622">
        <v>51</v>
      </c>
      <c r="J622">
        <v>55</v>
      </c>
      <c r="K622">
        <v>4</v>
      </c>
      <c r="L622">
        <v>174</v>
      </c>
      <c r="M622">
        <v>73</v>
      </c>
      <c r="N622">
        <v>2</v>
      </c>
      <c r="O622">
        <v>2</v>
      </c>
      <c r="P622">
        <v>8</v>
      </c>
      <c r="Q622">
        <v>0.3</v>
      </c>
      <c r="R622">
        <v>8</v>
      </c>
      <c r="S622">
        <v>1</v>
      </c>
      <c r="T622">
        <v>3</v>
      </c>
      <c r="U622">
        <v>10.1</v>
      </c>
      <c r="V622">
        <v>1128.1568627450981</v>
      </c>
      <c r="W622">
        <v>2</v>
      </c>
    </row>
    <row r="623" spans="1:23" x14ac:dyDescent="0.2">
      <c r="A623">
        <v>2021</v>
      </c>
      <c r="B623" t="s">
        <v>23</v>
      </c>
      <c r="C623" t="s">
        <v>24</v>
      </c>
      <c r="D623">
        <v>74</v>
      </c>
      <c r="E623">
        <v>2</v>
      </c>
      <c r="F623">
        <v>4</v>
      </c>
      <c r="G623" t="s">
        <v>98</v>
      </c>
      <c r="H623" s="1">
        <v>5</v>
      </c>
      <c r="I623" s="1">
        <v>65</v>
      </c>
      <c r="J623" s="1">
        <v>70</v>
      </c>
      <c r="K623" s="1">
        <f>J623-I623</f>
        <v>5</v>
      </c>
      <c r="L623" s="1">
        <v>105</v>
      </c>
      <c r="M623" s="1">
        <v>26</v>
      </c>
      <c r="N623" s="1">
        <v>2</v>
      </c>
      <c r="O623" s="1">
        <v>4.5</v>
      </c>
      <c r="P623" s="1">
        <v>2</v>
      </c>
      <c r="Q623" s="2">
        <v>8.7999999999999995E-2</v>
      </c>
      <c r="R623" s="1">
        <v>2</v>
      </c>
      <c r="S623" s="1">
        <f>R623/P623</f>
        <v>1</v>
      </c>
      <c r="T623" s="1">
        <v>5</v>
      </c>
      <c r="U623" s="1">
        <v>12.5</v>
      </c>
      <c r="V623" s="1">
        <v>322.09150326797385</v>
      </c>
      <c r="W623" s="1">
        <v>7</v>
      </c>
    </row>
    <row r="624" spans="1:23" x14ac:dyDescent="0.2">
      <c r="A624">
        <v>2021</v>
      </c>
      <c r="B624" t="s">
        <v>23</v>
      </c>
      <c r="C624" t="s">
        <v>24</v>
      </c>
      <c r="D624">
        <v>75</v>
      </c>
      <c r="E624">
        <v>1</v>
      </c>
      <c r="F624">
        <v>14</v>
      </c>
      <c r="G624" t="s">
        <v>99</v>
      </c>
      <c r="H624">
        <v>10</v>
      </c>
      <c r="I624">
        <v>63</v>
      </c>
      <c r="J624">
        <v>66</v>
      </c>
      <c r="K624">
        <v>3</v>
      </c>
      <c r="L624">
        <v>140</v>
      </c>
      <c r="M624">
        <v>71</v>
      </c>
      <c r="N624">
        <v>1.5</v>
      </c>
      <c r="O624">
        <v>2</v>
      </c>
      <c r="P624">
        <v>10</v>
      </c>
      <c r="Q624">
        <v>0.5</v>
      </c>
      <c r="R624">
        <v>10</v>
      </c>
      <c r="S624">
        <v>1</v>
      </c>
      <c r="T624">
        <v>2.5</v>
      </c>
      <c r="U624">
        <v>12.5</v>
      </c>
      <c r="V624">
        <v>1830.0653594771243</v>
      </c>
      <c r="W624">
        <v>2</v>
      </c>
    </row>
    <row r="625" spans="1:23" x14ac:dyDescent="0.2">
      <c r="A625">
        <v>2021</v>
      </c>
      <c r="B625" t="s">
        <v>23</v>
      </c>
      <c r="C625" t="s">
        <v>24</v>
      </c>
      <c r="D625">
        <v>75</v>
      </c>
      <c r="E625">
        <v>2</v>
      </c>
      <c r="F625">
        <v>4</v>
      </c>
      <c r="G625" t="s">
        <v>99</v>
      </c>
      <c r="H625" s="1">
        <v>14</v>
      </c>
      <c r="I625" s="1">
        <v>66</v>
      </c>
      <c r="J625" s="1">
        <v>69</v>
      </c>
      <c r="K625" s="1">
        <f t="shared" ref="K625:K630" si="24">J625-I625</f>
        <v>3</v>
      </c>
      <c r="L625" s="1">
        <v>196</v>
      </c>
      <c r="M625" s="1">
        <v>78</v>
      </c>
      <c r="N625" s="1">
        <v>2</v>
      </c>
      <c r="O625" s="1">
        <v>2</v>
      </c>
      <c r="P625" s="1">
        <v>13</v>
      </c>
      <c r="Q625" s="2">
        <v>0.67781250000000004</v>
      </c>
      <c r="R625" s="1">
        <v>12</v>
      </c>
      <c r="S625" s="1">
        <f t="shared" ref="S625:S630" si="25">R625/P625</f>
        <v>0.92307692307692313</v>
      </c>
      <c r="T625" s="1">
        <v>3</v>
      </c>
      <c r="U625" s="1">
        <v>12.5</v>
      </c>
      <c r="V625" s="1">
        <v>2480.8823529411766</v>
      </c>
      <c r="W625" s="1">
        <v>3</v>
      </c>
    </row>
    <row r="626" spans="1:23" x14ac:dyDescent="0.2">
      <c r="A626">
        <v>2021</v>
      </c>
      <c r="B626" t="s">
        <v>23</v>
      </c>
      <c r="C626" t="s">
        <v>24</v>
      </c>
      <c r="D626">
        <v>76</v>
      </c>
      <c r="E626">
        <v>1</v>
      </c>
      <c r="F626">
        <v>3</v>
      </c>
      <c r="G626" t="s">
        <v>100</v>
      </c>
      <c r="H626" s="1">
        <v>15</v>
      </c>
      <c r="I626" s="1">
        <v>65</v>
      </c>
      <c r="J626" s="1">
        <v>71</v>
      </c>
      <c r="K626" s="1">
        <f t="shared" si="24"/>
        <v>6</v>
      </c>
      <c r="L626" s="1">
        <v>118</v>
      </c>
      <c r="M626" s="1">
        <v>50</v>
      </c>
      <c r="N626" s="1">
        <v>2.5</v>
      </c>
      <c r="O626" s="1">
        <v>4</v>
      </c>
      <c r="P626" s="1">
        <v>8</v>
      </c>
      <c r="Q626" s="2">
        <v>0.17</v>
      </c>
      <c r="R626" s="1">
        <v>5</v>
      </c>
      <c r="S626" s="1">
        <f t="shared" si="25"/>
        <v>0.625</v>
      </c>
      <c r="T626" s="1">
        <v>3</v>
      </c>
      <c r="U626" s="1">
        <v>12.5</v>
      </c>
      <c r="V626" s="1">
        <v>622.2222222222224</v>
      </c>
      <c r="W626" s="1">
        <v>5</v>
      </c>
    </row>
    <row r="627" spans="1:23" x14ac:dyDescent="0.2">
      <c r="A627">
        <v>2021</v>
      </c>
      <c r="B627" t="s">
        <v>23</v>
      </c>
      <c r="C627" t="s">
        <v>24</v>
      </c>
      <c r="D627">
        <v>76</v>
      </c>
      <c r="E627">
        <v>2</v>
      </c>
      <c r="F627">
        <v>2</v>
      </c>
      <c r="G627" t="s">
        <v>100</v>
      </c>
      <c r="H627" s="1">
        <v>14</v>
      </c>
      <c r="I627" s="1">
        <v>62</v>
      </c>
      <c r="J627" s="1">
        <v>67</v>
      </c>
      <c r="K627" s="1">
        <f t="shared" si="24"/>
        <v>5</v>
      </c>
      <c r="L627" s="1">
        <v>90</v>
      </c>
      <c r="M627" s="1">
        <v>68</v>
      </c>
      <c r="N627" s="1">
        <v>2</v>
      </c>
      <c r="O627" s="1">
        <v>2.5</v>
      </c>
      <c r="P627" s="1">
        <f>H627-2</f>
        <v>12</v>
      </c>
      <c r="Q627" s="2">
        <v>0.17399999999999999</v>
      </c>
      <c r="R627" s="1">
        <v>12</v>
      </c>
      <c r="S627" s="1">
        <f t="shared" si="25"/>
        <v>1</v>
      </c>
      <c r="T627" s="1">
        <v>4</v>
      </c>
      <c r="U627" s="1">
        <v>12.5</v>
      </c>
      <c r="V627" s="1">
        <v>636.86274509803923</v>
      </c>
      <c r="W627" s="1">
        <v>3</v>
      </c>
    </row>
    <row r="628" spans="1:23" x14ac:dyDescent="0.2">
      <c r="A628">
        <v>2021</v>
      </c>
      <c r="B628" t="s">
        <v>23</v>
      </c>
      <c r="C628" t="s">
        <v>24</v>
      </c>
      <c r="D628">
        <v>77</v>
      </c>
      <c r="E628">
        <v>1</v>
      </c>
      <c r="F628">
        <v>3</v>
      </c>
      <c r="G628" t="s">
        <v>101</v>
      </c>
      <c r="H628" s="1">
        <v>4</v>
      </c>
      <c r="I628" s="1">
        <v>64</v>
      </c>
      <c r="J628" s="1">
        <v>69</v>
      </c>
      <c r="K628" s="1">
        <f t="shared" si="24"/>
        <v>5</v>
      </c>
      <c r="L628" s="1">
        <v>93</v>
      </c>
      <c r="M628" s="1">
        <v>43</v>
      </c>
      <c r="N628" s="1">
        <v>2</v>
      </c>
      <c r="O628" s="1">
        <v>3.5</v>
      </c>
      <c r="P628" s="1">
        <v>4</v>
      </c>
      <c r="Q628" s="2">
        <v>7.8E-2</v>
      </c>
      <c r="R628" s="1">
        <v>4</v>
      </c>
      <c r="S628" s="1">
        <f t="shared" si="25"/>
        <v>1</v>
      </c>
      <c r="T628" s="1">
        <v>5</v>
      </c>
      <c r="U628" s="1">
        <v>12.5</v>
      </c>
      <c r="V628" s="1">
        <v>285.49019607843138</v>
      </c>
      <c r="W628" s="1">
        <v>5</v>
      </c>
    </row>
    <row r="629" spans="1:23" x14ac:dyDescent="0.2">
      <c r="A629">
        <v>2021</v>
      </c>
      <c r="B629" t="s">
        <v>23</v>
      </c>
      <c r="C629" t="s">
        <v>24</v>
      </c>
      <c r="D629">
        <v>77</v>
      </c>
      <c r="E629">
        <v>2</v>
      </c>
      <c r="F629">
        <v>12</v>
      </c>
      <c r="G629" t="s">
        <v>101</v>
      </c>
      <c r="H629" s="1">
        <v>3</v>
      </c>
      <c r="I629" s="1">
        <v>63</v>
      </c>
      <c r="J629" s="1">
        <v>67</v>
      </c>
      <c r="K629" s="1">
        <f t="shared" si="24"/>
        <v>4</v>
      </c>
      <c r="L629" s="1">
        <v>136</v>
      </c>
      <c r="M629" s="1">
        <v>69</v>
      </c>
      <c r="N629" s="1">
        <v>2.5</v>
      </c>
      <c r="O629" s="1">
        <v>3</v>
      </c>
      <c r="P629" s="1">
        <v>3</v>
      </c>
      <c r="Q629" s="2">
        <v>0.13519999999999999</v>
      </c>
      <c r="R629" s="1">
        <v>3</v>
      </c>
      <c r="S629" s="1">
        <f t="shared" si="25"/>
        <v>1</v>
      </c>
      <c r="T629" s="1">
        <v>3</v>
      </c>
      <c r="U629" s="1">
        <v>12.5</v>
      </c>
      <c r="V629" s="1">
        <v>494.84967320261444</v>
      </c>
      <c r="W629" s="1">
        <v>4</v>
      </c>
    </row>
    <row r="630" spans="1:23" x14ac:dyDescent="0.2">
      <c r="A630">
        <v>2021</v>
      </c>
      <c r="B630" t="s">
        <v>23</v>
      </c>
      <c r="C630" t="s">
        <v>24</v>
      </c>
      <c r="D630">
        <v>78</v>
      </c>
      <c r="E630">
        <v>1</v>
      </c>
      <c r="F630">
        <v>1</v>
      </c>
      <c r="G630" t="s">
        <v>102</v>
      </c>
      <c r="H630" s="1">
        <v>10</v>
      </c>
      <c r="I630" s="1">
        <v>59</v>
      </c>
      <c r="J630" s="1">
        <v>64</v>
      </c>
      <c r="K630" s="1">
        <f t="shared" si="24"/>
        <v>5</v>
      </c>
      <c r="L630" s="1">
        <v>105</v>
      </c>
      <c r="M630" s="1">
        <v>40</v>
      </c>
      <c r="N630" s="1">
        <v>3</v>
      </c>
      <c r="O630" s="1">
        <v>4</v>
      </c>
      <c r="P630" s="1">
        <v>7</v>
      </c>
      <c r="Q630" s="2">
        <v>0.23599999999999999</v>
      </c>
      <c r="R630" s="1">
        <v>7</v>
      </c>
      <c r="S630" s="1">
        <f t="shared" si="25"/>
        <v>1</v>
      </c>
      <c r="T630" s="1">
        <v>3.5</v>
      </c>
      <c r="U630" s="1">
        <v>12.5</v>
      </c>
      <c r="V630" s="1">
        <v>863.79084967320262</v>
      </c>
      <c r="W630" s="1">
        <v>5</v>
      </c>
    </row>
    <row r="631" spans="1:23" x14ac:dyDescent="0.2">
      <c r="A631">
        <v>2021</v>
      </c>
      <c r="B631" t="s">
        <v>23</v>
      </c>
      <c r="C631" t="s">
        <v>24</v>
      </c>
      <c r="D631">
        <v>78</v>
      </c>
      <c r="E631">
        <v>2</v>
      </c>
      <c r="F631">
        <v>13</v>
      </c>
      <c r="G631" t="s">
        <v>102</v>
      </c>
      <c r="H631">
        <v>1</v>
      </c>
      <c r="I631">
        <v>59</v>
      </c>
      <c r="J631">
        <v>62</v>
      </c>
      <c r="K631">
        <v>3</v>
      </c>
      <c r="L631">
        <v>115</v>
      </c>
      <c r="M631">
        <v>48</v>
      </c>
      <c r="N631">
        <v>1.5</v>
      </c>
      <c r="O631">
        <v>4</v>
      </c>
      <c r="P631">
        <v>1</v>
      </c>
      <c r="Q631">
        <v>0.1</v>
      </c>
      <c r="R631">
        <v>1</v>
      </c>
      <c r="S631">
        <v>1</v>
      </c>
      <c r="T631">
        <v>2.5</v>
      </c>
      <c r="U631">
        <v>12.5</v>
      </c>
      <c r="V631">
        <v>366.01307189542484</v>
      </c>
      <c r="W631">
        <v>1</v>
      </c>
    </row>
    <row r="632" spans="1:23" x14ac:dyDescent="0.2">
      <c r="A632">
        <v>2021</v>
      </c>
      <c r="B632" t="s">
        <v>23</v>
      </c>
      <c r="C632" t="s">
        <v>24</v>
      </c>
      <c r="D632">
        <v>79</v>
      </c>
      <c r="E632">
        <v>1</v>
      </c>
      <c r="F632">
        <v>10</v>
      </c>
      <c r="G632" t="s">
        <v>103</v>
      </c>
      <c r="H632" s="3">
        <v>2</v>
      </c>
      <c r="I632" s="3">
        <v>68</v>
      </c>
      <c r="J632" s="3">
        <v>70</v>
      </c>
      <c r="K632" s="3">
        <f>J632-I632</f>
        <v>2</v>
      </c>
      <c r="L632" s="3">
        <v>107</v>
      </c>
      <c r="M632" s="3">
        <v>65</v>
      </c>
      <c r="N632" s="3">
        <v>1.5</v>
      </c>
      <c r="O632" s="3">
        <v>5</v>
      </c>
      <c r="P632" s="3">
        <v>1</v>
      </c>
      <c r="Q632" s="4">
        <v>1.4E-2</v>
      </c>
      <c r="R632" s="3">
        <v>1</v>
      </c>
      <c r="S632" s="3">
        <f>R632/P632</f>
        <v>1</v>
      </c>
      <c r="T632" s="3">
        <v>5</v>
      </c>
      <c r="U632" s="3">
        <v>12.5</v>
      </c>
      <c r="V632" s="3">
        <v>51.24183006535948</v>
      </c>
      <c r="W632" s="3">
        <v>4</v>
      </c>
    </row>
    <row r="633" spans="1:23" x14ac:dyDescent="0.2">
      <c r="A633">
        <v>2021</v>
      </c>
      <c r="B633" t="s">
        <v>23</v>
      </c>
      <c r="C633" t="s">
        <v>24</v>
      </c>
      <c r="D633">
        <v>79</v>
      </c>
      <c r="E633">
        <v>2</v>
      </c>
      <c r="F633">
        <v>9</v>
      </c>
      <c r="G633" t="s">
        <v>103</v>
      </c>
      <c r="H633" s="1">
        <v>4</v>
      </c>
      <c r="I633" s="1">
        <v>66</v>
      </c>
      <c r="J633" s="1">
        <v>69</v>
      </c>
      <c r="K633" s="1">
        <f>J633-I633</f>
        <v>3</v>
      </c>
      <c r="L633" s="1">
        <v>116</v>
      </c>
      <c r="M633" s="1">
        <v>50</v>
      </c>
      <c r="N633" s="1">
        <v>1.5</v>
      </c>
      <c r="O633" s="1">
        <v>4.5</v>
      </c>
      <c r="P633" s="1">
        <v>3</v>
      </c>
      <c r="Q633" s="2">
        <v>8.3000000000000004E-2</v>
      </c>
      <c r="R633" s="1">
        <v>2</v>
      </c>
      <c r="S633" s="1">
        <f>R633/P633</f>
        <v>0.66666666666666663</v>
      </c>
      <c r="T633" s="1">
        <v>5</v>
      </c>
      <c r="U633" s="1">
        <v>12.5</v>
      </c>
      <c r="V633" s="1">
        <v>303.79084967320262</v>
      </c>
      <c r="W633" s="1">
        <v>4</v>
      </c>
    </row>
    <row r="634" spans="1:23" x14ac:dyDescent="0.2">
      <c r="A634">
        <v>2021</v>
      </c>
      <c r="B634" t="s">
        <v>23</v>
      </c>
      <c r="C634" t="s">
        <v>24</v>
      </c>
      <c r="D634">
        <v>80</v>
      </c>
      <c r="E634">
        <v>1</v>
      </c>
      <c r="F634">
        <v>11</v>
      </c>
      <c r="G634" t="s">
        <v>104</v>
      </c>
      <c r="H634">
        <v>11</v>
      </c>
      <c r="I634">
        <v>56</v>
      </c>
      <c r="J634">
        <v>60</v>
      </c>
      <c r="K634">
        <v>4</v>
      </c>
      <c r="L634">
        <v>91</v>
      </c>
      <c r="M634">
        <v>23</v>
      </c>
      <c r="N634">
        <v>1</v>
      </c>
      <c r="O634">
        <v>2</v>
      </c>
      <c r="P634">
        <v>11</v>
      </c>
      <c r="Q634">
        <v>1.3320000000000001</v>
      </c>
      <c r="R634">
        <v>11</v>
      </c>
      <c r="S634">
        <v>1</v>
      </c>
      <c r="T634">
        <v>3</v>
      </c>
      <c r="U634">
        <v>12.5</v>
      </c>
      <c r="V634">
        <v>4875.2941176470595</v>
      </c>
      <c r="W634">
        <v>1</v>
      </c>
    </row>
    <row r="635" spans="1:23" x14ac:dyDescent="0.2">
      <c r="A635">
        <v>2021</v>
      </c>
      <c r="B635" t="s">
        <v>23</v>
      </c>
      <c r="C635" t="s">
        <v>24</v>
      </c>
      <c r="D635">
        <v>80</v>
      </c>
      <c r="E635">
        <v>2</v>
      </c>
      <c r="F635">
        <v>7</v>
      </c>
      <c r="G635" t="s">
        <v>104</v>
      </c>
      <c r="H635">
        <v>11</v>
      </c>
      <c r="I635">
        <v>63</v>
      </c>
      <c r="J635">
        <v>66</v>
      </c>
      <c r="K635">
        <v>3</v>
      </c>
      <c r="L635">
        <v>115</v>
      </c>
      <c r="M635">
        <v>55</v>
      </c>
      <c r="N635">
        <v>2</v>
      </c>
      <c r="O635">
        <v>3</v>
      </c>
      <c r="P635">
        <v>11</v>
      </c>
      <c r="Q635">
        <v>0.7</v>
      </c>
      <c r="R635">
        <v>11</v>
      </c>
      <c r="S635">
        <v>1</v>
      </c>
      <c r="T635">
        <v>2.5</v>
      </c>
      <c r="U635">
        <v>12.5</v>
      </c>
      <c r="V635">
        <v>2562.0915032679736</v>
      </c>
      <c r="W635">
        <v>1</v>
      </c>
    </row>
    <row r="636" spans="1:23" x14ac:dyDescent="0.2">
      <c r="A636">
        <v>2021</v>
      </c>
      <c r="B636" t="s">
        <v>23</v>
      </c>
      <c r="C636" t="s">
        <v>24</v>
      </c>
      <c r="D636">
        <v>81</v>
      </c>
      <c r="E636">
        <v>1</v>
      </c>
      <c r="F636">
        <v>15</v>
      </c>
      <c r="G636" t="s">
        <v>105</v>
      </c>
      <c r="H636">
        <v>12</v>
      </c>
      <c r="I636">
        <v>58</v>
      </c>
      <c r="J636">
        <v>60</v>
      </c>
      <c r="K636">
        <v>2</v>
      </c>
      <c r="L636">
        <v>112</v>
      </c>
      <c r="M636">
        <v>22</v>
      </c>
      <c r="N636">
        <v>2</v>
      </c>
      <c r="O636">
        <v>3</v>
      </c>
      <c r="P636">
        <v>12</v>
      </c>
      <c r="Q636">
        <v>1</v>
      </c>
      <c r="R636">
        <v>10</v>
      </c>
      <c r="S636">
        <v>0.83333333333333337</v>
      </c>
      <c r="T636">
        <v>2.5</v>
      </c>
      <c r="U636">
        <v>12.5</v>
      </c>
      <c r="V636">
        <v>3660.1307189542486</v>
      </c>
      <c r="W636">
        <v>1</v>
      </c>
    </row>
    <row r="637" spans="1:23" x14ac:dyDescent="0.2">
      <c r="A637">
        <v>2021</v>
      </c>
      <c r="B637" t="s">
        <v>23</v>
      </c>
      <c r="C637" t="s">
        <v>24</v>
      </c>
      <c r="D637">
        <v>81</v>
      </c>
      <c r="E637">
        <v>2</v>
      </c>
      <c r="F637">
        <v>2</v>
      </c>
      <c r="G637" t="s">
        <v>105</v>
      </c>
      <c r="H637" s="1">
        <v>8</v>
      </c>
      <c r="I637" s="1">
        <v>66</v>
      </c>
      <c r="J637" s="1">
        <v>70</v>
      </c>
      <c r="K637" s="1">
        <f>J637-I637</f>
        <v>4</v>
      </c>
      <c r="L637" s="1">
        <v>81</v>
      </c>
      <c r="M637" s="1">
        <v>25</v>
      </c>
      <c r="N637" s="1">
        <v>2</v>
      </c>
      <c r="O637" s="1">
        <v>5</v>
      </c>
      <c r="P637" s="1">
        <v>1</v>
      </c>
      <c r="Q637" s="2">
        <v>4.1000000000000002E-2</v>
      </c>
      <c r="R637" s="1">
        <v>1</v>
      </c>
      <c r="S637" s="1">
        <f>R637/P637</f>
        <v>1</v>
      </c>
      <c r="T637" s="1">
        <v>5</v>
      </c>
      <c r="U637" s="1">
        <v>12.5</v>
      </c>
      <c r="V637" s="1">
        <v>150.06535947712416</v>
      </c>
      <c r="W637" s="1">
        <v>5</v>
      </c>
    </row>
    <row r="638" spans="1:23" x14ac:dyDescent="0.2">
      <c r="A638">
        <v>2021</v>
      </c>
      <c r="B638" t="s">
        <v>23</v>
      </c>
      <c r="C638" t="s">
        <v>24</v>
      </c>
      <c r="D638">
        <v>82</v>
      </c>
      <c r="E638">
        <v>1</v>
      </c>
      <c r="F638">
        <v>10</v>
      </c>
      <c r="G638" t="s">
        <v>106</v>
      </c>
      <c r="H638">
        <v>7</v>
      </c>
      <c r="I638">
        <v>62</v>
      </c>
      <c r="J638">
        <v>66</v>
      </c>
      <c r="K638">
        <v>4</v>
      </c>
      <c r="L638">
        <v>130</v>
      </c>
      <c r="M638">
        <v>66</v>
      </c>
      <c r="N638">
        <v>2</v>
      </c>
      <c r="O638">
        <v>3</v>
      </c>
      <c r="P638">
        <v>7</v>
      </c>
      <c r="Q638">
        <v>0.5</v>
      </c>
      <c r="R638">
        <v>7</v>
      </c>
      <c r="S638">
        <v>1</v>
      </c>
      <c r="T638">
        <v>3</v>
      </c>
      <c r="U638">
        <v>12.5</v>
      </c>
      <c r="V638">
        <v>1830.0653594771243</v>
      </c>
      <c r="W638">
        <v>1</v>
      </c>
    </row>
    <row r="639" spans="1:23" x14ac:dyDescent="0.2">
      <c r="A639">
        <v>2021</v>
      </c>
      <c r="B639" t="s">
        <v>23</v>
      </c>
      <c r="C639" t="s">
        <v>24</v>
      </c>
      <c r="D639">
        <v>82</v>
      </c>
      <c r="E639">
        <v>2</v>
      </c>
      <c r="F639">
        <v>1</v>
      </c>
      <c r="G639" t="s">
        <v>106</v>
      </c>
      <c r="H639" s="1">
        <v>10</v>
      </c>
      <c r="I639" s="1">
        <v>65</v>
      </c>
      <c r="J639" s="1">
        <v>70</v>
      </c>
      <c r="K639" s="1">
        <f>J639-I639</f>
        <v>5</v>
      </c>
      <c r="L639" s="1">
        <v>83</v>
      </c>
      <c r="M639" s="1">
        <v>35</v>
      </c>
      <c r="N639" s="1">
        <v>3</v>
      </c>
      <c r="O639" s="1">
        <v>4.5</v>
      </c>
      <c r="P639" s="1">
        <v>3</v>
      </c>
      <c r="Q639" s="2">
        <v>0.05</v>
      </c>
      <c r="R639" s="1">
        <v>1</v>
      </c>
      <c r="S639" s="1">
        <f>R639/P639</f>
        <v>0.33333333333333331</v>
      </c>
      <c r="T639" s="1">
        <v>5</v>
      </c>
      <c r="U639" s="1">
        <v>12.5</v>
      </c>
      <c r="V639" s="1">
        <v>183.00653594771242</v>
      </c>
      <c r="W639" s="1">
        <v>4</v>
      </c>
    </row>
    <row r="640" spans="1:23" x14ac:dyDescent="0.2">
      <c r="A640">
        <v>2021</v>
      </c>
      <c r="B640" t="s">
        <v>23</v>
      </c>
      <c r="C640" t="s">
        <v>24</v>
      </c>
      <c r="D640">
        <v>83</v>
      </c>
      <c r="E640">
        <v>1</v>
      </c>
      <c r="F640">
        <v>9</v>
      </c>
      <c r="G640" t="s">
        <v>107</v>
      </c>
      <c r="H640" s="1">
        <v>5</v>
      </c>
      <c r="I640" s="1">
        <v>63</v>
      </c>
      <c r="J640" s="1">
        <v>64</v>
      </c>
      <c r="K640" s="1">
        <f>J640-I640</f>
        <v>1</v>
      </c>
      <c r="L640" s="1">
        <v>139</v>
      </c>
      <c r="M640" s="1">
        <v>58</v>
      </c>
      <c r="N640" s="1">
        <v>2</v>
      </c>
      <c r="O640" s="1">
        <v>3.5</v>
      </c>
      <c r="P640" s="1">
        <f>H640</f>
        <v>5</v>
      </c>
      <c r="Q640" s="2">
        <v>0.10935</v>
      </c>
      <c r="R640" s="1">
        <v>2</v>
      </c>
      <c r="S640" s="1">
        <f>R640/P640</f>
        <v>0.4</v>
      </c>
      <c r="T640" s="1">
        <v>5</v>
      </c>
      <c r="U640" s="1">
        <v>12.5</v>
      </c>
      <c r="V640" s="1">
        <v>400.23529411764707</v>
      </c>
      <c r="W640" s="1">
        <v>2</v>
      </c>
    </row>
    <row r="641" spans="1:23" x14ac:dyDescent="0.2">
      <c r="A641">
        <v>2021</v>
      </c>
      <c r="B641" t="s">
        <v>23</v>
      </c>
      <c r="C641" t="s">
        <v>24</v>
      </c>
      <c r="D641">
        <v>83</v>
      </c>
      <c r="E641">
        <v>2</v>
      </c>
      <c r="F641">
        <v>3</v>
      </c>
      <c r="G641" t="s">
        <v>107</v>
      </c>
      <c r="H641" s="1">
        <v>2</v>
      </c>
      <c r="I641" s="1">
        <v>59</v>
      </c>
      <c r="J641" s="1">
        <v>63</v>
      </c>
      <c r="K641" s="1">
        <f>J641-I641</f>
        <v>4</v>
      </c>
      <c r="L641" s="1">
        <v>103</v>
      </c>
      <c r="M641" s="1">
        <v>41</v>
      </c>
      <c r="N641" s="1">
        <v>1.5</v>
      </c>
      <c r="O641" s="1">
        <v>3.5</v>
      </c>
      <c r="P641" s="1">
        <v>2</v>
      </c>
      <c r="Q641" s="2">
        <v>6.4000000000000001E-2</v>
      </c>
      <c r="R641" s="1">
        <v>2</v>
      </c>
      <c r="S641" s="1">
        <f>R641/P641</f>
        <v>1</v>
      </c>
      <c r="T641" s="1">
        <v>5</v>
      </c>
      <c r="U641" s="1">
        <v>12.5</v>
      </c>
      <c r="V641" s="1">
        <v>234.24836601307192</v>
      </c>
      <c r="W641" s="1">
        <v>5</v>
      </c>
    </row>
    <row r="642" spans="1:23" x14ac:dyDescent="0.2">
      <c r="A642">
        <v>2021</v>
      </c>
      <c r="B642" t="s">
        <v>23</v>
      </c>
      <c r="C642" t="s">
        <v>24</v>
      </c>
      <c r="D642">
        <v>84</v>
      </c>
      <c r="E642">
        <v>1</v>
      </c>
      <c r="F642">
        <v>12</v>
      </c>
      <c r="G642" t="s">
        <v>108</v>
      </c>
      <c r="H642" s="1">
        <v>1</v>
      </c>
      <c r="I642" s="1">
        <v>72</v>
      </c>
      <c r="J642" s="1">
        <v>73</v>
      </c>
      <c r="K642" s="1">
        <f>J642-I642</f>
        <v>1</v>
      </c>
      <c r="L642" s="1">
        <v>120</v>
      </c>
      <c r="M642" s="1">
        <v>60</v>
      </c>
      <c r="N642" s="1">
        <v>2</v>
      </c>
      <c r="O642" s="1">
        <v>3.5</v>
      </c>
      <c r="P642" s="1">
        <f>H642</f>
        <v>1</v>
      </c>
      <c r="Q642" s="2">
        <v>2.07E-2</v>
      </c>
      <c r="R642" s="1">
        <v>1</v>
      </c>
      <c r="S642" s="1">
        <f>R642/P642</f>
        <v>1</v>
      </c>
      <c r="T642" s="1">
        <v>5</v>
      </c>
      <c r="U642" s="1">
        <v>12.5</v>
      </c>
      <c r="V642" s="1">
        <v>75.764705882352942</v>
      </c>
      <c r="W642" s="1">
        <v>8</v>
      </c>
    </row>
    <row r="643" spans="1:23" x14ac:dyDescent="0.2">
      <c r="A643">
        <v>2021</v>
      </c>
      <c r="B643" t="s">
        <v>23</v>
      </c>
      <c r="C643" t="s">
        <v>24</v>
      </c>
      <c r="D643">
        <v>84</v>
      </c>
      <c r="E643">
        <v>2</v>
      </c>
      <c r="F643">
        <v>4</v>
      </c>
      <c r="G643" t="s">
        <v>108</v>
      </c>
      <c r="H643" s="1">
        <v>2</v>
      </c>
      <c r="I643" s="1">
        <v>67</v>
      </c>
      <c r="J643" s="1">
        <v>69</v>
      </c>
      <c r="K643" s="1">
        <f>J643-I643</f>
        <v>2</v>
      </c>
      <c r="L643" s="1">
        <v>60</v>
      </c>
      <c r="M643" s="1">
        <v>21</v>
      </c>
      <c r="N643" s="1">
        <v>2</v>
      </c>
      <c r="O643" s="1">
        <v>4.5</v>
      </c>
      <c r="P643" s="1">
        <v>2</v>
      </c>
      <c r="Q643" s="2">
        <v>6.6000000000000003E-2</v>
      </c>
      <c r="R643" s="1">
        <v>2</v>
      </c>
      <c r="S643" s="1">
        <f>R643/P643</f>
        <v>1</v>
      </c>
      <c r="T643" s="1">
        <v>5</v>
      </c>
      <c r="U643" s="1">
        <v>12.5</v>
      </c>
      <c r="V643" s="1">
        <v>241.56862745098039</v>
      </c>
      <c r="W643" s="1">
        <v>6</v>
      </c>
    </row>
    <row r="644" spans="1:23" x14ac:dyDescent="0.2">
      <c r="A644">
        <v>2021</v>
      </c>
      <c r="B644" t="s">
        <v>23</v>
      </c>
      <c r="C644" t="s">
        <v>24</v>
      </c>
      <c r="D644">
        <v>85</v>
      </c>
      <c r="E644">
        <v>1</v>
      </c>
      <c r="F644">
        <v>5</v>
      </c>
      <c r="G644" t="s">
        <v>109</v>
      </c>
      <c r="H644">
        <v>12</v>
      </c>
      <c r="I644">
        <v>58</v>
      </c>
      <c r="J644">
        <v>60</v>
      </c>
      <c r="K644">
        <v>2</v>
      </c>
      <c r="L644">
        <v>117</v>
      </c>
      <c r="M644">
        <v>22</v>
      </c>
      <c r="N644">
        <v>1</v>
      </c>
      <c r="O644">
        <v>2</v>
      </c>
      <c r="P644">
        <v>12</v>
      </c>
      <c r="Q644">
        <v>1.714</v>
      </c>
      <c r="R644">
        <v>12</v>
      </c>
      <c r="S644">
        <v>1</v>
      </c>
      <c r="T644">
        <v>3</v>
      </c>
      <c r="U644">
        <v>12.5</v>
      </c>
      <c r="V644">
        <v>6273.4640522875816</v>
      </c>
      <c r="W644">
        <v>2</v>
      </c>
    </row>
    <row r="645" spans="1:23" x14ac:dyDescent="0.2">
      <c r="A645">
        <v>2021</v>
      </c>
      <c r="B645" t="s">
        <v>23</v>
      </c>
      <c r="C645" t="s">
        <v>24</v>
      </c>
      <c r="D645">
        <v>85</v>
      </c>
      <c r="E645">
        <v>2</v>
      </c>
      <c r="F645">
        <v>11</v>
      </c>
      <c r="G645" t="s">
        <v>109</v>
      </c>
      <c r="H645">
        <v>12</v>
      </c>
      <c r="I645">
        <v>59</v>
      </c>
      <c r="J645">
        <v>60</v>
      </c>
      <c r="K645">
        <v>1</v>
      </c>
      <c r="L645">
        <v>192</v>
      </c>
      <c r="M645">
        <v>88</v>
      </c>
      <c r="N645">
        <v>2</v>
      </c>
      <c r="O645">
        <v>2.5</v>
      </c>
      <c r="P645">
        <v>8</v>
      </c>
      <c r="Q645">
        <v>1.1000000000000001</v>
      </c>
      <c r="R645">
        <v>14</v>
      </c>
      <c r="S645">
        <v>1.75</v>
      </c>
      <c r="T645">
        <v>2</v>
      </c>
      <c r="U645">
        <v>11.1</v>
      </c>
      <c r="V645">
        <v>4090.5620915032687</v>
      </c>
      <c r="W645">
        <v>1</v>
      </c>
    </row>
    <row r="646" spans="1:23" x14ac:dyDescent="0.2">
      <c r="A646">
        <v>2021</v>
      </c>
      <c r="B646" t="s">
        <v>23</v>
      </c>
      <c r="C646" t="s">
        <v>24</v>
      </c>
      <c r="D646">
        <v>86</v>
      </c>
      <c r="E646">
        <v>1</v>
      </c>
      <c r="F646">
        <v>6</v>
      </c>
      <c r="G646" t="s">
        <v>110</v>
      </c>
      <c r="H646" s="1">
        <v>10</v>
      </c>
      <c r="I646" s="1">
        <v>66</v>
      </c>
      <c r="J646" s="1">
        <v>70</v>
      </c>
      <c r="K646" s="1">
        <f t="shared" ref="K646:K652" si="26">J646-I646</f>
        <v>4</v>
      </c>
      <c r="L646" s="1">
        <v>127</v>
      </c>
      <c r="M646" s="1">
        <v>42</v>
      </c>
      <c r="N646" s="1">
        <v>2</v>
      </c>
      <c r="O646" s="1">
        <v>4</v>
      </c>
      <c r="P646" s="1">
        <v>6</v>
      </c>
      <c r="Q646" s="2">
        <v>0.14399999999999999</v>
      </c>
      <c r="R646" s="1">
        <v>5</v>
      </c>
      <c r="S646" s="1">
        <f t="shared" ref="S646:S652" si="27">R646/P646</f>
        <v>0.83333333333333337</v>
      </c>
      <c r="T646" s="1">
        <v>4</v>
      </c>
      <c r="U646" s="1">
        <v>12.5</v>
      </c>
      <c r="V646" s="1">
        <v>527.05882352941182</v>
      </c>
      <c r="W646" s="1">
        <v>4</v>
      </c>
    </row>
    <row r="647" spans="1:23" x14ac:dyDescent="0.2">
      <c r="A647">
        <v>2021</v>
      </c>
      <c r="B647" t="s">
        <v>23</v>
      </c>
      <c r="C647" t="s">
        <v>24</v>
      </c>
      <c r="D647">
        <v>86</v>
      </c>
      <c r="E647">
        <v>2</v>
      </c>
      <c r="F647">
        <v>15</v>
      </c>
      <c r="G647" t="s">
        <v>110</v>
      </c>
      <c r="H647" s="1">
        <v>6</v>
      </c>
      <c r="I647" s="1">
        <v>63</v>
      </c>
      <c r="J647" s="1">
        <v>67</v>
      </c>
      <c r="K647" s="1">
        <f t="shared" si="26"/>
        <v>4</v>
      </c>
      <c r="L647" s="1">
        <v>131</v>
      </c>
      <c r="M647" s="1">
        <v>36</v>
      </c>
      <c r="N647" s="1">
        <v>2</v>
      </c>
      <c r="O647" s="1">
        <v>3.5</v>
      </c>
      <c r="P647" s="1">
        <v>5</v>
      </c>
      <c r="Q647" s="2">
        <v>0.05</v>
      </c>
      <c r="R647" s="1">
        <v>2</v>
      </c>
      <c r="S647" s="1">
        <f t="shared" si="27"/>
        <v>0.4</v>
      </c>
      <c r="T647" s="1">
        <v>4</v>
      </c>
      <c r="U647" s="1">
        <v>12.5</v>
      </c>
      <c r="V647" s="1">
        <v>183.00653594771242</v>
      </c>
      <c r="W647" s="1">
        <v>4</v>
      </c>
    </row>
    <row r="648" spans="1:23" x14ac:dyDescent="0.2">
      <c r="A648">
        <v>2021</v>
      </c>
      <c r="B648" t="s">
        <v>23</v>
      </c>
      <c r="C648" t="s">
        <v>24</v>
      </c>
      <c r="D648">
        <v>87</v>
      </c>
      <c r="E648">
        <v>1</v>
      </c>
      <c r="F648">
        <v>13</v>
      </c>
      <c r="G648" t="s">
        <v>111</v>
      </c>
      <c r="H648" s="1">
        <v>14</v>
      </c>
      <c r="I648" s="1">
        <v>63</v>
      </c>
      <c r="J648" s="1">
        <v>66</v>
      </c>
      <c r="K648" s="1">
        <f t="shared" si="26"/>
        <v>3</v>
      </c>
      <c r="L648" s="1">
        <v>165</v>
      </c>
      <c r="M648" s="1">
        <v>85</v>
      </c>
      <c r="N648" s="1">
        <v>2.5</v>
      </c>
      <c r="O648" s="1">
        <v>3.5</v>
      </c>
      <c r="P648" s="1">
        <v>12</v>
      </c>
      <c r="Q648" s="2">
        <v>0.73799999999999999</v>
      </c>
      <c r="R648" s="1">
        <v>11</v>
      </c>
      <c r="S648" s="1">
        <f t="shared" si="27"/>
        <v>0.91666666666666663</v>
      </c>
      <c r="T648" s="1">
        <v>3</v>
      </c>
      <c r="U648" s="1">
        <v>12.5</v>
      </c>
      <c r="V648" s="1">
        <v>2701.1764705882356</v>
      </c>
      <c r="W648" s="1">
        <v>4</v>
      </c>
    </row>
    <row r="649" spans="1:23" x14ac:dyDescent="0.2">
      <c r="A649">
        <v>2021</v>
      </c>
      <c r="B649" t="s">
        <v>23</v>
      </c>
      <c r="C649" t="s">
        <v>24</v>
      </c>
      <c r="D649">
        <v>87</v>
      </c>
      <c r="E649">
        <v>2</v>
      </c>
      <c r="F649">
        <v>8</v>
      </c>
      <c r="G649" t="s">
        <v>111</v>
      </c>
      <c r="H649" s="1">
        <v>5</v>
      </c>
      <c r="I649" s="1">
        <v>67</v>
      </c>
      <c r="J649" s="1">
        <v>71</v>
      </c>
      <c r="K649" s="1">
        <f t="shared" si="26"/>
        <v>4</v>
      </c>
      <c r="L649" s="1">
        <v>202</v>
      </c>
      <c r="M649" s="1">
        <v>113</v>
      </c>
      <c r="N649" s="1">
        <v>2</v>
      </c>
      <c r="O649" s="1">
        <v>2</v>
      </c>
      <c r="P649" s="1">
        <f>H649-1</f>
        <v>4</v>
      </c>
      <c r="Q649" s="2">
        <v>0.09</v>
      </c>
      <c r="R649" s="1">
        <v>4</v>
      </c>
      <c r="S649" s="1">
        <f t="shared" si="27"/>
        <v>1</v>
      </c>
      <c r="T649" s="1">
        <v>3</v>
      </c>
      <c r="U649" s="1">
        <v>12.5</v>
      </c>
      <c r="V649" s="1">
        <v>329.41176470588232</v>
      </c>
      <c r="W649" s="1">
        <v>4</v>
      </c>
    </row>
    <row r="650" spans="1:23" x14ac:dyDescent="0.2">
      <c r="A650">
        <v>2021</v>
      </c>
      <c r="B650" t="s">
        <v>23</v>
      </c>
      <c r="C650" t="s">
        <v>24</v>
      </c>
      <c r="D650">
        <v>88</v>
      </c>
      <c r="E650">
        <v>1</v>
      </c>
      <c r="F650">
        <v>13</v>
      </c>
      <c r="G650" t="s">
        <v>112</v>
      </c>
      <c r="H650" s="1">
        <v>7</v>
      </c>
      <c r="I650" s="1">
        <v>65</v>
      </c>
      <c r="J650" s="1">
        <v>70</v>
      </c>
      <c r="K650" s="1">
        <f t="shared" si="26"/>
        <v>5</v>
      </c>
      <c r="L650" s="1">
        <v>141</v>
      </c>
      <c r="M650" s="1">
        <v>63</v>
      </c>
      <c r="N650" s="1">
        <v>2</v>
      </c>
      <c r="O650" s="1">
        <v>2</v>
      </c>
      <c r="P650" s="1">
        <f>H650-2</f>
        <v>5</v>
      </c>
      <c r="Q650" s="2">
        <v>0.1095</v>
      </c>
      <c r="R650" s="1">
        <v>3</v>
      </c>
      <c r="S650" s="1">
        <f t="shared" si="27"/>
        <v>0.6</v>
      </c>
      <c r="T650" s="1">
        <v>3</v>
      </c>
      <c r="U650" s="1">
        <v>12.5</v>
      </c>
      <c r="V650" s="1">
        <v>400.78431372549016</v>
      </c>
      <c r="W650" s="1">
        <v>5</v>
      </c>
    </row>
    <row r="651" spans="1:23" x14ac:dyDescent="0.2">
      <c r="A651">
        <v>2021</v>
      </c>
      <c r="B651" t="s">
        <v>23</v>
      </c>
      <c r="C651" t="s">
        <v>24</v>
      </c>
      <c r="D651">
        <v>88</v>
      </c>
      <c r="E651">
        <v>2</v>
      </c>
      <c r="F651">
        <v>2</v>
      </c>
      <c r="G651" t="s">
        <v>112</v>
      </c>
      <c r="H651" s="1">
        <v>9</v>
      </c>
      <c r="I651" s="1">
        <v>66</v>
      </c>
      <c r="J651" s="1">
        <v>70</v>
      </c>
      <c r="K651" s="1">
        <f t="shared" si="26"/>
        <v>4</v>
      </c>
      <c r="L651" s="1">
        <v>147</v>
      </c>
      <c r="M651" s="1">
        <v>70</v>
      </c>
      <c r="N651" s="1">
        <v>2</v>
      </c>
      <c r="O651" s="1">
        <v>3.5</v>
      </c>
      <c r="P651" s="1">
        <v>5</v>
      </c>
      <c r="Q651" s="2">
        <v>0.16639999999999999</v>
      </c>
      <c r="R651" s="1">
        <v>4</v>
      </c>
      <c r="S651" s="1">
        <f t="shared" si="27"/>
        <v>0.8</v>
      </c>
      <c r="T651" s="1">
        <v>5</v>
      </c>
      <c r="U651" s="1">
        <v>12.5</v>
      </c>
      <c r="V651" s="1">
        <v>609.04575163398692</v>
      </c>
      <c r="W651" s="1">
        <v>5</v>
      </c>
    </row>
    <row r="652" spans="1:23" x14ac:dyDescent="0.2">
      <c r="A652">
        <v>2021</v>
      </c>
      <c r="B652" t="s">
        <v>23</v>
      </c>
      <c r="C652" t="s">
        <v>24</v>
      </c>
      <c r="D652">
        <v>89</v>
      </c>
      <c r="E652">
        <v>1</v>
      </c>
      <c r="F652">
        <v>3</v>
      </c>
      <c r="G652" t="s">
        <v>113</v>
      </c>
      <c r="H652" s="1">
        <v>7</v>
      </c>
      <c r="I652" s="1">
        <v>62</v>
      </c>
      <c r="J652" s="1">
        <v>67</v>
      </c>
      <c r="K652" s="1">
        <f t="shared" si="26"/>
        <v>5</v>
      </c>
      <c r="L652" s="1">
        <v>142</v>
      </c>
      <c r="M652" s="1">
        <v>92</v>
      </c>
      <c r="N652" s="1">
        <v>2</v>
      </c>
      <c r="O652" s="1">
        <v>3.5</v>
      </c>
      <c r="P652" s="1">
        <v>7</v>
      </c>
      <c r="Q652" s="2">
        <v>0.622</v>
      </c>
      <c r="R652" s="1">
        <v>6</v>
      </c>
      <c r="S652" s="1">
        <f t="shared" si="27"/>
        <v>0.8571428571428571</v>
      </c>
      <c r="T652" s="1">
        <v>5</v>
      </c>
      <c r="U652" s="1">
        <v>6.9</v>
      </c>
      <c r="V652" s="1">
        <v>2422.3037908496726</v>
      </c>
      <c r="W652" s="1">
        <v>3</v>
      </c>
    </row>
    <row r="653" spans="1:23" x14ac:dyDescent="0.2">
      <c r="A653">
        <v>2021</v>
      </c>
      <c r="B653" t="s">
        <v>23</v>
      </c>
      <c r="C653" t="s">
        <v>24</v>
      </c>
      <c r="D653">
        <v>89</v>
      </c>
      <c r="E653">
        <v>2</v>
      </c>
      <c r="F653">
        <v>6</v>
      </c>
      <c r="G653" t="s">
        <v>113</v>
      </c>
      <c r="H653">
        <v>16</v>
      </c>
      <c r="I653">
        <v>53</v>
      </c>
      <c r="J653">
        <v>55</v>
      </c>
      <c r="K653">
        <v>2</v>
      </c>
      <c r="L653">
        <v>149</v>
      </c>
      <c r="M653">
        <v>69</v>
      </c>
      <c r="N653">
        <v>2</v>
      </c>
      <c r="O653">
        <v>2.5</v>
      </c>
      <c r="P653">
        <v>14</v>
      </c>
      <c r="Q653">
        <v>1.4</v>
      </c>
      <c r="R653">
        <v>11</v>
      </c>
      <c r="S653">
        <v>0.7857142857142857</v>
      </c>
      <c r="T653">
        <v>3</v>
      </c>
      <c r="U653">
        <v>10.1</v>
      </c>
      <c r="V653">
        <v>5264.7320261437908</v>
      </c>
      <c r="W653">
        <v>2</v>
      </c>
    </row>
    <row r="654" spans="1:23" x14ac:dyDescent="0.2">
      <c r="A654">
        <v>2021</v>
      </c>
      <c r="B654" t="s">
        <v>23</v>
      </c>
      <c r="C654" t="s">
        <v>24</v>
      </c>
      <c r="D654">
        <v>90</v>
      </c>
      <c r="E654">
        <v>1</v>
      </c>
      <c r="F654">
        <v>15</v>
      </c>
      <c r="G654" t="s">
        <v>114</v>
      </c>
      <c r="H654">
        <v>5</v>
      </c>
      <c r="I654">
        <v>60</v>
      </c>
      <c r="J654">
        <v>63</v>
      </c>
      <c r="K654">
        <v>3</v>
      </c>
      <c r="L654">
        <v>102</v>
      </c>
      <c r="M654">
        <v>22</v>
      </c>
      <c r="N654">
        <v>2.5</v>
      </c>
      <c r="O654">
        <v>2</v>
      </c>
      <c r="P654">
        <v>5</v>
      </c>
      <c r="Q654">
        <v>0.4</v>
      </c>
      <c r="R654">
        <v>5</v>
      </c>
      <c r="S654">
        <v>1</v>
      </c>
      <c r="T654">
        <v>3</v>
      </c>
      <c r="U654">
        <v>12.5</v>
      </c>
      <c r="V654">
        <v>1464.0522875816994</v>
      </c>
      <c r="W654">
        <v>2</v>
      </c>
    </row>
    <row r="655" spans="1:23" x14ac:dyDescent="0.2">
      <c r="A655">
        <v>2021</v>
      </c>
      <c r="B655" t="s">
        <v>23</v>
      </c>
      <c r="C655" t="s">
        <v>24</v>
      </c>
      <c r="D655">
        <v>90</v>
      </c>
      <c r="E655">
        <v>2</v>
      </c>
      <c r="F655">
        <v>3</v>
      </c>
      <c r="G655" t="s">
        <v>114</v>
      </c>
      <c r="H655" s="1">
        <v>4</v>
      </c>
      <c r="I655" s="1">
        <v>61</v>
      </c>
      <c r="J655" s="1">
        <v>64</v>
      </c>
      <c r="K655" s="1">
        <f t="shared" ref="K655:K660" si="28">J655-I655</f>
        <v>3</v>
      </c>
      <c r="L655" s="1">
        <v>138</v>
      </c>
      <c r="M655" s="1">
        <v>62</v>
      </c>
      <c r="N655" s="1">
        <v>2</v>
      </c>
      <c r="O655" s="1">
        <v>2.5</v>
      </c>
      <c r="P655" s="1">
        <v>5</v>
      </c>
      <c r="Q655" s="2">
        <v>0.42899999999999999</v>
      </c>
      <c r="R655" s="1">
        <v>3</v>
      </c>
      <c r="S655" s="1">
        <f t="shared" ref="S655:S660" si="29">R655/P655</f>
        <v>0.6</v>
      </c>
      <c r="T655" s="1">
        <v>3</v>
      </c>
      <c r="U655" s="1">
        <v>12.5</v>
      </c>
      <c r="V655" s="1">
        <v>1570.1960784313726</v>
      </c>
      <c r="W655" s="1">
        <v>4</v>
      </c>
    </row>
    <row r="656" spans="1:23" x14ac:dyDescent="0.2">
      <c r="A656">
        <v>2021</v>
      </c>
      <c r="B656" t="s">
        <v>23</v>
      </c>
      <c r="C656" t="s">
        <v>24</v>
      </c>
      <c r="D656">
        <v>91</v>
      </c>
      <c r="E656">
        <v>1</v>
      </c>
      <c r="F656">
        <v>1</v>
      </c>
      <c r="G656" t="s">
        <v>115</v>
      </c>
      <c r="H656" s="1">
        <v>10</v>
      </c>
      <c r="I656" s="1">
        <v>68</v>
      </c>
      <c r="J656" s="1">
        <v>73</v>
      </c>
      <c r="K656" s="1">
        <f t="shared" si="28"/>
        <v>5</v>
      </c>
      <c r="L656" s="1">
        <v>147</v>
      </c>
      <c r="M656" s="1">
        <v>65</v>
      </c>
      <c r="N656" s="1">
        <v>3</v>
      </c>
      <c r="O656" s="1">
        <v>4</v>
      </c>
      <c r="P656" s="1">
        <v>6</v>
      </c>
      <c r="Q656" s="2">
        <v>0.3412</v>
      </c>
      <c r="R656" s="1">
        <v>8</v>
      </c>
      <c r="S656" s="1">
        <f t="shared" si="29"/>
        <v>1.3333333333333333</v>
      </c>
      <c r="T656" s="1">
        <v>5</v>
      </c>
      <c r="U656" s="1">
        <v>12.5</v>
      </c>
      <c r="V656" s="1">
        <v>1248.8366013071895</v>
      </c>
      <c r="W656" s="1">
        <v>5</v>
      </c>
    </row>
    <row r="657" spans="1:23" x14ac:dyDescent="0.2">
      <c r="A657">
        <v>2021</v>
      </c>
      <c r="B657" t="s">
        <v>23</v>
      </c>
      <c r="C657" t="s">
        <v>24</v>
      </c>
      <c r="D657">
        <v>91</v>
      </c>
      <c r="E657">
        <v>2</v>
      </c>
      <c r="F657">
        <v>8</v>
      </c>
      <c r="G657" t="s">
        <v>115</v>
      </c>
      <c r="H657" s="1">
        <v>5</v>
      </c>
      <c r="I657" s="1">
        <v>61</v>
      </c>
      <c r="J657" s="1">
        <v>63</v>
      </c>
      <c r="K657" s="1">
        <f t="shared" si="28"/>
        <v>2</v>
      </c>
      <c r="L657" s="1">
        <v>148</v>
      </c>
      <c r="M657" s="1">
        <v>58</v>
      </c>
      <c r="N657" s="1">
        <v>2</v>
      </c>
      <c r="O657" s="1">
        <v>3</v>
      </c>
      <c r="P657" s="1">
        <v>5</v>
      </c>
      <c r="Q657" s="2">
        <v>0.72750000000000004</v>
      </c>
      <c r="R657" s="1">
        <v>7</v>
      </c>
      <c r="S657" s="1">
        <f t="shared" si="29"/>
        <v>1.4</v>
      </c>
      <c r="T657" s="1">
        <v>3</v>
      </c>
      <c r="U657" s="1">
        <v>12.5</v>
      </c>
      <c r="V657" s="1">
        <v>2662.7450980392155</v>
      </c>
      <c r="W657" s="1">
        <v>2</v>
      </c>
    </row>
    <row r="658" spans="1:23" x14ac:dyDescent="0.2">
      <c r="A658">
        <v>2021</v>
      </c>
      <c r="B658" t="s">
        <v>23</v>
      </c>
      <c r="C658" t="s">
        <v>24</v>
      </c>
      <c r="D658">
        <v>92</v>
      </c>
      <c r="E658">
        <v>1</v>
      </c>
      <c r="F658">
        <v>4</v>
      </c>
      <c r="G658" t="s">
        <v>116</v>
      </c>
      <c r="H658" s="1">
        <v>10</v>
      </c>
      <c r="I658" s="1">
        <v>59</v>
      </c>
      <c r="J658" s="1">
        <v>64</v>
      </c>
      <c r="K658" s="1">
        <f t="shared" si="28"/>
        <v>5</v>
      </c>
      <c r="L658" s="1">
        <v>128</v>
      </c>
      <c r="M658" s="1">
        <v>100</v>
      </c>
      <c r="N658" s="1">
        <v>2</v>
      </c>
      <c r="O658" s="1">
        <v>3.5</v>
      </c>
      <c r="P658" s="1">
        <v>9</v>
      </c>
      <c r="Q658" s="2">
        <v>0.68200000000000005</v>
      </c>
      <c r="R658" s="1">
        <v>9</v>
      </c>
      <c r="S658" s="1">
        <f t="shared" si="29"/>
        <v>1</v>
      </c>
      <c r="T658" s="1">
        <v>5</v>
      </c>
      <c r="U658" s="1">
        <v>12.5</v>
      </c>
      <c r="V658" s="1">
        <v>2496.209150326797</v>
      </c>
      <c r="W658" s="1">
        <v>5</v>
      </c>
    </row>
    <row r="659" spans="1:23" x14ac:dyDescent="0.2">
      <c r="A659">
        <v>2021</v>
      </c>
      <c r="B659" t="s">
        <v>23</v>
      </c>
      <c r="C659" t="s">
        <v>24</v>
      </c>
      <c r="D659">
        <v>92</v>
      </c>
      <c r="E659">
        <v>2</v>
      </c>
      <c r="F659">
        <v>15</v>
      </c>
      <c r="G659" t="s">
        <v>116</v>
      </c>
      <c r="H659" s="1">
        <v>2</v>
      </c>
      <c r="I659" s="1">
        <v>63</v>
      </c>
      <c r="J659" s="1">
        <v>68</v>
      </c>
      <c r="K659" s="1">
        <f t="shared" si="28"/>
        <v>5</v>
      </c>
      <c r="L659" s="1">
        <v>57</v>
      </c>
      <c r="M659" s="1">
        <v>40</v>
      </c>
      <c r="N659" s="1">
        <v>3</v>
      </c>
      <c r="O659" s="1">
        <v>3.5</v>
      </c>
      <c r="P659" s="1">
        <v>5</v>
      </c>
      <c r="Q659" s="2">
        <v>0.24</v>
      </c>
      <c r="R659" s="1">
        <v>2</v>
      </c>
      <c r="S659" s="1">
        <f t="shared" si="29"/>
        <v>0.4</v>
      </c>
      <c r="T659" s="1">
        <v>5</v>
      </c>
      <c r="U659" s="1">
        <v>12.5</v>
      </c>
      <c r="V659" s="1">
        <v>878.43137254901967</v>
      </c>
      <c r="W659" s="1">
        <v>5</v>
      </c>
    </row>
    <row r="660" spans="1:23" x14ac:dyDescent="0.2">
      <c r="A660">
        <v>2021</v>
      </c>
      <c r="B660" t="s">
        <v>23</v>
      </c>
      <c r="C660" t="s">
        <v>24</v>
      </c>
      <c r="D660">
        <v>93</v>
      </c>
      <c r="E660">
        <v>1</v>
      </c>
      <c r="F660">
        <v>9</v>
      </c>
      <c r="G660" t="s">
        <v>117</v>
      </c>
      <c r="H660" s="1">
        <v>9</v>
      </c>
      <c r="I660" s="1">
        <v>66</v>
      </c>
      <c r="J660" s="1">
        <v>70</v>
      </c>
      <c r="K660" s="1">
        <f t="shared" si="28"/>
        <v>4</v>
      </c>
      <c r="L660" s="1">
        <v>84</v>
      </c>
      <c r="M660" s="1">
        <v>31</v>
      </c>
      <c r="N660" s="1">
        <v>1.5</v>
      </c>
      <c r="O660" s="1">
        <v>4.5</v>
      </c>
      <c r="P660" s="1">
        <v>6</v>
      </c>
      <c r="Q660" s="2">
        <v>0.16250000000000001</v>
      </c>
      <c r="R660" s="1">
        <v>5</v>
      </c>
      <c r="S660" s="1">
        <f t="shared" si="29"/>
        <v>0.83333333333333337</v>
      </c>
      <c r="T660" s="1">
        <v>3</v>
      </c>
      <c r="U660" s="1">
        <v>12.5</v>
      </c>
      <c r="V660" s="1">
        <v>594.77124183006538</v>
      </c>
      <c r="W660" s="1">
        <v>5</v>
      </c>
    </row>
    <row r="661" spans="1:23" x14ac:dyDescent="0.2">
      <c r="A661">
        <v>2021</v>
      </c>
      <c r="B661" t="s">
        <v>23</v>
      </c>
      <c r="C661" t="s">
        <v>24</v>
      </c>
      <c r="D661">
        <v>93</v>
      </c>
      <c r="E661">
        <v>2</v>
      </c>
      <c r="F661">
        <v>7</v>
      </c>
      <c r="G661" t="s">
        <v>117</v>
      </c>
      <c r="H661">
        <v>11</v>
      </c>
      <c r="I661">
        <v>59</v>
      </c>
      <c r="J661">
        <v>62</v>
      </c>
      <c r="K661">
        <v>3</v>
      </c>
      <c r="L661">
        <v>182</v>
      </c>
      <c r="M661">
        <v>78</v>
      </c>
      <c r="N661">
        <v>2</v>
      </c>
      <c r="O661">
        <v>2</v>
      </c>
      <c r="P661">
        <v>11</v>
      </c>
      <c r="Q661">
        <v>1.2</v>
      </c>
      <c r="R661">
        <v>10</v>
      </c>
      <c r="S661">
        <v>0.90909090909090906</v>
      </c>
      <c r="T661">
        <v>2</v>
      </c>
      <c r="U661">
        <v>10.5</v>
      </c>
      <c r="V661">
        <v>4492.5490196078426</v>
      </c>
      <c r="W661">
        <v>2</v>
      </c>
    </row>
    <row r="662" spans="1:23" x14ac:dyDescent="0.2">
      <c r="A662">
        <v>2021</v>
      </c>
      <c r="B662" t="s">
        <v>23</v>
      </c>
      <c r="C662" t="s">
        <v>24</v>
      </c>
      <c r="D662">
        <v>94</v>
      </c>
      <c r="E662">
        <v>1</v>
      </c>
      <c r="F662">
        <v>6</v>
      </c>
      <c r="G662" t="s">
        <v>118</v>
      </c>
      <c r="H662">
        <v>10</v>
      </c>
      <c r="I662">
        <v>57</v>
      </c>
      <c r="J662">
        <v>57</v>
      </c>
      <c r="K662">
        <v>0</v>
      </c>
      <c r="L662">
        <v>182</v>
      </c>
      <c r="M662">
        <v>71</v>
      </c>
      <c r="N662">
        <v>2</v>
      </c>
      <c r="O662">
        <v>2.5</v>
      </c>
      <c r="P662">
        <v>10</v>
      </c>
      <c r="Q662">
        <v>0.9</v>
      </c>
      <c r="R662">
        <v>10</v>
      </c>
      <c r="S662">
        <v>1</v>
      </c>
      <c r="T662">
        <v>2</v>
      </c>
      <c r="U662">
        <v>14.4</v>
      </c>
      <c r="V662">
        <v>3222.5882352941171</v>
      </c>
      <c r="W662">
        <v>2</v>
      </c>
    </row>
    <row r="663" spans="1:23" x14ac:dyDescent="0.2">
      <c r="A663">
        <v>2021</v>
      </c>
      <c r="B663" t="s">
        <v>23</v>
      </c>
      <c r="C663" t="s">
        <v>24</v>
      </c>
      <c r="D663">
        <v>94</v>
      </c>
      <c r="E663">
        <v>2</v>
      </c>
      <c r="F663">
        <v>10</v>
      </c>
      <c r="G663" t="s">
        <v>118</v>
      </c>
      <c r="H663" s="1">
        <v>7</v>
      </c>
      <c r="I663" s="1">
        <v>60</v>
      </c>
      <c r="J663" s="1">
        <v>66</v>
      </c>
      <c r="K663" s="1">
        <f>J663-I663</f>
        <v>6</v>
      </c>
      <c r="L663" s="1">
        <v>133</v>
      </c>
      <c r="M663" s="1">
        <v>53</v>
      </c>
      <c r="N663" s="1">
        <v>2</v>
      </c>
      <c r="O663" s="1">
        <v>3.5</v>
      </c>
      <c r="P663" s="1">
        <v>7</v>
      </c>
      <c r="Q663" s="2">
        <v>0.25124999999999997</v>
      </c>
      <c r="R663" s="1">
        <v>5</v>
      </c>
      <c r="S663" s="1">
        <f>R663/P663</f>
        <v>0.7142857142857143</v>
      </c>
      <c r="T663" s="1">
        <v>5</v>
      </c>
      <c r="U663" s="1">
        <v>12.5</v>
      </c>
      <c r="V663" s="1">
        <v>919.6078431372548</v>
      </c>
      <c r="W663" s="1">
        <v>5</v>
      </c>
    </row>
    <row r="664" spans="1:23" x14ac:dyDescent="0.2">
      <c r="A664">
        <v>2021</v>
      </c>
      <c r="B664" t="s">
        <v>23</v>
      </c>
      <c r="C664" t="s">
        <v>24</v>
      </c>
      <c r="D664">
        <v>95</v>
      </c>
      <c r="E664">
        <v>1</v>
      </c>
      <c r="F664">
        <v>7</v>
      </c>
      <c r="G664" t="s">
        <v>119</v>
      </c>
      <c r="H664" s="1">
        <v>4</v>
      </c>
      <c r="I664" s="1">
        <v>66</v>
      </c>
      <c r="J664" s="1">
        <v>68</v>
      </c>
      <c r="K664" s="1">
        <f>J664-I664</f>
        <v>2</v>
      </c>
      <c r="L664" s="1">
        <v>148</v>
      </c>
      <c r="M664" s="1">
        <v>78</v>
      </c>
      <c r="N664" s="1">
        <v>2</v>
      </c>
      <c r="O664" s="1">
        <v>2.5</v>
      </c>
      <c r="P664" s="1">
        <f>H664</f>
        <v>4</v>
      </c>
      <c r="Q664" s="2">
        <v>0.11700000000000001</v>
      </c>
      <c r="R664" s="1">
        <v>2</v>
      </c>
      <c r="S664" s="1">
        <f>R664/P664</f>
        <v>0.5</v>
      </c>
      <c r="T664" s="1">
        <v>5</v>
      </c>
      <c r="U664" s="1">
        <v>12.5</v>
      </c>
      <c r="V664" s="1">
        <v>428.23529411764707</v>
      </c>
      <c r="W664" s="1">
        <v>6</v>
      </c>
    </row>
    <row r="665" spans="1:23" x14ac:dyDescent="0.2">
      <c r="A665">
        <v>2021</v>
      </c>
      <c r="B665" t="s">
        <v>23</v>
      </c>
      <c r="C665" t="s">
        <v>24</v>
      </c>
      <c r="D665">
        <v>95</v>
      </c>
      <c r="E665">
        <v>2</v>
      </c>
      <c r="F665">
        <v>12</v>
      </c>
      <c r="G665" t="s">
        <v>119</v>
      </c>
      <c r="H665" s="1">
        <v>12</v>
      </c>
      <c r="I665" s="1">
        <v>59</v>
      </c>
      <c r="J665" s="1">
        <v>64</v>
      </c>
      <c r="K665" s="1">
        <f>J665-I665</f>
        <v>5</v>
      </c>
      <c r="L665" s="1">
        <v>132</v>
      </c>
      <c r="M665" s="1">
        <v>67</v>
      </c>
      <c r="N665" s="1">
        <v>3</v>
      </c>
      <c r="O665" s="1">
        <v>4</v>
      </c>
      <c r="P665" s="1">
        <v>7</v>
      </c>
      <c r="Q665" s="2">
        <v>0.17460000000000001</v>
      </c>
      <c r="R665" s="1">
        <v>4</v>
      </c>
      <c r="S665" s="1">
        <f>R665/P665</f>
        <v>0.5714285714285714</v>
      </c>
      <c r="T665" s="1">
        <v>5</v>
      </c>
      <c r="U665" s="1">
        <v>12.5</v>
      </c>
      <c r="V665" s="1">
        <v>639.05882352941182</v>
      </c>
      <c r="W665" s="1">
        <v>5</v>
      </c>
    </row>
    <row r="666" spans="1:23" x14ac:dyDescent="0.2">
      <c r="A666">
        <v>2021</v>
      </c>
      <c r="B666" t="s">
        <v>23</v>
      </c>
      <c r="C666" t="s">
        <v>24</v>
      </c>
      <c r="D666">
        <v>96</v>
      </c>
      <c r="E666">
        <v>1</v>
      </c>
      <c r="F666">
        <v>4</v>
      </c>
      <c r="G666" t="s">
        <v>120</v>
      </c>
      <c r="H666" s="1">
        <v>15</v>
      </c>
      <c r="I666" s="1">
        <v>63</v>
      </c>
      <c r="J666" s="1">
        <v>68</v>
      </c>
      <c r="K666" s="1">
        <f>J666-I666</f>
        <v>5</v>
      </c>
      <c r="L666" s="1">
        <v>130</v>
      </c>
      <c r="M666" s="1">
        <v>88</v>
      </c>
      <c r="N666" s="1">
        <v>2</v>
      </c>
      <c r="O666" s="1">
        <v>3</v>
      </c>
      <c r="P666" s="1">
        <f>H666</f>
        <v>15</v>
      </c>
      <c r="Q666" s="2">
        <v>0.73499999999999999</v>
      </c>
      <c r="R666" s="1">
        <v>12</v>
      </c>
      <c r="S666" s="1">
        <f>R666/P666</f>
        <v>0.8</v>
      </c>
      <c r="T666" s="1">
        <v>5</v>
      </c>
      <c r="U666" s="1">
        <v>12.5</v>
      </c>
      <c r="V666" s="1">
        <v>2690.1960784313724</v>
      </c>
      <c r="W666" s="1">
        <v>4</v>
      </c>
    </row>
    <row r="667" spans="1:23" x14ac:dyDescent="0.2">
      <c r="A667">
        <v>2021</v>
      </c>
      <c r="B667" t="s">
        <v>23</v>
      </c>
      <c r="C667" t="s">
        <v>24</v>
      </c>
      <c r="D667">
        <v>96</v>
      </c>
      <c r="E667">
        <v>2</v>
      </c>
      <c r="F667">
        <v>12</v>
      </c>
      <c r="G667" t="s">
        <v>120</v>
      </c>
      <c r="H667" s="1">
        <v>4</v>
      </c>
      <c r="I667" s="1">
        <v>68</v>
      </c>
      <c r="J667" s="1">
        <v>72</v>
      </c>
      <c r="K667" s="1">
        <f>J667-I667</f>
        <v>4</v>
      </c>
      <c r="L667" s="1">
        <v>104</v>
      </c>
      <c r="M667" s="1">
        <v>31</v>
      </c>
      <c r="N667" s="1">
        <v>1.5</v>
      </c>
      <c r="O667" s="1">
        <v>3.5</v>
      </c>
      <c r="P667" s="1">
        <v>3</v>
      </c>
      <c r="Q667" s="2">
        <v>0.24</v>
      </c>
      <c r="R667" s="1">
        <v>3</v>
      </c>
      <c r="S667" s="1">
        <f>R667/P667</f>
        <v>1</v>
      </c>
      <c r="T667" s="1">
        <v>2.5</v>
      </c>
      <c r="U667" s="1">
        <v>12.5</v>
      </c>
      <c r="V667" s="1">
        <v>878.43137254901967</v>
      </c>
      <c r="W667" s="1">
        <v>2</v>
      </c>
    </row>
    <row r="668" spans="1:23" x14ac:dyDescent="0.2">
      <c r="A668">
        <v>2021</v>
      </c>
      <c r="B668" t="s">
        <v>23</v>
      </c>
      <c r="C668" t="s">
        <v>24</v>
      </c>
      <c r="D668">
        <v>97</v>
      </c>
      <c r="E668">
        <v>1</v>
      </c>
      <c r="F668">
        <v>12</v>
      </c>
      <c r="G668" t="s">
        <v>121</v>
      </c>
      <c r="H668">
        <v>10</v>
      </c>
      <c r="I668">
        <v>63</v>
      </c>
      <c r="J668">
        <v>66</v>
      </c>
      <c r="K668">
        <v>3</v>
      </c>
      <c r="L668">
        <v>75</v>
      </c>
      <c r="M668">
        <v>20</v>
      </c>
      <c r="N668">
        <v>1.5</v>
      </c>
      <c r="O668">
        <v>2</v>
      </c>
      <c r="P668">
        <v>10</v>
      </c>
      <c r="Q668">
        <v>0.8</v>
      </c>
      <c r="R668">
        <v>10</v>
      </c>
      <c r="S668">
        <v>1</v>
      </c>
      <c r="T668">
        <v>2.5</v>
      </c>
      <c r="U668">
        <v>12.5</v>
      </c>
      <c r="V668">
        <v>2928.1045751633987</v>
      </c>
      <c r="W668">
        <v>1</v>
      </c>
    </row>
    <row r="669" spans="1:23" x14ac:dyDescent="0.2">
      <c r="A669">
        <v>2021</v>
      </c>
      <c r="B669" t="s">
        <v>23</v>
      </c>
      <c r="C669" t="s">
        <v>24</v>
      </c>
      <c r="D669">
        <v>97</v>
      </c>
      <c r="E669">
        <v>2</v>
      </c>
      <c r="F669">
        <v>7</v>
      </c>
      <c r="G669" t="s">
        <v>121</v>
      </c>
      <c r="H669">
        <v>15</v>
      </c>
      <c r="I669">
        <v>52</v>
      </c>
      <c r="J669">
        <v>55</v>
      </c>
      <c r="K669">
        <v>3</v>
      </c>
      <c r="L669">
        <v>197</v>
      </c>
      <c r="M669">
        <v>65</v>
      </c>
      <c r="N669">
        <v>2</v>
      </c>
      <c r="O669">
        <v>2.5</v>
      </c>
      <c r="P669">
        <v>13</v>
      </c>
      <c r="Q669">
        <v>0.3</v>
      </c>
      <c r="R669">
        <v>10</v>
      </c>
      <c r="S669">
        <v>0.76923076923076927</v>
      </c>
      <c r="T669">
        <v>3</v>
      </c>
      <c r="U669">
        <v>11.1</v>
      </c>
      <c r="V669">
        <v>1115.6078431372548</v>
      </c>
      <c r="W669">
        <v>2</v>
      </c>
    </row>
    <row r="670" spans="1:23" x14ac:dyDescent="0.2">
      <c r="A670">
        <v>2021</v>
      </c>
      <c r="B670" t="s">
        <v>23</v>
      </c>
      <c r="C670" t="s">
        <v>24</v>
      </c>
      <c r="D670">
        <v>98</v>
      </c>
      <c r="E670">
        <v>1</v>
      </c>
      <c r="F670">
        <v>15</v>
      </c>
      <c r="G670" t="s">
        <v>122</v>
      </c>
      <c r="H670" s="1">
        <v>14</v>
      </c>
      <c r="I670" s="1">
        <v>64</v>
      </c>
      <c r="J670" s="1">
        <v>68</v>
      </c>
      <c r="K670" s="1">
        <f>J670-I670</f>
        <v>4</v>
      </c>
      <c r="L670" s="1">
        <v>141</v>
      </c>
      <c r="M670" s="1">
        <v>75</v>
      </c>
      <c r="N670" s="1">
        <v>2</v>
      </c>
      <c r="O670" s="1">
        <v>3.5</v>
      </c>
      <c r="P670" s="1">
        <v>10</v>
      </c>
      <c r="Q670" s="2">
        <v>0.53279999999999994</v>
      </c>
      <c r="R670" s="1">
        <v>10</v>
      </c>
      <c r="S670" s="1">
        <f>R670/P670</f>
        <v>1</v>
      </c>
      <c r="T670" s="1">
        <v>5</v>
      </c>
      <c r="U670" s="1">
        <v>9.1</v>
      </c>
      <c r="V670" s="1">
        <v>2025.8936470588237</v>
      </c>
      <c r="W670" s="1">
        <v>5</v>
      </c>
    </row>
    <row r="671" spans="1:23" x14ac:dyDescent="0.2">
      <c r="A671">
        <v>2021</v>
      </c>
      <c r="B671" t="s">
        <v>23</v>
      </c>
      <c r="C671" t="s">
        <v>24</v>
      </c>
      <c r="D671">
        <v>98</v>
      </c>
      <c r="E671">
        <v>2</v>
      </c>
      <c r="F671">
        <v>1</v>
      </c>
      <c r="G671" t="s">
        <v>122</v>
      </c>
      <c r="H671" s="1">
        <v>14</v>
      </c>
      <c r="I671" s="1">
        <v>67</v>
      </c>
      <c r="J671" s="1">
        <v>72</v>
      </c>
      <c r="K671" s="1">
        <f>J671-I671</f>
        <v>5</v>
      </c>
      <c r="L671" s="1">
        <v>160</v>
      </c>
      <c r="M671" s="1">
        <v>100</v>
      </c>
      <c r="N671" s="1">
        <v>1</v>
      </c>
      <c r="O671" s="1">
        <v>2</v>
      </c>
      <c r="P671" s="1">
        <f>H671-1</f>
        <v>13</v>
      </c>
      <c r="Q671" s="2">
        <v>0.12975</v>
      </c>
      <c r="R671" s="1">
        <v>10</v>
      </c>
      <c r="S671" s="1">
        <f>R671/P671</f>
        <v>0.76923076923076927</v>
      </c>
      <c r="T671" s="1">
        <v>4</v>
      </c>
      <c r="U671" s="1">
        <v>12.5</v>
      </c>
      <c r="V671" s="1">
        <v>474.9019607843137</v>
      </c>
      <c r="W671" s="1">
        <v>5</v>
      </c>
    </row>
    <row r="672" spans="1:23" x14ac:dyDescent="0.2">
      <c r="A672">
        <v>2021</v>
      </c>
      <c r="B672" t="s">
        <v>23</v>
      </c>
      <c r="C672" t="s">
        <v>24</v>
      </c>
      <c r="D672">
        <v>99</v>
      </c>
      <c r="E672">
        <v>1</v>
      </c>
      <c r="F672">
        <v>1</v>
      </c>
      <c r="G672" t="s">
        <v>123</v>
      </c>
      <c r="H672">
        <v>10</v>
      </c>
      <c r="I672">
        <v>55</v>
      </c>
      <c r="J672">
        <v>57</v>
      </c>
      <c r="K672">
        <v>2</v>
      </c>
      <c r="L672">
        <v>148</v>
      </c>
      <c r="M672">
        <v>48</v>
      </c>
      <c r="N672">
        <v>2</v>
      </c>
      <c r="O672">
        <v>2.5</v>
      </c>
      <c r="P672">
        <v>9</v>
      </c>
      <c r="Q672">
        <v>0.9</v>
      </c>
      <c r="R672">
        <v>12</v>
      </c>
      <c r="S672">
        <v>1.3333333333333333</v>
      </c>
      <c r="T672">
        <v>2</v>
      </c>
      <c r="U672">
        <v>10.3</v>
      </c>
      <c r="V672">
        <v>3376.9411764705883</v>
      </c>
      <c r="W672">
        <v>2</v>
      </c>
    </row>
    <row r="673" spans="1:23" x14ac:dyDescent="0.2">
      <c r="A673">
        <v>2021</v>
      </c>
      <c r="B673" t="s">
        <v>23</v>
      </c>
      <c r="C673" t="s">
        <v>24</v>
      </c>
      <c r="D673">
        <v>99</v>
      </c>
      <c r="E673">
        <v>2</v>
      </c>
      <c r="F673">
        <v>12</v>
      </c>
      <c r="G673" t="s">
        <v>123</v>
      </c>
      <c r="H673" s="1">
        <v>4</v>
      </c>
      <c r="I673" s="1">
        <v>65</v>
      </c>
      <c r="J673" s="1">
        <v>70</v>
      </c>
      <c r="K673" s="1">
        <f>J673-I673</f>
        <v>5</v>
      </c>
      <c r="L673" s="1">
        <v>131</v>
      </c>
      <c r="M673" s="1">
        <v>70</v>
      </c>
      <c r="N673" s="1">
        <v>1.5</v>
      </c>
      <c r="O673" s="1">
        <v>4</v>
      </c>
      <c r="P673" s="1">
        <v>4</v>
      </c>
      <c r="Q673" s="2">
        <v>0.23</v>
      </c>
      <c r="R673" s="1">
        <v>4</v>
      </c>
      <c r="S673" s="1">
        <f>R673/P673</f>
        <v>1</v>
      </c>
      <c r="T673" s="1">
        <v>3</v>
      </c>
      <c r="U673" s="1">
        <v>12.5</v>
      </c>
      <c r="V673" s="1">
        <v>841.83006535947709</v>
      </c>
      <c r="W673" s="1">
        <v>4</v>
      </c>
    </row>
    <row r="674" spans="1:23" x14ac:dyDescent="0.2">
      <c r="A674">
        <v>2021</v>
      </c>
      <c r="B674" t="s">
        <v>23</v>
      </c>
      <c r="C674" t="s">
        <v>24</v>
      </c>
      <c r="D674">
        <v>100</v>
      </c>
      <c r="E674">
        <v>1</v>
      </c>
      <c r="F674">
        <v>9</v>
      </c>
      <c r="G674" t="s">
        <v>124</v>
      </c>
      <c r="H674" s="1">
        <v>8</v>
      </c>
      <c r="I674" s="1">
        <v>64</v>
      </c>
      <c r="J674" s="1">
        <v>69</v>
      </c>
      <c r="K674" s="1">
        <f>J674-I674</f>
        <v>5</v>
      </c>
      <c r="L674" s="1">
        <v>131</v>
      </c>
      <c r="M674" s="1">
        <v>85</v>
      </c>
      <c r="N674" s="1">
        <v>2</v>
      </c>
      <c r="O674" s="1">
        <v>3.5</v>
      </c>
      <c r="P674" s="1">
        <v>8</v>
      </c>
      <c r="Q674" s="2">
        <v>9.6225000000000005E-2</v>
      </c>
      <c r="R674" s="1">
        <v>7</v>
      </c>
      <c r="S674" s="1">
        <f>R674/P674</f>
        <v>0.875</v>
      </c>
      <c r="T674" s="1">
        <v>5</v>
      </c>
      <c r="U674" s="1">
        <v>12.5</v>
      </c>
      <c r="V674" s="1">
        <v>352.1960784313726</v>
      </c>
      <c r="W674" s="1">
        <v>5</v>
      </c>
    </row>
    <row r="675" spans="1:23" x14ac:dyDescent="0.2">
      <c r="A675">
        <v>2021</v>
      </c>
      <c r="B675" t="s">
        <v>23</v>
      </c>
      <c r="C675" t="s">
        <v>24</v>
      </c>
      <c r="D675">
        <v>100</v>
      </c>
      <c r="E675">
        <v>2</v>
      </c>
      <c r="F675">
        <v>6</v>
      </c>
      <c r="G675" t="s">
        <v>124</v>
      </c>
      <c r="H675" s="1">
        <v>8</v>
      </c>
      <c r="I675" s="1">
        <v>60</v>
      </c>
      <c r="J675" s="1">
        <v>65</v>
      </c>
      <c r="K675" s="1">
        <f>J675-I675</f>
        <v>5</v>
      </c>
      <c r="L675" s="1">
        <v>116</v>
      </c>
      <c r="M675" s="1">
        <v>56</v>
      </c>
      <c r="N675" s="1">
        <v>2.5</v>
      </c>
      <c r="O675" s="1">
        <v>4</v>
      </c>
      <c r="P675" s="1">
        <v>8</v>
      </c>
      <c r="Q675" s="2">
        <v>0.11899999999999999</v>
      </c>
      <c r="R675" s="1">
        <v>8</v>
      </c>
      <c r="S675" s="1">
        <f>R675/P675</f>
        <v>1</v>
      </c>
      <c r="T675" s="1">
        <v>4.5</v>
      </c>
      <c r="U675" s="1">
        <v>12.5</v>
      </c>
      <c r="V675" s="1">
        <v>435.55555555555554</v>
      </c>
      <c r="W675" s="1">
        <v>5</v>
      </c>
    </row>
    <row r="676" spans="1:23" x14ac:dyDescent="0.2">
      <c r="A676">
        <v>2021</v>
      </c>
      <c r="B676" t="s">
        <v>23</v>
      </c>
      <c r="C676" t="s">
        <v>24</v>
      </c>
      <c r="D676">
        <v>101</v>
      </c>
      <c r="E676">
        <v>1</v>
      </c>
      <c r="F676">
        <v>5</v>
      </c>
      <c r="G676" t="s">
        <v>125</v>
      </c>
      <c r="H676" s="1">
        <v>14</v>
      </c>
      <c r="I676" s="1">
        <v>59</v>
      </c>
      <c r="J676" s="1">
        <v>63</v>
      </c>
      <c r="K676" s="1">
        <f>J676-I676</f>
        <v>4</v>
      </c>
      <c r="L676" s="1">
        <v>154</v>
      </c>
      <c r="M676" s="1">
        <v>62</v>
      </c>
      <c r="N676" s="1">
        <v>2</v>
      </c>
      <c r="O676" s="1">
        <v>3.5</v>
      </c>
      <c r="P676" s="1">
        <f>H676</f>
        <v>14</v>
      </c>
      <c r="Q676" s="2">
        <v>0.5270999999999999</v>
      </c>
      <c r="R676" s="1">
        <v>14</v>
      </c>
      <c r="S676" s="1">
        <f>R676/P676</f>
        <v>1</v>
      </c>
      <c r="T676" s="1">
        <v>5</v>
      </c>
      <c r="U676" s="1">
        <v>12.5</v>
      </c>
      <c r="V676" s="1">
        <v>1929.2549019607841</v>
      </c>
      <c r="W676" s="1">
        <v>4</v>
      </c>
    </row>
    <row r="677" spans="1:23" x14ac:dyDescent="0.2">
      <c r="A677">
        <v>2021</v>
      </c>
      <c r="B677" t="s">
        <v>23</v>
      </c>
      <c r="C677" t="s">
        <v>24</v>
      </c>
      <c r="D677">
        <v>101</v>
      </c>
      <c r="E677">
        <v>2</v>
      </c>
      <c r="F677">
        <v>14</v>
      </c>
      <c r="G677" t="s">
        <v>125</v>
      </c>
      <c r="H677">
        <v>10</v>
      </c>
      <c r="I677">
        <v>55</v>
      </c>
      <c r="J677">
        <v>57</v>
      </c>
      <c r="K677">
        <v>2</v>
      </c>
      <c r="L677">
        <v>186</v>
      </c>
      <c r="M677">
        <v>71</v>
      </c>
      <c r="N677">
        <v>3</v>
      </c>
      <c r="O677">
        <v>3</v>
      </c>
      <c r="P677">
        <v>9</v>
      </c>
      <c r="Q677">
        <v>2.11</v>
      </c>
      <c r="R677">
        <v>13</v>
      </c>
      <c r="S677">
        <v>1.4444444444444444</v>
      </c>
      <c r="T677">
        <v>2</v>
      </c>
      <c r="U677">
        <v>12.5</v>
      </c>
      <c r="V677">
        <v>7722.8758169934636</v>
      </c>
      <c r="W677">
        <v>1</v>
      </c>
    </row>
    <row r="678" spans="1:23" x14ac:dyDescent="0.2">
      <c r="A678">
        <v>2021</v>
      </c>
      <c r="B678" t="s">
        <v>23</v>
      </c>
      <c r="C678" t="s">
        <v>24</v>
      </c>
      <c r="D678">
        <v>102</v>
      </c>
      <c r="E678">
        <v>1</v>
      </c>
      <c r="F678">
        <v>2</v>
      </c>
      <c r="G678" t="s">
        <v>126</v>
      </c>
      <c r="H678">
        <v>10</v>
      </c>
      <c r="I678">
        <v>55</v>
      </c>
      <c r="J678">
        <v>58</v>
      </c>
      <c r="K678">
        <v>3</v>
      </c>
      <c r="L678" t="s">
        <v>273</v>
      </c>
      <c r="M678">
        <v>49</v>
      </c>
      <c r="N678">
        <v>2</v>
      </c>
      <c r="O678">
        <v>2</v>
      </c>
      <c r="P678">
        <v>8</v>
      </c>
      <c r="Q678">
        <v>2</v>
      </c>
      <c r="R678">
        <v>7</v>
      </c>
      <c r="S678">
        <v>0.875</v>
      </c>
      <c r="T678">
        <v>3</v>
      </c>
      <c r="U678">
        <v>12.5</v>
      </c>
      <c r="V678">
        <v>7320.2614379084971</v>
      </c>
      <c r="W678">
        <v>1</v>
      </c>
    </row>
    <row r="679" spans="1:23" x14ac:dyDescent="0.2">
      <c r="A679">
        <v>2021</v>
      </c>
      <c r="B679" t="s">
        <v>23</v>
      </c>
      <c r="C679" t="s">
        <v>24</v>
      </c>
      <c r="D679">
        <v>102</v>
      </c>
      <c r="E679">
        <v>2</v>
      </c>
      <c r="F679">
        <v>1</v>
      </c>
      <c r="G679" t="s">
        <v>126</v>
      </c>
      <c r="H679">
        <v>3</v>
      </c>
      <c r="I679">
        <v>55</v>
      </c>
      <c r="J679">
        <v>57</v>
      </c>
      <c r="K679">
        <v>2</v>
      </c>
      <c r="L679">
        <v>183</v>
      </c>
      <c r="M679">
        <v>51</v>
      </c>
      <c r="N679">
        <v>3</v>
      </c>
      <c r="O679">
        <v>3</v>
      </c>
      <c r="P679">
        <v>3</v>
      </c>
      <c r="Q679">
        <v>0.2</v>
      </c>
      <c r="R679">
        <v>3</v>
      </c>
      <c r="S679">
        <v>1</v>
      </c>
      <c r="T679">
        <v>3</v>
      </c>
      <c r="U679">
        <v>12.5</v>
      </c>
      <c r="V679">
        <v>732.02614379084969</v>
      </c>
      <c r="W679">
        <v>1</v>
      </c>
    </row>
    <row r="680" spans="1:23" x14ac:dyDescent="0.2">
      <c r="A680">
        <v>2021</v>
      </c>
      <c r="B680" t="s">
        <v>23</v>
      </c>
      <c r="C680" t="s">
        <v>24</v>
      </c>
      <c r="D680">
        <v>103</v>
      </c>
      <c r="E680">
        <v>1</v>
      </c>
      <c r="F680">
        <v>7</v>
      </c>
      <c r="G680" t="s">
        <v>127</v>
      </c>
      <c r="H680" s="1">
        <v>9</v>
      </c>
      <c r="I680" s="1">
        <v>67</v>
      </c>
      <c r="J680" s="1">
        <v>70</v>
      </c>
      <c r="K680" s="1">
        <f t="shared" ref="K680:K689" si="30">J680-I680</f>
        <v>3</v>
      </c>
      <c r="L680" s="1">
        <v>158</v>
      </c>
      <c r="M680" s="1">
        <v>103</v>
      </c>
      <c r="N680" s="1">
        <v>2</v>
      </c>
      <c r="O680" s="1">
        <v>2</v>
      </c>
      <c r="P680" s="1">
        <v>7</v>
      </c>
      <c r="Q680" s="2">
        <v>0.29499999999999998</v>
      </c>
      <c r="R680" s="1">
        <v>4</v>
      </c>
      <c r="S680" s="1">
        <f t="shared" ref="S680:S689" si="31">R680/P680</f>
        <v>0.5714285714285714</v>
      </c>
      <c r="T680" s="1">
        <v>3</v>
      </c>
      <c r="U680" s="1">
        <v>6.9</v>
      </c>
      <c r="V680" s="1">
        <v>1148.8418300653595</v>
      </c>
      <c r="W680" s="1">
        <v>4</v>
      </c>
    </row>
    <row r="681" spans="1:23" x14ac:dyDescent="0.2">
      <c r="A681">
        <v>2021</v>
      </c>
      <c r="B681" t="s">
        <v>23</v>
      </c>
      <c r="C681" t="s">
        <v>24</v>
      </c>
      <c r="D681">
        <v>103</v>
      </c>
      <c r="E681">
        <v>2</v>
      </c>
      <c r="F681">
        <v>8</v>
      </c>
      <c r="G681" t="s">
        <v>127</v>
      </c>
      <c r="H681" s="1">
        <v>1</v>
      </c>
      <c r="I681" s="1">
        <v>67</v>
      </c>
      <c r="J681" s="1">
        <v>69</v>
      </c>
      <c r="K681" s="1">
        <f t="shared" si="30"/>
        <v>2</v>
      </c>
      <c r="L681" s="1">
        <v>70</v>
      </c>
      <c r="M681" s="1">
        <v>24</v>
      </c>
      <c r="N681" s="1">
        <v>1.5</v>
      </c>
      <c r="O681" s="1">
        <v>5</v>
      </c>
      <c r="P681" s="1">
        <v>1</v>
      </c>
      <c r="Q681" s="2">
        <v>4.5499999999999999E-2</v>
      </c>
      <c r="R681" s="1">
        <v>1</v>
      </c>
      <c r="S681" s="1">
        <f t="shared" si="31"/>
        <v>1</v>
      </c>
      <c r="T681" s="1">
        <v>5</v>
      </c>
      <c r="U681" s="1">
        <v>12.5</v>
      </c>
      <c r="V681" s="1">
        <v>166.53594771241831</v>
      </c>
      <c r="W681" s="1">
        <v>6</v>
      </c>
    </row>
    <row r="682" spans="1:23" x14ac:dyDescent="0.2">
      <c r="A682">
        <v>2021</v>
      </c>
      <c r="B682" t="s">
        <v>23</v>
      </c>
      <c r="C682" t="s">
        <v>24</v>
      </c>
      <c r="D682">
        <v>104</v>
      </c>
      <c r="E682">
        <v>1</v>
      </c>
      <c r="F682">
        <v>7</v>
      </c>
      <c r="G682" t="s">
        <v>128</v>
      </c>
      <c r="H682" s="1">
        <v>2</v>
      </c>
      <c r="I682" s="1">
        <v>64</v>
      </c>
      <c r="J682" s="1">
        <v>69</v>
      </c>
      <c r="K682" s="1">
        <f t="shared" si="30"/>
        <v>5</v>
      </c>
      <c r="L682" s="1">
        <v>30</v>
      </c>
      <c r="M682" s="1">
        <v>15</v>
      </c>
      <c r="N682" s="1">
        <v>1.5</v>
      </c>
      <c r="O682" s="1">
        <v>5</v>
      </c>
      <c r="P682" s="1">
        <v>2</v>
      </c>
      <c r="Q682" s="2">
        <v>5.5E-2</v>
      </c>
      <c r="R682" s="1">
        <v>2</v>
      </c>
      <c r="S682" s="1">
        <f t="shared" si="31"/>
        <v>1</v>
      </c>
      <c r="T682" s="1">
        <v>5</v>
      </c>
      <c r="U682" s="1">
        <v>12.5</v>
      </c>
      <c r="V682" s="1">
        <v>201.30718954248366</v>
      </c>
      <c r="W682" s="1">
        <v>6</v>
      </c>
    </row>
    <row r="683" spans="1:23" x14ac:dyDescent="0.2">
      <c r="A683">
        <v>2021</v>
      </c>
      <c r="B683" t="s">
        <v>23</v>
      </c>
      <c r="C683" t="s">
        <v>24</v>
      </c>
      <c r="D683">
        <v>104</v>
      </c>
      <c r="E683">
        <v>2</v>
      </c>
      <c r="F683">
        <v>14</v>
      </c>
      <c r="G683" t="s">
        <v>128</v>
      </c>
      <c r="H683" s="1">
        <v>6</v>
      </c>
      <c r="I683" s="1">
        <v>58</v>
      </c>
      <c r="J683" s="1">
        <v>62</v>
      </c>
      <c r="K683" s="1">
        <f t="shared" si="30"/>
        <v>4</v>
      </c>
      <c r="L683" s="1">
        <v>123</v>
      </c>
      <c r="M683" s="1">
        <v>51</v>
      </c>
      <c r="N683" s="1">
        <v>2</v>
      </c>
      <c r="O683" s="1">
        <v>4</v>
      </c>
      <c r="P683" s="1">
        <v>6</v>
      </c>
      <c r="Q683" s="2">
        <v>0.64200000000000002</v>
      </c>
      <c r="R683" s="1">
        <v>6</v>
      </c>
      <c r="S683" s="1">
        <f t="shared" si="31"/>
        <v>1</v>
      </c>
      <c r="T683" s="1">
        <v>3</v>
      </c>
      <c r="U683" s="1">
        <v>12.5</v>
      </c>
      <c r="V683" s="1">
        <v>2349.8039215686276</v>
      </c>
      <c r="W683" s="1">
        <v>4</v>
      </c>
    </row>
    <row r="684" spans="1:23" x14ac:dyDescent="0.2">
      <c r="A684">
        <v>2021</v>
      </c>
      <c r="B684" t="s">
        <v>23</v>
      </c>
      <c r="C684" t="s">
        <v>24</v>
      </c>
      <c r="D684">
        <v>105</v>
      </c>
      <c r="E684">
        <v>1</v>
      </c>
      <c r="F684">
        <v>10</v>
      </c>
      <c r="G684" t="s">
        <v>129</v>
      </c>
      <c r="H684" s="1">
        <v>8</v>
      </c>
      <c r="I684" s="1">
        <v>62</v>
      </c>
      <c r="J684" s="1">
        <v>66</v>
      </c>
      <c r="K684" s="1">
        <f t="shared" si="30"/>
        <v>4</v>
      </c>
      <c r="L684" s="1">
        <v>126</v>
      </c>
      <c r="M684" s="1">
        <v>56</v>
      </c>
      <c r="N684" s="1">
        <v>1.5</v>
      </c>
      <c r="O684" s="1">
        <v>4.5</v>
      </c>
      <c r="P684" s="1">
        <v>4</v>
      </c>
      <c r="Q684" s="2">
        <v>4.0799999999999996E-2</v>
      </c>
      <c r="R684" s="1">
        <v>2</v>
      </c>
      <c r="S684" s="1">
        <f t="shared" si="31"/>
        <v>0.5</v>
      </c>
      <c r="T684" s="1">
        <v>4</v>
      </c>
      <c r="U684" s="1">
        <v>12.5</v>
      </c>
      <c r="V684" s="1">
        <v>149.33333333333334</v>
      </c>
      <c r="W684" s="1">
        <v>5</v>
      </c>
    </row>
    <row r="685" spans="1:23" x14ac:dyDescent="0.2">
      <c r="A685">
        <v>2021</v>
      </c>
      <c r="B685" t="s">
        <v>23</v>
      </c>
      <c r="C685" t="s">
        <v>24</v>
      </c>
      <c r="D685">
        <v>105</v>
      </c>
      <c r="E685">
        <v>2</v>
      </c>
      <c r="F685">
        <v>7</v>
      </c>
      <c r="G685" t="s">
        <v>129</v>
      </c>
      <c r="H685" s="1">
        <v>11</v>
      </c>
      <c r="I685" s="1">
        <v>62</v>
      </c>
      <c r="J685" s="1">
        <v>67</v>
      </c>
      <c r="K685" s="1">
        <f t="shared" si="30"/>
        <v>5</v>
      </c>
      <c r="L685" s="1">
        <v>107</v>
      </c>
      <c r="M685" s="1">
        <v>73</v>
      </c>
      <c r="N685" s="1">
        <v>2</v>
      </c>
      <c r="O685" s="1">
        <v>3.5</v>
      </c>
      <c r="P685" s="1">
        <v>10</v>
      </c>
      <c r="Q685" s="2">
        <v>0.10640000000000001</v>
      </c>
      <c r="R685" s="1">
        <v>3</v>
      </c>
      <c r="S685" s="1">
        <f t="shared" si="31"/>
        <v>0.3</v>
      </c>
      <c r="T685" s="1">
        <v>5</v>
      </c>
      <c r="U685" s="1">
        <v>12.5</v>
      </c>
      <c r="V685" s="1">
        <v>389.43790849673201</v>
      </c>
      <c r="W685" s="1">
        <v>3</v>
      </c>
    </row>
    <row r="686" spans="1:23" x14ac:dyDescent="0.2">
      <c r="A686">
        <v>2021</v>
      </c>
      <c r="B686" t="s">
        <v>23</v>
      </c>
      <c r="C686" t="s">
        <v>24</v>
      </c>
      <c r="D686">
        <v>106</v>
      </c>
      <c r="E686">
        <v>1</v>
      </c>
      <c r="F686">
        <v>12</v>
      </c>
      <c r="G686" t="s">
        <v>130</v>
      </c>
      <c r="H686" s="1">
        <v>12</v>
      </c>
      <c r="I686" s="1">
        <v>61</v>
      </c>
      <c r="J686" s="1">
        <v>66</v>
      </c>
      <c r="K686" s="1">
        <f t="shared" si="30"/>
        <v>5</v>
      </c>
      <c r="L686" s="1">
        <v>90</v>
      </c>
      <c r="M686" s="1">
        <v>25</v>
      </c>
      <c r="N686" s="1">
        <v>2.5</v>
      </c>
      <c r="O686" s="1">
        <v>4</v>
      </c>
      <c r="P686" s="1">
        <v>6</v>
      </c>
      <c r="Q686" s="2">
        <v>0.108</v>
      </c>
      <c r="R686" s="1">
        <v>3</v>
      </c>
      <c r="S686" s="1">
        <f t="shared" si="31"/>
        <v>0.5</v>
      </c>
      <c r="T686" s="1">
        <v>5</v>
      </c>
      <c r="U686" s="1">
        <v>12.5</v>
      </c>
      <c r="V686" s="1">
        <v>395.29411764705878</v>
      </c>
      <c r="W686" s="1">
        <v>6</v>
      </c>
    </row>
    <row r="687" spans="1:23" x14ac:dyDescent="0.2">
      <c r="A687">
        <v>2021</v>
      </c>
      <c r="B687" t="s">
        <v>23</v>
      </c>
      <c r="C687" t="s">
        <v>24</v>
      </c>
      <c r="D687">
        <v>106</v>
      </c>
      <c r="E687">
        <v>2</v>
      </c>
      <c r="F687">
        <v>2</v>
      </c>
      <c r="G687" t="s">
        <v>130</v>
      </c>
      <c r="H687" s="1">
        <v>10</v>
      </c>
      <c r="I687" s="1">
        <v>62</v>
      </c>
      <c r="J687" s="1">
        <v>65</v>
      </c>
      <c r="K687" s="1">
        <f t="shared" si="30"/>
        <v>3</v>
      </c>
      <c r="L687" s="1">
        <v>132</v>
      </c>
      <c r="M687" s="1">
        <v>35</v>
      </c>
      <c r="N687" s="1">
        <v>3</v>
      </c>
      <c r="O687" s="1">
        <v>4</v>
      </c>
      <c r="P687" s="1">
        <v>6</v>
      </c>
      <c r="Q687" s="2">
        <v>0.25800000000000001</v>
      </c>
      <c r="R687" s="1">
        <v>6</v>
      </c>
      <c r="S687" s="1">
        <f t="shared" si="31"/>
        <v>1</v>
      </c>
      <c r="T687" s="1">
        <v>3.5</v>
      </c>
      <c r="U687" s="1">
        <v>12.5</v>
      </c>
      <c r="V687" s="1">
        <v>944.31372549019602</v>
      </c>
      <c r="W687" s="1">
        <v>5</v>
      </c>
    </row>
    <row r="688" spans="1:23" x14ac:dyDescent="0.2">
      <c r="A688">
        <v>2021</v>
      </c>
      <c r="B688" t="s">
        <v>23</v>
      </c>
      <c r="C688" t="s">
        <v>24</v>
      </c>
      <c r="D688">
        <v>107</v>
      </c>
      <c r="E688">
        <v>1</v>
      </c>
      <c r="F688">
        <v>7</v>
      </c>
      <c r="G688" t="s">
        <v>131</v>
      </c>
      <c r="H688" s="1">
        <v>4</v>
      </c>
      <c r="I688" s="1">
        <v>67</v>
      </c>
      <c r="J688" s="1">
        <v>70</v>
      </c>
      <c r="K688" s="1">
        <f t="shared" si="30"/>
        <v>3</v>
      </c>
      <c r="L688" s="1">
        <v>68</v>
      </c>
      <c r="M688" s="1">
        <v>46</v>
      </c>
      <c r="N688" s="1">
        <v>1</v>
      </c>
      <c r="O688" s="1">
        <v>2.5</v>
      </c>
      <c r="P688" s="1">
        <f>H688-2</f>
        <v>2</v>
      </c>
      <c r="Q688" s="2">
        <v>0.33750000000000002</v>
      </c>
      <c r="R688" s="1">
        <v>3</v>
      </c>
      <c r="S688" s="1">
        <f t="shared" si="31"/>
        <v>1.5</v>
      </c>
      <c r="T688" s="1">
        <v>2</v>
      </c>
      <c r="U688" s="1">
        <v>12.5</v>
      </c>
      <c r="V688" s="1">
        <v>1235.294117647059</v>
      </c>
      <c r="W688" s="1">
        <v>3</v>
      </c>
    </row>
    <row r="689" spans="1:23" x14ac:dyDescent="0.2">
      <c r="A689">
        <v>2021</v>
      </c>
      <c r="B689" t="s">
        <v>23</v>
      </c>
      <c r="C689" t="s">
        <v>24</v>
      </c>
      <c r="D689">
        <v>107</v>
      </c>
      <c r="E689">
        <v>2</v>
      </c>
      <c r="F689">
        <v>1</v>
      </c>
      <c r="G689" t="s">
        <v>131</v>
      </c>
      <c r="H689" s="1">
        <v>5</v>
      </c>
      <c r="I689" s="1">
        <v>59</v>
      </c>
      <c r="J689" s="1">
        <v>62</v>
      </c>
      <c r="K689" s="1">
        <f t="shared" si="30"/>
        <v>3</v>
      </c>
      <c r="L689" s="1">
        <v>132</v>
      </c>
      <c r="M689" s="1">
        <v>30</v>
      </c>
      <c r="N689" s="1">
        <v>2</v>
      </c>
      <c r="O689" s="1">
        <v>4</v>
      </c>
      <c r="P689" s="1">
        <v>3</v>
      </c>
      <c r="Q689" s="2">
        <v>0.11849999999999999</v>
      </c>
      <c r="R689" s="1">
        <v>3</v>
      </c>
      <c r="S689" s="1">
        <f t="shared" si="31"/>
        <v>1</v>
      </c>
      <c r="T689" s="1">
        <v>2.5</v>
      </c>
      <c r="U689" s="1">
        <v>12.5</v>
      </c>
      <c r="V689" s="1">
        <v>433.72549019607845</v>
      </c>
      <c r="W689" s="1">
        <v>2</v>
      </c>
    </row>
    <row r="690" spans="1:23" x14ac:dyDescent="0.2">
      <c r="A690">
        <v>2021</v>
      </c>
      <c r="B690" t="s">
        <v>23</v>
      </c>
      <c r="C690" t="s">
        <v>24</v>
      </c>
      <c r="D690">
        <v>108</v>
      </c>
      <c r="E690">
        <v>1</v>
      </c>
      <c r="F690">
        <v>13</v>
      </c>
      <c r="G690" t="s">
        <v>132</v>
      </c>
      <c r="H690">
        <v>4</v>
      </c>
      <c r="I690">
        <v>58</v>
      </c>
      <c r="J690">
        <v>60</v>
      </c>
      <c r="K690">
        <v>2</v>
      </c>
      <c r="L690">
        <v>122</v>
      </c>
      <c r="M690">
        <v>45</v>
      </c>
      <c r="N690">
        <v>1.5</v>
      </c>
      <c r="O690">
        <v>3.5</v>
      </c>
      <c r="P690">
        <v>4</v>
      </c>
      <c r="Q690">
        <v>0.1</v>
      </c>
      <c r="R690">
        <v>1</v>
      </c>
      <c r="S690">
        <v>0.25</v>
      </c>
      <c r="T690">
        <v>4</v>
      </c>
      <c r="U690">
        <v>15</v>
      </c>
      <c r="V690">
        <v>355.55555555555554</v>
      </c>
      <c r="W690">
        <v>1</v>
      </c>
    </row>
    <row r="691" spans="1:23" x14ac:dyDescent="0.2">
      <c r="A691">
        <v>2021</v>
      </c>
      <c r="B691" t="s">
        <v>23</v>
      </c>
      <c r="C691" t="s">
        <v>24</v>
      </c>
      <c r="D691">
        <v>108</v>
      </c>
      <c r="E691">
        <v>2</v>
      </c>
      <c r="F691">
        <v>14</v>
      </c>
      <c r="G691" t="s">
        <v>132</v>
      </c>
      <c r="H691" s="1">
        <v>14</v>
      </c>
      <c r="I691" s="1">
        <v>68</v>
      </c>
      <c r="J691" s="1">
        <v>71</v>
      </c>
      <c r="K691" s="1">
        <f>J691-I691</f>
        <v>3</v>
      </c>
      <c r="L691" s="1">
        <v>212</v>
      </c>
      <c r="M691" s="1">
        <v>102</v>
      </c>
      <c r="N691" s="1">
        <v>1</v>
      </c>
      <c r="O691" s="1">
        <v>2</v>
      </c>
      <c r="P691" s="1">
        <v>14</v>
      </c>
      <c r="Q691" s="2">
        <v>1.0391999999999999</v>
      </c>
      <c r="R691" s="1">
        <v>12</v>
      </c>
      <c r="S691" s="1">
        <f>R691/P691</f>
        <v>0.8571428571428571</v>
      </c>
      <c r="T691" s="1">
        <v>5</v>
      </c>
      <c r="U691" s="1">
        <v>8</v>
      </c>
      <c r="V691" s="1">
        <v>3999.2219607843135</v>
      </c>
      <c r="W691" s="1">
        <v>4</v>
      </c>
    </row>
    <row r="692" spans="1:23" x14ac:dyDescent="0.2">
      <c r="A692">
        <v>2021</v>
      </c>
      <c r="B692" t="s">
        <v>23</v>
      </c>
      <c r="C692" t="s">
        <v>24</v>
      </c>
      <c r="D692">
        <v>109</v>
      </c>
      <c r="E692">
        <v>1</v>
      </c>
      <c r="F692">
        <v>12</v>
      </c>
      <c r="G692" t="s">
        <v>133</v>
      </c>
      <c r="H692" s="1">
        <v>8</v>
      </c>
      <c r="I692" s="1">
        <v>58</v>
      </c>
      <c r="J692" s="1">
        <v>61</v>
      </c>
      <c r="K692" s="1">
        <f>J692-I692</f>
        <v>3</v>
      </c>
      <c r="L692" s="1">
        <v>118</v>
      </c>
      <c r="M692" s="1">
        <v>40</v>
      </c>
      <c r="N692" s="1">
        <v>3</v>
      </c>
      <c r="O692" s="1">
        <v>3.5</v>
      </c>
      <c r="P692" s="1">
        <v>8</v>
      </c>
      <c r="Q692" s="2">
        <v>0.17774999999999999</v>
      </c>
      <c r="R692" s="1">
        <v>8</v>
      </c>
      <c r="S692" s="1">
        <f>R692/P692</f>
        <v>1</v>
      </c>
      <c r="T692" s="1">
        <v>4</v>
      </c>
      <c r="U692" s="1">
        <v>12.5</v>
      </c>
      <c r="V692" s="1">
        <v>650.58823529411757</v>
      </c>
      <c r="W692" s="1">
        <v>4</v>
      </c>
    </row>
    <row r="693" spans="1:23" x14ac:dyDescent="0.2">
      <c r="A693">
        <v>2021</v>
      </c>
      <c r="B693" t="s">
        <v>23</v>
      </c>
      <c r="C693" t="s">
        <v>24</v>
      </c>
      <c r="D693">
        <v>109</v>
      </c>
      <c r="E693">
        <v>2</v>
      </c>
      <c r="F693">
        <v>1</v>
      </c>
      <c r="G693" t="s">
        <v>133</v>
      </c>
      <c r="H693" s="1">
        <v>10</v>
      </c>
      <c r="I693" s="1">
        <v>68</v>
      </c>
      <c r="J693" s="1">
        <v>71</v>
      </c>
      <c r="K693" s="1">
        <f>J693-I693</f>
        <v>3</v>
      </c>
      <c r="L693" s="1">
        <v>147</v>
      </c>
      <c r="M693" s="1">
        <v>58</v>
      </c>
      <c r="N693" s="1">
        <v>2</v>
      </c>
      <c r="O693" s="1">
        <v>3</v>
      </c>
      <c r="P693" s="1">
        <v>10</v>
      </c>
      <c r="Q693" s="2">
        <v>0.14639999999999997</v>
      </c>
      <c r="R693" s="1">
        <v>3</v>
      </c>
      <c r="S693" s="1">
        <f>R693/P693</f>
        <v>0.3</v>
      </c>
      <c r="T693" s="1">
        <v>5</v>
      </c>
      <c r="U693" s="1">
        <v>12.5</v>
      </c>
      <c r="V693" s="1">
        <v>535.84313725490188</v>
      </c>
      <c r="W693" s="1">
        <v>6</v>
      </c>
    </row>
    <row r="694" spans="1:23" x14ac:dyDescent="0.2">
      <c r="A694">
        <v>2021</v>
      </c>
      <c r="B694" t="s">
        <v>23</v>
      </c>
      <c r="C694" t="s">
        <v>24</v>
      </c>
      <c r="D694">
        <v>110</v>
      </c>
      <c r="E694">
        <v>1</v>
      </c>
      <c r="F694">
        <v>15</v>
      </c>
      <c r="G694" t="s">
        <v>134</v>
      </c>
      <c r="H694" s="3">
        <v>8</v>
      </c>
      <c r="I694" s="3">
        <v>70</v>
      </c>
      <c r="J694" s="3">
        <v>72</v>
      </c>
      <c r="K694" s="3">
        <f>J694-I694</f>
        <v>2</v>
      </c>
      <c r="L694" s="3">
        <v>137</v>
      </c>
      <c r="M694" s="3">
        <v>73</v>
      </c>
      <c r="N694" s="3">
        <v>2</v>
      </c>
      <c r="O694" s="3">
        <v>1.5</v>
      </c>
      <c r="P694" s="3">
        <v>5</v>
      </c>
      <c r="Q694" s="4">
        <v>0.12</v>
      </c>
      <c r="R694" s="3">
        <v>4</v>
      </c>
      <c r="S694" s="3">
        <f>R694/P694</f>
        <v>0.8</v>
      </c>
      <c r="T694" s="3">
        <v>5</v>
      </c>
      <c r="U694" s="3">
        <v>12.5</v>
      </c>
      <c r="V694" s="3">
        <v>439.21568627450984</v>
      </c>
      <c r="W694" s="3">
        <v>4</v>
      </c>
    </row>
    <row r="695" spans="1:23" x14ac:dyDescent="0.2">
      <c r="A695">
        <v>2021</v>
      </c>
      <c r="B695" t="s">
        <v>23</v>
      </c>
      <c r="C695" t="s">
        <v>24</v>
      </c>
      <c r="D695">
        <v>110</v>
      </c>
      <c r="E695">
        <v>2</v>
      </c>
      <c r="F695">
        <v>10</v>
      </c>
      <c r="G695" t="s">
        <v>134</v>
      </c>
      <c r="H695" s="1">
        <v>12</v>
      </c>
      <c r="I695" s="1">
        <v>67</v>
      </c>
      <c r="J695" s="1">
        <v>69</v>
      </c>
      <c r="K695" s="1">
        <f>J695-I695</f>
        <v>2</v>
      </c>
      <c r="L695" s="1">
        <v>162</v>
      </c>
      <c r="M695" s="1">
        <v>80</v>
      </c>
      <c r="N695" s="1">
        <v>3</v>
      </c>
      <c r="O695" s="1">
        <v>3.5</v>
      </c>
      <c r="P695" s="1">
        <v>9</v>
      </c>
      <c r="Q695" s="2">
        <v>0.51200000000000001</v>
      </c>
      <c r="R695" s="1">
        <v>6</v>
      </c>
      <c r="S695" s="1">
        <f>R695/P695</f>
        <v>0.66666666666666663</v>
      </c>
      <c r="T695" s="1">
        <v>5</v>
      </c>
      <c r="U695" s="1">
        <v>9.1</v>
      </c>
      <c r="V695" s="1">
        <v>1946.8047058823531</v>
      </c>
      <c r="W695" s="1">
        <v>6</v>
      </c>
    </row>
    <row r="696" spans="1:23" x14ac:dyDescent="0.2">
      <c r="A696">
        <v>2021</v>
      </c>
      <c r="B696" t="s">
        <v>23</v>
      </c>
      <c r="C696" t="s">
        <v>24</v>
      </c>
      <c r="D696">
        <v>111</v>
      </c>
      <c r="E696">
        <v>1</v>
      </c>
      <c r="F696">
        <v>5</v>
      </c>
      <c r="G696" t="s">
        <v>135</v>
      </c>
      <c r="H696">
        <v>15</v>
      </c>
      <c r="I696">
        <v>54</v>
      </c>
      <c r="J696">
        <v>56</v>
      </c>
      <c r="K696">
        <v>2</v>
      </c>
      <c r="L696">
        <v>196</v>
      </c>
      <c r="M696">
        <v>75</v>
      </c>
      <c r="N696">
        <v>1</v>
      </c>
      <c r="O696">
        <v>2</v>
      </c>
      <c r="P696">
        <v>10</v>
      </c>
      <c r="Q696">
        <v>1.7</v>
      </c>
      <c r="R696">
        <v>10</v>
      </c>
      <c r="S696">
        <v>1</v>
      </c>
      <c r="T696">
        <v>2</v>
      </c>
      <c r="U696">
        <v>14.4</v>
      </c>
      <c r="V696">
        <v>6087.1111111111095</v>
      </c>
      <c r="W696">
        <v>2</v>
      </c>
    </row>
    <row r="697" spans="1:23" x14ac:dyDescent="0.2">
      <c r="A697">
        <v>2021</v>
      </c>
      <c r="B697" t="s">
        <v>23</v>
      </c>
      <c r="C697" t="s">
        <v>24</v>
      </c>
      <c r="D697">
        <v>111</v>
      </c>
      <c r="E697">
        <v>2</v>
      </c>
      <c r="F697">
        <v>5</v>
      </c>
      <c r="G697" t="s">
        <v>135</v>
      </c>
      <c r="H697" s="3">
        <v>15</v>
      </c>
      <c r="I697" s="3">
        <v>63</v>
      </c>
      <c r="J697" s="3">
        <v>65</v>
      </c>
      <c r="K697" s="3">
        <f>J697-I697</f>
        <v>2</v>
      </c>
      <c r="L697" s="3">
        <v>173</v>
      </c>
      <c r="M697" s="3">
        <v>66</v>
      </c>
      <c r="N697" s="3">
        <v>2</v>
      </c>
      <c r="O697" s="3">
        <v>3.5</v>
      </c>
      <c r="P697" s="3">
        <f>H697</f>
        <v>15</v>
      </c>
      <c r="Q697" s="4">
        <v>0.13950000000000001</v>
      </c>
      <c r="R697" s="3">
        <v>13</v>
      </c>
      <c r="S697" s="3">
        <f>R697/P697</f>
        <v>0.8666666666666667</v>
      </c>
      <c r="T697" s="3">
        <v>5</v>
      </c>
      <c r="U697" s="3">
        <v>12.5</v>
      </c>
      <c r="V697" s="3">
        <v>510.58823529411762</v>
      </c>
      <c r="W697" s="3">
        <v>6</v>
      </c>
    </row>
    <row r="698" spans="1:23" x14ac:dyDescent="0.2">
      <c r="A698">
        <v>2021</v>
      </c>
      <c r="B698" t="s">
        <v>23</v>
      </c>
      <c r="C698" t="s">
        <v>24</v>
      </c>
      <c r="D698">
        <v>112</v>
      </c>
      <c r="E698">
        <v>1</v>
      </c>
      <c r="F698">
        <v>3</v>
      </c>
      <c r="G698" t="s">
        <v>136</v>
      </c>
      <c r="H698" s="1">
        <v>10</v>
      </c>
      <c r="I698" s="1">
        <v>66</v>
      </c>
      <c r="J698" s="1">
        <v>69</v>
      </c>
      <c r="K698" s="1">
        <f>J698-I698</f>
        <v>3</v>
      </c>
      <c r="L698" s="1">
        <v>133</v>
      </c>
      <c r="M698" s="1">
        <v>97</v>
      </c>
      <c r="N698" s="1">
        <v>2</v>
      </c>
      <c r="O698" s="1">
        <v>3.5</v>
      </c>
      <c r="P698" s="1">
        <v>8</v>
      </c>
      <c r="Q698" s="2">
        <v>0.27660000000000001</v>
      </c>
      <c r="R698" s="1">
        <v>5</v>
      </c>
      <c r="S698" s="1">
        <f>R698/P698</f>
        <v>0.625</v>
      </c>
      <c r="T698" s="1">
        <v>5</v>
      </c>
      <c r="U698" s="1">
        <v>9.8000000000000007</v>
      </c>
      <c r="V698" s="1">
        <v>1043.63168627451</v>
      </c>
      <c r="W698" s="1">
        <v>4</v>
      </c>
    </row>
    <row r="699" spans="1:23" x14ac:dyDescent="0.2">
      <c r="A699">
        <v>2021</v>
      </c>
      <c r="B699" t="s">
        <v>23</v>
      </c>
      <c r="C699" t="s">
        <v>24</v>
      </c>
      <c r="D699">
        <v>112</v>
      </c>
      <c r="E699">
        <v>2</v>
      </c>
      <c r="F699">
        <v>1</v>
      </c>
      <c r="G699" t="s">
        <v>136</v>
      </c>
      <c r="H699">
        <v>13</v>
      </c>
      <c r="I699">
        <v>55</v>
      </c>
      <c r="J699">
        <v>58</v>
      </c>
      <c r="K699">
        <v>3</v>
      </c>
      <c r="L699">
        <v>155</v>
      </c>
      <c r="M699">
        <v>90</v>
      </c>
      <c r="N699">
        <v>2</v>
      </c>
      <c r="O699">
        <v>2.5</v>
      </c>
      <c r="P699">
        <v>11</v>
      </c>
      <c r="Q699">
        <v>0.7</v>
      </c>
      <c r="R699">
        <v>7</v>
      </c>
      <c r="S699">
        <v>0.63636363636363635</v>
      </c>
      <c r="T699">
        <v>2</v>
      </c>
      <c r="U699">
        <v>11.5</v>
      </c>
      <c r="V699">
        <v>2591.372549019608</v>
      </c>
      <c r="W699">
        <v>2</v>
      </c>
    </row>
    <row r="700" spans="1:23" x14ac:dyDescent="0.2">
      <c r="A700">
        <v>2021</v>
      </c>
      <c r="B700" t="s">
        <v>23</v>
      </c>
      <c r="C700" t="s">
        <v>24</v>
      </c>
      <c r="D700">
        <v>113</v>
      </c>
      <c r="E700">
        <v>1</v>
      </c>
      <c r="F700">
        <v>5</v>
      </c>
      <c r="G700" t="s">
        <v>137</v>
      </c>
      <c r="H700">
        <v>1</v>
      </c>
      <c r="I700">
        <v>56</v>
      </c>
      <c r="J700">
        <v>58</v>
      </c>
      <c r="K700">
        <v>2</v>
      </c>
      <c r="L700">
        <v>146</v>
      </c>
      <c r="M700">
        <v>68</v>
      </c>
      <c r="N700">
        <v>2</v>
      </c>
      <c r="O700">
        <v>2</v>
      </c>
      <c r="P700">
        <v>1</v>
      </c>
      <c r="Q700">
        <v>0.1</v>
      </c>
      <c r="R700">
        <v>1</v>
      </c>
      <c r="S700">
        <v>1</v>
      </c>
      <c r="T700">
        <v>4</v>
      </c>
      <c r="U700">
        <v>12.5</v>
      </c>
      <c r="V700">
        <v>366.01307189542484</v>
      </c>
      <c r="W700">
        <v>1</v>
      </c>
    </row>
    <row r="701" spans="1:23" x14ac:dyDescent="0.2">
      <c r="A701">
        <v>2021</v>
      </c>
      <c r="B701" t="s">
        <v>23</v>
      </c>
      <c r="C701" t="s">
        <v>24</v>
      </c>
      <c r="D701">
        <v>113</v>
      </c>
      <c r="E701">
        <v>2</v>
      </c>
      <c r="F701">
        <v>10</v>
      </c>
      <c r="G701" t="s">
        <v>137</v>
      </c>
      <c r="H701" s="1">
        <v>6</v>
      </c>
      <c r="I701" s="1">
        <v>66</v>
      </c>
      <c r="J701" s="1">
        <v>69</v>
      </c>
      <c r="K701" s="1">
        <f>J701-I701</f>
        <v>3</v>
      </c>
      <c r="L701" s="1">
        <v>172</v>
      </c>
      <c r="M701" s="1">
        <v>85</v>
      </c>
      <c r="N701" s="1">
        <v>2</v>
      </c>
      <c r="O701" s="1">
        <v>2.5</v>
      </c>
      <c r="P701" s="1">
        <v>6</v>
      </c>
      <c r="Q701" s="2">
        <v>0.44900000000000001</v>
      </c>
      <c r="R701" s="1">
        <v>7</v>
      </c>
      <c r="S701" s="1">
        <f>R701/P701</f>
        <v>1.1666666666666667</v>
      </c>
      <c r="T701" s="1">
        <v>3.5</v>
      </c>
      <c r="U701" s="1">
        <v>12.5</v>
      </c>
      <c r="V701" s="1">
        <v>1643.3986928104575</v>
      </c>
      <c r="W701" s="1">
        <v>3</v>
      </c>
    </row>
    <row r="702" spans="1:23" x14ac:dyDescent="0.2">
      <c r="A702">
        <v>2021</v>
      </c>
      <c r="B702" t="s">
        <v>23</v>
      </c>
      <c r="C702" t="s">
        <v>24</v>
      </c>
      <c r="D702">
        <v>114</v>
      </c>
      <c r="E702">
        <v>1</v>
      </c>
      <c r="F702">
        <v>4</v>
      </c>
      <c r="G702" t="s">
        <v>138</v>
      </c>
      <c r="H702" s="1">
        <v>4</v>
      </c>
      <c r="I702" s="1">
        <v>61</v>
      </c>
      <c r="J702" s="1">
        <v>66</v>
      </c>
      <c r="K702" s="1">
        <f>J702-I702</f>
        <v>5</v>
      </c>
      <c r="L702" s="1">
        <v>101</v>
      </c>
      <c r="M702" s="1">
        <v>50</v>
      </c>
      <c r="N702" s="1">
        <v>2</v>
      </c>
      <c r="O702" s="1">
        <v>4.5</v>
      </c>
      <c r="P702" s="1">
        <v>4</v>
      </c>
      <c r="Q702" s="2">
        <v>0.121</v>
      </c>
      <c r="R702" s="1">
        <v>4</v>
      </c>
      <c r="S702" s="1">
        <f>R702/P702</f>
        <v>1</v>
      </c>
      <c r="T702" s="1">
        <v>5</v>
      </c>
      <c r="U702" s="1">
        <v>12.5</v>
      </c>
      <c r="V702" s="1">
        <v>442.87581699346407</v>
      </c>
      <c r="W702" s="1">
        <v>5</v>
      </c>
    </row>
    <row r="703" spans="1:23" x14ac:dyDescent="0.2">
      <c r="A703">
        <v>2021</v>
      </c>
      <c r="B703" t="s">
        <v>23</v>
      </c>
      <c r="C703" t="s">
        <v>24</v>
      </c>
      <c r="D703">
        <v>114</v>
      </c>
      <c r="E703">
        <v>2</v>
      </c>
      <c r="F703">
        <v>7</v>
      </c>
      <c r="G703" t="s">
        <v>138</v>
      </c>
      <c r="H703">
        <v>3</v>
      </c>
      <c r="I703">
        <v>56</v>
      </c>
      <c r="J703">
        <v>60</v>
      </c>
      <c r="K703">
        <v>4</v>
      </c>
      <c r="L703">
        <v>90</v>
      </c>
      <c r="M703">
        <v>28</v>
      </c>
      <c r="N703">
        <v>1.5</v>
      </c>
      <c r="O703">
        <v>2</v>
      </c>
      <c r="P703">
        <v>3</v>
      </c>
      <c r="Q703">
        <v>0.2</v>
      </c>
      <c r="R703">
        <v>3</v>
      </c>
      <c r="S703">
        <v>1</v>
      </c>
      <c r="T703">
        <v>2.5</v>
      </c>
      <c r="U703">
        <v>12.5</v>
      </c>
      <c r="V703">
        <v>732.02614379084969</v>
      </c>
      <c r="W703">
        <v>2</v>
      </c>
    </row>
    <row r="704" spans="1:23" x14ac:dyDescent="0.2">
      <c r="A704">
        <v>2021</v>
      </c>
      <c r="B704" t="s">
        <v>23</v>
      </c>
      <c r="C704" t="s">
        <v>24</v>
      </c>
      <c r="D704">
        <v>115</v>
      </c>
      <c r="E704">
        <v>1</v>
      </c>
      <c r="F704">
        <v>4</v>
      </c>
      <c r="G704" t="s">
        <v>139</v>
      </c>
      <c r="H704" s="1">
        <v>5</v>
      </c>
      <c r="I704" s="1">
        <v>65</v>
      </c>
      <c r="J704" s="1">
        <v>70</v>
      </c>
      <c r="K704" s="1">
        <f t="shared" ref="K704:K715" si="32">J704-I704</f>
        <v>5</v>
      </c>
      <c r="L704" s="1">
        <v>102</v>
      </c>
      <c r="M704" s="1">
        <v>40</v>
      </c>
      <c r="N704" s="1">
        <v>2</v>
      </c>
      <c r="O704" s="1">
        <v>4.5</v>
      </c>
      <c r="P704" s="1">
        <v>4</v>
      </c>
      <c r="Q704" s="2">
        <v>0.13600000000000001</v>
      </c>
      <c r="R704" s="1">
        <v>2</v>
      </c>
      <c r="S704" s="1">
        <f t="shared" ref="S704:S715" si="33">R704/P704</f>
        <v>0.5</v>
      </c>
      <c r="T704" s="1">
        <v>4</v>
      </c>
      <c r="U704" s="1">
        <v>12.5</v>
      </c>
      <c r="V704" s="1">
        <v>497.77777777777777</v>
      </c>
      <c r="W704" s="1">
        <v>5</v>
      </c>
    </row>
    <row r="705" spans="1:23" x14ac:dyDescent="0.2">
      <c r="A705">
        <v>2021</v>
      </c>
      <c r="B705" t="s">
        <v>23</v>
      </c>
      <c r="C705" t="s">
        <v>24</v>
      </c>
      <c r="D705">
        <v>115</v>
      </c>
      <c r="E705">
        <v>2</v>
      </c>
      <c r="F705">
        <v>6</v>
      </c>
      <c r="G705" t="s">
        <v>139</v>
      </c>
      <c r="H705" s="1">
        <v>7</v>
      </c>
      <c r="I705" s="1">
        <v>69</v>
      </c>
      <c r="J705" s="1">
        <v>70</v>
      </c>
      <c r="K705" s="1">
        <f t="shared" si="32"/>
        <v>1</v>
      </c>
      <c r="L705" s="1">
        <v>107</v>
      </c>
      <c r="M705" s="1">
        <v>36</v>
      </c>
      <c r="N705" s="1">
        <v>3</v>
      </c>
      <c r="O705" s="1">
        <v>4.5</v>
      </c>
      <c r="P705" s="1">
        <v>5</v>
      </c>
      <c r="Q705" s="2">
        <v>0.122</v>
      </c>
      <c r="R705" s="1">
        <v>5</v>
      </c>
      <c r="S705" s="1">
        <f t="shared" si="33"/>
        <v>1</v>
      </c>
      <c r="T705" s="1">
        <v>4.5</v>
      </c>
      <c r="U705" s="1">
        <v>12.5</v>
      </c>
      <c r="V705" s="1">
        <v>446.53594771241831</v>
      </c>
      <c r="W705" s="1">
        <v>5</v>
      </c>
    </row>
    <row r="706" spans="1:23" x14ac:dyDescent="0.2">
      <c r="A706">
        <v>2021</v>
      </c>
      <c r="B706" t="s">
        <v>23</v>
      </c>
      <c r="C706" t="s">
        <v>24</v>
      </c>
      <c r="D706">
        <v>116</v>
      </c>
      <c r="E706">
        <v>1</v>
      </c>
      <c r="F706">
        <v>15</v>
      </c>
      <c r="G706" t="s">
        <v>140</v>
      </c>
      <c r="H706" s="1">
        <v>10</v>
      </c>
      <c r="I706" s="1">
        <v>63</v>
      </c>
      <c r="J706" s="1">
        <v>67</v>
      </c>
      <c r="K706" s="1">
        <f t="shared" si="32"/>
        <v>4</v>
      </c>
      <c r="L706" s="1">
        <v>99</v>
      </c>
      <c r="M706" s="1">
        <v>45</v>
      </c>
      <c r="N706" s="1">
        <v>2</v>
      </c>
      <c r="O706" s="1">
        <v>3.5</v>
      </c>
      <c r="P706" s="1">
        <v>5</v>
      </c>
      <c r="Q706" s="2">
        <v>0.16500000000000001</v>
      </c>
      <c r="R706" s="1">
        <v>5</v>
      </c>
      <c r="S706" s="1">
        <f t="shared" si="33"/>
        <v>1</v>
      </c>
      <c r="T706" s="1">
        <v>4</v>
      </c>
      <c r="U706" s="1">
        <v>12.5</v>
      </c>
      <c r="V706" s="1">
        <v>603.92156862745094</v>
      </c>
      <c r="W706" s="1">
        <v>3</v>
      </c>
    </row>
    <row r="707" spans="1:23" x14ac:dyDescent="0.2">
      <c r="A707">
        <v>2021</v>
      </c>
      <c r="B707" t="s">
        <v>23</v>
      </c>
      <c r="C707" t="s">
        <v>24</v>
      </c>
      <c r="D707">
        <v>116</v>
      </c>
      <c r="E707">
        <v>2</v>
      </c>
      <c r="F707">
        <v>12</v>
      </c>
      <c r="G707" t="s">
        <v>140</v>
      </c>
      <c r="H707" s="1">
        <v>10</v>
      </c>
      <c r="I707" s="1">
        <v>70</v>
      </c>
      <c r="J707" s="1">
        <v>74</v>
      </c>
      <c r="K707" s="1">
        <f t="shared" si="32"/>
        <v>4</v>
      </c>
      <c r="L707" s="1">
        <v>106</v>
      </c>
      <c r="M707" s="1">
        <v>36</v>
      </c>
      <c r="N707" s="1">
        <v>1.5</v>
      </c>
      <c r="O707" s="1">
        <v>5</v>
      </c>
      <c r="P707" s="1">
        <v>1</v>
      </c>
      <c r="Q707" s="2">
        <v>2.4E-2</v>
      </c>
      <c r="R707" s="1">
        <v>1</v>
      </c>
      <c r="S707" s="1">
        <f t="shared" si="33"/>
        <v>1</v>
      </c>
      <c r="T707" s="1">
        <v>5</v>
      </c>
      <c r="U707" s="1">
        <v>12.5</v>
      </c>
      <c r="V707" s="1">
        <v>87.843137254901961</v>
      </c>
      <c r="W707" s="1">
        <v>7</v>
      </c>
    </row>
    <row r="708" spans="1:23" x14ac:dyDescent="0.2">
      <c r="A708">
        <v>2021</v>
      </c>
      <c r="B708" t="s">
        <v>23</v>
      </c>
      <c r="C708" t="s">
        <v>24</v>
      </c>
      <c r="D708">
        <v>117</v>
      </c>
      <c r="E708">
        <v>1</v>
      </c>
      <c r="F708">
        <v>11</v>
      </c>
      <c r="G708" t="s">
        <v>141</v>
      </c>
      <c r="H708" s="1">
        <v>10</v>
      </c>
      <c r="I708" s="1">
        <v>58</v>
      </c>
      <c r="J708" s="1">
        <v>63</v>
      </c>
      <c r="K708" s="1">
        <f t="shared" si="32"/>
        <v>5</v>
      </c>
      <c r="L708" s="1">
        <v>155</v>
      </c>
      <c r="M708" s="1">
        <v>95</v>
      </c>
      <c r="N708" s="1">
        <v>2</v>
      </c>
      <c r="O708" s="1">
        <v>2</v>
      </c>
      <c r="P708" s="1">
        <v>9</v>
      </c>
      <c r="Q708" s="2">
        <v>0.65</v>
      </c>
      <c r="R708" s="1">
        <v>9</v>
      </c>
      <c r="S708" s="1">
        <f t="shared" si="33"/>
        <v>1</v>
      </c>
      <c r="T708" s="1">
        <v>3</v>
      </c>
      <c r="U708" s="1">
        <v>7.8</v>
      </c>
      <c r="V708" s="1">
        <v>2506.8758169934645</v>
      </c>
      <c r="W708" s="1">
        <v>4</v>
      </c>
    </row>
    <row r="709" spans="1:23" x14ac:dyDescent="0.2">
      <c r="A709">
        <v>2021</v>
      </c>
      <c r="B709" t="s">
        <v>23</v>
      </c>
      <c r="C709" t="s">
        <v>24</v>
      </c>
      <c r="D709">
        <v>117</v>
      </c>
      <c r="E709">
        <v>2</v>
      </c>
      <c r="F709">
        <v>12</v>
      </c>
      <c r="G709" t="s">
        <v>141</v>
      </c>
      <c r="H709" s="1">
        <v>2</v>
      </c>
      <c r="I709" s="1">
        <v>63</v>
      </c>
      <c r="J709" s="1">
        <v>67</v>
      </c>
      <c r="K709" s="1">
        <f t="shared" si="32"/>
        <v>4</v>
      </c>
      <c r="L709" s="1">
        <v>166</v>
      </c>
      <c r="M709" s="1">
        <v>87</v>
      </c>
      <c r="N709" s="1">
        <v>2</v>
      </c>
      <c r="O709" s="1">
        <v>2.5</v>
      </c>
      <c r="P709" s="1">
        <f>H709</f>
        <v>2</v>
      </c>
      <c r="Q709" s="2">
        <v>3.7499999999999999E-2</v>
      </c>
      <c r="R709" s="1">
        <v>1</v>
      </c>
      <c r="S709" s="1">
        <f t="shared" si="33"/>
        <v>0.5</v>
      </c>
      <c r="T709" s="1">
        <v>3</v>
      </c>
      <c r="U709" s="1">
        <v>12.5</v>
      </c>
      <c r="V709" s="1">
        <v>137.25490196078431</v>
      </c>
      <c r="W709" s="1">
        <v>4</v>
      </c>
    </row>
    <row r="710" spans="1:23" x14ac:dyDescent="0.2">
      <c r="A710">
        <v>2021</v>
      </c>
      <c r="B710" t="s">
        <v>23</v>
      </c>
      <c r="C710" t="s">
        <v>24</v>
      </c>
      <c r="D710">
        <v>118</v>
      </c>
      <c r="E710">
        <v>1</v>
      </c>
      <c r="F710">
        <v>13</v>
      </c>
      <c r="G710" t="s">
        <v>142</v>
      </c>
      <c r="H710" s="3">
        <v>12</v>
      </c>
      <c r="I710" s="3">
        <v>68</v>
      </c>
      <c r="J710" s="3">
        <v>72</v>
      </c>
      <c r="K710" s="3">
        <f t="shared" si="32"/>
        <v>4</v>
      </c>
      <c r="L710" s="3">
        <v>179</v>
      </c>
      <c r="M710" s="3">
        <v>64</v>
      </c>
      <c r="N710" s="3">
        <v>2</v>
      </c>
      <c r="O710" s="3">
        <v>2.5</v>
      </c>
      <c r="P710" s="3">
        <f>H710</f>
        <v>12</v>
      </c>
      <c r="Q710" s="4">
        <v>0.13350000000000001</v>
      </c>
      <c r="R710" s="3">
        <v>9</v>
      </c>
      <c r="S710" s="3">
        <f t="shared" si="33"/>
        <v>0.75</v>
      </c>
      <c r="T710" s="3">
        <v>5</v>
      </c>
      <c r="U710" s="3">
        <v>12.5</v>
      </c>
      <c r="V710" s="3">
        <v>488.62745098039221</v>
      </c>
      <c r="W710" s="3">
        <v>4</v>
      </c>
    </row>
    <row r="711" spans="1:23" x14ac:dyDescent="0.2">
      <c r="A711">
        <v>2021</v>
      </c>
      <c r="B711" t="s">
        <v>23</v>
      </c>
      <c r="C711" t="s">
        <v>24</v>
      </c>
      <c r="D711">
        <v>118</v>
      </c>
      <c r="E711">
        <v>2</v>
      </c>
      <c r="F711">
        <v>15</v>
      </c>
      <c r="G711" t="s">
        <v>142</v>
      </c>
      <c r="H711" s="1">
        <v>5</v>
      </c>
      <c r="I711" s="1">
        <v>64</v>
      </c>
      <c r="J711" s="1">
        <v>69</v>
      </c>
      <c r="K711" s="1">
        <f t="shared" si="32"/>
        <v>5</v>
      </c>
      <c r="L711" s="1">
        <v>75</v>
      </c>
      <c r="M711" s="1">
        <v>51</v>
      </c>
      <c r="N711" s="1">
        <v>1.5</v>
      </c>
      <c r="O711" s="1">
        <v>4.5</v>
      </c>
      <c r="P711" s="1">
        <v>1</v>
      </c>
      <c r="Q711" s="2">
        <v>7.1999999999999995E-2</v>
      </c>
      <c r="R711" s="1">
        <v>1</v>
      </c>
      <c r="S711" s="1">
        <f t="shared" si="33"/>
        <v>1</v>
      </c>
      <c r="T711" s="1">
        <v>3</v>
      </c>
      <c r="U711" s="1">
        <v>12.5</v>
      </c>
      <c r="V711" s="1">
        <v>263.52941176470591</v>
      </c>
      <c r="W711" s="1">
        <v>5</v>
      </c>
    </row>
    <row r="712" spans="1:23" x14ac:dyDescent="0.2">
      <c r="A712">
        <v>2021</v>
      </c>
      <c r="B712" t="s">
        <v>23</v>
      </c>
      <c r="C712" t="s">
        <v>24</v>
      </c>
      <c r="D712">
        <v>119</v>
      </c>
      <c r="E712">
        <v>1</v>
      </c>
      <c r="F712">
        <v>10</v>
      </c>
      <c r="G712" t="s">
        <v>143</v>
      </c>
      <c r="H712" s="1">
        <v>4</v>
      </c>
      <c r="I712" s="1">
        <v>65</v>
      </c>
      <c r="J712" s="1">
        <v>68</v>
      </c>
      <c r="K712" s="1">
        <f t="shared" si="32"/>
        <v>3</v>
      </c>
      <c r="L712" s="1">
        <v>138</v>
      </c>
      <c r="M712" s="1">
        <v>50</v>
      </c>
      <c r="N712" s="1">
        <v>2</v>
      </c>
      <c r="O712" s="1">
        <v>4.5</v>
      </c>
      <c r="P712" s="1">
        <v>4</v>
      </c>
      <c r="Q712" s="2">
        <v>0.14149999999999999</v>
      </c>
      <c r="R712" s="1">
        <v>4</v>
      </c>
      <c r="S712" s="1">
        <f t="shared" si="33"/>
        <v>1</v>
      </c>
      <c r="T712" s="1">
        <v>5</v>
      </c>
      <c r="U712" s="1">
        <v>12.5</v>
      </c>
      <c r="V712" s="1">
        <v>517.90849673202615</v>
      </c>
      <c r="W712" s="1">
        <v>5</v>
      </c>
    </row>
    <row r="713" spans="1:23" x14ac:dyDescent="0.2">
      <c r="A713">
        <v>2021</v>
      </c>
      <c r="B713" t="s">
        <v>23</v>
      </c>
      <c r="C713" t="s">
        <v>24</v>
      </c>
      <c r="D713">
        <v>119</v>
      </c>
      <c r="E713">
        <v>2</v>
      </c>
      <c r="F713">
        <v>9</v>
      </c>
      <c r="G713" t="s">
        <v>143</v>
      </c>
      <c r="H713" s="1">
        <v>5</v>
      </c>
      <c r="I713" s="1">
        <v>64</v>
      </c>
      <c r="J713" s="1">
        <v>70</v>
      </c>
      <c r="K713" s="1">
        <f t="shared" si="32"/>
        <v>6</v>
      </c>
      <c r="L713" s="1">
        <v>100</v>
      </c>
      <c r="M713" s="1">
        <v>35</v>
      </c>
      <c r="N713" s="1">
        <v>3</v>
      </c>
      <c r="O713" s="1">
        <v>4</v>
      </c>
      <c r="P713" s="1">
        <v>5</v>
      </c>
      <c r="Q713" s="2">
        <v>0.245</v>
      </c>
      <c r="R713" s="1">
        <v>5</v>
      </c>
      <c r="S713" s="1">
        <f t="shared" si="33"/>
        <v>1</v>
      </c>
      <c r="T713" s="1">
        <v>4</v>
      </c>
      <c r="U713" s="1">
        <v>12.5</v>
      </c>
      <c r="V713" s="1">
        <v>896.7320261437909</v>
      </c>
      <c r="W713" s="1">
        <v>4</v>
      </c>
    </row>
    <row r="714" spans="1:23" x14ac:dyDescent="0.2">
      <c r="A714">
        <v>2021</v>
      </c>
      <c r="B714" t="s">
        <v>23</v>
      </c>
      <c r="C714" t="s">
        <v>24</v>
      </c>
      <c r="D714">
        <v>120</v>
      </c>
      <c r="E714">
        <v>1</v>
      </c>
      <c r="F714">
        <v>13</v>
      </c>
      <c r="G714" t="s">
        <v>144</v>
      </c>
      <c r="H714" s="1">
        <v>2</v>
      </c>
      <c r="I714" s="1">
        <v>69</v>
      </c>
      <c r="J714" s="1">
        <v>70</v>
      </c>
      <c r="K714" s="1">
        <f t="shared" si="32"/>
        <v>1</v>
      </c>
      <c r="L714" s="1">
        <v>105</v>
      </c>
      <c r="M714" s="1">
        <v>45</v>
      </c>
      <c r="N714" s="1">
        <v>1.5</v>
      </c>
      <c r="O714" s="1">
        <v>4.5</v>
      </c>
      <c r="P714" s="1">
        <v>2</v>
      </c>
      <c r="Q714" s="2">
        <v>6.5000000000000002E-2</v>
      </c>
      <c r="R714" s="1">
        <v>2</v>
      </c>
      <c r="S714" s="1">
        <f t="shared" si="33"/>
        <v>1</v>
      </c>
      <c r="T714" s="1">
        <v>3.5</v>
      </c>
      <c r="U714" s="1">
        <v>12.5</v>
      </c>
      <c r="V714" s="1">
        <v>237.90849673202612</v>
      </c>
      <c r="W714" s="1">
        <v>4</v>
      </c>
    </row>
    <row r="715" spans="1:23" x14ac:dyDescent="0.2">
      <c r="A715">
        <v>2021</v>
      </c>
      <c r="B715" t="s">
        <v>23</v>
      </c>
      <c r="C715" t="s">
        <v>24</v>
      </c>
      <c r="D715">
        <v>120</v>
      </c>
      <c r="E715">
        <v>2</v>
      </c>
      <c r="F715">
        <v>11</v>
      </c>
      <c r="G715" t="s">
        <v>144</v>
      </c>
      <c r="H715" s="1">
        <v>16</v>
      </c>
      <c r="I715" s="1">
        <v>65</v>
      </c>
      <c r="J715" s="1">
        <v>70</v>
      </c>
      <c r="K715" s="1">
        <f t="shared" si="32"/>
        <v>5</v>
      </c>
      <c r="L715" s="1">
        <v>124</v>
      </c>
      <c r="M715" s="1">
        <v>42</v>
      </c>
      <c r="N715" s="1">
        <v>2</v>
      </c>
      <c r="O715" s="1">
        <v>4</v>
      </c>
      <c r="P715" s="1">
        <v>15</v>
      </c>
      <c r="Q715" s="2">
        <v>0.55100000000000005</v>
      </c>
      <c r="R715" s="1">
        <v>16</v>
      </c>
      <c r="S715" s="1">
        <f t="shared" si="33"/>
        <v>1.0666666666666667</v>
      </c>
      <c r="T715" s="1">
        <v>3</v>
      </c>
      <c r="U715" s="1">
        <v>12.5</v>
      </c>
      <c r="V715" s="1">
        <v>2016.732026143791</v>
      </c>
      <c r="W715" s="1">
        <v>6</v>
      </c>
    </row>
    <row r="716" spans="1:23" x14ac:dyDescent="0.2">
      <c r="A716">
        <v>2021</v>
      </c>
      <c r="B716" t="s">
        <v>23</v>
      </c>
      <c r="C716" t="s">
        <v>24</v>
      </c>
      <c r="D716">
        <v>121</v>
      </c>
      <c r="E716">
        <v>1</v>
      </c>
      <c r="F716">
        <v>6</v>
      </c>
      <c r="G716" t="s">
        <v>145</v>
      </c>
      <c r="H716">
        <v>8</v>
      </c>
      <c r="I716">
        <v>57</v>
      </c>
      <c r="J716">
        <v>58</v>
      </c>
      <c r="K716">
        <v>1</v>
      </c>
      <c r="L716">
        <v>133</v>
      </c>
      <c r="M716">
        <v>52</v>
      </c>
      <c r="N716">
        <v>3</v>
      </c>
      <c r="O716">
        <v>3</v>
      </c>
      <c r="P716">
        <v>8</v>
      </c>
      <c r="Q716">
        <v>0.65500000000000003</v>
      </c>
      <c r="R716">
        <v>8</v>
      </c>
      <c r="S716">
        <v>1</v>
      </c>
      <c r="T716">
        <v>3</v>
      </c>
      <c r="U716">
        <v>12.5</v>
      </c>
      <c r="V716">
        <v>2397.3856209150326</v>
      </c>
      <c r="W716">
        <v>2</v>
      </c>
    </row>
    <row r="717" spans="1:23" x14ac:dyDescent="0.2">
      <c r="A717">
        <v>2021</v>
      </c>
      <c r="B717" t="s">
        <v>23</v>
      </c>
      <c r="C717" t="s">
        <v>24</v>
      </c>
      <c r="D717">
        <v>121</v>
      </c>
      <c r="E717">
        <v>2</v>
      </c>
      <c r="F717">
        <v>6</v>
      </c>
      <c r="G717" t="s">
        <v>145</v>
      </c>
      <c r="H717" s="1">
        <v>12</v>
      </c>
      <c r="I717" s="1">
        <v>72</v>
      </c>
      <c r="J717" s="1">
        <v>76</v>
      </c>
      <c r="K717" s="1">
        <f t="shared" ref="K717:K723" si="34">J717-I717</f>
        <v>4</v>
      </c>
      <c r="L717" s="1">
        <v>165</v>
      </c>
      <c r="M717" s="1">
        <v>97</v>
      </c>
      <c r="N717" s="1">
        <v>3</v>
      </c>
      <c r="O717" s="1">
        <v>3.5</v>
      </c>
      <c r="P717" s="1">
        <f>H717-2</f>
        <v>10</v>
      </c>
      <c r="Q717" s="2">
        <v>9.9899999999999989E-2</v>
      </c>
      <c r="R717" s="1">
        <v>7</v>
      </c>
      <c r="S717" s="1">
        <f t="shared" ref="S717:S723" si="35">R717/P717</f>
        <v>0.7</v>
      </c>
      <c r="T717" s="1">
        <v>5</v>
      </c>
      <c r="U717" s="1">
        <v>12.5</v>
      </c>
      <c r="V717" s="1">
        <v>365.64705882352933</v>
      </c>
      <c r="W717" s="1">
        <v>4</v>
      </c>
    </row>
    <row r="718" spans="1:23" x14ac:dyDescent="0.2">
      <c r="A718">
        <v>2021</v>
      </c>
      <c r="B718" t="s">
        <v>23</v>
      </c>
      <c r="C718" t="s">
        <v>24</v>
      </c>
      <c r="D718">
        <v>122</v>
      </c>
      <c r="E718">
        <v>1</v>
      </c>
      <c r="F718">
        <v>3</v>
      </c>
      <c r="G718" t="s">
        <v>146</v>
      </c>
      <c r="H718" s="3">
        <v>8</v>
      </c>
      <c r="I718" s="3">
        <v>70</v>
      </c>
      <c r="J718" s="3">
        <v>72</v>
      </c>
      <c r="K718" s="3">
        <f t="shared" si="34"/>
        <v>2</v>
      </c>
      <c r="L718" s="3">
        <v>137</v>
      </c>
      <c r="M718" s="3">
        <v>73</v>
      </c>
      <c r="N718" s="3">
        <v>2</v>
      </c>
      <c r="O718" s="3">
        <v>1.5</v>
      </c>
      <c r="P718" s="3">
        <v>5</v>
      </c>
      <c r="Q718" s="4">
        <v>0.12</v>
      </c>
      <c r="R718" s="3">
        <v>4</v>
      </c>
      <c r="S718" s="3">
        <f t="shared" si="35"/>
        <v>0.8</v>
      </c>
      <c r="T718" s="3">
        <v>5</v>
      </c>
      <c r="U718" s="3">
        <v>12.5</v>
      </c>
      <c r="V718" s="3">
        <v>439.21568627450984</v>
      </c>
      <c r="W718" s="3">
        <v>4</v>
      </c>
    </row>
    <row r="719" spans="1:23" x14ac:dyDescent="0.2">
      <c r="A719">
        <v>2021</v>
      </c>
      <c r="B719" t="s">
        <v>23</v>
      </c>
      <c r="C719" t="s">
        <v>24</v>
      </c>
      <c r="D719">
        <v>122</v>
      </c>
      <c r="E719">
        <v>2</v>
      </c>
      <c r="F719">
        <v>2</v>
      </c>
      <c r="G719" t="s">
        <v>146</v>
      </c>
      <c r="H719" s="1">
        <v>4</v>
      </c>
      <c r="I719" s="1">
        <v>66</v>
      </c>
      <c r="J719" s="1">
        <v>70</v>
      </c>
      <c r="K719" s="1">
        <f t="shared" si="34"/>
        <v>4</v>
      </c>
      <c r="L719" s="1">
        <v>77</v>
      </c>
      <c r="M719" s="1">
        <v>25</v>
      </c>
      <c r="N719" s="1">
        <v>2</v>
      </c>
      <c r="O719" s="1">
        <v>5</v>
      </c>
      <c r="P719" s="1">
        <v>3</v>
      </c>
      <c r="Q719" s="2">
        <v>0.105</v>
      </c>
      <c r="R719" s="1">
        <v>3</v>
      </c>
      <c r="S719" s="1">
        <f t="shared" si="35"/>
        <v>1</v>
      </c>
      <c r="T719" s="1">
        <v>5</v>
      </c>
      <c r="U719" s="1">
        <v>12.5</v>
      </c>
      <c r="V719" s="1">
        <v>384.31372549019608</v>
      </c>
      <c r="W719" s="1">
        <v>6</v>
      </c>
    </row>
    <row r="720" spans="1:23" x14ac:dyDescent="0.2">
      <c r="A720">
        <v>2021</v>
      </c>
      <c r="B720" t="s">
        <v>23</v>
      </c>
      <c r="C720" t="s">
        <v>24</v>
      </c>
      <c r="D720">
        <v>123</v>
      </c>
      <c r="E720">
        <v>1</v>
      </c>
      <c r="F720">
        <v>1</v>
      </c>
      <c r="G720" t="s">
        <v>147</v>
      </c>
      <c r="H720" s="1">
        <v>8</v>
      </c>
      <c r="I720" s="1">
        <v>66</v>
      </c>
      <c r="J720" s="1">
        <v>69</v>
      </c>
      <c r="K720" s="1">
        <f t="shared" si="34"/>
        <v>3</v>
      </c>
      <c r="L720" s="1">
        <v>146</v>
      </c>
      <c r="M720" s="1">
        <v>46</v>
      </c>
      <c r="N720" s="1">
        <v>2</v>
      </c>
      <c r="O720" s="1">
        <v>4.5</v>
      </c>
      <c r="P720" s="1">
        <v>6</v>
      </c>
      <c r="Q720" s="2">
        <v>0.17249999999999999</v>
      </c>
      <c r="R720" s="1">
        <v>5</v>
      </c>
      <c r="S720" s="1">
        <f t="shared" si="35"/>
        <v>0.83333333333333337</v>
      </c>
      <c r="T720" s="1">
        <v>3</v>
      </c>
      <c r="U720" s="1">
        <v>12.5</v>
      </c>
      <c r="V720" s="1">
        <v>631.37254901960785</v>
      </c>
      <c r="W720" s="1">
        <v>5</v>
      </c>
    </row>
    <row r="721" spans="1:23" x14ac:dyDescent="0.2">
      <c r="A721">
        <v>2021</v>
      </c>
      <c r="B721" t="s">
        <v>23</v>
      </c>
      <c r="C721" t="s">
        <v>24</v>
      </c>
      <c r="D721">
        <v>123</v>
      </c>
      <c r="E721">
        <v>2</v>
      </c>
      <c r="F721">
        <v>6</v>
      </c>
      <c r="G721" t="s">
        <v>147</v>
      </c>
      <c r="H721" s="1">
        <v>2</v>
      </c>
      <c r="I721" s="1">
        <v>63</v>
      </c>
      <c r="J721" s="1">
        <v>67</v>
      </c>
      <c r="K721" s="1">
        <f t="shared" si="34"/>
        <v>4</v>
      </c>
      <c r="L721" s="1">
        <v>42</v>
      </c>
      <c r="M721" s="1">
        <v>38</v>
      </c>
      <c r="N721" s="1">
        <v>2</v>
      </c>
      <c r="O721" s="1">
        <v>3.5</v>
      </c>
      <c r="P721" s="1">
        <v>2</v>
      </c>
      <c r="Q721" s="2">
        <v>0.16800000000000001</v>
      </c>
      <c r="R721" s="1">
        <v>2</v>
      </c>
      <c r="S721" s="1">
        <f t="shared" si="35"/>
        <v>1</v>
      </c>
      <c r="T721" s="1">
        <v>5</v>
      </c>
      <c r="U721" s="1">
        <v>12.5</v>
      </c>
      <c r="V721" s="1">
        <v>614.9019607843137</v>
      </c>
      <c r="W721" s="1">
        <v>4</v>
      </c>
    </row>
    <row r="722" spans="1:23" x14ac:dyDescent="0.2">
      <c r="A722">
        <v>2021</v>
      </c>
      <c r="B722" t="s">
        <v>23</v>
      </c>
      <c r="C722" t="s">
        <v>24</v>
      </c>
      <c r="D722">
        <v>124</v>
      </c>
      <c r="E722">
        <v>1</v>
      </c>
      <c r="F722">
        <v>4</v>
      </c>
      <c r="G722" t="s">
        <v>148</v>
      </c>
      <c r="H722" s="1">
        <v>6</v>
      </c>
      <c r="I722" s="1">
        <v>68</v>
      </c>
      <c r="J722" s="1">
        <v>71</v>
      </c>
      <c r="K722" s="1">
        <f t="shared" si="34"/>
        <v>3</v>
      </c>
      <c r="L722" s="1">
        <v>140</v>
      </c>
      <c r="M722" s="1">
        <v>50</v>
      </c>
      <c r="N722" s="1">
        <v>1.5</v>
      </c>
      <c r="O722" s="1">
        <v>4.5</v>
      </c>
      <c r="P722" s="1">
        <v>4</v>
      </c>
      <c r="Q722" s="2">
        <v>0.19500000000000001</v>
      </c>
      <c r="R722" s="1">
        <v>3</v>
      </c>
      <c r="S722" s="1">
        <f t="shared" si="35"/>
        <v>0.75</v>
      </c>
      <c r="T722" s="1">
        <v>4</v>
      </c>
      <c r="U722" s="1">
        <v>12.5</v>
      </c>
      <c r="V722" s="1">
        <v>713.72549019607845</v>
      </c>
      <c r="W722" s="1">
        <v>5</v>
      </c>
    </row>
    <row r="723" spans="1:23" x14ac:dyDescent="0.2">
      <c r="A723">
        <v>2021</v>
      </c>
      <c r="B723" t="s">
        <v>23</v>
      </c>
      <c r="C723" t="s">
        <v>24</v>
      </c>
      <c r="D723">
        <v>124</v>
      </c>
      <c r="E723">
        <v>2</v>
      </c>
      <c r="F723">
        <v>6</v>
      </c>
      <c r="G723" t="s">
        <v>148</v>
      </c>
      <c r="H723" s="1">
        <v>10</v>
      </c>
      <c r="I723" s="1">
        <v>64</v>
      </c>
      <c r="J723" s="1">
        <v>68</v>
      </c>
      <c r="K723" s="1">
        <f t="shared" si="34"/>
        <v>4</v>
      </c>
      <c r="L723" s="1">
        <v>103</v>
      </c>
      <c r="M723" s="1">
        <v>40</v>
      </c>
      <c r="N723" s="1">
        <v>3</v>
      </c>
      <c r="O723" s="1">
        <v>4.5</v>
      </c>
      <c r="P723" s="1">
        <v>8</v>
      </c>
      <c r="Q723" s="2">
        <v>0.16279999999999997</v>
      </c>
      <c r="R723" s="1">
        <v>7</v>
      </c>
      <c r="S723" s="1">
        <f t="shared" si="35"/>
        <v>0.875</v>
      </c>
      <c r="T723" s="1">
        <v>5</v>
      </c>
      <c r="U723" s="1">
        <v>12.5</v>
      </c>
      <c r="V723" s="1">
        <v>595.86928104575156</v>
      </c>
      <c r="W723" s="1">
        <v>5</v>
      </c>
    </row>
    <row r="724" spans="1:23" x14ac:dyDescent="0.2">
      <c r="A724">
        <v>2021</v>
      </c>
      <c r="B724" t="s">
        <v>23</v>
      </c>
      <c r="C724" t="s">
        <v>24</v>
      </c>
      <c r="D724">
        <v>125</v>
      </c>
      <c r="E724">
        <v>1</v>
      </c>
      <c r="F724">
        <v>11</v>
      </c>
      <c r="G724" t="s">
        <v>149</v>
      </c>
      <c r="H724">
        <v>7</v>
      </c>
      <c r="I724">
        <v>55</v>
      </c>
      <c r="J724">
        <v>56</v>
      </c>
      <c r="K724">
        <v>1</v>
      </c>
      <c r="L724">
        <v>184</v>
      </c>
      <c r="M724">
        <v>66</v>
      </c>
      <c r="N724">
        <v>2</v>
      </c>
      <c r="O724">
        <v>3</v>
      </c>
      <c r="P724">
        <v>7</v>
      </c>
      <c r="Q724">
        <v>0.5</v>
      </c>
      <c r="R724">
        <v>6</v>
      </c>
      <c r="S724">
        <v>0.8571428571428571</v>
      </c>
      <c r="T724">
        <v>2.5</v>
      </c>
      <c r="U724">
        <v>12.5</v>
      </c>
      <c r="V724">
        <v>1830.0653594771243</v>
      </c>
      <c r="W724">
        <v>2</v>
      </c>
    </row>
    <row r="725" spans="1:23" x14ac:dyDescent="0.2">
      <c r="A725">
        <v>2021</v>
      </c>
      <c r="B725" t="s">
        <v>23</v>
      </c>
      <c r="C725" t="s">
        <v>24</v>
      </c>
      <c r="D725">
        <v>125</v>
      </c>
      <c r="E725">
        <v>2</v>
      </c>
      <c r="F725">
        <v>13</v>
      </c>
      <c r="G725" t="s">
        <v>149</v>
      </c>
      <c r="H725">
        <v>8</v>
      </c>
      <c r="I725">
        <v>60</v>
      </c>
      <c r="J725">
        <v>66</v>
      </c>
      <c r="K725">
        <v>6</v>
      </c>
      <c r="L725">
        <v>110</v>
      </c>
      <c r="M725">
        <v>65</v>
      </c>
      <c r="N725">
        <v>2</v>
      </c>
      <c r="O725">
        <v>4</v>
      </c>
      <c r="P725">
        <v>3</v>
      </c>
      <c r="Q725">
        <v>7.640000000000001E-2</v>
      </c>
      <c r="R725">
        <v>1</v>
      </c>
      <c r="S725">
        <v>0.33333333333333331</v>
      </c>
      <c r="T725">
        <v>2</v>
      </c>
      <c r="U725">
        <v>12.5</v>
      </c>
      <c r="V725">
        <v>279.63398692810455</v>
      </c>
      <c r="W725">
        <v>2</v>
      </c>
    </row>
    <row r="726" spans="1:23" x14ac:dyDescent="0.2">
      <c r="A726">
        <v>2021</v>
      </c>
      <c r="B726" t="s">
        <v>23</v>
      </c>
      <c r="C726" t="s">
        <v>24</v>
      </c>
      <c r="D726">
        <v>126</v>
      </c>
      <c r="E726">
        <v>1</v>
      </c>
      <c r="F726">
        <v>9</v>
      </c>
      <c r="G726" t="s">
        <v>150</v>
      </c>
      <c r="H726" s="1">
        <v>8</v>
      </c>
      <c r="I726" s="1">
        <v>66</v>
      </c>
      <c r="J726" s="1">
        <v>69</v>
      </c>
      <c r="K726" s="1">
        <f>J726-I726</f>
        <v>3</v>
      </c>
      <c r="L726" s="1">
        <v>107</v>
      </c>
      <c r="M726" s="1">
        <v>30</v>
      </c>
      <c r="N726" s="1">
        <v>2.5</v>
      </c>
      <c r="O726" s="1">
        <v>4.5</v>
      </c>
      <c r="P726" s="1">
        <v>5</v>
      </c>
      <c r="Q726" s="2">
        <v>0.1535</v>
      </c>
      <c r="R726" s="1">
        <v>4</v>
      </c>
      <c r="S726" s="1">
        <f>R726/P726</f>
        <v>0.8</v>
      </c>
      <c r="T726" s="1">
        <v>5</v>
      </c>
      <c r="U726" s="1">
        <v>12.5</v>
      </c>
      <c r="V726" s="1">
        <v>561.83006535947709</v>
      </c>
      <c r="W726" s="1">
        <v>6</v>
      </c>
    </row>
    <row r="727" spans="1:23" x14ac:dyDescent="0.2">
      <c r="A727">
        <v>2021</v>
      </c>
      <c r="B727" t="s">
        <v>23</v>
      </c>
      <c r="C727" t="s">
        <v>24</v>
      </c>
      <c r="D727">
        <v>126</v>
      </c>
      <c r="E727">
        <v>2</v>
      </c>
      <c r="F727">
        <v>5</v>
      </c>
      <c r="G727" t="s">
        <v>150</v>
      </c>
      <c r="H727">
        <v>14</v>
      </c>
      <c r="I727">
        <v>53</v>
      </c>
      <c r="J727">
        <v>56</v>
      </c>
      <c r="K727">
        <v>3</v>
      </c>
      <c r="L727">
        <v>170</v>
      </c>
      <c r="M727">
        <v>66</v>
      </c>
      <c r="N727">
        <v>2</v>
      </c>
      <c r="O727">
        <v>2</v>
      </c>
      <c r="P727">
        <v>15</v>
      </c>
      <c r="Q727">
        <v>1</v>
      </c>
      <c r="R727">
        <v>13</v>
      </c>
      <c r="S727">
        <v>0.8666666666666667</v>
      </c>
      <c r="T727">
        <v>2</v>
      </c>
      <c r="U727">
        <v>9.5</v>
      </c>
      <c r="V727">
        <v>3785.6209150326799</v>
      </c>
      <c r="W727">
        <v>2</v>
      </c>
    </row>
    <row r="728" spans="1:23" x14ac:dyDescent="0.2">
      <c r="A728">
        <v>2021</v>
      </c>
      <c r="B728" t="s">
        <v>23</v>
      </c>
      <c r="C728" t="s">
        <v>24</v>
      </c>
      <c r="D728">
        <v>127</v>
      </c>
      <c r="E728">
        <v>1</v>
      </c>
      <c r="F728">
        <v>14</v>
      </c>
      <c r="G728" t="s">
        <v>151</v>
      </c>
      <c r="H728" s="3">
        <v>15</v>
      </c>
      <c r="I728" s="3">
        <v>63</v>
      </c>
      <c r="J728" s="3">
        <v>65</v>
      </c>
      <c r="K728" s="3">
        <f t="shared" ref="K728:K736" si="36">J728-I728</f>
        <v>2</v>
      </c>
      <c r="L728" s="3">
        <v>173</v>
      </c>
      <c r="M728" s="3">
        <v>66</v>
      </c>
      <c r="N728" s="3">
        <v>2</v>
      </c>
      <c r="O728" s="3">
        <v>3.5</v>
      </c>
      <c r="P728" s="3">
        <f>H728</f>
        <v>15</v>
      </c>
      <c r="Q728" s="4">
        <v>0.13950000000000001</v>
      </c>
      <c r="R728" s="3">
        <v>13</v>
      </c>
      <c r="S728" s="3">
        <f t="shared" ref="S728:S736" si="37">R728/P728</f>
        <v>0.8666666666666667</v>
      </c>
      <c r="T728" s="3">
        <v>5</v>
      </c>
      <c r="U728" s="3">
        <v>12.5</v>
      </c>
      <c r="V728" s="3">
        <v>510.58823529411762</v>
      </c>
      <c r="W728" s="3">
        <v>6</v>
      </c>
    </row>
    <row r="729" spans="1:23" x14ac:dyDescent="0.2">
      <c r="A729">
        <v>2021</v>
      </c>
      <c r="B729" t="s">
        <v>23</v>
      </c>
      <c r="C729" t="s">
        <v>24</v>
      </c>
      <c r="D729">
        <v>127</v>
      </c>
      <c r="E729">
        <v>2</v>
      </c>
      <c r="F729">
        <v>3</v>
      </c>
      <c r="G729" t="s">
        <v>151</v>
      </c>
      <c r="H729" s="1">
        <v>8</v>
      </c>
      <c r="I729" s="1">
        <v>62</v>
      </c>
      <c r="J729" s="1">
        <v>66</v>
      </c>
      <c r="K729" s="1">
        <f t="shared" si="36"/>
        <v>4</v>
      </c>
      <c r="L729" s="1">
        <v>110</v>
      </c>
      <c r="M729" s="1">
        <v>35</v>
      </c>
      <c r="N729" s="1">
        <v>2.5</v>
      </c>
      <c r="O729" s="1">
        <v>4.5</v>
      </c>
      <c r="P729" s="1">
        <v>5</v>
      </c>
      <c r="Q729" s="2">
        <v>5.3399999999999996E-2</v>
      </c>
      <c r="R729" s="1">
        <v>4</v>
      </c>
      <c r="S729" s="1">
        <f t="shared" si="37"/>
        <v>0.8</v>
      </c>
      <c r="T729" s="1">
        <v>5</v>
      </c>
      <c r="U729" s="1">
        <v>12.5</v>
      </c>
      <c r="V729" s="1">
        <v>195.45098039215682</v>
      </c>
      <c r="W729" s="1">
        <v>6</v>
      </c>
    </row>
    <row r="730" spans="1:23" x14ac:dyDescent="0.2">
      <c r="A730">
        <v>2021</v>
      </c>
      <c r="B730" t="s">
        <v>23</v>
      </c>
      <c r="C730" t="s">
        <v>24</v>
      </c>
      <c r="D730">
        <v>128</v>
      </c>
      <c r="E730">
        <v>1</v>
      </c>
      <c r="F730">
        <v>10</v>
      </c>
      <c r="G730" t="s">
        <v>152</v>
      </c>
      <c r="H730" s="1">
        <v>2</v>
      </c>
      <c r="I730" s="1">
        <v>65</v>
      </c>
      <c r="J730" s="1">
        <v>71</v>
      </c>
      <c r="K730" s="1">
        <f t="shared" si="36"/>
        <v>6</v>
      </c>
      <c r="L730" s="1">
        <v>95</v>
      </c>
      <c r="M730" s="1">
        <v>43</v>
      </c>
      <c r="N730" s="1">
        <v>2</v>
      </c>
      <c r="O730" s="1">
        <v>3</v>
      </c>
      <c r="P730" s="1">
        <v>2</v>
      </c>
      <c r="Q730" s="2">
        <v>0.105</v>
      </c>
      <c r="R730" s="1">
        <v>1</v>
      </c>
      <c r="S730" s="1">
        <f t="shared" si="37"/>
        <v>0.5</v>
      </c>
      <c r="T730" s="1">
        <v>4</v>
      </c>
      <c r="U730" s="1">
        <v>12.5</v>
      </c>
      <c r="V730" s="1">
        <v>384.31372549019608</v>
      </c>
      <c r="W730" s="1">
        <v>4</v>
      </c>
    </row>
    <row r="731" spans="1:23" x14ac:dyDescent="0.2">
      <c r="A731">
        <v>2021</v>
      </c>
      <c r="B731" t="s">
        <v>23</v>
      </c>
      <c r="C731" t="s">
        <v>24</v>
      </c>
      <c r="D731">
        <v>128</v>
      </c>
      <c r="E731">
        <v>2</v>
      </c>
      <c r="F731">
        <v>15</v>
      </c>
      <c r="G731" t="s">
        <v>152</v>
      </c>
      <c r="H731" s="1">
        <v>1</v>
      </c>
      <c r="I731" s="1">
        <v>60</v>
      </c>
      <c r="J731" s="1">
        <v>63</v>
      </c>
      <c r="K731" s="1">
        <f t="shared" si="36"/>
        <v>3</v>
      </c>
      <c r="L731" s="1">
        <v>163</v>
      </c>
      <c r="M731" s="1">
        <v>47</v>
      </c>
      <c r="N731" s="1">
        <v>1</v>
      </c>
      <c r="O731" s="1">
        <v>3.5</v>
      </c>
      <c r="P731" s="1">
        <v>1</v>
      </c>
      <c r="Q731" s="2">
        <v>0.10589999999999999</v>
      </c>
      <c r="R731" s="1">
        <v>1</v>
      </c>
      <c r="S731" s="1">
        <f t="shared" si="37"/>
        <v>1</v>
      </c>
      <c r="T731" s="1">
        <v>2</v>
      </c>
      <c r="U731" s="1">
        <v>12.5</v>
      </c>
      <c r="V731" s="1">
        <v>387.60784313725492</v>
      </c>
      <c r="W731" s="1">
        <v>2</v>
      </c>
    </row>
    <row r="732" spans="1:23" x14ac:dyDescent="0.2">
      <c r="A732">
        <v>2021</v>
      </c>
      <c r="B732" t="s">
        <v>23</v>
      </c>
      <c r="C732" t="s">
        <v>24</v>
      </c>
      <c r="D732">
        <v>129</v>
      </c>
      <c r="E732">
        <v>1</v>
      </c>
      <c r="F732">
        <v>12</v>
      </c>
      <c r="G732" t="s">
        <v>153</v>
      </c>
      <c r="H732" s="1">
        <v>8</v>
      </c>
      <c r="I732" s="1">
        <v>68</v>
      </c>
      <c r="J732" s="1">
        <v>70</v>
      </c>
      <c r="K732" s="1">
        <f t="shared" si="36"/>
        <v>2</v>
      </c>
      <c r="L732" s="1">
        <v>116</v>
      </c>
      <c r="M732" s="1">
        <v>49</v>
      </c>
      <c r="N732" s="1">
        <v>1.5</v>
      </c>
      <c r="O732" s="1">
        <v>3.5</v>
      </c>
      <c r="P732" s="1">
        <v>5</v>
      </c>
      <c r="Q732" s="2">
        <v>0.4425</v>
      </c>
      <c r="R732" s="1">
        <v>3</v>
      </c>
      <c r="S732" s="1">
        <f t="shared" si="37"/>
        <v>0.6</v>
      </c>
      <c r="T732" s="1">
        <v>3.5</v>
      </c>
      <c r="U732" s="1">
        <v>12.5</v>
      </c>
      <c r="V732" s="1">
        <v>1619.6078431372548</v>
      </c>
      <c r="W732" s="1">
        <v>4</v>
      </c>
    </row>
    <row r="733" spans="1:23" x14ac:dyDescent="0.2">
      <c r="A733">
        <v>2021</v>
      </c>
      <c r="B733" t="s">
        <v>23</v>
      </c>
      <c r="C733" t="s">
        <v>24</v>
      </c>
      <c r="D733">
        <v>129</v>
      </c>
      <c r="E733">
        <v>2</v>
      </c>
      <c r="F733">
        <v>5</v>
      </c>
      <c r="G733" t="s">
        <v>153</v>
      </c>
      <c r="H733" s="1">
        <v>12</v>
      </c>
      <c r="I733" s="1">
        <v>66</v>
      </c>
      <c r="J733" s="1">
        <v>69</v>
      </c>
      <c r="K733" s="1">
        <f t="shared" si="36"/>
        <v>3</v>
      </c>
      <c r="L733" s="1">
        <v>139</v>
      </c>
      <c r="M733" s="1">
        <v>83</v>
      </c>
      <c r="N733" s="1">
        <v>2</v>
      </c>
      <c r="O733" s="1">
        <v>3</v>
      </c>
      <c r="P733" s="1">
        <f>H733</f>
        <v>12</v>
      </c>
      <c r="Q733" s="2">
        <v>0.22500000000000001</v>
      </c>
      <c r="R733" s="1">
        <v>10</v>
      </c>
      <c r="S733" s="1">
        <f t="shared" si="37"/>
        <v>0.83333333333333337</v>
      </c>
      <c r="T733" s="1">
        <v>2</v>
      </c>
      <c r="U733" s="1">
        <v>12.5</v>
      </c>
      <c r="V733" s="1">
        <v>823.52941176470586</v>
      </c>
      <c r="W733" s="1">
        <v>2</v>
      </c>
    </row>
    <row r="734" spans="1:23" x14ac:dyDescent="0.2">
      <c r="A734">
        <v>2021</v>
      </c>
      <c r="B734" t="s">
        <v>23</v>
      </c>
      <c r="C734" t="s">
        <v>24</v>
      </c>
      <c r="D734">
        <v>130</v>
      </c>
      <c r="E734">
        <v>1</v>
      </c>
      <c r="F734">
        <v>1</v>
      </c>
      <c r="G734" t="s">
        <v>154</v>
      </c>
      <c r="H734" s="1">
        <v>8</v>
      </c>
      <c r="I734" s="1">
        <v>62</v>
      </c>
      <c r="J734" s="1">
        <v>66</v>
      </c>
      <c r="K734" s="1">
        <f t="shared" si="36"/>
        <v>4</v>
      </c>
      <c r="L734" s="1">
        <v>110</v>
      </c>
      <c r="M734" s="1">
        <v>35</v>
      </c>
      <c r="N734" s="1">
        <v>2.5</v>
      </c>
      <c r="O734" s="1">
        <v>4.5</v>
      </c>
      <c r="P734" s="1">
        <v>5</v>
      </c>
      <c r="Q734" s="2">
        <v>5.3399999999999996E-2</v>
      </c>
      <c r="R734" s="1">
        <v>4</v>
      </c>
      <c r="S734" s="1">
        <f t="shared" si="37"/>
        <v>0.8</v>
      </c>
      <c r="T734" s="1">
        <v>5</v>
      </c>
      <c r="U734" s="1">
        <v>12.5</v>
      </c>
      <c r="V734" s="1">
        <v>195.45098039215682</v>
      </c>
      <c r="W734" s="1">
        <v>6</v>
      </c>
    </row>
    <row r="735" spans="1:23" x14ac:dyDescent="0.2">
      <c r="A735">
        <v>2021</v>
      </c>
      <c r="B735" t="s">
        <v>23</v>
      </c>
      <c r="C735" t="s">
        <v>24</v>
      </c>
      <c r="D735">
        <v>130</v>
      </c>
      <c r="E735">
        <v>2</v>
      </c>
      <c r="F735">
        <v>10</v>
      </c>
      <c r="G735" t="s">
        <v>154</v>
      </c>
      <c r="H735" s="1">
        <v>6</v>
      </c>
      <c r="I735" s="1">
        <v>68</v>
      </c>
      <c r="J735" s="1">
        <v>70</v>
      </c>
      <c r="K735" s="1">
        <f t="shared" si="36"/>
        <v>2</v>
      </c>
      <c r="L735" s="1">
        <v>66</v>
      </c>
      <c r="M735" s="1">
        <v>36</v>
      </c>
      <c r="N735" s="1">
        <v>3</v>
      </c>
      <c r="O735" s="1">
        <v>5</v>
      </c>
      <c r="P735" s="1">
        <v>4</v>
      </c>
      <c r="Q735" s="2">
        <v>4.2000000000000003E-2</v>
      </c>
      <c r="R735" s="1">
        <v>2</v>
      </c>
      <c r="S735" s="1">
        <f t="shared" si="37"/>
        <v>0.5</v>
      </c>
      <c r="T735" s="1">
        <v>4</v>
      </c>
      <c r="U735" s="1">
        <v>12.5</v>
      </c>
      <c r="V735" s="1">
        <v>153.72549019607843</v>
      </c>
      <c r="W735" s="1">
        <v>4</v>
      </c>
    </row>
    <row r="736" spans="1:23" x14ac:dyDescent="0.2">
      <c r="A736">
        <v>2021</v>
      </c>
      <c r="B736" t="s">
        <v>23</v>
      </c>
      <c r="C736" t="s">
        <v>24</v>
      </c>
      <c r="D736">
        <v>131</v>
      </c>
      <c r="E736">
        <v>1</v>
      </c>
      <c r="F736">
        <v>13</v>
      </c>
      <c r="G736" t="s">
        <v>155</v>
      </c>
      <c r="H736" s="1">
        <v>10</v>
      </c>
      <c r="I736" s="1">
        <v>63</v>
      </c>
      <c r="J736" s="1">
        <v>67</v>
      </c>
      <c r="K736" s="1">
        <f t="shared" si="36"/>
        <v>4</v>
      </c>
      <c r="L736" s="1">
        <v>87</v>
      </c>
      <c r="M736" s="1">
        <v>40</v>
      </c>
      <c r="N736" s="1">
        <v>3</v>
      </c>
      <c r="O736" s="1">
        <v>4</v>
      </c>
      <c r="P736" s="1">
        <v>6</v>
      </c>
      <c r="Q736" s="2">
        <v>0.36399999999999999</v>
      </c>
      <c r="R736" s="1">
        <v>6</v>
      </c>
      <c r="S736" s="1">
        <f t="shared" si="37"/>
        <v>1</v>
      </c>
      <c r="T736" s="1">
        <v>3.5</v>
      </c>
      <c r="U736" s="1">
        <v>12.5</v>
      </c>
      <c r="V736" s="1">
        <v>1332.2875816993464</v>
      </c>
      <c r="W736" s="1">
        <v>5</v>
      </c>
    </row>
    <row r="737" spans="1:23" x14ac:dyDescent="0.2">
      <c r="A737">
        <v>2021</v>
      </c>
      <c r="B737" t="s">
        <v>23</v>
      </c>
      <c r="C737" t="s">
        <v>24</v>
      </c>
      <c r="D737">
        <v>131</v>
      </c>
      <c r="E737">
        <v>2</v>
      </c>
      <c r="F737">
        <v>4</v>
      </c>
      <c r="G737" t="s">
        <v>155</v>
      </c>
      <c r="H737">
        <v>12</v>
      </c>
      <c r="I737">
        <v>52</v>
      </c>
      <c r="J737">
        <v>55</v>
      </c>
      <c r="K737">
        <v>3</v>
      </c>
      <c r="L737">
        <v>120</v>
      </c>
      <c r="M737">
        <v>26</v>
      </c>
      <c r="N737">
        <v>2</v>
      </c>
      <c r="O737">
        <v>2.5</v>
      </c>
      <c r="P737">
        <v>8</v>
      </c>
      <c r="Q737">
        <v>1</v>
      </c>
      <c r="R737">
        <v>6</v>
      </c>
      <c r="S737">
        <v>0.75</v>
      </c>
      <c r="T737">
        <v>2</v>
      </c>
      <c r="U737">
        <v>11.1</v>
      </c>
      <c r="V737">
        <v>3718.6928104575168</v>
      </c>
      <c r="W737">
        <v>1</v>
      </c>
    </row>
    <row r="738" spans="1:23" x14ac:dyDescent="0.2">
      <c r="A738">
        <v>2021</v>
      </c>
      <c r="B738" t="s">
        <v>23</v>
      </c>
      <c r="C738" t="s">
        <v>24</v>
      </c>
      <c r="D738">
        <v>132</v>
      </c>
      <c r="E738">
        <v>1</v>
      </c>
      <c r="F738">
        <v>8</v>
      </c>
      <c r="G738" t="s">
        <v>156</v>
      </c>
      <c r="H738" s="1">
        <v>10</v>
      </c>
      <c r="I738" s="1">
        <v>69</v>
      </c>
      <c r="J738" s="1">
        <v>70</v>
      </c>
      <c r="K738" s="1">
        <f>J738-I738</f>
        <v>1</v>
      </c>
      <c r="L738" s="1">
        <v>146</v>
      </c>
      <c r="M738" s="1">
        <v>46</v>
      </c>
      <c r="N738" s="1">
        <v>1.5</v>
      </c>
      <c r="O738" s="1">
        <v>3.5</v>
      </c>
      <c r="P738" s="1">
        <v>10</v>
      </c>
      <c r="Q738" s="2">
        <v>1.2024000000000001</v>
      </c>
      <c r="R738" s="1">
        <v>9</v>
      </c>
      <c r="S738" s="1">
        <f>R738/P738</f>
        <v>0.9</v>
      </c>
      <c r="T738" s="1">
        <v>2.5</v>
      </c>
      <c r="U738" s="1">
        <v>12.5</v>
      </c>
      <c r="V738" s="1">
        <v>4400.9411764705883</v>
      </c>
      <c r="W738" s="1">
        <v>1</v>
      </c>
    </row>
    <row r="739" spans="1:23" x14ac:dyDescent="0.2">
      <c r="A739">
        <v>2021</v>
      </c>
      <c r="B739" t="s">
        <v>23</v>
      </c>
      <c r="C739" t="s">
        <v>24</v>
      </c>
      <c r="D739">
        <v>132</v>
      </c>
      <c r="E739">
        <v>2</v>
      </c>
      <c r="F739">
        <v>14</v>
      </c>
      <c r="G739" t="s">
        <v>156</v>
      </c>
      <c r="H739" s="1">
        <v>11</v>
      </c>
      <c r="I739" s="1">
        <v>64</v>
      </c>
      <c r="J739" s="1">
        <v>67</v>
      </c>
      <c r="K739" s="1">
        <f>J739-I739</f>
        <v>3</v>
      </c>
      <c r="L739" s="1">
        <v>150</v>
      </c>
      <c r="M739" s="1">
        <v>62</v>
      </c>
      <c r="N739" s="1">
        <v>2</v>
      </c>
      <c r="O739" s="1">
        <v>3.5</v>
      </c>
      <c r="P739" s="1">
        <f>H739-1</f>
        <v>10</v>
      </c>
      <c r="Q739" s="2">
        <v>0.20624999999999999</v>
      </c>
      <c r="R739" s="1">
        <v>9</v>
      </c>
      <c r="S739" s="1">
        <f>R739/P739</f>
        <v>0.9</v>
      </c>
      <c r="T739" s="1">
        <v>5</v>
      </c>
      <c r="U739" s="1">
        <v>12.5</v>
      </c>
      <c r="V739" s="1">
        <v>754.9019607843137</v>
      </c>
      <c r="W739" s="1">
        <v>3</v>
      </c>
    </row>
    <row r="740" spans="1:23" x14ac:dyDescent="0.2">
      <c r="A740">
        <v>2021</v>
      </c>
      <c r="B740" t="s">
        <v>23</v>
      </c>
      <c r="C740" t="s">
        <v>24</v>
      </c>
      <c r="D740">
        <v>133</v>
      </c>
      <c r="E740">
        <v>1</v>
      </c>
      <c r="F740">
        <v>6</v>
      </c>
      <c r="G740" t="s">
        <v>266</v>
      </c>
      <c r="H740" s="1">
        <v>10</v>
      </c>
      <c r="I740" s="1">
        <v>70</v>
      </c>
      <c r="J740" s="1">
        <v>71</v>
      </c>
      <c r="K740" s="1">
        <f>J740-I740</f>
        <v>1</v>
      </c>
      <c r="L740" s="1">
        <v>102</v>
      </c>
      <c r="M740" s="1">
        <v>40</v>
      </c>
      <c r="N740" s="1">
        <v>2.5</v>
      </c>
      <c r="O740" s="1">
        <v>4.5</v>
      </c>
      <c r="P740" s="1">
        <v>6</v>
      </c>
      <c r="Q740" s="2">
        <v>0.42</v>
      </c>
      <c r="R740" s="1">
        <v>4</v>
      </c>
      <c r="S740" s="1">
        <f>R740/P740</f>
        <v>0.66666666666666663</v>
      </c>
      <c r="T740" s="1">
        <v>4</v>
      </c>
      <c r="U740" s="1">
        <v>12.5</v>
      </c>
      <c r="V740" s="1">
        <v>1537.2549019607843</v>
      </c>
      <c r="W740" s="1">
        <v>5</v>
      </c>
    </row>
    <row r="741" spans="1:23" x14ac:dyDescent="0.2">
      <c r="A741">
        <v>2021</v>
      </c>
      <c r="B741" t="s">
        <v>23</v>
      </c>
      <c r="C741" t="s">
        <v>24</v>
      </c>
      <c r="D741">
        <v>133</v>
      </c>
      <c r="E741">
        <v>2</v>
      </c>
      <c r="F741">
        <v>9</v>
      </c>
      <c r="G741" t="s">
        <v>266</v>
      </c>
      <c r="H741">
        <v>13</v>
      </c>
      <c r="I741">
        <v>59</v>
      </c>
      <c r="J741">
        <v>60</v>
      </c>
      <c r="K741">
        <v>1</v>
      </c>
      <c r="L741">
        <v>186</v>
      </c>
      <c r="M741">
        <v>58</v>
      </c>
      <c r="N741">
        <v>2</v>
      </c>
      <c r="O741">
        <v>2</v>
      </c>
      <c r="P741">
        <v>8</v>
      </c>
      <c r="Q741">
        <v>0.2</v>
      </c>
      <c r="R741">
        <v>7</v>
      </c>
      <c r="S741">
        <v>0.875</v>
      </c>
      <c r="T741">
        <v>4</v>
      </c>
      <c r="U741">
        <v>11.8</v>
      </c>
      <c r="V741">
        <v>737.88235294117646</v>
      </c>
      <c r="W741">
        <v>2</v>
      </c>
    </row>
    <row r="742" spans="1:23" x14ac:dyDescent="0.2">
      <c r="A742">
        <v>2021</v>
      </c>
      <c r="B742" t="s">
        <v>23</v>
      </c>
      <c r="C742" t="s">
        <v>24</v>
      </c>
      <c r="D742">
        <v>134</v>
      </c>
      <c r="E742">
        <v>1</v>
      </c>
      <c r="F742">
        <v>8</v>
      </c>
      <c r="G742" t="s">
        <v>159</v>
      </c>
      <c r="H742">
        <v>9</v>
      </c>
      <c r="I742">
        <v>59</v>
      </c>
      <c r="J742">
        <v>62</v>
      </c>
      <c r="K742">
        <v>3</v>
      </c>
      <c r="L742">
        <v>135</v>
      </c>
      <c r="M742">
        <v>65</v>
      </c>
      <c r="N742">
        <v>2</v>
      </c>
      <c r="O742">
        <v>3</v>
      </c>
      <c r="P742">
        <v>9</v>
      </c>
      <c r="Q742">
        <v>0.6</v>
      </c>
      <c r="R742">
        <v>9</v>
      </c>
      <c r="S742">
        <v>1</v>
      </c>
      <c r="T742">
        <v>2.5</v>
      </c>
      <c r="U742">
        <v>12.5</v>
      </c>
      <c r="V742">
        <v>2196.0784313725489</v>
      </c>
      <c r="W742">
        <v>1</v>
      </c>
    </row>
    <row r="743" spans="1:23" x14ac:dyDescent="0.2">
      <c r="A743">
        <v>2021</v>
      </c>
      <c r="B743" t="s">
        <v>23</v>
      </c>
      <c r="C743" t="s">
        <v>24</v>
      </c>
      <c r="D743">
        <v>134</v>
      </c>
      <c r="E743">
        <v>2</v>
      </c>
      <c r="F743">
        <v>7</v>
      </c>
      <c r="G743" t="s">
        <v>159</v>
      </c>
      <c r="H743" s="1">
        <v>16</v>
      </c>
      <c r="I743" s="1">
        <v>57</v>
      </c>
      <c r="J743" s="1">
        <v>60</v>
      </c>
      <c r="K743" s="1">
        <f>J743-I743</f>
        <v>3</v>
      </c>
      <c r="L743" s="1">
        <v>155</v>
      </c>
      <c r="M743" s="1">
        <v>68</v>
      </c>
      <c r="N743" s="1">
        <v>2</v>
      </c>
      <c r="O743" s="1">
        <v>3</v>
      </c>
      <c r="P743" s="1">
        <f>H743</f>
        <v>16</v>
      </c>
      <c r="Q743" s="2">
        <v>0.58050000000000002</v>
      </c>
      <c r="R743" s="1">
        <v>16</v>
      </c>
      <c r="S743" s="1">
        <f>R743/P743</f>
        <v>1</v>
      </c>
      <c r="T743" s="1">
        <v>5</v>
      </c>
      <c r="U743" s="1">
        <v>12.5</v>
      </c>
      <c r="V743" s="1">
        <v>2124.7058823529414</v>
      </c>
      <c r="W743" s="1">
        <v>4</v>
      </c>
    </row>
    <row r="744" spans="1:23" x14ac:dyDescent="0.2">
      <c r="A744">
        <v>2021</v>
      </c>
      <c r="B744" t="s">
        <v>23</v>
      </c>
      <c r="C744" t="s">
        <v>24</v>
      </c>
      <c r="D744">
        <v>135</v>
      </c>
      <c r="E744">
        <v>1</v>
      </c>
      <c r="F744">
        <v>7</v>
      </c>
      <c r="G744" t="s">
        <v>267</v>
      </c>
      <c r="H744" s="1">
        <v>11</v>
      </c>
      <c r="I744" s="1">
        <v>61</v>
      </c>
      <c r="J744" s="1">
        <v>64</v>
      </c>
      <c r="K744" s="1">
        <f>J744-I744</f>
        <v>3</v>
      </c>
      <c r="L744" s="1">
        <v>137</v>
      </c>
      <c r="M744" s="1">
        <v>45</v>
      </c>
      <c r="N744" s="1">
        <v>1.5</v>
      </c>
      <c r="O744" s="1">
        <v>4</v>
      </c>
      <c r="P744" s="1">
        <v>5</v>
      </c>
      <c r="Q744" s="2">
        <v>0.11899999999999999</v>
      </c>
      <c r="R744" s="1">
        <v>5</v>
      </c>
      <c r="S744" s="1">
        <f>R744/P744</f>
        <v>1</v>
      </c>
      <c r="T744" s="1">
        <v>4</v>
      </c>
      <c r="U744" s="1">
        <v>12.5</v>
      </c>
      <c r="V744" s="1">
        <v>435.55555555555554</v>
      </c>
      <c r="W744" s="1">
        <v>4</v>
      </c>
    </row>
    <row r="745" spans="1:23" x14ac:dyDescent="0.2">
      <c r="A745">
        <v>2021</v>
      </c>
      <c r="B745" t="s">
        <v>23</v>
      </c>
      <c r="C745" t="s">
        <v>24</v>
      </c>
      <c r="D745">
        <v>135</v>
      </c>
      <c r="E745">
        <v>2</v>
      </c>
      <c r="F745">
        <v>15</v>
      </c>
      <c r="G745" t="s">
        <v>267</v>
      </c>
      <c r="H745">
        <v>16</v>
      </c>
      <c r="I745">
        <v>59</v>
      </c>
      <c r="J745">
        <v>64</v>
      </c>
      <c r="K745">
        <v>5</v>
      </c>
      <c r="L745">
        <v>176</v>
      </c>
      <c r="M745">
        <v>90</v>
      </c>
      <c r="N745">
        <v>2</v>
      </c>
      <c r="O745">
        <v>2.5</v>
      </c>
      <c r="P745">
        <v>13</v>
      </c>
      <c r="Q745">
        <v>1.5</v>
      </c>
      <c r="R745">
        <v>10</v>
      </c>
      <c r="S745">
        <v>0.76923076923076927</v>
      </c>
      <c r="T745">
        <v>2</v>
      </c>
      <c r="U745">
        <v>11.6</v>
      </c>
      <c r="V745">
        <v>5546.6666666666679</v>
      </c>
      <c r="W745">
        <v>2</v>
      </c>
    </row>
    <row r="746" spans="1:23" x14ac:dyDescent="0.2">
      <c r="A746">
        <v>2021</v>
      </c>
      <c r="B746" t="s">
        <v>23</v>
      </c>
      <c r="C746" t="s">
        <v>24</v>
      </c>
      <c r="D746">
        <v>136</v>
      </c>
      <c r="E746">
        <v>1</v>
      </c>
      <c r="F746">
        <v>4</v>
      </c>
      <c r="G746" t="s">
        <v>161</v>
      </c>
      <c r="H746" s="1">
        <v>10</v>
      </c>
      <c r="I746" s="1">
        <v>63</v>
      </c>
      <c r="J746" s="1">
        <v>67</v>
      </c>
      <c r="K746" s="1">
        <f>J746-I746</f>
        <v>4</v>
      </c>
      <c r="L746" s="1">
        <v>125</v>
      </c>
      <c r="M746" s="1">
        <v>51</v>
      </c>
      <c r="N746" s="1">
        <v>2</v>
      </c>
      <c r="O746" s="1">
        <v>3.5</v>
      </c>
      <c r="P746" s="1">
        <v>9</v>
      </c>
      <c r="Q746" s="2">
        <v>0.39239999999999997</v>
      </c>
      <c r="R746" s="1">
        <v>9</v>
      </c>
      <c r="S746" s="1">
        <f>R746/P746</f>
        <v>1</v>
      </c>
      <c r="T746" s="1">
        <v>3</v>
      </c>
      <c r="U746" s="1">
        <v>12.5</v>
      </c>
      <c r="V746" s="1">
        <v>1436.2352941176471</v>
      </c>
      <c r="W746" s="1">
        <v>4</v>
      </c>
    </row>
    <row r="747" spans="1:23" x14ac:dyDescent="0.2">
      <c r="A747">
        <v>2021</v>
      </c>
      <c r="B747" t="s">
        <v>23</v>
      </c>
      <c r="C747" t="s">
        <v>24</v>
      </c>
      <c r="D747">
        <v>136</v>
      </c>
      <c r="E747">
        <v>2</v>
      </c>
      <c r="F747">
        <v>12</v>
      </c>
      <c r="G747" t="s">
        <v>161</v>
      </c>
      <c r="H747">
        <v>5</v>
      </c>
      <c r="I747">
        <v>55</v>
      </c>
      <c r="J747">
        <v>58</v>
      </c>
      <c r="K747">
        <v>3</v>
      </c>
      <c r="L747">
        <v>120</v>
      </c>
      <c r="M747">
        <v>60</v>
      </c>
      <c r="N747">
        <v>2</v>
      </c>
      <c r="O747">
        <v>3</v>
      </c>
      <c r="P747">
        <v>5</v>
      </c>
      <c r="Q747">
        <v>0.7</v>
      </c>
      <c r="R747">
        <v>5</v>
      </c>
      <c r="S747">
        <v>1</v>
      </c>
      <c r="T747">
        <v>3</v>
      </c>
      <c r="U747">
        <v>12.5</v>
      </c>
      <c r="V747">
        <v>2562.0915032679736</v>
      </c>
      <c r="W747">
        <v>1</v>
      </c>
    </row>
    <row r="748" spans="1:23" x14ac:dyDescent="0.2">
      <c r="A748">
        <v>2021</v>
      </c>
      <c r="B748" t="s">
        <v>23</v>
      </c>
      <c r="C748" t="s">
        <v>24</v>
      </c>
      <c r="D748">
        <v>137</v>
      </c>
      <c r="E748">
        <v>1</v>
      </c>
      <c r="F748">
        <v>15</v>
      </c>
      <c r="G748" t="s">
        <v>162</v>
      </c>
      <c r="H748" s="1">
        <v>12</v>
      </c>
      <c r="I748" s="1">
        <v>65</v>
      </c>
      <c r="J748" s="1">
        <v>69</v>
      </c>
      <c r="K748" s="1">
        <f>J748-I748</f>
        <v>4</v>
      </c>
      <c r="L748" s="1">
        <v>136</v>
      </c>
      <c r="M748" s="1">
        <v>31</v>
      </c>
      <c r="N748" s="1">
        <v>3</v>
      </c>
      <c r="O748" s="1">
        <v>4.5</v>
      </c>
      <c r="P748" s="1">
        <v>6</v>
      </c>
      <c r="Q748" s="2">
        <v>0.182</v>
      </c>
      <c r="R748" s="1">
        <v>4</v>
      </c>
      <c r="S748" s="1">
        <f>R748/P748</f>
        <v>0.66666666666666663</v>
      </c>
      <c r="T748" s="1">
        <v>4</v>
      </c>
      <c r="U748" s="1">
        <v>12.5</v>
      </c>
      <c r="V748" s="1">
        <v>666.14379084967322</v>
      </c>
      <c r="W748" s="1">
        <v>4</v>
      </c>
    </row>
    <row r="749" spans="1:23" x14ac:dyDescent="0.2">
      <c r="A749">
        <v>2021</v>
      </c>
      <c r="B749" t="s">
        <v>23</v>
      </c>
      <c r="C749" t="s">
        <v>24</v>
      </c>
      <c r="D749">
        <v>137</v>
      </c>
      <c r="E749">
        <v>2</v>
      </c>
      <c r="F749">
        <v>5</v>
      </c>
      <c r="G749" t="s">
        <v>162</v>
      </c>
      <c r="H749" s="1">
        <v>8</v>
      </c>
      <c r="I749" s="1">
        <v>65</v>
      </c>
      <c r="J749" s="1">
        <v>70</v>
      </c>
      <c r="K749" s="1">
        <f>J749-I749</f>
        <v>5</v>
      </c>
      <c r="L749" s="1">
        <v>121</v>
      </c>
      <c r="M749" s="1">
        <v>52</v>
      </c>
      <c r="N749" s="1">
        <v>3.5</v>
      </c>
      <c r="O749" s="1">
        <v>4</v>
      </c>
      <c r="P749" s="1">
        <v>6</v>
      </c>
      <c r="Q749" s="2">
        <v>7.8E-2</v>
      </c>
      <c r="R749" s="1">
        <v>5</v>
      </c>
      <c r="S749" s="1">
        <f>R749/P749</f>
        <v>0.83333333333333337</v>
      </c>
      <c r="T749" s="1">
        <v>5</v>
      </c>
      <c r="U749" s="1">
        <v>12.5</v>
      </c>
      <c r="V749" s="1">
        <v>285.49019607843138</v>
      </c>
      <c r="W749" s="1">
        <v>5</v>
      </c>
    </row>
    <row r="750" spans="1:23" x14ac:dyDescent="0.2">
      <c r="A750">
        <v>2021</v>
      </c>
      <c r="B750" t="s">
        <v>23</v>
      </c>
      <c r="C750" t="s">
        <v>24</v>
      </c>
      <c r="D750">
        <v>138</v>
      </c>
      <c r="E750">
        <v>1</v>
      </c>
      <c r="F750">
        <v>4</v>
      </c>
      <c r="G750" t="s">
        <v>163</v>
      </c>
      <c r="H750" s="1">
        <v>8</v>
      </c>
      <c r="I750" s="1">
        <v>58</v>
      </c>
      <c r="J750" s="1">
        <v>62</v>
      </c>
      <c r="K750" s="1">
        <f>J750-I750</f>
        <v>4</v>
      </c>
      <c r="L750" s="1">
        <v>158</v>
      </c>
      <c r="M750" s="1">
        <v>72</v>
      </c>
      <c r="N750" s="1">
        <v>2</v>
      </c>
      <c r="O750" s="1">
        <v>3.5</v>
      </c>
      <c r="P750" s="1">
        <v>7</v>
      </c>
      <c r="Q750" s="2">
        <v>7.0000000000000007E-2</v>
      </c>
      <c r="R750" s="1">
        <v>5</v>
      </c>
      <c r="S750" s="1">
        <f>R750/P750</f>
        <v>0.7142857142857143</v>
      </c>
      <c r="T750" s="1">
        <v>5</v>
      </c>
      <c r="U750" s="1">
        <v>12.5</v>
      </c>
      <c r="V750" s="1">
        <v>256.20915032679744</v>
      </c>
      <c r="W750" s="1">
        <v>4</v>
      </c>
    </row>
    <row r="751" spans="1:23" x14ac:dyDescent="0.2">
      <c r="A751">
        <v>2021</v>
      </c>
      <c r="B751" t="s">
        <v>23</v>
      </c>
      <c r="C751" t="s">
        <v>24</v>
      </c>
      <c r="D751">
        <v>138</v>
      </c>
      <c r="E751">
        <v>2</v>
      </c>
      <c r="F751">
        <v>7</v>
      </c>
      <c r="G751" t="s">
        <v>163</v>
      </c>
      <c r="H751">
        <v>15</v>
      </c>
      <c r="I751">
        <v>50</v>
      </c>
      <c r="J751">
        <v>55</v>
      </c>
      <c r="K751">
        <v>5</v>
      </c>
      <c r="L751">
        <v>171</v>
      </c>
      <c r="M751">
        <v>100</v>
      </c>
      <c r="N751">
        <v>2</v>
      </c>
      <c r="O751">
        <v>2</v>
      </c>
      <c r="P751">
        <v>13</v>
      </c>
      <c r="Q751">
        <v>1</v>
      </c>
      <c r="R751">
        <v>19</v>
      </c>
      <c r="S751">
        <v>1.4615384615384615</v>
      </c>
      <c r="T751">
        <v>2</v>
      </c>
      <c r="U751">
        <v>10</v>
      </c>
      <c r="V751">
        <v>3764.705882352941</v>
      </c>
      <c r="W751">
        <v>2</v>
      </c>
    </row>
    <row r="752" spans="1:23" x14ac:dyDescent="0.2">
      <c r="A752">
        <v>2021</v>
      </c>
      <c r="B752" t="s">
        <v>23</v>
      </c>
      <c r="C752" t="s">
        <v>24</v>
      </c>
      <c r="D752">
        <v>139</v>
      </c>
      <c r="E752">
        <v>1</v>
      </c>
      <c r="F752">
        <v>13</v>
      </c>
      <c r="G752" t="s">
        <v>164</v>
      </c>
      <c r="H752">
        <v>12</v>
      </c>
      <c r="I752">
        <v>58</v>
      </c>
      <c r="J752">
        <v>62</v>
      </c>
      <c r="K752">
        <v>4</v>
      </c>
      <c r="L752">
        <v>143</v>
      </c>
      <c r="M752">
        <v>60</v>
      </c>
      <c r="N752">
        <v>2</v>
      </c>
      <c r="O752">
        <v>3.5</v>
      </c>
      <c r="P752">
        <v>8</v>
      </c>
      <c r="Q752">
        <v>0.1</v>
      </c>
      <c r="R752">
        <v>8</v>
      </c>
      <c r="S752">
        <v>1</v>
      </c>
      <c r="T752">
        <v>4</v>
      </c>
      <c r="U752">
        <v>9.4</v>
      </c>
      <c r="V752">
        <v>378.98039215686276</v>
      </c>
      <c r="W752">
        <v>1</v>
      </c>
    </row>
    <row r="753" spans="1:23" x14ac:dyDescent="0.2">
      <c r="A753">
        <v>2021</v>
      </c>
      <c r="B753" t="s">
        <v>23</v>
      </c>
      <c r="C753" t="s">
        <v>24</v>
      </c>
      <c r="D753">
        <v>139</v>
      </c>
      <c r="E753">
        <v>2</v>
      </c>
      <c r="F753">
        <v>10</v>
      </c>
      <c r="G753" t="s">
        <v>164</v>
      </c>
      <c r="H753" s="1">
        <v>2</v>
      </c>
      <c r="I753" s="1">
        <v>67</v>
      </c>
      <c r="J753" s="1">
        <v>71</v>
      </c>
      <c r="K753" s="1">
        <f>J753-I753</f>
        <v>4</v>
      </c>
      <c r="L753" s="1">
        <v>126</v>
      </c>
      <c r="M753" s="1">
        <v>31</v>
      </c>
      <c r="N753" s="1">
        <v>2.5</v>
      </c>
      <c r="O753" s="1">
        <v>4</v>
      </c>
      <c r="P753" s="1">
        <v>1</v>
      </c>
      <c r="Q753" s="2">
        <v>6.4000000000000001E-2</v>
      </c>
      <c r="R753" s="1">
        <v>1</v>
      </c>
      <c r="S753" s="1">
        <f>R753/P753</f>
        <v>1</v>
      </c>
      <c r="T753" s="1">
        <v>4</v>
      </c>
      <c r="U753" s="1">
        <v>12.5</v>
      </c>
      <c r="V753" s="1">
        <v>234.24836601307192</v>
      </c>
      <c r="W753" s="1">
        <v>5</v>
      </c>
    </row>
    <row r="754" spans="1:23" x14ac:dyDescent="0.2">
      <c r="A754">
        <v>2021</v>
      </c>
      <c r="B754" t="s">
        <v>23</v>
      </c>
      <c r="C754" t="s">
        <v>24</v>
      </c>
      <c r="D754">
        <v>140</v>
      </c>
      <c r="E754">
        <v>1</v>
      </c>
      <c r="F754">
        <v>14</v>
      </c>
      <c r="G754" t="s">
        <v>165</v>
      </c>
      <c r="H754" s="1">
        <v>8</v>
      </c>
      <c r="I754" s="1">
        <v>67</v>
      </c>
      <c r="J754" s="1">
        <v>70</v>
      </c>
      <c r="K754" s="1">
        <f>J754-I754</f>
        <v>3</v>
      </c>
      <c r="L754" s="1">
        <v>113</v>
      </c>
      <c r="M754" s="1">
        <v>42</v>
      </c>
      <c r="N754" s="1">
        <v>2</v>
      </c>
      <c r="O754" s="1">
        <v>4</v>
      </c>
      <c r="P754" s="1">
        <v>6</v>
      </c>
      <c r="Q754" s="2">
        <v>0.23</v>
      </c>
      <c r="R754" s="1">
        <v>5</v>
      </c>
      <c r="S754" s="1">
        <f>R754/P754</f>
        <v>0.83333333333333337</v>
      </c>
      <c r="T754" s="1">
        <v>3.5</v>
      </c>
      <c r="U754" s="1">
        <v>12.5</v>
      </c>
      <c r="V754" s="1">
        <v>841.83006535947709</v>
      </c>
      <c r="W754" s="1">
        <v>4</v>
      </c>
    </row>
    <row r="755" spans="1:23" x14ac:dyDescent="0.2">
      <c r="A755">
        <v>2021</v>
      </c>
      <c r="B755" t="s">
        <v>23</v>
      </c>
      <c r="C755" t="s">
        <v>24</v>
      </c>
      <c r="D755">
        <v>140</v>
      </c>
      <c r="E755">
        <v>2</v>
      </c>
      <c r="F755">
        <v>11</v>
      </c>
      <c r="G755" t="s">
        <v>165</v>
      </c>
      <c r="H755" s="1">
        <v>6</v>
      </c>
      <c r="I755" s="1">
        <v>62</v>
      </c>
      <c r="J755" s="1">
        <v>66</v>
      </c>
      <c r="K755" s="1">
        <f>J755-I755</f>
        <v>4</v>
      </c>
      <c r="L755" s="1">
        <v>103</v>
      </c>
      <c r="M755" s="1">
        <v>36</v>
      </c>
      <c r="N755" s="1">
        <v>1.5</v>
      </c>
      <c r="O755" s="1">
        <v>4</v>
      </c>
      <c r="P755" s="1">
        <v>5</v>
      </c>
      <c r="Q755" s="2">
        <v>0.15</v>
      </c>
      <c r="R755" s="1">
        <v>5</v>
      </c>
      <c r="S755" s="1">
        <f>R755/P755</f>
        <v>1</v>
      </c>
      <c r="T755" s="1">
        <v>4</v>
      </c>
      <c r="U755" s="1">
        <v>12.5</v>
      </c>
      <c r="V755" s="1">
        <v>549.01960784313724</v>
      </c>
      <c r="W755" s="1">
        <v>5</v>
      </c>
    </row>
    <row r="756" spans="1:23" x14ac:dyDescent="0.2">
      <c r="A756">
        <v>2021</v>
      </c>
      <c r="B756" t="s">
        <v>23</v>
      </c>
      <c r="C756" t="s">
        <v>24</v>
      </c>
      <c r="D756">
        <v>141</v>
      </c>
      <c r="E756">
        <v>1</v>
      </c>
      <c r="F756">
        <v>14</v>
      </c>
      <c r="G756" t="s">
        <v>166</v>
      </c>
      <c r="H756" s="1">
        <v>6</v>
      </c>
      <c r="I756" s="1">
        <v>64</v>
      </c>
      <c r="J756" s="1">
        <v>68</v>
      </c>
      <c r="K756" s="1">
        <f>J756-I756</f>
        <v>4</v>
      </c>
      <c r="L756" s="1">
        <v>153</v>
      </c>
      <c r="M756" s="1">
        <v>95</v>
      </c>
      <c r="N756" s="1">
        <v>2</v>
      </c>
      <c r="O756" s="1">
        <v>2</v>
      </c>
      <c r="P756" s="1">
        <v>6</v>
      </c>
      <c r="Q756" s="2">
        <v>0.32129999999999997</v>
      </c>
      <c r="R756" s="1">
        <v>6</v>
      </c>
      <c r="S756" s="1">
        <f>R756/P756</f>
        <v>1</v>
      </c>
      <c r="T756" s="1">
        <v>3</v>
      </c>
      <c r="U756" s="1">
        <v>12.5</v>
      </c>
      <c r="V756" s="1">
        <v>1175.9999999999998</v>
      </c>
      <c r="W756" s="1">
        <v>4</v>
      </c>
    </row>
    <row r="757" spans="1:23" x14ac:dyDescent="0.2">
      <c r="A757">
        <v>2021</v>
      </c>
      <c r="B757" t="s">
        <v>23</v>
      </c>
      <c r="C757" t="s">
        <v>24</v>
      </c>
      <c r="D757">
        <v>141</v>
      </c>
      <c r="E757">
        <v>2</v>
      </c>
      <c r="F757">
        <v>14</v>
      </c>
      <c r="G757" t="s">
        <v>166</v>
      </c>
      <c r="H757" s="1">
        <v>13</v>
      </c>
      <c r="I757" s="1">
        <v>56</v>
      </c>
      <c r="J757" s="1">
        <v>60</v>
      </c>
      <c r="K757" s="1">
        <f>J757-I757</f>
        <v>4</v>
      </c>
      <c r="L757" s="1">
        <v>138</v>
      </c>
      <c r="M757" s="1">
        <v>58</v>
      </c>
      <c r="N757" s="1">
        <v>3</v>
      </c>
      <c r="O757" s="1">
        <v>4</v>
      </c>
      <c r="P757" s="1">
        <f>H757-2</f>
        <v>11</v>
      </c>
      <c r="Q757" s="2">
        <v>0.36</v>
      </c>
      <c r="R757" s="1">
        <v>8</v>
      </c>
      <c r="S757" s="1">
        <f>R757/P757</f>
        <v>0.72727272727272729</v>
      </c>
      <c r="T757" s="1">
        <v>5</v>
      </c>
      <c r="U757" s="1">
        <v>12.5</v>
      </c>
      <c r="V757" s="1">
        <v>1317.6470588235293</v>
      </c>
      <c r="W757" s="1">
        <v>5</v>
      </c>
    </row>
    <row r="758" spans="1:23" x14ac:dyDescent="0.2">
      <c r="A758">
        <v>2021</v>
      </c>
      <c r="B758" t="s">
        <v>23</v>
      </c>
      <c r="C758" t="s">
        <v>24</v>
      </c>
      <c r="D758">
        <v>142</v>
      </c>
      <c r="E758">
        <v>1</v>
      </c>
      <c r="F758">
        <v>8</v>
      </c>
      <c r="G758" t="s">
        <v>167</v>
      </c>
      <c r="H758">
        <v>7</v>
      </c>
      <c r="I758">
        <v>55</v>
      </c>
      <c r="J758">
        <v>58</v>
      </c>
      <c r="K758">
        <v>3</v>
      </c>
      <c r="L758">
        <v>144</v>
      </c>
      <c r="M758">
        <v>35</v>
      </c>
      <c r="N758">
        <v>3</v>
      </c>
      <c r="O758">
        <v>3</v>
      </c>
      <c r="P758">
        <v>6</v>
      </c>
      <c r="Q758">
        <v>0.14199999999999999</v>
      </c>
      <c r="R758">
        <v>3</v>
      </c>
      <c r="S758">
        <v>0.5</v>
      </c>
      <c r="T758">
        <v>5</v>
      </c>
      <c r="U758">
        <v>12.5</v>
      </c>
      <c r="V758">
        <v>519.73856209150335</v>
      </c>
      <c r="W758">
        <v>1</v>
      </c>
    </row>
    <row r="759" spans="1:23" x14ac:dyDescent="0.2">
      <c r="A759">
        <v>2021</v>
      </c>
      <c r="B759" t="s">
        <v>23</v>
      </c>
      <c r="C759" t="s">
        <v>24</v>
      </c>
      <c r="D759">
        <v>142</v>
      </c>
      <c r="E759">
        <v>2</v>
      </c>
      <c r="F759">
        <v>1</v>
      </c>
      <c r="G759" t="s">
        <v>167</v>
      </c>
      <c r="H759" s="1">
        <v>4</v>
      </c>
      <c r="I759" s="1">
        <v>68</v>
      </c>
      <c r="J759" s="1">
        <v>71</v>
      </c>
      <c r="K759" s="1">
        <f>J759-I759</f>
        <v>3</v>
      </c>
      <c r="L759" s="1">
        <v>87</v>
      </c>
      <c r="M759" s="1">
        <v>25</v>
      </c>
      <c r="N759" s="1">
        <v>3</v>
      </c>
      <c r="O759" s="1">
        <v>5</v>
      </c>
      <c r="P759" s="1">
        <v>3</v>
      </c>
      <c r="Q759" s="2">
        <v>2.2499999999999999E-2</v>
      </c>
      <c r="R759" s="1">
        <v>3</v>
      </c>
      <c r="S759" s="1">
        <f>R759/P759</f>
        <v>1</v>
      </c>
      <c r="T759" s="1">
        <v>5</v>
      </c>
      <c r="U759" s="1">
        <v>12.5</v>
      </c>
      <c r="V759" s="1">
        <v>82.35294117647058</v>
      </c>
      <c r="W759" s="1">
        <v>5</v>
      </c>
    </row>
    <row r="760" spans="1:23" x14ac:dyDescent="0.2">
      <c r="A760">
        <v>2021</v>
      </c>
      <c r="B760" t="s">
        <v>23</v>
      </c>
      <c r="C760" t="s">
        <v>24</v>
      </c>
      <c r="D760">
        <v>143</v>
      </c>
      <c r="E760">
        <v>1</v>
      </c>
      <c r="F760">
        <v>5</v>
      </c>
      <c r="G760" t="s">
        <v>168</v>
      </c>
      <c r="H760">
        <v>9</v>
      </c>
      <c r="I760">
        <v>60</v>
      </c>
      <c r="J760">
        <v>62</v>
      </c>
      <c r="K760">
        <v>2</v>
      </c>
      <c r="L760">
        <v>166</v>
      </c>
      <c r="M760">
        <v>76</v>
      </c>
      <c r="N760">
        <v>1.5</v>
      </c>
      <c r="O760">
        <v>4</v>
      </c>
      <c r="P760">
        <v>9</v>
      </c>
      <c r="Q760">
        <v>0.85</v>
      </c>
      <c r="R760">
        <v>7</v>
      </c>
      <c r="S760">
        <v>0.77777777777777779</v>
      </c>
      <c r="T760">
        <v>2.5</v>
      </c>
      <c r="U760">
        <v>12.5</v>
      </c>
      <c r="V760">
        <v>3111.1111111111113</v>
      </c>
      <c r="W760">
        <v>1</v>
      </c>
    </row>
    <row r="761" spans="1:23" x14ac:dyDescent="0.2">
      <c r="A761">
        <v>2021</v>
      </c>
      <c r="B761" t="s">
        <v>23</v>
      </c>
      <c r="C761" t="s">
        <v>24</v>
      </c>
      <c r="D761">
        <v>143</v>
      </c>
      <c r="E761">
        <v>2</v>
      </c>
      <c r="F761">
        <v>13</v>
      </c>
      <c r="G761" t="s">
        <v>168</v>
      </c>
      <c r="H761">
        <v>13</v>
      </c>
      <c r="I761">
        <v>59</v>
      </c>
      <c r="J761">
        <v>62</v>
      </c>
      <c r="K761">
        <v>3</v>
      </c>
      <c r="L761">
        <v>161</v>
      </c>
      <c r="M761">
        <v>60</v>
      </c>
      <c r="N761">
        <v>1</v>
      </c>
      <c r="O761">
        <v>2</v>
      </c>
      <c r="P761">
        <v>10</v>
      </c>
      <c r="Q761">
        <v>0.5</v>
      </c>
      <c r="R761">
        <v>10</v>
      </c>
      <c r="S761">
        <v>1</v>
      </c>
      <c r="T761">
        <v>4</v>
      </c>
      <c r="U761">
        <v>14.4</v>
      </c>
      <c r="V761">
        <v>1790.3267973856209</v>
      </c>
      <c r="W761">
        <v>2</v>
      </c>
    </row>
    <row r="762" spans="1:23" x14ac:dyDescent="0.2">
      <c r="A762">
        <v>2021</v>
      </c>
      <c r="B762" t="s">
        <v>23</v>
      </c>
      <c r="C762" t="s">
        <v>24</v>
      </c>
      <c r="D762">
        <v>144</v>
      </c>
      <c r="E762">
        <v>1</v>
      </c>
      <c r="F762">
        <v>8</v>
      </c>
      <c r="G762" t="s">
        <v>169</v>
      </c>
      <c r="H762">
        <v>14</v>
      </c>
      <c r="I762">
        <v>54</v>
      </c>
      <c r="J762">
        <v>57</v>
      </c>
      <c r="K762">
        <v>3</v>
      </c>
      <c r="L762">
        <v>174</v>
      </c>
      <c r="M762">
        <v>78</v>
      </c>
      <c r="N762">
        <v>1</v>
      </c>
      <c r="O762">
        <v>1.5</v>
      </c>
      <c r="P762">
        <v>13</v>
      </c>
      <c r="Q762">
        <v>1.3</v>
      </c>
      <c r="R762">
        <v>12</v>
      </c>
      <c r="S762">
        <v>0.92307692307692313</v>
      </c>
      <c r="T762">
        <v>1</v>
      </c>
      <c r="U762">
        <v>11.1</v>
      </c>
      <c r="V762">
        <v>4834.3006535947716</v>
      </c>
      <c r="W762">
        <v>2</v>
      </c>
    </row>
    <row r="763" spans="1:23" x14ac:dyDescent="0.2">
      <c r="A763">
        <v>2021</v>
      </c>
      <c r="B763" t="s">
        <v>23</v>
      </c>
      <c r="C763" t="s">
        <v>24</v>
      </c>
      <c r="D763">
        <v>144</v>
      </c>
      <c r="E763">
        <v>2</v>
      </c>
      <c r="F763">
        <v>8</v>
      </c>
      <c r="G763" t="s">
        <v>169</v>
      </c>
      <c r="H763" s="1">
        <v>12</v>
      </c>
      <c r="I763" s="1">
        <v>66</v>
      </c>
      <c r="J763" s="1">
        <v>67</v>
      </c>
      <c r="K763" s="1">
        <f>J763-I763</f>
        <v>1</v>
      </c>
      <c r="L763" s="1">
        <v>110</v>
      </c>
      <c r="M763" s="1">
        <v>65</v>
      </c>
      <c r="N763" s="1">
        <v>3</v>
      </c>
      <c r="O763" s="1">
        <v>3.5</v>
      </c>
      <c r="P763" s="1">
        <f>H763-2</f>
        <v>10</v>
      </c>
      <c r="Q763" s="2">
        <v>0.24074999999999999</v>
      </c>
      <c r="R763" s="1">
        <v>10</v>
      </c>
      <c r="S763" s="1">
        <f>R763/P763</f>
        <v>1</v>
      </c>
      <c r="T763" s="1">
        <v>5</v>
      </c>
      <c r="U763" s="1">
        <v>12.5</v>
      </c>
      <c r="V763" s="1">
        <v>881.17647058823536</v>
      </c>
      <c r="W763" s="1">
        <v>5</v>
      </c>
    </row>
    <row r="764" spans="1:23" x14ac:dyDescent="0.2">
      <c r="A764">
        <v>2021</v>
      </c>
      <c r="B764" t="s">
        <v>23</v>
      </c>
      <c r="C764" t="s">
        <v>24</v>
      </c>
      <c r="D764">
        <v>145</v>
      </c>
      <c r="E764">
        <v>1</v>
      </c>
      <c r="F764">
        <v>3</v>
      </c>
      <c r="G764" t="s">
        <v>170</v>
      </c>
      <c r="H764" s="1">
        <v>6</v>
      </c>
      <c r="I764" s="1">
        <v>68</v>
      </c>
      <c r="J764" s="1">
        <v>70</v>
      </c>
      <c r="K764" s="1">
        <f>J764-I764</f>
        <v>2</v>
      </c>
      <c r="L764" s="1">
        <v>118</v>
      </c>
      <c r="M764" s="1">
        <v>71</v>
      </c>
      <c r="N764" s="1">
        <v>2.5</v>
      </c>
      <c r="O764" s="1">
        <v>4.5</v>
      </c>
      <c r="P764" s="1">
        <v>6</v>
      </c>
      <c r="Q764" s="2">
        <v>0.33</v>
      </c>
      <c r="R764" s="1">
        <v>3</v>
      </c>
      <c r="S764" s="1">
        <f>R764/P764</f>
        <v>0.5</v>
      </c>
      <c r="T764" s="1">
        <v>3.5</v>
      </c>
      <c r="U764" s="1">
        <v>12.5</v>
      </c>
      <c r="V764" s="1">
        <v>1207.8431372549019</v>
      </c>
      <c r="W764" s="1">
        <v>6</v>
      </c>
    </row>
    <row r="765" spans="1:23" x14ac:dyDescent="0.2">
      <c r="A765">
        <v>2021</v>
      </c>
      <c r="B765" t="s">
        <v>23</v>
      </c>
      <c r="C765" t="s">
        <v>24</v>
      </c>
      <c r="D765">
        <v>145</v>
      </c>
      <c r="E765">
        <v>2</v>
      </c>
      <c r="F765">
        <v>11</v>
      </c>
      <c r="G765" t="s">
        <v>170</v>
      </c>
      <c r="H765" s="1">
        <v>16</v>
      </c>
      <c r="I765" s="1">
        <v>69</v>
      </c>
      <c r="J765" s="1">
        <v>74</v>
      </c>
      <c r="K765" s="1">
        <f>J765-I765</f>
        <v>5</v>
      </c>
      <c r="L765" s="1">
        <v>167</v>
      </c>
      <c r="M765" s="1">
        <v>67</v>
      </c>
      <c r="N765" s="1">
        <v>2</v>
      </c>
      <c r="O765" s="1">
        <v>3.5</v>
      </c>
      <c r="P765" s="1">
        <v>13</v>
      </c>
      <c r="Q765" s="2">
        <v>0.1812</v>
      </c>
      <c r="R765" s="1">
        <v>8</v>
      </c>
      <c r="S765" s="1">
        <f>R765/P765</f>
        <v>0.61538461538461542</v>
      </c>
      <c r="T765" s="1">
        <v>4</v>
      </c>
      <c r="U765" s="1">
        <v>12.5</v>
      </c>
      <c r="V765" s="1">
        <v>663.21568627450984</v>
      </c>
      <c r="W765" s="1">
        <v>4</v>
      </c>
    </row>
    <row r="766" spans="1:23" x14ac:dyDescent="0.2">
      <c r="A766">
        <v>2021</v>
      </c>
      <c r="B766" t="s">
        <v>23</v>
      </c>
      <c r="C766" t="s">
        <v>24</v>
      </c>
      <c r="D766">
        <v>146</v>
      </c>
      <c r="E766">
        <v>1</v>
      </c>
      <c r="F766">
        <v>5</v>
      </c>
      <c r="G766" t="s">
        <v>171</v>
      </c>
      <c r="H766">
        <v>3</v>
      </c>
      <c r="I766">
        <v>64</v>
      </c>
      <c r="J766">
        <v>67</v>
      </c>
      <c r="K766">
        <v>3</v>
      </c>
      <c r="L766">
        <v>155</v>
      </c>
      <c r="M766">
        <v>75</v>
      </c>
      <c r="N766">
        <v>2</v>
      </c>
      <c r="O766">
        <v>3</v>
      </c>
      <c r="P766">
        <v>3</v>
      </c>
      <c r="Q766">
        <v>0.3</v>
      </c>
      <c r="R766">
        <v>3</v>
      </c>
      <c r="S766">
        <v>1</v>
      </c>
      <c r="T766">
        <v>2.5</v>
      </c>
      <c r="U766">
        <v>12.5</v>
      </c>
      <c r="V766">
        <v>1098.0392156862745</v>
      </c>
      <c r="W766">
        <v>1</v>
      </c>
    </row>
    <row r="767" spans="1:23" x14ac:dyDescent="0.2">
      <c r="A767">
        <v>2021</v>
      </c>
      <c r="B767" t="s">
        <v>23</v>
      </c>
      <c r="C767" t="s">
        <v>24</v>
      </c>
      <c r="D767">
        <v>146</v>
      </c>
      <c r="E767">
        <v>2</v>
      </c>
      <c r="F767">
        <v>5</v>
      </c>
      <c r="G767" t="s">
        <v>171</v>
      </c>
      <c r="H767" s="1">
        <v>15</v>
      </c>
      <c r="I767" s="1">
        <v>72</v>
      </c>
      <c r="J767" s="1">
        <v>76</v>
      </c>
      <c r="K767" s="1">
        <f>J767-I767</f>
        <v>4</v>
      </c>
      <c r="L767" s="1">
        <v>115</v>
      </c>
      <c r="M767" s="1">
        <v>78</v>
      </c>
      <c r="N767" s="1">
        <v>1</v>
      </c>
      <c r="O767" s="1">
        <v>3.5</v>
      </c>
      <c r="P767" s="1">
        <f>H767-1</f>
        <v>14</v>
      </c>
      <c r="Q767" s="2">
        <v>0.17639999999999997</v>
      </c>
      <c r="R767" s="1">
        <v>12</v>
      </c>
      <c r="S767" s="1">
        <f>R767/P767</f>
        <v>0.8571428571428571</v>
      </c>
      <c r="T767" s="1">
        <v>5</v>
      </c>
      <c r="U767" s="1">
        <v>12.5</v>
      </c>
      <c r="V767" s="1">
        <v>645.64705882352928</v>
      </c>
      <c r="W767" s="1">
        <v>4</v>
      </c>
    </row>
    <row r="768" spans="1:23" x14ac:dyDescent="0.2">
      <c r="A768">
        <v>2021</v>
      </c>
      <c r="B768" t="s">
        <v>23</v>
      </c>
      <c r="C768" t="s">
        <v>24</v>
      </c>
      <c r="D768">
        <v>147</v>
      </c>
      <c r="E768">
        <v>1</v>
      </c>
      <c r="F768">
        <v>9</v>
      </c>
      <c r="G768" t="s">
        <v>172</v>
      </c>
      <c r="H768" s="1">
        <v>8</v>
      </c>
      <c r="I768" s="1">
        <v>62</v>
      </c>
      <c r="J768" s="1">
        <v>66</v>
      </c>
      <c r="K768" s="1">
        <f>J768-I768</f>
        <v>4</v>
      </c>
      <c r="L768" s="1">
        <v>110</v>
      </c>
      <c r="M768" s="1">
        <v>35</v>
      </c>
      <c r="N768" s="1">
        <v>2.5</v>
      </c>
      <c r="O768" s="1">
        <v>4.5</v>
      </c>
      <c r="P768" s="1">
        <v>5</v>
      </c>
      <c r="Q768" s="2">
        <v>5.3399999999999996E-2</v>
      </c>
      <c r="R768" s="1">
        <v>4</v>
      </c>
      <c r="S768" s="1">
        <f>R768/P768</f>
        <v>0.8</v>
      </c>
      <c r="T768" s="1">
        <v>5</v>
      </c>
      <c r="U768" s="1">
        <v>12.5</v>
      </c>
      <c r="V768" s="1">
        <v>195.45098039215682</v>
      </c>
      <c r="W768" s="1">
        <v>6</v>
      </c>
    </row>
    <row r="769" spans="1:23" x14ac:dyDescent="0.2">
      <c r="A769">
        <v>2021</v>
      </c>
      <c r="B769" t="s">
        <v>23</v>
      </c>
      <c r="C769" t="s">
        <v>24</v>
      </c>
      <c r="D769">
        <v>147</v>
      </c>
      <c r="E769">
        <v>2</v>
      </c>
      <c r="F769">
        <v>7</v>
      </c>
      <c r="G769" t="s">
        <v>172</v>
      </c>
      <c r="H769" s="1">
        <v>13</v>
      </c>
      <c r="I769" s="1">
        <v>59</v>
      </c>
      <c r="J769" s="1">
        <v>62</v>
      </c>
      <c r="K769" s="1">
        <f>J769-I769</f>
        <v>3</v>
      </c>
      <c r="L769" s="1">
        <v>137</v>
      </c>
      <c r="M769" s="1">
        <v>65</v>
      </c>
      <c r="N769" s="1">
        <v>2</v>
      </c>
      <c r="O769" s="1">
        <v>2.5</v>
      </c>
      <c r="P769" s="1">
        <f>H769-2</f>
        <v>11</v>
      </c>
      <c r="Q769" s="2">
        <v>0.18337500000000001</v>
      </c>
      <c r="R769" s="1">
        <v>8</v>
      </c>
      <c r="S769" s="1">
        <f>R769/P769</f>
        <v>0.72727272727272729</v>
      </c>
      <c r="T769" s="1">
        <v>5</v>
      </c>
      <c r="U769" s="1">
        <v>12.5</v>
      </c>
      <c r="V769" s="1">
        <v>671.17647058823536</v>
      </c>
      <c r="W769" s="1">
        <v>4</v>
      </c>
    </row>
    <row r="770" spans="1:23" x14ac:dyDescent="0.2">
      <c r="A770">
        <v>2021</v>
      </c>
      <c r="B770" t="s">
        <v>23</v>
      </c>
      <c r="C770" t="s">
        <v>24</v>
      </c>
      <c r="D770">
        <v>148</v>
      </c>
      <c r="E770">
        <v>1</v>
      </c>
      <c r="F770">
        <v>12</v>
      </c>
      <c r="G770" t="s">
        <v>173</v>
      </c>
      <c r="H770">
        <v>15</v>
      </c>
      <c r="I770">
        <v>58</v>
      </c>
      <c r="J770">
        <v>62</v>
      </c>
      <c r="K770">
        <v>4</v>
      </c>
      <c r="L770">
        <v>170</v>
      </c>
      <c r="M770">
        <v>63</v>
      </c>
      <c r="N770">
        <v>2</v>
      </c>
      <c r="O770">
        <v>2.5</v>
      </c>
      <c r="P770">
        <v>13</v>
      </c>
      <c r="Q770">
        <v>1.2</v>
      </c>
      <c r="R770">
        <v>12</v>
      </c>
      <c r="S770">
        <v>0.92307692307692313</v>
      </c>
      <c r="T770">
        <v>3</v>
      </c>
      <c r="U770">
        <v>10.3</v>
      </c>
      <c r="V770">
        <v>4502.5882352941171</v>
      </c>
      <c r="W770">
        <v>2</v>
      </c>
    </row>
    <row r="771" spans="1:23" x14ac:dyDescent="0.2">
      <c r="A771">
        <v>2021</v>
      </c>
      <c r="B771" t="s">
        <v>23</v>
      </c>
      <c r="C771" t="s">
        <v>24</v>
      </c>
      <c r="D771">
        <v>148</v>
      </c>
      <c r="E771">
        <v>2</v>
      </c>
      <c r="F771">
        <v>10</v>
      </c>
      <c r="G771" t="s">
        <v>173</v>
      </c>
      <c r="H771">
        <v>8</v>
      </c>
      <c r="I771">
        <v>55</v>
      </c>
      <c r="J771">
        <v>57</v>
      </c>
      <c r="K771">
        <v>2</v>
      </c>
      <c r="L771">
        <v>170</v>
      </c>
      <c r="M771">
        <v>56</v>
      </c>
      <c r="N771">
        <v>1</v>
      </c>
      <c r="O771">
        <v>2</v>
      </c>
      <c r="P771">
        <v>8</v>
      </c>
      <c r="Q771">
        <v>0.161</v>
      </c>
      <c r="R771">
        <v>8</v>
      </c>
      <c r="S771">
        <v>1</v>
      </c>
      <c r="T771">
        <v>3</v>
      </c>
      <c r="U771">
        <v>12.5</v>
      </c>
      <c r="V771">
        <v>589.281045751634</v>
      </c>
      <c r="W771">
        <v>1</v>
      </c>
    </row>
    <row r="772" spans="1:23" x14ac:dyDescent="0.2">
      <c r="A772">
        <v>2021</v>
      </c>
      <c r="B772" t="s">
        <v>23</v>
      </c>
      <c r="C772" t="s">
        <v>24</v>
      </c>
      <c r="D772">
        <v>149</v>
      </c>
      <c r="E772">
        <v>1</v>
      </c>
      <c r="F772">
        <v>6</v>
      </c>
      <c r="G772" t="s">
        <v>174</v>
      </c>
      <c r="H772" s="1">
        <v>3</v>
      </c>
      <c r="I772" s="1">
        <v>67</v>
      </c>
      <c r="J772" s="1">
        <v>72</v>
      </c>
      <c r="K772" s="1">
        <f>J772-I772</f>
        <v>5</v>
      </c>
      <c r="L772" s="1">
        <v>183</v>
      </c>
      <c r="M772" s="1">
        <v>103</v>
      </c>
      <c r="N772" s="1">
        <v>2</v>
      </c>
      <c r="O772" s="1">
        <v>2.5</v>
      </c>
      <c r="P772" s="1">
        <v>3</v>
      </c>
      <c r="Q772" s="2">
        <v>0.28499999999999998</v>
      </c>
      <c r="R772" s="1">
        <v>2</v>
      </c>
      <c r="S772" s="1">
        <f>R772/P772</f>
        <v>0.66666666666666663</v>
      </c>
      <c r="T772" s="1">
        <v>5</v>
      </c>
      <c r="U772" s="1">
        <v>12.5</v>
      </c>
      <c r="V772" s="1">
        <v>1043.1372549019607</v>
      </c>
      <c r="W772" s="1">
        <v>3</v>
      </c>
    </row>
    <row r="773" spans="1:23" x14ac:dyDescent="0.2">
      <c r="A773">
        <v>2021</v>
      </c>
      <c r="B773" t="s">
        <v>23</v>
      </c>
      <c r="C773" t="s">
        <v>24</v>
      </c>
      <c r="D773">
        <v>149</v>
      </c>
      <c r="E773">
        <v>2</v>
      </c>
      <c r="F773">
        <v>6</v>
      </c>
      <c r="G773" t="s">
        <v>174</v>
      </c>
      <c r="H773">
        <v>1</v>
      </c>
      <c r="I773">
        <v>53</v>
      </c>
      <c r="J773">
        <v>57</v>
      </c>
      <c r="K773">
        <v>4</v>
      </c>
      <c r="L773">
        <v>86</v>
      </c>
      <c r="M773">
        <v>57</v>
      </c>
      <c r="N773">
        <v>3</v>
      </c>
      <c r="O773">
        <v>4</v>
      </c>
      <c r="P773">
        <v>1</v>
      </c>
      <c r="Q773">
        <v>0.121</v>
      </c>
      <c r="R773">
        <v>1</v>
      </c>
      <c r="S773">
        <v>1</v>
      </c>
      <c r="T773">
        <v>2</v>
      </c>
      <c r="U773">
        <v>12.5</v>
      </c>
      <c r="V773">
        <v>442.87581699346407</v>
      </c>
      <c r="W773">
        <v>2</v>
      </c>
    </row>
    <row r="774" spans="1:23" x14ac:dyDescent="0.2">
      <c r="A774">
        <v>2021</v>
      </c>
      <c r="B774" t="s">
        <v>23</v>
      </c>
      <c r="C774" t="s">
        <v>24</v>
      </c>
      <c r="D774">
        <v>150</v>
      </c>
      <c r="E774">
        <v>1</v>
      </c>
      <c r="F774">
        <v>2</v>
      </c>
      <c r="G774" t="s">
        <v>175</v>
      </c>
      <c r="H774">
        <v>15</v>
      </c>
      <c r="I774">
        <v>57</v>
      </c>
      <c r="J774">
        <v>59</v>
      </c>
      <c r="K774">
        <v>2</v>
      </c>
      <c r="L774">
        <v>154</v>
      </c>
      <c r="M774">
        <v>81</v>
      </c>
      <c r="N774">
        <v>2</v>
      </c>
      <c r="O774">
        <v>1.5</v>
      </c>
      <c r="P774">
        <v>14</v>
      </c>
      <c r="Q774">
        <v>1.8</v>
      </c>
      <c r="R774">
        <v>14</v>
      </c>
      <c r="S774">
        <v>1</v>
      </c>
      <c r="T774">
        <v>2</v>
      </c>
      <c r="U774">
        <v>8.9</v>
      </c>
      <c r="V774">
        <v>6859.2941176470595</v>
      </c>
      <c r="W774">
        <v>1</v>
      </c>
    </row>
    <row r="775" spans="1:23" x14ac:dyDescent="0.2">
      <c r="A775">
        <v>2021</v>
      </c>
      <c r="B775" t="s">
        <v>23</v>
      </c>
      <c r="C775" t="s">
        <v>24</v>
      </c>
      <c r="D775">
        <v>150</v>
      </c>
      <c r="E775">
        <v>2</v>
      </c>
      <c r="F775">
        <v>7</v>
      </c>
      <c r="G775" t="s">
        <v>175</v>
      </c>
      <c r="H775" s="1">
        <v>11</v>
      </c>
      <c r="I775" s="1">
        <v>66</v>
      </c>
      <c r="J775" s="1">
        <v>68</v>
      </c>
      <c r="K775" s="1">
        <f>J775-I775</f>
        <v>2</v>
      </c>
      <c r="L775" s="1">
        <v>171</v>
      </c>
      <c r="M775" s="1">
        <v>90</v>
      </c>
      <c r="N775" s="1">
        <v>2</v>
      </c>
      <c r="O775" s="1">
        <v>2.5</v>
      </c>
      <c r="P775" s="1">
        <v>10</v>
      </c>
      <c r="Q775" s="2">
        <v>0.49199999999999999</v>
      </c>
      <c r="R775" s="1">
        <v>7</v>
      </c>
      <c r="S775" s="1">
        <f>R775/P775</f>
        <v>0.7</v>
      </c>
      <c r="T775" s="1">
        <v>5</v>
      </c>
      <c r="U775" s="1">
        <v>7.9</v>
      </c>
      <c r="V775" s="1">
        <v>1895.4541176470584</v>
      </c>
      <c r="W775" s="1">
        <v>6</v>
      </c>
    </row>
    <row r="776" spans="1:23" x14ac:dyDescent="0.2">
      <c r="A776">
        <v>2021</v>
      </c>
      <c r="B776" t="s">
        <v>23</v>
      </c>
      <c r="C776" t="s">
        <v>24</v>
      </c>
      <c r="D776">
        <v>151</v>
      </c>
      <c r="E776">
        <v>1</v>
      </c>
      <c r="F776">
        <v>5</v>
      </c>
      <c r="G776" t="s">
        <v>176</v>
      </c>
      <c r="H776">
        <v>9</v>
      </c>
      <c r="I776">
        <v>60</v>
      </c>
      <c r="J776">
        <v>63</v>
      </c>
      <c r="K776">
        <v>3</v>
      </c>
      <c r="L776">
        <v>88</v>
      </c>
      <c r="M776">
        <v>27</v>
      </c>
      <c r="N776">
        <v>2.5</v>
      </c>
      <c r="O776">
        <v>2</v>
      </c>
      <c r="P776">
        <v>9</v>
      </c>
      <c r="Q776">
        <v>0.7</v>
      </c>
      <c r="R776">
        <v>9</v>
      </c>
      <c r="S776">
        <v>1</v>
      </c>
      <c r="T776">
        <v>3</v>
      </c>
      <c r="U776">
        <v>12.5</v>
      </c>
      <c r="V776">
        <v>2562.0915032679736</v>
      </c>
      <c r="W776">
        <v>1</v>
      </c>
    </row>
    <row r="777" spans="1:23" x14ac:dyDescent="0.2">
      <c r="A777">
        <v>2021</v>
      </c>
      <c r="B777" t="s">
        <v>23</v>
      </c>
      <c r="C777" t="s">
        <v>24</v>
      </c>
      <c r="D777">
        <v>151</v>
      </c>
      <c r="E777">
        <v>2</v>
      </c>
      <c r="F777">
        <v>2</v>
      </c>
      <c r="G777" t="s">
        <v>176</v>
      </c>
      <c r="H777" s="1">
        <v>6</v>
      </c>
      <c r="I777" s="1">
        <v>62</v>
      </c>
      <c r="J777" s="1">
        <v>67</v>
      </c>
      <c r="K777" s="1">
        <f>J777-I777</f>
        <v>5</v>
      </c>
      <c r="L777" s="1">
        <v>142</v>
      </c>
      <c r="M777" s="1">
        <v>70</v>
      </c>
      <c r="N777" s="1">
        <v>2</v>
      </c>
      <c r="O777" s="1">
        <v>3.5</v>
      </c>
      <c r="P777" s="1">
        <v>6</v>
      </c>
      <c r="Q777" s="2">
        <v>0.216</v>
      </c>
      <c r="R777" s="1">
        <v>4</v>
      </c>
      <c r="S777" s="1">
        <f>R777/P777</f>
        <v>0.66666666666666663</v>
      </c>
      <c r="T777" s="1">
        <v>5</v>
      </c>
      <c r="U777" s="1">
        <v>12.5</v>
      </c>
      <c r="V777" s="1">
        <v>790.58823529411757</v>
      </c>
      <c r="W777" s="1">
        <v>5</v>
      </c>
    </row>
    <row r="778" spans="1:23" x14ac:dyDescent="0.2">
      <c r="A778">
        <v>2021</v>
      </c>
      <c r="B778" t="s">
        <v>23</v>
      </c>
      <c r="C778" t="s">
        <v>24</v>
      </c>
      <c r="D778">
        <v>152</v>
      </c>
      <c r="E778">
        <v>1</v>
      </c>
      <c r="F778">
        <v>8</v>
      </c>
      <c r="G778" t="s">
        <v>177</v>
      </c>
      <c r="H778">
        <v>2</v>
      </c>
      <c r="I778">
        <v>62</v>
      </c>
      <c r="J778">
        <v>65</v>
      </c>
      <c r="K778">
        <v>3</v>
      </c>
      <c r="L778">
        <v>170</v>
      </c>
      <c r="M778">
        <v>90</v>
      </c>
      <c r="N778">
        <v>2</v>
      </c>
      <c r="O778">
        <v>3</v>
      </c>
      <c r="P778">
        <v>2</v>
      </c>
      <c r="Q778">
        <v>0.2</v>
      </c>
      <c r="R778">
        <v>2</v>
      </c>
      <c r="S778">
        <v>1</v>
      </c>
      <c r="T778">
        <v>2.5</v>
      </c>
      <c r="U778">
        <v>12.5</v>
      </c>
      <c r="V778">
        <v>732.02614379084969</v>
      </c>
      <c r="W778">
        <v>1</v>
      </c>
    </row>
    <row r="779" spans="1:23" x14ac:dyDescent="0.2">
      <c r="A779">
        <v>2021</v>
      </c>
      <c r="B779" t="s">
        <v>23</v>
      </c>
      <c r="C779" t="s">
        <v>24</v>
      </c>
      <c r="D779">
        <v>152</v>
      </c>
      <c r="E779">
        <v>2</v>
      </c>
      <c r="F779">
        <v>8</v>
      </c>
      <c r="G779" t="s">
        <v>177</v>
      </c>
      <c r="H779" s="1">
        <v>8</v>
      </c>
      <c r="I779" s="1">
        <v>56</v>
      </c>
      <c r="J779" s="1">
        <v>60</v>
      </c>
      <c r="K779" s="1">
        <f>J779-I779</f>
        <v>4</v>
      </c>
      <c r="L779" s="1">
        <v>157</v>
      </c>
      <c r="M779" s="1">
        <v>87</v>
      </c>
      <c r="N779" s="1">
        <v>2</v>
      </c>
      <c r="O779" s="1">
        <v>3.5</v>
      </c>
      <c r="P779" s="1">
        <v>8</v>
      </c>
      <c r="Q779" s="2">
        <v>0.39767999999999992</v>
      </c>
      <c r="R779" s="1">
        <v>7</v>
      </c>
      <c r="S779" s="1">
        <f>R779/P779</f>
        <v>0.875</v>
      </c>
      <c r="T779" s="1">
        <v>5</v>
      </c>
      <c r="U779" s="1">
        <v>7.8</v>
      </c>
      <c r="V779" s="1">
        <v>1533.7451921568627</v>
      </c>
      <c r="W779" s="1">
        <v>4</v>
      </c>
    </row>
    <row r="780" spans="1:23" x14ac:dyDescent="0.2">
      <c r="A780">
        <v>2021</v>
      </c>
      <c r="B780" t="s">
        <v>23</v>
      </c>
      <c r="C780" t="s">
        <v>24</v>
      </c>
      <c r="D780">
        <v>153</v>
      </c>
      <c r="E780">
        <v>1</v>
      </c>
      <c r="F780">
        <v>11</v>
      </c>
      <c r="G780" t="s">
        <v>178</v>
      </c>
      <c r="H780" s="1">
        <v>8</v>
      </c>
      <c r="I780" s="1">
        <v>65</v>
      </c>
      <c r="J780" s="1">
        <v>71</v>
      </c>
      <c r="K780" s="1">
        <f>J780-I780</f>
        <v>6</v>
      </c>
      <c r="L780" s="1">
        <v>120</v>
      </c>
      <c r="M780" s="1">
        <v>49</v>
      </c>
      <c r="N780" s="1">
        <v>2</v>
      </c>
      <c r="O780" s="1">
        <v>3.5</v>
      </c>
      <c r="P780" s="1">
        <v>5</v>
      </c>
      <c r="Q780" s="2">
        <v>0.79759999999999998</v>
      </c>
      <c r="R780" s="1">
        <v>6</v>
      </c>
      <c r="S780" s="1">
        <f>R780/P780</f>
        <v>1.2</v>
      </c>
      <c r="T780" s="1">
        <v>3.5</v>
      </c>
      <c r="U780" s="1">
        <v>12.5</v>
      </c>
      <c r="V780" s="1">
        <v>2919.3202614379079</v>
      </c>
      <c r="W780" s="1">
        <v>4</v>
      </c>
    </row>
    <row r="781" spans="1:23" x14ac:dyDescent="0.2">
      <c r="A781">
        <v>2021</v>
      </c>
      <c r="B781" t="s">
        <v>23</v>
      </c>
      <c r="C781" t="s">
        <v>24</v>
      </c>
      <c r="D781">
        <v>153</v>
      </c>
      <c r="E781">
        <v>2</v>
      </c>
      <c r="F781">
        <v>5</v>
      </c>
      <c r="G781" t="s">
        <v>178</v>
      </c>
      <c r="H781" s="1">
        <v>11</v>
      </c>
      <c r="I781" s="1">
        <v>65</v>
      </c>
      <c r="J781" s="1">
        <v>70</v>
      </c>
      <c r="K781" s="1">
        <f>J781-I781</f>
        <v>5</v>
      </c>
      <c r="L781" s="1">
        <v>157</v>
      </c>
      <c r="M781" s="1">
        <v>83</v>
      </c>
      <c r="N781" s="1">
        <v>2</v>
      </c>
      <c r="O781" s="1">
        <v>3</v>
      </c>
      <c r="P781" s="1">
        <v>8</v>
      </c>
      <c r="Q781" s="2">
        <v>0.43319999999999997</v>
      </c>
      <c r="R781" s="1">
        <v>5</v>
      </c>
      <c r="S781" s="1">
        <f>R781/P781</f>
        <v>0.625</v>
      </c>
      <c r="T781" s="1">
        <v>2</v>
      </c>
      <c r="U781" s="1">
        <v>12.5</v>
      </c>
      <c r="V781" s="1">
        <v>1585.5686274509803</v>
      </c>
      <c r="W781" s="1">
        <v>4</v>
      </c>
    </row>
    <row r="782" spans="1:23" x14ac:dyDescent="0.2">
      <c r="A782">
        <v>2021</v>
      </c>
      <c r="B782" t="s">
        <v>23</v>
      </c>
      <c r="C782" t="s">
        <v>24</v>
      </c>
      <c r="D782">
        <v>154</v>
      </c>
      <c r="E782">
        <v>1</v>
      </c>
      <c r="F782">
        <v>2</v>
      </c>
      <c r="G782" t="s">
        <v>179</v>
      </c>
      <c r="H782" s="1">
        <v>1</v>
      </c>
      <c r="I782" s="1">
        <v>63</v>
      </c>
      <c r="J782" s="1">
        <v>67</v>
      </c>
      <c r="K782" s="1">
        <f>J782-I782</f>
        <v>4</v>
      </c>
      <c r="L782" s="1">
        <v>171</v>
      </c>
      <c r="M782" s="1">
        <v>105</v>
      </c>
      <c r="N782" s="1">
        <v>3</v>
      </c>
      <c r="O782" s="1">
        <v>4</v>
      </c>
      <c r="P782" s="1">
        <f>H782</f>
        <v>1</v>
      </c>
      <c r="Q782" s="2">
        <v>3.15E-2</v>
      </c>
      <c r="R782" s="1">
        <v>1</v>
      </c>
      <c r="S782" s="1">
        <f>R782/P782</f>
        <v>1</v>
      </c>
      <c r="T782" s="1">
        <v>4</v>
      </c>
      <c r="U782" s="1">
        <v>12.5</v>
      </c>
      <c r="V782" s="1">
        <v>115.29411764705884</v>
      </c>
      <c r="W782" s="1">
        <v>4</v>
      </c>
    </row>
    <row r="783" spans="1:23" x14ac:dyDescent="0.2">
      <c r="A783">
        <v>2021</v>
      </c>
      <c r="B783" t="s">
        <v>23</v>
      </c>
      <c r="C783" t="s">
        <v>24</v>
      </c>
      <c r="D783">
        <v>154</v>
      </c>
      <c r="E783">
        <v>2</v>
      </c>
      <c r="F783">
        <v>11</v>
      </c>
      <c r="G783" t="s">
        <v>179</v>
      </c>
      <c r="H783">
        <v>13</v>
      </c>
      <c r="I783">
        <v>52</v>
      </c>
      <c r="J783">
        <v>55</v>
      </c>
      <c r="K783">
        <v>3</v>
      </c>
      <c r="L783">
        <v>151</v>
      </c>
      <c r="M783">
        <v>59</v>
      </c>
      <c r="N783">
        <v>2</v>
      </c>
      <c r="O783">
        <v>2.5</v>
      </c>
      <c r="P783">
        <v>10</v>
      </c>
      <c r="Q783">
        <v>0.6</v>
      </c>
      <c r="R783">
        <v>10</v>
      </c>
      <c r="S783">
        <v>1</v>
      </c>
      <c r="T783">
        <v>3</v>
      </c>
      <c r="U783">
        <v>10.4</v>
      </c>
      <c r="V783">
        <v>2248.7843137254904</v>
      </c>
      <c r="W783">
        <v>1</v>
      </c>
    </row>
    <row r="784" spans="1:23" x14ac:dyDescent="0.2">
      <c r="A784">
        <v>2021</v>
      </c>
      <c r="B784" t="s">
        <v>23</v>
      </c>
      <c r="C784" t="s">
        <v>24</v>
      </c>
      <c r="D784">
        <v>155</v>
      </c>
      <c r="E784">
        <v>1</v>
      </c>
      <c r="F784">
        <v>2</v>
      </c>
      <c r="G784" t="s">
        <v>180</v>
      </c>
      <c r="H784" s="1">
        <v>16</v>
      </c>
      <c r="I784" s="1">
        <v>64</v>
      </c>
      <c r="J784" s="1">
        <v>68</v>
      </c>
      <c r="K784" s="1">
        <f>J784-I784</f>
        <v>4</v>
      </c>
      <c r="L784" s="1">
        <v>122</v>
      </c>
      <c r="M784" s="1">
        <v>50</v>
      </c>
      <c r="N784" s="1">
        <v>2</v>
      </c>
      <c r="O784" s="1">
        <v>4</v>
      </c>
      <c r="P784" s="1">
        <v>8</v>
      </c>
      <c r="Q784" s="2">
        <v>0.104</v>
      </c>
      <c r="R784" s="1">
        <v>7</v>
      </c>
      <c r="S784" s="1">
        <f>R784/P784</f>
        <v>0.875</v>
      </c>
      <c r="T784" s="1">
        <v>5</v>
      </c>
      <c r="U784" s="1">
        <v>12.5</v>
      </c>
      <c r="V784" s="1">
        <v>380.65359477124184</v>
      </c>
      <c r="W784" s="1">
        <v>5</v>
      </c>
    </row>
    <row r="785" spans="1:23" x14ac:dyDescent="0.2">
      <c r="A785">
        <v>2021</v>
      </c>
      <c r="B785" t="s">
        <v>23</v>
      </c>
      <c r="C785" t="s">
        <v>24</v>
      </c>
      <c r="D785">
        <v>155</v>
      </c>
      <c r="E785">
        <v>2</v>
      </c>
      <c r="F785">
        <v>5</v>
      </c>
      <c r="G785" t="s">
        <v>180</v>
      </c>
      <c r="H785" s="1">
        <v>10</v>
      </c>
      <c r="I785" s="1">
        <v>62</v>
      </c>
      <c r="J785" s="1">
        <v>67</v>
      </c>
      <c r="K785" s="1">
        <f>J785-I785</f>
        <v>5</v>
      </c>
      <c r="L785" s="1">
        <v>147</v>
      </c>
      <c r="M785" s="1">
        <v>92</v>
      </c>
      <c r="N785" s="1">
        <v>2</v>
      </c>
      <c r="O785" s="1">
        <v>3.5</v>
      </c>
      <c r="P785" s="1">
        <v>8</v>
      </c>
      <c r="Q785" s="2">
        <v>0.82399999999999995</v>
      </c>
      <c r="R785" s="1">
        <v>7</v>
      </c>
      <c r="S785" s="1">
        <f>R785/P785</f>
        <v>0.875</v>
      </c>
      <c r="T785" s="1">
        <v>3</v>
      </c>
      <c r="U785" s="1">
        <v>7.9</v>
      </c>
      <c r="V785" s="1">
        <v>3174.5003921568623</v>
      </c>
      <c r="W785" s="1">
        <v>3</v>
      </c>
    </row>
    <row r="786" spans="1:23" x14ac:dyDescent="0.2">
      <c r="A786">
        <v>2021</v>
      </c>
      <c r="B786" t="s">
        <v>23</v>
      </c>
      <c r="C786" t="s">
        <v>24</v>
      </c>
      <c r="D786">
        <v>156</v>
      </c>
      <c r="E786">
        <v>1</v>
      </c>
      <c r="F786">
        <v>8</v>
      </c>
      <c r="G786" t="s">
        <v>181</v>
      </c>
      <c r="H786">
        <v>1</v>
      </c>
      <c r="I786">
        <v>55</v>
      </c>
      <c r="J786">
        <v>58</v>
      </c>
      <c r="K786">
        <v>3</v>
      </c>
      <c r="L786">
        <v>92</v>
      </c>
      <c r="M786">
        <v>27</v>
      </c>
      <c r="N786">
        <v>4</v>
      </c>
      <c r="O786">
        <v>4</v>
      </c>
      <c r="P786">
        <v>1</v>
      </c>
      <c r="Q786">
        <v>8.3000000000000004E-2</v>
      </c>
      <c r="R786">
        <v>1</v>
      </c>
      <c r="S786">
        <v>1</v>
      </c>
      <c r="T786">
        <v>4</v>
      </c>
      <c r="U786">
        <v>12.5</v>
      </c>
      <c r="V786">
        <v>303.79084967320262</v>
      </c>
      <c r="W786">
        <v>2</v>
      </c>
    </row>
    <row r="787" spans="1:23" x14ac:dyDescent="0.2">
      <c r="A787">
        <v>2021</v>
      </c>
      <c r="B787" t="s">
        <v>23</v>
      </c>
      <c r="C787" t="s">
        <v>24</v>
      </c>
      <c r="D787">
        <v>156</v>
      </c>
      <c r="E787">
        <v>2</v>
      </c>
      <c r="F787">
        <v>3</v>
      </c>
      <c r="G787" t="s">
        <v>181</v>
      </c>
      <c r="H787">
        <v>16</v>
      </c>
      <c r="I787">
        <v>56</v>
      </c>
      <c r="J787">
        <v>60</v>
      </c>
      <c r="K787">
        <v>4</v>
      </c>
      <c r="L787">
        <v>187</v>
      </c>
      <c r="M787">
        <v>55</v>
      </c>
      <c r="N787">
        <v>2</v>
      </c>
      <c r="O787">
        <v>2</v>
      </c>
      <c r="P787">
        <v>16</v>
      </c>
      <c r="Q787">
        <v>1</v>
      </c>
      <c r="R787">
        <v>12</v>
      </c>
      <c r="S787">
        <v>0.75</v>
      </c>
      <c r="T787">
        <v>3</v>
      </c>
      <c r="U787">
        <v>11.3</v>
      </c>
      <c r="V787">
        <v>3710.3267973856209</v>
      </c>
      <c r="W787">
        <v>2</v>
      </c>
    </row>
    <row r="788" spans="1:23" x14ac:dyDescent="0.2">
      <c r="A788">
        <v>2021</v>
      </c>
      <c r="B788" t="s">
        <v>23</v>
      </c>
      <c r="C788" t="s">
        <v>24</v>
      </c>
      <c r="D788">
        <v>157</v>
      </c>
      <c r="E788">
        <v>1</v>
      </c>
      <c r="F788">
        <v>9</v>
      </c>
      <c r="G788" t="s">
        <v>182</v>
      </c>
      <c r="H788">
        <v>16</v>
      </c>
      <c r="I788">
        <v>57</v>
      </c>
      <c r="J788">
        <v>59</v>
      </c>
      <c r="K788">
        <v>2</v>
      </c>
      <c r="L788">
        <v>165</v>
      </c>
      <c r="M788">
        <v>90</v>
      </c>
      <c r="N788">
        <v>2</v>
      </c>
      <c r="O788">
        <v>2.5</v>
      </c>
      <c r="P788">
        <v>13</v>
      </c>
      <c r="Q788">
        <v>1.2</v>
      </c>
      <c r="R788">
        <v>12</v>
      </c>
      <c r="S788">
        <v>0.92307692307692313</v>
      </c>
      <c r="T788">
        <v>2</v>
      </c>
      <c r="U788">
        <v>12.7</v>
      </c>
      <c r="V788">
        <v>4382.1176470588234</v>
      </c>
      <c r="W788">
        <v>1</v>
      </c>
    </row>
    <row r="789" spans="1:23" x14ac:dyDescent="0.2">
      <c r="A789">
        <v>2021</v>
      </c>
      <c r="B789" t="s">
        <v>23</v>
      </c>
      <c r="C789" t="s">
        <v>24</v>
      </c>
      <c r="D789">
        <v>157</v>
      </c>
      <c r="E789">
        <v>2</v>
      </c>
      <c r="F789">
        <v>13</v>
      </c>
      <c r="G789" t="s">
        <v>182</v>
      </c>
      <c r="H789">
        <v>10</v>
      </c>
      <c r="I789">
        <v>55</v>
      </c>
      <c r="J789">
        <v>57</v>
      </c>
      <c r="K789">
        <v>2</v>
      </c>
      <c r="L789">
        <v>158</v>
      </c>
      <c r="M789">
        <v>71</v>
      </c>
      <c r="N789">
        <v>2</v>
      </c>
      <c r="O789">
        <v>3</v>
      </c>
      <c r="P789">
        <v>10</v>
      </c>
      <c r="Q789">
        <v>1</v>
      </c>
      <c r="R789">
        <v>9</v>
      </c>
      <c r="S789">
        <v>0.9</v>
      </c>
      <c r="T789">
        <v>2.5</v>
      </c>
      <c r="U789">
        <v>12.5</v>
      </c>
      <c r="V789">
        <v>3660.1307189542486</v>
      </c>
      <c r="W789">
        <v>1</v>
      </c>
    </row>
    <row r="790" spans="1:23" x14ac:dyDescent="0.2">
      <c r="A790">
        <v>2021</v>
      </c>
      <c r="B790" t="s">
        <v>23</v>
      </c>
      <c r="C790" t="s">
        <v>24</v>
      </c>
      <c r="D790">
        <v>158</v>
      </c>
      <c r="E790">
        <v>1</v>
      </c>
      <c r="F790">
        <v>5</v>
      </c>
      <c r="G790" t="s">
        <v>183</v>
      </c>
      <c r="H790" s="1">
        <v>16</v>
      </c>
      <c r="I790" s="1">
        <v>68</v>
      </c>
      <c r="J790" s="1">
        <v>71</v>
      </c>
      <c r="K790" s="1">
        <f>J790-I790</f>
        <v>3</v>
      </c>
      <c r="L790" s="1">
        <v>165</v>
      </c>
      <c r="M790" s="1">
        <v>88</v>
      </c>
      <c r="N790" s="1">
        <v>2</v>
      </c>
      <c r="O790" s="1">
        <v>3.5</v>
      </c>
      <c r="P790" s="1">
        <v>15</v>
      </c>
      <c r="Q790" s="2">
        <v>0.42</v>
      </c>
      <c r="R790" s="1">
        <v>7</v>
      </c>
      <c r="S790" s="1">
        <f>R790/P790</f>
        <v>0.46666666666666667</v>
      </c>
      <c r="T790" s="1">
        <v>5</v>
      </c>
      <c r="U790" s="1">
        <v>12.5</v>
      </c>
      <c r="V790" s="1">
        <v>1537.2549019607843</v>
      </c>
      <c r="W790" s="1">
        <v>4</v>
      </c>
    </row>
    <row r="791" spans="1:23" x14ac:dyDescent="0.2">
      <c r="A791">
        <v>2021</v>
      </c>
      <c r="B791" t="s">
        <v>23</v>
      </c>
      <c r="C791" t="s">
        <v>24</v>
      </c>
      <c r="D791">
        <v>158</v>
      </c>
      <c r="E791">
        <v>2</v>
      </c>
      <c r="F791">
        <v>5</v>
      </c>
      <c r="G791" t="s">
        <v>183</v>
      </c>
      <c r="H791" s="1">
        <v>3</v>
      </c>
      <c r="I791" s="1">
        <v>67</v>
      </c>
      <c r="J791" s="1">
        <v>72</v>
      </c>
      <c r="K791" s="1">
        <f>J791-I791</f>
        <v>5</v>
      </c>
      <c r="L791" s="1">
        <v>183</v>
      </c>
      <c r="M791" s="1">
        <v>103</v>
      </c>
      <c r="N791" s="1">
        <v>2</v>
      </c>
      <c r="O791" s="1">
        <v>2.5</v>
      </c>
      <c r="P791" s="1">
        <v>3</v>
      </c>
      <c r="Q791" s="2">
        <v>0.28499999999999998</v>
      </c>
      <c r="R791" s="1">
        <v>2</v>
      </c>
      <c r="S791" s="1">
        <f>R791/P791</f>
        <v>0.66666666666666663</v>
      </c>
      <c r="T791" s="1">
        <v>5</v>
      </c>
      <c r="U791" s="1">
        <v>12.5</v>
      </c>
      <c r="V791" s="1">
        <v>1043.1372549019607</v>
      </c>
      <c r="W791" s="1">
        <v>3</v>
      </c>
    </row>
    <row r="792" spans="1:23" x14ac:dyDescent="0.2">
      <c r="A792">
        <v>2021</v>
      </c>
      <c r="B792" t="s">
        <v>23</v>
      </c>
      <c r="C792" t="s">
        <v>24</v>
      </c>
      <c r="D792">
        <v>159</v>
      </c>
      <c r="E792">
        <v>1</v>
      </c>
      <c r="F792">
        <v>9</v>
      </c>
      <c r="G792" t="s">
        <v>184</v>
      </c>
      <c r="H792" s="1">
        <v>10</v>
      </c>
      <c r="I792" s="1">
        <v>58</v>
      </c>
      <c r="J792" s="1">
        <v>61</v>
      </c>
      <c r="K792" s="1">
        <f>J792-I792</f>
        <v>3</v>
      </c>
      <c r="L792" s="1">
        <v>177</v>
      </c>
      <c r="M792" s="1">
        <v>87</v>
      </c>
      <c r="N792" s="1">
        <v>2</v>
      </c>
      <c r="O792" s="1">
        <v>2.5</v>
      </c>
      <c r="P792" s="1">
        <v>8</v>
      </c>
      <c r="Q792" s="2">
        <v>0.53204999999999991</v>
      </c>
      <c r="R792" s="1">
        <v>6</v>
      </c>
      <c r="S792" s="1">
        <f>R792/P792</f>
        <v>0.75</v>
      </c>
      <c r="T792" s="1">
        <v>5</v>
      </c>
      <c r="U792" s="1">
        <v>12.5</v>
      </c>
      <c r="V792" s="1">
        <v>1947.372549019608</v>
      </c>
      <c r="W792" s="1">
        <v>4</v>
      </c>
    </row>
    <row r="793" spans="1:23" x14ac:dyDescent="0.2">
      <c r="A793">
        <v>2021</v>
      </c>
      <c r="B793" t="s">
        <v>23</v>
      </c>
      <c r="C793" t="s">
        <v>24</v>
      </c>
      <c r="D793">
        <v>159</v>
      </c>
      <c r="E793">
        <v>2</v>
      </c>
      <c r="F793">
        <v>12</v>
      </c>
      <c r="G793" t="s">
        <v>184</v>
      </c>
      <c r="H793">
        <v>15</v>
      </c>
      <c r="I793">
        <v>58</v>
      </c>
      <c r="J793">
        <v>60</v>
      </c>
      <c r="K793">
        <v>2</v>
      </c>
      <c r="L793">
        <v>172</v>
      </c>
      <c r="M793">
        <v>42</v>
      </c>
      <c r="N793">
        <v>2</v>
      </c>
      <c r="O793">
        <v>2</v>
      </c>
      <c r="P793">
        <v>12</v>
      </c>
      <c r="Q793">
        <v>0.9</v>
      </c>
      <c r="R793">
        <v>10</v>
      </c>
      <c r="S793">
        <v>0.83333333333333337</v>
      </c>
      <c r="T793">
        <v>3</v>
      </c>
      <c r="U793">
        <v>9.8000000000000007</v>
      </c>
      <c r="V793">
        <v>3395.7647058823536</v>
      </c>
      <c r="W793">
        <v>1</v>
      </c>
    </row>
    <row r="794" spans="1:23" x14ac:dyDescent="0.2">
      <c r="A794">
        <v>2021</v>
      </c>
      <c r="B794" t="s">
        <v>23</v>
      </c>
      <c r="C794" t="s">
        <v>24</v>
      </c>
      <c r="D794">
        <v>160</v>
      </c>
      <c r="E794">
        <v>1</v>
      </c>
      <c r="F794">
        <v>15</v>
      </c>
      <c r="G794" t="s">
        <v>185</v>
      </c>
      <c r="H794" s="1">
        <v>9</v>
      </c>
      <c r="I794" s="1">
        <v>64</v>
      </c>
      <c r="J794" s="1">
        <v>68</v>
      </c>
      <c r="K794" s="1">
        <f>J794-I794</f>
        <v>4</v>
      </c>
      <c r="L794" s="1">
        <v>81</v>
      </c>
      <c r="M794" s="1">
        <v>30</v>
      </c>
      <c r="N794" s="1">
        <v>2</v>
      </c>
      <c r="O794" s="1">
        <v>4.5</v>
      </c>
      <c r="P794" s="1">
        <v>6</v>
      </c>
      <c r="Q794" s="2">
        <v>0.21199999999999999</v>
      </c>
      <c r="R794" s="1">
        <v>5</v>
      </c>
      <c r="S794" s="1">
        <f>R794/P794</f>
        <v>0.83333333333333337</v>
      </c>
      <c r="T794" s="1">
        <v>3.5</v>
      </c>
      <c r="U794" s="1">
        <v>12.5</v>
      </c>
      <c r="V794" s="1">
        <v>775.94771241830074</v>
      </c>
      <c r="W794" s="1">
        <v>4</v>
      </c>
    </row>
    <row r="795" spans="1:23" x14ac:dyDescent="0.2">
      <c r="A795">
        <v>2021</v>
      </c>
      <c r="B795" t="s">
        <v>23</v>
      </c>
      <c r="C795" t="s">
        <v>24</v>
      </c>
      <c r="D795">
        <v>160</v>
      </c>
      <c r="E795">
        <v>2</v>
      </c>
      <c r="F795">
        <v>4</v>
      </c>
      <c r="G795" t="s">
        <v>185</v>
      </c>
      <c r="H795">
        <v>10</v>
      </c>
      <c r="I795">
        <v>58</v>
      </c>
      <c r="J795">
        <v>60</v>
      </c>
      <c r="K795">
        <v>2</v>
      </c>
      <c r="L795">
        <v>80</v>
      </c>
      <c r="M795">
        <v>22</v>
      </c>
      <c r="N795">
        <v>3</v>
      </c>
      <c r="O795">
        <v>3</v>
      </c>
      <c r="P795">
        <v>10</v>
      </c>
      <c r="Q795">
        <v>1.212</v>
      </c>
      <c r="R795">
        <v>13</v>
      </c>
      <c r="S795">
        <v>1.3</v>
      </c>
      <c r="T795">
        <v>2</v>
      </c>
      <c r="U795">
        <v>12.5</v>
      </c>
      <c r="V795">
        <v>4436.0784313725489</v>
      </c>
      <c r="W795">
        <v>2</v>
      </c>
    </row>
    <row r="796" spans="1:23" x14ac:dyDescent="0.2">
      <c r="A796">
        <v>2021</v>
      </c>
      <c r="B796" t="s">
        <v>23</v>
      </c>
      <c r="C796" t="s">
        <v>24</v>
      </c>
      <c r="D796">
        <v>161</v>
      </c>
      <c r="E796">
        <v>1</v>
      </c>
      <c r="F796">
        <v>3</v>
      </c>
      <c r="G796" t="s">
        <v>186</v>
      </c>
      <c r="H796" s="1">
        <v>4</v>
      </c>
      <c r="I796" s="1">
        <v>66</v>
      </c>
      <c r="J796" s="1">
        <v>71</v>
      </c>
      <c r="K796" s="1">
        <f>J796-I796</f>
        <v>5</v>
      </c>
      <c r="L796" s="1">
        <v>124</v>
      </c>
      <c r="M796" s="1">
        <v>44</v>
      </c>
      <c r="N796" s="1">
        <v>1.5</v>
      </c>
      <c r="O796" s="1">
        <v>3.5</v>
      </c>
      <c r="P796" s="1">
        <v>4</v>
      </c>
      <c r="Q796" s="2">
        <v>0.115</v>
      </c>
      <c r="R796" s="1">
        <v>3</v>
      </c>
      <c r="S796" s="1">
        <f>R796/P796</f>
        <v>0.75</v>
      </c>
      <c r="T796" s="1">
        <v>4.5</v>
      </c>
      <c r="U796" s="1">
        <v>12.5</v>
      </c>
      <c r="V796" s="1">
        <v>420.91503267973854</v>
      </c>
      <c r="W796" s="1">
        <v>3</v>
      </c>
    </row>
    <row r="797" spans="1:23" x14ac:dyDescent="0.2">
      <c r="A797">
        <v>2021</v>
      </c>
      <c r="B797" t="s">
        <v>23</v>
      </c>
      <c r="C797" t="s">
        <v>24</v>
      </c>
      <c r="D797">
        <v>161</v>
      </c>
      <c r="E797">
        <v>2</v>
      </c>
      <c r="F797">
        <v>13</v>
      </c>
      <c r="G797" t="s">
        <v>186</v>
      </c>
      <c r="H797">
        <v>7</v>
      </c>
      <c r="I797">
        <v>55</v>
      </c>
      <c r="J797">
        <v>57</v>
      </c>
      <c r="K797">
        <v>2</v>
      </c>
      <c r="L797">
        <v>174</v>
      </c>
      <c r="M797">
        <v>54</v>
      </c>
      <c r="N797">
        <v>1.5</v>
      </c>
      <c r="O797">
        <v>4</v>
      </c>
      <c r="P797">
        <v>7</v>
      </c>
      <c r="Q797">
        <v>0.4</v>
      </c>
      <c r="R797">
        <v>6</v>
      </c>
      <c r="S797">
        <v>0.8571428571428571</v>
      </c>
      <c r="T797">
        <v>3</v>
      </c>
      <c r="U797">
        <v>12.5</v>
      </c>
      <c r="V797">
        <v>1464.0522875816994</v>
      </c>
      <c r="W797">
        <v>2</v>
      </c>
    </row>
    <row r="798" spans="1:23" x14ac:dyDescent="0.2">
      <c r="A798">
        <v>2021</v>
      </c>
      <c r="B798" t="s">
        <v>23</v>
      </c>
      <c r="C798" t="s">
        <v>24</v>
      </c>
      <c r="D798">
        <v>162</v>
      </c>
      <c r="E798">
        <v>1</v>
      </c>
      <c r="F798">
        <v>10</v>
      </c>
      <c r="G798" t="s">
        <v>187</v>
      </c>
      <c r="H798">
        <v>14</v>
      </c>
      <c r="I798">
        <v>54</v>
      </c>
      <c r="J798">
        <v>58</v>
      </c>
      <c r="K798">
        <v>4</v>
      </c>
      <c r="L798">
        <v>188</v>
      </c>
      <c r="M798">
        <v>75</v>
      </c>
      <c r="N798">
        <v>2</v>
      </c>
      <c r="O798">
        <v>2</v>
      </c>
      <c r="P798">
        <v>10</v>
      </c>
      <c r="Q798">
        <v>0.5</v>
      </c>
      <c r="R798">
        <v>10</v>
      </c>
      <c r="S798">
        <v>1</v>
      </c>
      <c r="T798">
        <v>2</v>
      </c>
      <c r="U798">
        <v>10.5</v>
      </c>
      <c r="V798">
        <v>1871.8954248366015</v>
      </c>
      <c r="W798">
        <v>2</v>
      </c>
    </row>
    <row r="799" spans="1:23" x14ac:dyDescent="0.2">
      <c r="A799">
        <v>2021</v>
      </c>
      <c r="B799" t="s">
        <v>23</v>
      </c>
      <c r="C799" t="s">
        <v>24</v>
      </c>
      <c r="D799">
        <v>162</v>
      </c>
      <c r="E799">
        <v>2</v>
      </c>
      <c r="F799">
        <v>2</v>
      </c>
      <c r="G799" t="s">
        <v>187</v>
      </c>
      <c r="H799" s="1">
        <v>6</v>
      </c>
      <c r="I799" s="1">
        <v>67</v>
      </c>
      <c r="J799" s="1">
        <v>71</v>
      </c>
      <c r="K799" s="1">
        <f t="shared" ref="K799:K804" si="38">J799-I799</f>
        <v>4</v>
      </c>
      <c r="L799" s="1">
        <v>137</v>
      </c>
      <c r="M799" s="1">
        <v>61</v>
      </c>
      <c r="N799" s="1">
        <v>1.5</v>
      </c>
      <c r="O799" s="1">
        <v>4.5</v>
      </c>
      <c r="P799" s="1">
        <v>2</v>
      </c>
      <c r="Q799" s="2">
        <v>0.06</v>
      </c>
      <c r="R799" s="1">
        <v>2</v>
      </c>
      <c r="S799" s="1">
        <f t="shared" ref="S799:S804" si="39">R799/P799</f>
        <v>1</v>
      </c>
      <c r="T799" s="1">
        <v>5</v>
      </c>
      <c r="U799" s="1">
        <v>12.5</v>
      </c>
      <c r="V799" s="1">
        <v>219.60784313725492</v>
      </c>
      <c r="W799" s="1">
        <v>6</v>
      </c>
    </row>
    <row r="800" spans="1:23" x14ac:dyDescent="0.2">
      <c r="A800">
        <v>2021</v>
      </c>
      <c r="B800" t="s">
        <v>23</v>
      </c>
      <c r="C800" t="s">
        <v>24</v>
      </c>
      <c r="D800">
        <v>163</v>
      </c>
      <c r="E800">
        <v>1</v>
      </c>
      <c r="F800">
        <v>15</v>
      </c>
      <c r="G800" t="s">
        <v>188</v>
      </c>
      <c r="H800" s="1">
        <v>5</v>
      </c>
      <c r="I800" s="1">
        <v>70</v>
      </c>
      <c r="J800" s="1">
        <v>74</v>
      </c>
      <c r="K800" s="1">
        <f t="shared" si="38"/>
        <v>4</v>
      </c>
      <c r="L800" s="1">
        <v>173</v>
      </c>
      <c r="M800" s="1">
        <v>82</v>
      </c>
      <c r="N800" s="1">
        <v>2</v>
      </c>
      <c r="O800" s="1">
        <v>3</v>
      </c>
      <c r="P800" s="1">
        <v>5</v>
      </c>
      <c r="Q800" s="2">
        <v>0.61824000000000001</v>
      </c>
      <c r="R800" s="1">
        <v>5</v>
      </c>
      <c r="S800" s="1">
        <f t="shared" si="39"/>
        <v>1</v>
      </c>
      <c r="T800" s="1">
        <v>4</v>
      </c>
      <c r="U800" s="1">
        <v>9.3000000000000007</v>
      </c>
      <c r="V800" s="1">
        <v>2345.5944784313729</v>
      </c>
      <c r="W800" s="1">
        <v>4</v>
      </c>
    </row>
    <row r="801" spans="1:23" x14ac:dyDescent="0.2">
      <c r="A801">
        <v>2021</v>
      </c>
      <c r="B801" t="s">
        <v>23</v>
      </c>
      <c r="C801" t="s">
        <v>24</v>
      </c>
      <c r="D801">
        <v>163</v>
      </c>
      <c r="E801">
        <v>2</v>
      </c>
      <c r="F801">
        <v>8</v>
      </c>
      <c r="G801" t="s">
        <v>188</v>
      </c>
      <c r="H801" s="1">
        <v>8</v>
      </c>
      <c r="I801" s="1">
        <v>68</v>
      </c>
      <c r="J801" s="1">
        <v>71</v>
      </c>
      <c r="K801" s="1">
        <f t="shared" si="38"/>
        <v>3</v>
      </c>
      <c r="L801" s="1">
        <v>148</v>
      </c>
      <c r="M801" s="1">
        <v>72</v>
      </c>
      <c r="N801" s="1">
        <v>2</v>
      </c>
      <c r="O801" s="1">
        <v>3.5</v>
      </c>
      <c r="P801" s="1">
        <v>8</v>
      </c>
      <c r="Q801" s="2">
        <v>0.104625</v>
      </c>
      <c r="R801" s="1">
        <v>5</v>
      </c>
      <c r="S801" s="1">
        <f t="shared" si="39"/>
        <v>0.625</v>
      </c>
      <c r="T801" s="1">
        <v>4</v>
      </c>
      <c r="U801" s="1">
        <v>12.5</v>
      </c>
      <c r="V801" s="1">
        <v>382.94117647058823</v>
      </c>
      <c r="W801" s="1">
        <v>3</v>
      </c>
    </row>
    <row r="802" spans="1:23" x14ac:dyDescent="0.2">
      <c r="A802">
        <v>2021</v>
      </c>
      <c r="B802" t="s">
        <v>23</v>
      </c>
      <c r="C802" t="s">
        <v>24</v>
      </c>
      <c r="D802">
        <v>164</v>
      </c>
      <c r="E802">
        <v>1</v>
      </c>
      <c r="F802">
        <v>10</v>
      </c>
      <c r="G802" t="s">
        <v>189</v>
      </c>
      <c r="H802" s="1">
        <v>12</v>
      </c>
      <c r="I802" s="1">
        <v>62</v>
      </c>
      <c r="J802" s="1">
        <v>67</v>
      </c>
      <c r="K802" s="1">
        <f t="shared" si="38"/>
        <v>5</v>
      </c>
      <c r="L802" s="1">
        <v>149</v>
      </c>
      <c r="M802" s="1">
        <v>90</v>
      </c>
      <c r="N802" s="1">
        <v>2</v>
      </c>
      <c r="O802" s="1">
        <v>3.5</v>
      </c>
      <c r="P802" s="1">
        <v>10</v>
      </c>
      <c r="Q802" s="2">
        <v>0.46365000000000001</v>
      </c>
      <c r="R802" s="1">
        <v>7</v>
      </c>
      <c r="S802" s="1">
        <f t="shared" si="39"/>
        <v>0.7</v>
      </c>
      <c r="T802" s="1">
        <v>5</v>
      </c>
      <c r="U802" s="1">
        <v>12.5</v>
      </c>
      <c r="V802" s="1">
        <v>1697.0196078431372</v>
      </c>
      <c r="W802" s="1">
        <v>6</v>
      </c>
    </row>
    <row r="803" spans="1:23" x14ac:dyDescent="0.2">
      <c r="A803">
        <v>2021</v>
      </c>
      <c r="B803" t="s">
        <v>23</v>
      </c>
      <c r="C803" t="s">
        <v>24</v>
      </c>
      <c r="D803">
        <v>164</v>
      </c>
      <c r="E803">
        <v>2</v>
      </c>
      <c r="F803">
        <v>14</v>
      </c>
      <c r="G803" t="s">
        <v>189</v>
      </c>
      <c r="H803" s="1">
        <v>9</v>
      </c>
      <c r="I803" s="1">
        <v>66</v>
      </c>
      <c r="J803" s="1">
        <v>68</v>
      </c>
      <c r="K803" s="1">
        <f t="shared" si="38"/>
        <v>2</v>
      </c>
      <c r="L803" s="1">
        <v>103</v>
      </c>
      <c r="M803" s="1">
        <v>30</v>
      </c>
      <c r="N803" s="1">
        <v>2</v>
      </c>
      <c r="O803" s="1">
        <v>4.5</v>
      </c>
      <c r="P803" s="1">
        <v>6</v>
      </c>
      <c r="Q803" s="2">
        <v>0.182</v>
      </c>
      <c r="R803" s="1">
        <v>5</v>
      </c>
      <c r="S803" s="1">
        <f t="shared" si="39"/>
        <v>0.83333333333333337</v>
      </c>
      <c r="T803" s="1">
        <v>3.5</v>
      </c>
      <c r="U803" s="1">
        <v>12.5</v>
      </c>
      <c r="V803" s="1">
        <v>666.14379084967322</v>
      </c>
      <c r="W803" s="1">
        <v>4</v>
      </c>
    </row>
    <row r="804" spans="1:23" x14ac:dyDescent="0.2">
      <c r="A804">
        <v>2021</v>
      </c>
      <c r="B804" t="s">
        <v>23</v>
      </c>
      <c r="C804" t="s">
        <v>24</v>
      </c>
      <c r="D804">
        <v>165</v>
      </c>
      <c r="E804">
        <v>1</v>
      </c>
      <c r="F804">
        <v>10</v>
      </c>
      <c r="G804" t="s">
        <v>190</v>
      </c>
      <c r="H804" s="1">
        <v>11</v>
      </c>
      <c r="I804" s="1">
        <v>65</v>
      </c>
      <c r="J804" s="1">
        <v>69</v>
      </c>
      <c r="K804" s="1">
        <f t="shared" si="38"/>
        <v>4</v>
      </c>
      <c r="L804" s="1">
        <v>170</v>
      </c>
      <c r="M804" s="1">
        <v>83</v>
      </c>
      <c r="N804" s="1">
        <v>2</v>
      </c>
      <c r="O804" s="1">
        <v>2</v>
      </c>
      <c r="P804" s="1">
        <v>7</v>
      </c>
      <c r="Q804" s="2">
        <v>0.74615999999999993</v>
      </c>
      <c r="R804" s="1">
        <v>8</v>
      </c>
      <c r="S804" s="1">
        <f t="shared" si="39"/>
        <v>1.1428571428571428</v>
      </c>
      <c r="T804" s="1">
        <v>5</v>
      </c>
      <c r="U804" s="1">
        <v>10.4</v>
      </c>
      <c r="V804" s="1">
        <v>2796.588172549019</v>
      </c>
      <c r="W804" s="1">
        <v>7</v>
      </c>
    </row>
    <row r="805" spans="1:23" x14ac:dyDescent="0.2">
      <c r="A805">
        <v>2021</v>
      </c>
      <c r="B805" t="s">
        <v>23</v>
      </c>
      <c r="C805" t="s">
        <v>24</v>
      </c>
      <c r="D805">
        <v>165</v>
      </c>
      <c r="E805">
        <v>2</v>
      </c>
      <c r="F805">
        <v>1</v>
      </c>
      <c r="G805" t="s">
        <v>190</v>
      </c>
      <c r="H805">
        <v>8</v>
      </c>
      <c r="I805">
        <v>56</v>
      </c>
      <c r="J805">
        <v>60</v>
      </c>
      <c r="K805">
        <v>4</v>
      </c>
      <c r="L805">
        <v>166</v>
      </c>
      <c r="M805">
        <v>52</v>
      </c>
      <c r="N805">
        <v>1</v>
      </c>
      <c r="O805">
        <v>5</v>
      </c>
      <c r="P805">
        <v>8</v>
      </c>
      <c r="Q805">
        <v>0.4274</v>
      </c>
      <c r="R805">
        <v>7</v>
      </c>
      <c r="S805">
        <v>0.875</v>
      </c>
      <c r="T805">
        <v>2</v>
      </c>
      <c r="U805">
        <v>12.5</v>
      </c>
      <c r="V805">
        <v>1564.3398692810458</v>
      </c>
      <c r="W805">
        <v>2</v>
      </c>
    </row>
    <row r="806" spans="1:23" x14ac:dyDescent="0.2">
      <c r="A806">
        <v>2021</v>
      </c>
      <c r="B806" t="s">
        <v>23</v>
      </c>
      <c r="C806" t="s">
        <v>24</v>
      </c>
      <c r="D806">
        <v>166</v>
      </c>
      <c r="E806">
        <v>1</v>
      </c>
      <c r="F806">
        <v>2</v>
      </c>
      <c r="G806" t="s">
        <v>191</v>
      </c>
      <c r="H806" s="1">
        <v>10</v>
      </c>
      <c r="I806" s="1">
        <v>68</v>
      </c>
      <c r="J806" s="1">
        <v>72</v>
      </c>
      <c r="K806" s="1">
        <f>J806-I806</f>
        <v>4</v>
      </c>
      <c r="L806" s="1">
        <v>60</v>
      </c>
      <c r="M806" s="1">
        <v>25</v>
      </c>
      <c r="N806" s="1">
        <v>3</v>
      </c>
      <c r="O806" s="1">
        <v>5</v>
      </c>
      <c r="P806" s="1">
        <v>2</v>
      </c>
      <c r="Q806" s="2">
        <v>0.04</v>
      </c>
      <c r="R806" s="1">
        <v>2</v>
      </c>
      <c r="S806" s="1">
        <f>R806/P806</f>
        <v>1</v>
      </c>
      <c r="T806" s="1">
        <v>5</v>
      </c>
      <c r="U806" s="1">
        <v>12.5</v>
      </c>
      <c r="V806" s="1">
        <v>146.40522875816995</v>
      </c>
      <c r="W806" s="1">
        <v>6</v>
      </c>
    </row>
    <row r="807" spans="1:23" x14ac:dyDescent="0.2">
      <c r="A807">
        <v>2021</v>
      </c>
      <c r="B807" t="s">
        <v>23</v>
      </c>
      <c r="C807" t="s">
        <v>24</v>
      </c>
      <c r="D807">
        <v>166</v>
      </c>
      <c r="E807">
        <v>2</v>
      </c>
      <c r="F807">
        <v>1</v>
      </c>
      <c r="G807" t="s">
        <v>191</v>
      </c>
      <c r="H807" s="1">
        <v>14</v>
      </c>
      <c r="I807" s="1">
        <v>61</v>
      </c>
      <c r="J807" s="1">
        <v>64</v>
      </c>
      <c r="K807" s="1">
        <f>J807-I807</f>
        <v>3</v>
      </c>
      <c r="L807" s="1">
        <v>172</v>
      </c>
      <c r="M807" s="1">
        <v>100</v>
      </c>
      <c r="N807" s="1">
        <v>2</v>
      </c>
      <c r="O807" s="1">
        <v>3</v>
      </c>
      <c r="P807" s="1">
        <v>13</v>
      </c>
      <c r="Q807" s="2">
        <v>0.40304999999999996</v>
      </c>
      <c r="R807" s="1">
        <v>9</v>
      </c>
      <c r="S807" s="1">
        <f>R807/P807</f>
        <v>0.69230769230769229</v>
      </c>
      <c r="T807" s="1">
        <v>5</v>
      </c>
      <c r="U807" s="1">
        <v>9.1</v>
      </c>
      <c r="V807" s="1">
        <v>1532.5383529411765</v>
      </c>
      <c r="W807" s="1">
        <v>5</v>
      </c>
    </row>
    <row r="808" spans="1:23" x14ac:dyDescent="0.2">
      <c r="A808">
        <v>2021</v>
      </c>
      <c r="B808" t="s">
        <v>23</v>
      </c>
      <c r="C808" t="s">
        <v>24</v>
      </c>
      <c r="D808">
        <v>167</v>
      </c>
      <c r="E808">
        <v>1</v>
      </c>
      <c r="F808">
        <v>15</v>
      </c>
      <c r="G808" t="s">
        <v>192</v>
      </c>
      <c r="H808" s="1">
        <v>11</v>
      </c>
      <c r="I808" s="1">
        <v>63</v>
      </c>
      <c r="J808" s="1">
        <v>68</v>
      </c>
      <c r="K808" s="1">
        <f>J808-I808</f>
        <v>5</v>
      </c>
      <c r="L808" s="1">
        <v>132</v>
      </c>
      <c r="M808" s="1">
        <v>73</v>
      </c>
      <c r="N808" s="1">
        <v>2</v>
      </c>
      <c r="O808" s="1">
        <v>3</v>
      </c>
      <c r="P808" s="1">
        <v>7</v>
      </c>
      <c r="Q808" s="2">
        <v>0.5222</v>
      </c>
      <c r="R808" s="1">
        <v>7</v>
      </c>
      <c r="S808" s="1">
        <f>R808/P808</f>
        <v>1</v>
      </c>
      <c r="T808" s="1">
        <v>5</v>
      </c>
      <c r="U808" s="1">
        <v>12.5</v>
      </c>
      <c r="V808" s="1">
        <v>1911.3202614379084</v>
      </c>
      <c r="W808" s="1">
        <v>4</v>
      </c>
    </row>
    <row r="809" spans="1:23" x14ac:dyDescent="0.2">
      <c r="A809">
        <v>2021</v>
      </c>
      <c r="B809" t="s">
        <v>23</v>
      </c>
      <c r="C809" t="s">
        <v>24</v>
      </c>
      <c r="D809">
        <v>167</v>
      </c>
      <c r="E809">
        <v>2</v>
      </c>
      <c r="F809">
        <v>3</v>
      </c>
      <c r="G809" t="s">
        <v>192</v>
      </c>
      <c r="H809">
        <v>8</v>
      </c>
      <c r="I809">
        <v>55</v>
      </c>
      <c r="J809">
        <v>57</v>
      </c>
      <c r="K809">
        <v>2</v>
      </c>
      <c r="L809">
        <v>82</v>
      </c>
      <c r="M809">
        <v>28</v>
      </c>
      <c r="N809">
        <v>4</v>
      </c>
      <c r="O809">
        <v>5</v>
      </c>
      <c r="P809">
        <v>5</v>
      </c>
      <c r="Q809">
        <v>0.34300000000000003</v>
      </c>
      <c r="R809">
        <v>1</v>
      </c>
      <c r="S809">
        <v>0.2</v>
      </c>
      <c r="T809">
        <v>5</v>
      </c>
      <c r="U809">
        <v>12.5</v>
      </c>
      <c r="V809">
        <v>1255.4248366013071</v>
      </c>
      <c r="W809">
        <v>1</v>
      </c>
    </row>
    <row r="810" spans="1:23" x14ac:dyDescent="0.2">
      <c r="A810">
        <v>2021</v>
      </c>
      <c r="B810" t="s">
        <v>23</v>
      </c>
      <c r="C810" t="s">
        <v>24</v>
      </c>
      <c r="D810">
        <v>168</v>
      </c>
      <c r="E810">
        <v>1</v>
      </c>
      <c r="F810">
        <v>3</v>
      </c>
      <c r="G810" t="s">
        <v>193</v>
      </c>
      <c r="H810" s="1">
        <v>13</v>
      </c>
      <c r="I810" s="1">
        <v>64</v>
      </c>
      <c r="J810" s="1">
        <v>69</v>
      </c>
      <c r="K810" s="1">
        <f>J810-I810</f>
        <v>5</v>
      </c>
      <c r="L810" s="1">
        <v>133</v>
      </c>
      <c r="M810" s="1">
        <v>73</v>
      </c>
      <c r="N810" s="1">
        <v>2</v>
      </c>
      <c r="O810" s="1">
        <v>3.5</v>
      </c>
      <c r="P810" s="1">
        <f>H810-1</f>
        <v>12</v>
      </c>
      <c r="Q810" s="2">
        <v>0.1125</v>
      </c>
      <c r="R810" s="1">
        <v>10</v>
      </c>
      <c r="S810" s="1">
        <f>R810/P810</f>
        <v>0.83333333333333337</v>
      </c>
      <c r="T810" s="1">
        <v>5</v>
      </c>
      <c r="U810" s="1">
        <v>12.5</v>
      </c>
      <c r="V810" s="1">
        <v>411.76470588235293</v>
      </c>
      <c r="W810" s="1">
        <v>5</v>
      </c>
    </row>
    <row r="811" spans="1:23" x14ac:dyDescent="0.2">
      <c r="A811">
        <v>2021</v>
      </c>
      <c r="B811" t="s">
        <v>23</v>
      </c>
      <c r="C811" t="s">
        <v>24</v>
      </c>
      <c r="D811">
        <v>168</v>
      </c>
      <c r="E811">
        <v>2</v>
      </c>
      <c r="F811">
        <v>13</v>
      </c>
      <c r="G811" t="s">
        <v>193</v>
      </c>
      <c r="H811" s="1">
        <v>7</v>
      </c>
      <c r="I811" s="1">
        <v>66</v>
      </c>
      <c r="J811" s="1">
        <v>71</v>
      </c>
      <c r="K811" s="1">
        <f>J811-I811</f>
        <v>5</v>
      </c>
      <c r="L811" s="1">
        <v>127</v>
      </c>
      <c r="M811" s="1">
        <v>78</v>
      </c>
      <c r="N811" s="1">
        <v>2</v>
      </c>
      <c r="O811" s="1">
        <v>3.5</v>
      </c>
      <c r="P811" s="1">
        <v>7</v>
      </c>
      <c r="Q811" s="2">
        <v>0.14407499999999998</v>
      </c>
      <c r="R811" s="1">
        <v>5</v>
      </c>
      <c r="S811" s="1">
        <f>R811/P811</f>
        <v>0.7142857142857143</v>
      </c>
      <c r="T811" s="1">
        <v>5</v>
      </c>
      <c r="U811" s="1">
        <v>12.5</v>
      </c>
      <c r="V811" s="1">
        <v>527.33333333333337</v>
      </c>
      <c r="W811" s="1">
        <v>6</v>
      </c>
    </row>
    <row r="812" spans="1:23" x14ac:dyDescent="0.2">
      <c r="A812">
        <v>2021</v>
      </c>
      <c r="B812" t="s">
        <v>23</v>
      </c>
      <c r="C812" t="s">
        <v>24</v>
      </c>
      <c r="D812">
        <v>169</v>
      </c>
      <c r="E812">
        <v>1</v>
      </c>
      <c r="F812">
        <v>15</v>
      </c>
      <c r="G812" t="s">
        <v>194</v>
      </c>
      <c r="H812">
        <v>12</v>
      </c>
      <c r="I812">
        <v>53</v>
      </c>
      <c r="J812">
        <v>55</v>
      </c>
      <c r="K812">
        <v>2</v>
      </c>
      <c r="L812">
        <v>174</v>
      </c>
      <c r="M812">
        <v>62</v>
      </c>
      <c r="N812">
        <v>2</v>
      </c>
      <c r="O812">
        <v>2.5</v>
      </c>
      <c r="P812">
        <v>12</v>
      </c>
      <c r="Q812">
        <v>1.1000000000000001</v>
      </c>
      <c r="R812">
        <v>12</v>
      </c>
      <c r="S812">
        <v>1</v>
      </c>
      <c r="T812">
        <v>2</v>
      </c>
      <c r="U812">
        <v>13.3</v>
      </c>
      <c r="V812">
        <v>3989.3333333333335</v>
      </c>
      <c r="W812">
        <v>2</v>
      </c>
    </row>
    <row r="813" spans="1:23" x14ac:dyDescent="0.2">
      <c r="A813">
        <v>2021</v>
      </c>
      <c r="B813" t="s">
        <v>23</v>
      </c>
      <c r="C813" t="s">
        <v>24</v>
      </c>
      <c r="D813">
        <v>169</v>
      </c>
      <c r="E813">
        <v>2</v>
      </c>
      <c r="F813">
        <v>9</v>
      </c>
      <c r="G813" t="s">
        <v>194</v>
      </c>
      <c r="H813">
        <v>14</v>
      </c>
      <c r="I813">
        <v>55</v>
      </c>
      <c r="J813">
        <v>60</v>
      </c>
      <c r="K813">
        <v>5</v>
      </c>
      <c r="L813">
        <v>103</v>
      </c>
      <c r="M813">
        <v>83</v>
      </c>
      <c r="N813">
        <v>1.5</v>
      </c>
      <c r="O813">
        <v>2</v>
      </c>
      <c r="P813">
        <v>13</v>
      </c>
      <c r="Q813">
        <v>1</v>
      </c>
      <c r="R813">
        <v>11</v>
      </c>
      <c r="S813">
        <v>0.84615384615384615</v>
      </c>
      <c r="T813">
        <v>2</v>
      </c>
      <c r="U813">
        <v>12.5</v>
      </c>
      <c r="V813">
        <v>3660.1307189542486</v>
      </c>
      <c r="W813">
        <v>2</v>
      </c>
    </row>
    <row r="814" spans="1:23" x14ac:dyDescent="0.2">
      <c r="A814">
        <v>2021</v>
      </c>
      <c r="B814" t="s">
        <v>23</v>
      </c>
      <c r="C814" t="s">
        <v>24</v>
      </c>
      <c r="D814">
        <v>170</v>
      </c>
      <c r="E814">
        <v>1</v>
      </c>
      <c r="F814">
        <v>13</v>
      </c>
      <c r="G814" t="s">
        <v>195</v>
      </c>
      <c r="H814" s="1">
        <v>8</v>
      </c>
      <c r="I814" s="1">
        <v>67</v>
      </c>
      <c r="J814" s="1">
        <v>72</v>
      </c>
      <c r="K814" s="1">
        <f t="shared" ref="K814:K826" si="40">J814-I814</f>
        <v>5</v>
      </c>
      <c r="L814" s="1">
        <v>80</v>
      </c>
      <c r="M814" s="1">
        <v>30</v>
      </c>
      <c r="N814" s="1">
        <v>2.5</v>
      </c>
      <c r="O814" s="1">
        <v>4.5</v>
      </c>
      <c r="P814" s="1">
        <v>5</v>
      </c>
      <c r="Q814" s="2">
        <v>0.109</v>
      </c>
      <c r="R814" s="1">
        <v>4</v>
      </c>
      <c r="S814" s="1">
        <f t="shared" ref="S814:S826" si="41">R814/P814</f>
        <v>0.8</v>
      </c>
      <c r="T814" s="1">
        <v>5</v>
      </c>
      <c r="U814" s="1">
        <v>12.5</v>
      </c>
      <c r="V814" s="1">
        <v>398.95424836601308</v>
      </c>
      <c r="W814" s="1">
        <v>6</v>
      </c>
    </row>
    <row r="815" spans="1:23" x14ac:dyDescent="0.2">
      <c r="A815">
        <v>2021</v>
      </c>
      <c r="B815" t="s">
        <v>23</v>
      </c>
      <c r="C815" t="s">
        <v>24</v>
      </c>
      <c r="D815">
        <v>170</v>
      </c>
      <c r="E815">
        <v>2</v>
      </c>
      <c r="F815">
        <v>1</v>
      </c>
      <c r="G815" t="s">
        <v>195</v>
      </c>
      <c r="H815" s="1">
        <v>7</v>
      </c>
      <c r="I815" s="1">
        <v>64</v>
      </c>
      <c r="J815" s="1">
        <v>69</v>
      </c>
      <c r="K815" s="1">
        <f t="shared" si="40"/>
        <v>5</v>
      </c>
      <c r="L815" s="1">
        <v>131</v>
      </c>
      <c r="M815" s="1">
        <v>51</v>
      </c>
      <c r="N815" s="1">
        <v>2</v>
      </c>
      <c r="O815" s="1">
        <v>4</v>
      </c>
      <c r="P815" s="1">
        <v>6</v>
      </c>
      <c r="Q815" s="2">
        <v>0.21</v>
      </c>
      <c r="R815" s="1">
        <v>8</v>
      </c>
      <c r="S815" s="1">
        <f t="shared" si="41"/>
        <v>1.3333333333333333</v>
      </c>
      <c r="T815" s="1">
        <v>3.5</v>
      </c>
      <c r="U815" s="1">
        <v>12.5</v>
      </c>
      <c r="V815" s="1">
        <v>768.62745098039215</v>
      </c>
      <c r="W815" s="1">
        <v>4</v>
      </c>
    </row>
    <row r="816" spans="1:23" x14ac:dyDescent="0.2">
      <c r="A816">
        <v>2021</v>
      </c>
      <c r="B816" t="s">
        <v>23</v>
      </c>
      <c r="C816" t="s">
        <v>24</v>
      </c>
      <c r="D816">
        <v>171</v>
      </c>
      <c r="E816">
        <v>1</v>
      </c>
      <c r="F816">
        <v>11</v>
      </c>
      <c r="G816" t="s">
        <v>196</v>
      </c>
      <c r="H816" s="1">
        <v>9</v>
      </c>
      <c r="I816" s="1">
        <v>59</v>
      </c>
      <c r="J816" s="1">
        <v>62</v>
      </c>
      <c r="K816" s="1">
        <f t="shared" si="40"/>
        <v>3</v>
      </c>
      <c r="L816" s="1">
        <v>125</v>
      </c>
      <c r="M816" s="1">
        <v>36</v>
      </c>
      <c r="N816" s="1">
        <v>3</v>
      </c>
      <c r="O816" s="1">
        <v>4</v>
      </c>
      <c r="P816" s="1">
        <v>6</v>
      </c>
      <c r="Q816" s="2">
        <v>0.1125</v>
      </c>
      <c r="R816" s="1">
        <v>5</v>
      </c>
      <c r="S816" s="1">
        <f t="shared" si="41"/>
        <v>0.83333333333333337</v>
      </c>
      <c r="T816" s="1">
        <v>4</v>
      </c>
      <c r="U816" s="1">
        <v>12.5</v>
      </c>
      <c r="V816" s="1">
        <v>411.76470588235293</v>
      </c>
      <c r="W816" s="1">
        <v>5</v>
      </c>
    </row>
    <row r="817" spans="1:23" x14ac:dyDescent="0.2">
      <c r="A817">
        <v>2021</v>
      </c>
      <c r="B817" t="s">
        <v>23</v>
      </c>
      <c r="C817" t="s">
        <v>24</v>
      </c>
      <c r="D817">
        <v>171</v>
      </c>
      <c r="E817">
        <v>2</v>
      </c>
      <c r="F817">
        <v>5</v>
      </c>
      <c r="G817" t="s">
        <v>196</v>
      </c>
      <c r="H817" s="1">
        <v>5</v>
      </c>
      <c r="I817" s="1">
        <v>67</v>
      </c>
      <c r="J817" s="1">
        <v>70</v>
      </c>
      <c r="K817" s="1">
        <f t="shared" si="40"/>
        <v>3</v>
      </c>
      <c r="L817" s="1">
        <v>103</v>
      </c>
      <c r="M817" s="1">
        <v>41</v>
      </c>
      <c r="N817" s="1">
        <v>2</v>
      </c>
      <c r="O817" s="1">
        <v>4</v>
      </c>
      <c r="P817" s="1">
        <v>4</v>
      </c>
      <c r="Q817" s="2">
        <v>0.1115</v>
      </c>
      <c r="R817" s="1">
        <v>4</v>
      </c>
      <c r="S817" s="1">
        <f t="shared" si="41"/>
        <v>1</v>
      </c>
      <c r="T817" s="1">
        <v>3.5</v>
      </c>
      <c r="U817" s="1">
        <v>12.5</v>
      </c>
      <c r="V817" s="1">
        <v>408.10457516339869</v>
      </c>
      <c r="W817" s="1">
        <v>5</v>
      </c>
    </row>
    <row r="818" spans="1:23" x14ac:dyDescent="0.2">
      <c r="A818">
        <v>2021</v>
      </c>
      <c r="B818" t="s">
        <v>23</v>
      </c>
      <c r="C818" t="s">
        <v>24</v>
      </c>
      <c r="D818">
        <v>172</v>
      </c>
      <c r="E818">
        <v>1</v>
      </c>
      <c r="F818">
        <v>10</v>
      </c>
      <c r="G818" t="s">
        <v>197</v>
      </c>
      <c r="H818" s="1">
        <v>9</v>
      </c>
      <c r="I818" s="1">
        <v>58</v>
      </c>
      <c r="J818" s="1">
        <v>63</v>
      </c>
      <c r="K818" s="1">
        <f t="shared" si="40"/>
        <v>5</v>
      </c>
      <c r="L818" s="1">
        <v>115</v>
      </c>
      <c r="M818" s="1">
        <v>73</v>
      </c>
      <c r="N818" s="1">
        <v>3</v>
      </c>
      <c r="O818" s="1">
        <v>4</v>
      </c>
      <c r="P818" s="1">
        <f>H818</f>
        <v>9</v>
      </c>
      <c r="Q818" s="2">
        <v>0.219</v>
      </c>
      <c r="R818" s="1">
        <v>9</v>
      </c>
      <c r="S818" s="1">
        <f t="shared" si="41"/>
        <v>1</v>
      </c>
      <c r="T818" s="1">
        <v>5</v>
      </c>
      <c r="U818" s="1">
        <v>12.5</v>
      </c>
      <c r="V818" s="1">
        <v>801.56862745098033</v>
      </c>
      <c r="W818" s="1">
        <v>5</v>
      </c>
    </row>
    <row r="819" spans="1:23" x14ac:dyDescent="0.2">
      <c r="A819">
        <v>2021</v>
      </c>
      <c r="B819" t="s">
        <v>23</v>
      </c>
      <c r="C819" t="s">
        <v>24</v>
      </c>
      <c r="D819">
        <v>172</v>
      </c>
      <c r="E819">
        <v>2</v>
      </c>
      <c r="F819">
        <v>9</v>
      </c>
      <c r="G819" t="s">
        <v>197</v>
      </c>
      <c r="H819" s="1">
        <v>6</v>
      </c>
      <c r="I819" s="1">
        <v>63</v>
      </c>
      <c r="J819" s="1">
        <v>66</v>
      </c>
      <c r="K819" s="1">
        <f t="shared" si="40"/>
        <v>3</v>
      </c>
      <c r="L819" s="1">
        <v>146</v>
      </c>
      <c r="M819" s="1">
        <v>56</v>
      </c>
      <c r="N819" s="1">
        <v>2.5</v>
      </c>
      <c r="O819" s="1">
        <v>4</v>
      </c>
      <c r="P819" s="1">
        <v>4</v>
      </c>
      <c r="Q819" s="2">
        <v>0.17</v>
      </c>
      <c r="R819" s="1">
        <v>3</v>
      </c>
      <c r="S819" s="1">
        <f t="shared" si="41"/>
        <v>0.75</v>
      </c>
      <c r="T819" s="1">
        <v>2</v>
      </c>
      <c r="U819" s="1">
        <v>12.5</v>
      </c>
      <c r="V819" s="1">
        <v>622.2222222222224</v>
      </c>
      <c r="W819" s="1">
        <v>3</v>
      </c>
    </row>
    <row r="820" spans="1:23" x14ac:dyDescent="0.2">
      <c r="A820">
        <v>2021</v>
      </c>
      <c r="B820" t="s">
        <v>23</v>
      </c>
      <c r="C820" t="s">
        <v>24</v>
      </c>
      <c r="D820">
        <v>173</v>
      </c>
      <c r="E820">
        <v>1</v>
      </c>
      <c r="F820">
        <v>13</v>
      </c>
      <c r="G820" t="s">
        <v>198</v>
      </c>
      <c r="H820" s="1">
        <v>11</v>
      </c>
      <c r="I820" s="1">
        <v>60</v>
      </c>
      <c r="J820" s="1">
        <v>63</v>
      </c>
      <c r="K820" s="1">
        <f t="shared" si="40"/>
        <v>3</v>
      </c>
      <c r="L820" s="1">
        <v>162</v>
      </c>
      <c r="M820" s="1">
        <v>80</v>
      </c>
      <c r="N820" s="1">
        <v>2</v>
      </c>
      <c r="O820" s="1">
        <v>3.5</v>
      </c>
      <c r="P820" s="1">
        <v>6</v>
      </c>
      <c r="Q820" s="2">
        <v>0.30399999999999999</v>
      </c>
      <c r="R820" s="1">
        <v>7</v>
      </c>
      <c r="S820" s="1">
        <f t="shared" si="41"/>
        <v>1.1666666666666667</v>
      </c>
      <c r="T820" s="1">
        <v>5</v>
      </c>
      <c r="U820" s="1">
        <v>12.5</v>
      </c>
      <c r="V820" s="1">
        <v>1112.6797385620914</v>
      </c>
      <c r="W820" s="1">
        <v>5</v>
      </c>
    </row>
    <row r="821" spans="1:23" x14ac:dyDescent="0.2">
      <c r="A821">
        <v>2021</v>
      </c>
      <c r="B821" t="s">
        <v>23</v>
      </c>
      <c r="C821" t="s">
        <v>24</v>
      </c>
      <c r="D821">
        <v>173</v>
      </c>
      <c r="E821">
        <v>2</v>
      </c>
      <c r="F821">
        <v>10</v>
      </c>
      <c r="G821" t="s">
        <v>198</v>
      </c>
      <c r="H821" s="1">
        <v>2</v>
      </c>
      <c r="I821" s="1">
        <v>67</v>
      </c>
      <c r="J821" s="1">
        <v>71</v>
      </c>
      <c r="K821" s="1">
        <f t="shared" si="40"/>
        <v>4</v>
      </c>
      <c r="L821" s="1">
        <v>109</v>
      </c>
      <c r="M821" s="1">
        <v>43</v>
      </c>
      <c r="N821" s="1">
        <v>2</v>
      </c>
      <c r="O821" s="1">
        <v>3.5</v>
      </c>
      <c r="P821" s="1">
        <v>2</v>
      </c>
      <c r="Q821" s="2">
        <v>0.19400000000000001</v>
      </c>
      <c r="R821" s="1">
        <v>2</v>
      </c>
      <c r="S821" s="1">
        <f t="shared" si="41"/>
        <v>1</v>
      </c>
      <c r="T821" s="1">
        <v>2.5</v>
      </c>
      <c r="U821" s="1">
        <v>12.5</v>
      </c>
      <c r="V821" s="1">
        <v>710.06535947712428</v>
      </c>
      <c r="W821" s="1">
        <v>2</v>
      </c>
    </row>
    <row r="822" spans="1:23" x14ac:dyDescent="0.2">
      <c r="A822">
        <v>2021</v>
      </c>
      <c r="B822" t="s">
        <v>23</v>
      </c>
      <c r="C822" t="s">
        <v>24</v>
      </c>
      <c r="D822">
        <v>174</v>
      </c>
      <c r="E822">
        <v>1</v>
      </c>
      <c r="F822">
        <v>10</v>
      </c>
      <c r="G822" t="s">
        <v>199</v>
      </c>
      <c r="H822" s="3">
        <v>7</v>
      </c>
      <c r="I822" s="3">
        <v>69</v>
      </c>
      <c r="J822" s="3">
        <v>72</v>
      </c>
      <c r="K822" s="3">
        <f t="shared" si="40"/>
        <v>3</v>
      </c>
      <c r="L822" s="3">
        <v>188</v>
      </c>
      <c r="M822" s="3">
        <v>71</v>
      </c>
      <c r="N822" s="3">
        <v>2</v>
      </c>
      <c r="O822" s="3">
        <v>2.5</v>
      </c>
      <c r="P822" s="3">
        <f>H822-1</f>
        <v>6</v>
      </c>
      <c r="Q822" s="4">
        <v>5.7000000000000002E-2</v>
      </c>
      <c r="R822" s="3">
        <v>5</v>
      </c>
      <c r="S822" s="3">
        <f t="shared" si="41"/>
        <v>0.83333333333333337</v>
      </c>
      <c r="T822" s="3">
        <v>3</v>
      </c>
      <c r="U822" s="3">
        <v>12.5</v>
      </c>
      <c r="V822" s="3">
        <v>208.62745098039215</v>
      </c>
      <c r="W822" s="3">
        <v>4</v>
      </c>
    </row>
    <row r="823" spans="1:23" x14ac:dyDescent="0.2">
      <c r="A823">
        <v>2021</v>
      </c>
      <c r="B823" t="s">
        <v>23</v>
      </c>
      <c r="C823" t="s">
        <v>24</v>
      </c>
      <c r="D823">
        <v>174</v>
      </c>
      <c r="E823">
        <v>2</v>
      </c>
      <c r="F823">
        <v>4</v>
      </c>
      <c r="G823" t="s">
        <v>199</v>
      </c>
      <c r="H823" s="1">
        <v>10</v>
      </c>
      <c r="I823" s="1">
        <v>59</v>
      </c>
      <c r="J823" s="1">
        <v>62</v>
      </c>
      <c r="K823" s="1">
        <f t="shared" si="40"/>
        <v>3</v>
      </c>
      <c r="L823" s="1">
        <v>130</v>
      </c>
      <c r="M823" s="1">
        <v>45</v>
      </c>
      <c r="N823" s="1">
        <v>2</v>
      </c>
      <c r="O823" s="1">
        <v>3.5</v>
      </c>
      <c r="P823" s="1">
        <v>7</v>
      </c>
      <c r="Q823" s="2">
        <v>0.16125</v>
      </c>
      <c r="R823" s="1">
        <v>5</v>
      </c>
      <c r="S823" s="1">
        <f t="shared" si="41"/>
        <v>0.7142857142857143</v>
      </c>
      <c r="T823" s="1">
        <v>3.5</v>
      </c>
      <c r="U823" s="1">
        <v>12.5</v>
      </c>
      <c r="V823" s="1">
        <v>590.1960784313726</v>
      </c>
      <c r="W823" s="1">
        <v>4</v>
      </c>
    </row>
    <row r="824" spans="1:23" x14ac:dyDescent="0.2">
      <c r="A824">
        <v>2021</v>
      </c>
      <c r="B824" t="s">
        <v>23</v>
      </c>
      <c r="C824" t="s">
        <v>24</v>
      </c>
      <c r="D824">
        <v>175</v>
      </c>
      <c r="E824">
        <v>1</v>
      </c>
      <c r="F824">
        <v>3</v>
      </c>
      <c r="G824" t="s">
        <v>200</v>
      </c>
      <c r="H824" s="1">
        <v>15</v>
      </c>
      <c r="I824" s="1">
        <v>60</v>
      </c>
      <c r="J824" s="1">
        <v>63</v>
      </c>
      <c r="K824" s="1">
        <f t="shared" si="40"/>
        <v>3</v>
      </c>
      <c r="L824" s="1">
        <v>136</v>
      </c>
      <c r="M824" s="1">
        <v>65</v>
      </c>
      <c r="N824" s="1">
        <v>2</v>
      </c>
      <c r="O824" s="1">
        <v>3.5</v>
      </c>
      <c r="P824" s="1">
        <v>9</v>
      </c>
      <c r="Q824" s="2">
        <v>0.11497500000000001</v>
      </c>
      <c r="R824" s="1">
        <v>9</v>
      </c>
      <c r="S824" s="1">
        <f t="shared" si="41"/>
        <v>1</v>
      </c>
      <c r="T824" s="1">
        <v>5</v>
      </c>
      <c r="U824" s="1">
        <v>12.5</v>
      </c>
      <c r="V824" s="1">
        <v>420.8235294117647</v>
      </c>
      <c r="W824" s="1">
        <v>3</v>
      </c>
    </row>
    <row r="825" spans="1:23" x14ac:dyDescent="0.2">
      <c r="A825">
        <v>2021</v>
      </c>
      <c r="B825" t="s">
        <v>23</v>
      </c>
      <c r="C825" t="s">
        <v>24</v>
      </c>
      <c r="D825">
        <v>175</v>
      </c>
      <c r="E825">
        <v>2</v>
      </c>
      <c r="F825">
        <v>2</v>
      </c>
      <c r="G825" t="s">
        <v>200</v>
      </c>
      <c r="H825" s="1">
        <v>9</v>
      </c>
      <c r="I825" s="1">
        <v>70</v>
      </c>
      <c r="J825" s="1">
        <v>71</v>
      </c>
      <c r="K825" s="1">
        <f t="shared" si="40"/>
        <v>1</v>
      </c>
      <c r="L825" s="1">
        <v>179</v>
      </c>
      <c r="M825" s="1">
        <v>76</v>
      </c>
      <c r="N825" s="1">
        <v>2</v>
      </c>
      <c r="O825" s="1">
        <v>3</v>
      </c>
      <c r="P825" s="1">
        <v>9</v>
      </c>
      <c r="Q825" s="2">
        <v>0.19439999999999999</v>
      </c>
      <c r="R825" s="1">
        <v>6</v>
      </c>
      <c r="S825" s="1">
        <f t="shared" si="41"/>
        <v>0.66666666666666663</v>
      </c>
      <c r="T825" s="1">
        <v>5</v>
      </c>
      <c r="U825" s="1">
        <v>12.5</v>
      </c>
      <c r="V825" s="1">
        <v>711.52941176470574</v>
      </c>
      <c r="W825" s="1">
        <v>5</v>
      </c>
    </row>
    <row r="826" spans="1:23" x14ac:dyDescent="0.2">
      <c r="A826">
        <v>2021</v>
      </c>
      <c r="B826" t="s">
        <v>23</v>
      </c>
      <c r="C826" t="s">
        <v>24</v>
      </c>
      <c r="D826">
        <v>176</v>
      </c>
      <c r="E826">
        <v>1</v>
      </c>
      <c r="F826">
        <v>9</v>
      </c>
      <c r="G826" t="s">
        <v>201</v>
      </c>
      <c r="H826" s="1">
        <v>10</v>
      </c>
      <c r="I826" s="1">
        <v>59</v>
      </c>
      <c r="J826" s="1">
        <v>63</v>
      </c>
      <c r="K826" s="1">
        <f t="shared" si="40"/>
        <v>4</v>
      </c>
      <c r="L826" s="1">
        <v>139</v>
      </c>
      <c r="M826" s="1">
        <v>51</v>
      </c>
      <c r="N826" s="1">
        <v>2</v>
      </c>
      <c r="O826" s="1">
        <v>4</v>
      </c>
      <c r="P826" s="1">
        <v>8</v>
      </c>
      <c r="Q826" s="2">
        <v>0.314</v>
      </c>
      <c r="R826" s="1">
        <v>7</v>
      </c>
      <c r="S826" s="1">
        <f t="shared" si="41"/>
        <v>0.875</v>
      </c>
      <c r="T826" s="1">
        <v>3</v>
      </c>
      <c r="U826" s="1">
        <v>12.5</v>
      </c>
      <c r="V826" s="1">
        <v>1149.2810457516341</v>
      </c>
      <c r="W826" s="1">
        <v>3</v>
      </c>
    </row>
    <row r="827" spans="1:23" x14ac:dyDescent="0.2">
      <c r="A827">
        <v>2021</v>
      </c>
      <c r="B827" t="s">
        <v>23</v>
      </c>
      <c r="C827" t="s">
        <v>24</v>
      </c>
      <c r="D827">
        <v>176</v>
      </c>
      <c r="E827">
        <v>2</v>
      </c>
      <c r="F827">
        <v>14</v>
      </c>
      <c r="G827" t="s">
        <v>201</v>
      </c>
      <c r="H827">
        <v>14</v>
      </c>
      <c r="I827">
        <v>54</v>
      </c>
      <c r="J827">
        <v>56</v>
      </c>
      <c r="K827">
        <v>2</v>
      </c>
      <c r="L827">
        <v>180</v>
      </c>
      <c r="M827">
        <v>88</v>
      </c>
      <c r="N827">
        <v>2</v>
      </c>
      <c r="O827">
        <v>1.5</v>
      </c>
      <c r="P827">
        <v>12</v>
      </c>
      <c r="Q827">
        <v>1.3</v>
      </c>
      <c r="R827">
        <v>12</v>
      </c>
      <c r="S827">
        <v>1</v>
      </c>
      <c r="T827">
        <v>2</v>
      </c>
      <c r="U827">
        <v>9.5</v>
      </c>
      <c r="V827">
        <v>4921.3071895424837</v>
      </c>
      <c r="W827">
        <v>2</v>
      </c>
    </row>
    <row r="828" spans="1:23" x14ac:dyDescent="0.2">
      <c r="A828">
        <v>2021</v>
      </c>
      <c r="B828" t="s">
        <v>23</v>
      </c>
      <c r="C828" t="s">
        <v>24</v>
      </c>
      <c r="D828">
        <v>177</v>
      </c>
      <c r="E828">
        <v>1</v>
      </c>
      <c r="F828">
        <v>15</v>
      </c>
      <c r="G828" t="s">
        <v>202</v>
      </c>
      <c r="H828" s="1">
        <v>10</v>
      </c>
      <c r="I828" s="1">
        <v>59</v>
      </c>
      <c r="J828" s="1">
        <v>63</v>
      </c>
      <c r="K828" s="1">
        <f t="shared" ref="K828:K833" si="42">J828-I828</f>
        <v>4</v>
      </c>
      <c r="L828" s="1">
        <v>168</v>
      </c>
      <c r="M828" s="1">
        <v>88</v>
      </c>
      <c r="N828" s="1">
        <v>2</v>
      </c>
      <c r="O828" s="1">
        <v>3.5</v>
      </c>
      <c r="P828" s="1">
        <v>7</v>
      </c>
      <c r="Q828" s="2">
        <v>0.18815999999999999</v>
      </c>
      <c r="R828" s="1">
        <v>3</v>
      </c>
      <c r="S828" s="1">
        <f t="shared" ref="S828:S833" si="43">R828/P828</f>
        <v>0.42857142857142855</v>
      </c>
      <c r="T828" s="1">
        <v>5</v>
      </c>
      <c r="U828" s="1">
        <v>12.5</v>
      </c>
      <c r="V828" s="1">
        <v>688.69019607843131</v>
      </c>
      <c r="W828" s="1">
        <v>5</v>
      </c>
    </row>
    <row r="829" spans="1:23" x14ac:dyDescent="0.2">
      <c r="A829">
        <v>2021</v>
      </c>
      <c r="B829" t="s">
        <v>23</v>
      </c>
      <c r="C829" t="s">
        <v>24</v>
      </c>
      <c r="D829">
        <v>177</v>
      </c>
      <c r="E829">
        <v>2</v>
      </c>
      <c r="F829">
        <v>1</v>
      </c>
      <c r="G829" t="s">
        <v>202</v>
      </c>
      <c r="H829" s="1">
        <v>10</v>
      </c>
      <c r="I829" s="1">
        <v>66</v>
      </c>
      <c r="J829" s="1">
        <v>70</v>
      </c>
      <c r="K829" s="1">
        <f t="shared" si="42"/>
        <v>4</v>
      </c>
      <c r="L829" s="1">
        <v>174</v>
      </c>
      <c r="M829" s="1">
        <v>88</v>
      </c>
      <c r="N829" s="1">
        <v>2</v>
      </c>
      <c r="O829" s="1">
        <v>4</v>
      </c>
      <c r="P829" s="1">
        <f>H829</f>
        <v>10</v>
      </c>
      <c r="Q829" s="2">
        <v>0.2205</v>
      </c>
      <c r="R829" s="1">
        <v>7</v>
      </c>
      <c r="S829" s="1">
        <f t="shared" si="43"/>
        <v>0.7</v>
      </c>
      <c r="T829" s="1">
        <v>5</v>
      </c>
      <c r="U829" s="1">
        <v>12.5</v>
      </c>
      <c r="V829" s="1">
        <v>807.05882352941182</v>
      </c>
      <c r="W829" s="1">
        <v>6</v>
      </c>
    </row>
    <row r="830" spans="1:23" x14ac:dyDescent="0.2">
      <c r="A830">
        <v>2021</v>
      </c>
      <c r="B830" t="s">
        <v>23</v>
      </c>
      <c r="C830" t="s">
        <v>24</v>
      </c>
      <c r="D830">
        <v>178</v>
      </c>
      <c r="E830">
        <v>1</v>
      </c>
      <c r="F830">
        <v>1</v>
      </c>
      <c r="G830" t="s">
        <v>203</v>
      </c>
      <c r="H830" s="1">
        <v>6</v>
      </c>
      <c r="I830" s="1">
        <v>67</v>
      </c>
      <c r="J830" s="1">
        <v>71</v>
      </c>
      <c r="K830" s="1">
        <f t="shared" si="42"/>
        <v>4</v>
      </c>
      <c r="L830" s="1">
        <v>152</v>
      </c>
      <c r="M830" s="1">
        <v>43</v>
      </c>
      <c r="N830" s="1">
        <v>2</v>
      </c>
      <c r="O830" s="1">
        <v>4</v>
      </c>
      <c r="P830" s="1">
        <v>4</v>
      </c>
      <c r="Q830" s="2">
        <v>0.17799999999999999</v>
      </c>
      <c r="R830" s="1">
        <v>4</v>
      </c>
      <c r="S830" s="1">
        <f t="shared" si="43"/>
        <v>1</v>
      </c>
      <c r="T830" s="1">
        <v>4</v>
      </c>
      <c r="U830" s="1">
        <v>12.5</v>
      </c>
      <c r="V830" s="1">
        <v>651.50326797385628</v>
      </c>
      <c r="W830" s="1">
        <v>3</v>
      </c>
    </row>
    <row r="831" spans="1:23" x14ac:dyDescent="0.2">
      <c r="A831">
        <v>2021</v>
      </c>
      <c r="B831" t="s">
        <v>23</v>
      </c>
      <c r="C831" t="s">
        <v>24</v>
      </c>
      <c r="D831">
        <v>178</v>
      </c>
      <c r="E831">
        <v>2</v>
      </c>
      <c r="F831">
        <v>2</v>
      </c>
      <c r="G831" t="s">
        <v>203</v>
      </c>
      <c r="H831" s="1">
        <v>6</v>
      </c>
      <c r="I831" s="1">
        <v>69</v>
      </c>
      <c r="J831" s="1">
        <v>73</v>
      </c>
      <c r="K831" s="1">
        <f t="shared" si="42"/>
        <v>4</v>
      </c>
      <c r="L831" s="1">
        <v>137</v>
      </c>
      <c r="M831" s="1">
        <v>47</v>
      </c>
      <c r="N831" s="1">
        <v>2</v>
      </c>
      <c r="O831" s="1">
        <v>4.5</v>
      </c>
      <c r="P831" s="1">
        <v>5</v>
      </c>
      <c r="Q831" s="2">
        <v>0.1452</v>
      </c>
      <c r="R831" s="1">
        <v>4</v>
      </c>
      <c r="S831" s="1">
        <f t="shared" si="43"/>
        <v>0.8</v>
      </c>
      <c r="T831" s="1">
        <v>4</v>
      </c>
      <c r="U831" s="1">
        <v>12.5</v>
      </c>
      <c r="V831" s="1">
        <v>531.45098039215691</v>
      </c>
      <c r="W831" s="1">
        <v>4</v>
      </c>
    </row>
    <row r="832" spans="1:23" x14ac:dyDescent="0.2">
      <c r="A832">
        <v>2021</v>
      </c>
      <c r="B832" t="s">
        <v>23</v>
      </c>
      <c r="C832" t="s">
        <v>24</v>
      </c>
      <c r="D832">
        <v>179</v>
      </c>
      <c r="E832">
        <v>1</v>
      </c>
      <c r="F832">
        <v>8</v>
      </c>
      <c r="G832" t="s">
        <v>204</v>
      </c>
      <c r="H832" s="1">
        <v>7</v>
      </c>
      <c r="I832" s="1">
        <v>63</v>
      </c>
      <c r="J832" s="1">
        <v>67</v>
      </c>
      <c r="K832" s="1">
        <f t="shared" si="42"/>
        <v>4</v>
      </c>
      <c r="L832" s="1">
        <v>145</v>
      </c>
      <c r="M832" s="1">
        <v>72</v>
      </c>
      <c r="N832" s="1">
        <v>2</v>
      </c>
      <c r="O832" s="1">
        <v>4</v>
      </c>
      <c r="P832" s="1">
        <v>7</v>
      </c>
      <c r="Q832" s="2">
        <v>0.58007999999999993</v>
      </c>
      <c r="R832" s="1">
        <v>5</v>
      </c>
      <c r="S832" s="1">
        <f t="shared" si="43"/>
        <v>0.7142857142857143</v>
      </c>
      <c r="T832" s="1">
        <v>5</v>
      </c>
      <c r="U832" s="1">
        <v>12.5</v>
      </c>
      <c r="V832" s="1">
        <v>2123.1686274509798</v>
      </c>
      <c r="W832" s="1">
        <v>6</v>
      </c>
    </row>
    <row r="833" spans="1:23" x14ac:dyDescent="0.2">
      <c r="A833">
        <v>2021</v>
      </c>
      <c r="B833" t="s">
        <v>23</v>
      </c>
      <c r="C833" t="s">
        <v>24</v>
      </c>
      <c r="D833">
        <v>179</v>
      </c>
      <c r="E833">
        <v>2</v>
      </c>
      <c r="F833">
        <v>13</v>
      </c>
      <c r="G833" t="s">
        <v>204</v>
      </c>
      <c r="H833" s="1">
        <v>13</v>
      </c>
      <c r="I833" s="1">
        <v>65</v>
      </c>
      <c r="J833" s="1">
        <v>68</v>
      </c>
      <c r="K833" s="1">
        <f t="shared" si="42"/>
        <v>3</v>
      </c>
      <c r="L833" s="1">
        <v>137</v>
      </c>
      <c r="M833" s="1">
        <v>66</v>
      </c>
      <c r="N833" s="1">
        <v>2</v>
      </c>
      <c r="O833" s="1">
        <v>3.5</v>
      </c>
      <c r="P833" s="1">
        <f>H833</f>
        <v>13</v>
      </c>
      <c r="Q833" s="2">
        <v>0.22725000000000001</v>
      </c>
      <c r="R833" s="1">
        <v>9</v>
      </c>
      <c r="S833" s="1">
        <f t="shared" si="43"/>
        <v>0.69230769230769229</v>
      </c>
      <c r="T833" s="1">
        <v>5</v>
      </c>
      <c r="U833" s="1">
        <v>12.5</v>
      </c>
      <c r="V833" s="1">
        <v>831.76470588235304</v>
      </c>
      <c r="W833" s="1">
        <v>6</v>
      </c>
    </row>
    <row r="834" spans="1:23" x14ac:dyDescent="0.2">
      <c r="A834">
        <v>2021</v>
      </c>
      <c r="B834" t="s">
        <v>23</v>
      </c>
      <c r="C834" t="s">
        <v>24</v>
      </c>
      <c r="D834">
        <v>180</v>
      </c>
      <c r="E834">
        <v>1</v>
      </c>
      <c r="F834">
        <v>8</v>
      </c>
      <c r="G834" t="s">
        <v>205</v>
      </c>
      <c r="H834">
        <v>3</v>
      </c>
      <c r="I834">
        <v>56</v>
      </c>
      <c r="J834">
        <v>62</v>
      </c>
      <c r="K834">
        <v>6</v>
      </c>
      <c r="L834">
        <v>91</v>
      </c>
      <c r="M834">
        <v>24</v>
      </c>
      <c r="N834">
        <v>3</v>
      </c>
      <c r="O834">
        <v>4</v>
      </c>
      <c r="P834">
        <v>3</v>
      </c>
      <c r="Q834">
        <v>0.13100000000000001</v>
      </c>
      <c r="R834">
        <v>4</v>
      </c>
      <c r="S834">
        <v>1.3333333333333333</v>
      </c>
      <c r="T834">
        <v>5</v>
      </c>
      <c r="U834">
        <v>12.5</v>
      </c>
      <c r="V834">
        <v>479.47712418300648</v>
      </c>
      <c r="W834">
        <v>2</v>
      </c>
    </row>
    <row r="835" spans="1:23" x14ac:dyDescent="0.2">
      <c r="A835">
        <v>2021</v>
      </c>
      <c r="B835" t="s">
        <v>23</v>
      </c>
      <c r="C835" t="s">
        <v>24</v>
      </c>
      <c r="D835">
        <v>180</v>
      </c>
      <c r="E835">
        <v>2</v>
      </c>
      <c r="F835">
        <v>8</v>
      </c>
      <c r="G835" t="s">
        <v>205</v>
      </c>
      <c r="H835">
        <v>2</v>
      </c>
      <c r="I835">
        <v>55</v>
      </c>
      <c r="J835">
        <v>61</v>
      </c>
      <c r="K835">
        <v>6</v>
      </c>
      <c r="L835">
        <v>100</v>
      </c>
      <c r="M835">
        <v>31</v>
      </c>
      <c r="N835">
        <v>3</v>
      </c>
      <c r="O835">
        <v>4</v>
      </c>
      <c r="P835">
        <v>2</v>
      </c>
      <c r="Q835">
        <v>0.12</v>
      </c>
      <c r="R835">
        <v>2</v>
      </c>
      <c r="S835">
        <v>1</v>
      </c>
      <c r="T835">
        <v>3</v>
      </c>
      <c r="U835">
        <v>12.5</v>
      </c>
      <c r="V835">
        <v>439.21568627450984</v>
      </c>
      <c r="W835">
        <v>2</v>
      </c>
    </row>
    <row r="836" spans="1:23" x14ac:dyDescent="0.2">
      <c r="A836">
        <v>2021</v>
      </c>
      <c r="B836" t="s">
        <v>23</v>
      </c>
      <c r="C836" t="s">
        <v>24</v>
      </c>
      <c r="D836">
        <v>181</v>
      </c>
      <c r="E836">
        <v>1</v>
      </c>
      <c r="F836">
        <v>12</v>
      </c>
      <c r="G836" t="s">
        <v>206</v>
      </c>
      <c r="H836">
        <v>3</v>
      </c>
      <c r="I836">
        <v>60</v>
      </c>
      <c r="J836">
        <v>63</v>
      </c>
      <c r="K836">
        <v>3</v>
      </c>
      <c r="L836">
        <v>138</v>
      </c>
      <c r="M836">
        <v>28</v>
      </c>
      <c r="N836">
        <v>2</v>
      </c>
      <c r="O836">
        <v>2</v>
      </c>
      <c r="P836">
        <v>2</v>
      </c>
      <c r="Q836">
        <v>0.58699999999999997</v>
      </c>
      <c r="R836">
        <v>2</v>
      </c>
      <c r="S836">
        <v>1</v>
      </c>
      <c r="T836">
        <v>2</v>
      </c>
      <c r="U836">
        <v>12.5</v>
      </c>
      <c r="V836">
        <v>2148.4967320261439</v>
      </c>
      <c r="W836">
        <v>1</v>
      </c>
    </row>
    <row r="837" spans="1:23" x14ac:dyDescent="0.2">
      <c r="A837">
        <v>2021</v>
      </c>
      <c r="B837" t="s">
        <v>23</v>
      </c>
      <c r="C837" t="s">
        <v>24</v>
      </c>
      <c r="D837">
        <v>181</v>
      </c>
      <c r="E837">
        <v>2</v>
      </c>
      <c r="F837">
        <v>7</v>
      </c>
      <c r="G837" t="s">
        <v>206</v>
      </c>
      <c r="H837" s="1">
        <v>3</v>
      </c>
      <c r="I837" s="1">
        <v>62</v>
      </c>
      <c r="J837" s="1">
        <v>65</v>
      </c>
      <c r="K837" s="1">
        <f>J837-I837</f>
        <v>3</v>
      </c>
      <c r="L837" s="1">
        <v>137</v>
      </c>
      <c r="M837" s="1">
        <v>73</v>
      </c>
      <c r="N837" s="1">
        <v>3</v>
      </c>
      <c r="O837" s="1">
        <v>3.5</v>
      </c>
      <c r="P837" s="1">
        <f>H837</f>
        <v>3</v>
      </c>
      <c r="Q837" s="2">
        <v>5.6250000000000001E-2</v>
      </c>
      <c r="R837" s="1">
        <v>2</v>
      </c>
      <c r="S837" s="1">
        <f>R837/P837</f>
        <v>0.66666666666666663</v>
      </c>
      <c r="T837" s="1">
        <v>5</v>
      </c>
      <c r="U837" s="1">
        <v>12.5</v>
      </c>
      <c r="V837" s="1">
        <v>205.88235294117646</v>
      </c>
      <c r="W837" s="1">
        <v>6</v>
      </c>
    </row>
    <row r="838" spans="1:23" x14ac:dyDescent="0.2">
      <c r="A838">
        <v>2021</v>
      </c>
      <c r="B838" t="s">
        <v>23</v>
      </c>
      <c r="C838" t="s">
        <v>24</v>
      </c>
      <c r="D838">
        <v>182</v>
      </c>
      <c r="E838">
        <v>1</v>
      </c>
      <c r="F838">
        <v>6</v>
      </c>
      <c r="G838" t="s">
        <v>207</v>
      </c>
      <c r="H838">
        <v>16</v>
      </c>
      <c r="I838">
        <v>50</v>
      </c>
      <c r="J838">
        <v>55</v>
      </c>
      <c r="K838">
        <v>5</v>
      </c>
      <c r="L838">
        <v>142</v>
      </c>
      <c r="M838">
        <v>52</v>
      </c>
      <c r="N838">
        <v>2</v>
      </c>
      <c r="O838">
        <v>2</v>
      </c>
      <c r="P838">
        <v>13</v>
      </c>
      <c r="Q838">
        <v>1</v>
      </c>
      <c r="R838">
        <v>10</v>
      </c>
      <c r="S838">
        <v>0.76923076923076927</v>
      </c>
      <c r="T838">
        <v>3</v>
      </c>
      <c r="U838">
        <v>11.6</v>
      </c>
      <c r="V838">
        <v>3697.7777777777778</v>
      </c>
      <c r="W838">
        <v>2</v>
      </c>
    </row>
    <row r="839" spans="1:23" x14ac:dyDescent="0.2">
      <c r="A839">
        <v>2021</v>
      </c>
      <c r="B839" t="s">
        <v>23</v>
      </c>
      <c r="C839" t="s">
        <v>24</v>
      </c>
      <c r="D839">
        <v>182</v>
      </c>
      <c r="E839">
        <v>2</v>
      </c>
      <c r="F839">
        <v>8</v>
      </c>
      <c r="G839" t="s">
        <v>207</v>
      </c>
      <c r="H839">
        <v>11</v>
      </c>
      <c r="I839">
        <v>64</v>
      </c>
      <c r="J839">
        <v>67</v>
      </c>
      <c r="K839">
        <v>3</v>
      </c>
      <c r="L839">
        <v>134</v>
      </c>
      <c r="M839">
        <v>55</v>
      </c>
      <c r="N839">
        <v>1.5</v>
      </c>
      <c r="O839">
        <v>3.5</v>
      </c>
      <c r="P839">
        <v>11</v>
      </c>
      <c r="Q839">
        <v>1.6</v>
      </c>
      <c r="R839">
        <v>11</v>
      </c>
      <c r="S839">
        <v>1</v>
      </c>
      <c r="T839">
        <v>3.5</v>
      </c>
      <c r="U839">
        <v>12.5</v>
      </c>
      <c r="V839">
        <v>5856.2091503267975</v>
      </c>
      <c r="W839">
        <v>2</v>
      </c>
    </row>
    <row r="840" spans="1:23" x14ac:dyDescent="0.2">
      <c r="A840">
        <v>2021</v>
      </c>
      <c r="B840" t="s">
        <v>23</v>
      </c>
      <c r="C840" t="s">
        <v>24</v>
      </c>
      <c r="D840">
        <v>183</v>
      </c>
      <c r="E840">
        <v>1</v>
      </c>
      <c r="F840">
        <v>5</v>
      </c>
      <c r="G840" t="s">
        <v>208</v>
      </c>
      <c r="H840">
        <v>1</v>
      </c>
      <c r="I840">
        <v>55</v>
      </c>
      <c r="J840">
        <v>57</v>
      </c>
      <c r="K840">
        <v>2</v>
      </c>
      <c r="L840">
        <v>156</v>
      </c>
      <c r="M840">
        <v>76</v>
      </c>
      <c r="N840">
        <v>2.5</v>
      </c>
      <c r="O840">
        <v>3</v>
      </c>
      <c r="P840">
        <v>1</v>
      </c>
      <c r="Q840">
        <v>0.1</v>
      </c>
      <c r="R840">
        <v>1</v>
      </c>
      <c r="S840">
        <v>1</v>
      </c>
      <c r="T840">
        <v>2.5</v>
      </c>
      <c r="U840">
        <v>12.5</v>
      </c>
      <c r="V840">
        <v>366.01307189542484</v>
      </c>
      <c r="W840">
        <v>1</v>
      </c>
    </row>
    <row r="841" spans="1:23" x14ac:dyDescent="0.2">
      <c r="A841">
        <v>2021</v>
      </c>
      <c r="B841" t="s">
        <v>23</v>
      </c>
      <c r="C841" t="s">
        <v>24</v>
      </c>
      <c r="D841">
        <v>183</v>
      </c>
      <c r="E841">
        <v>2</v>
      </c>
      <c r="F841">
        <v>10</v>
      </c>
      <c r="G841" t="s">
        <v>208</v>
      </c>
      <c r="H841" s="1">
        <v>3</v>
      </c>
      <c r="I841" s="1">
        <v>60</v>
      </c>
      <c r="J841" s="1">
        <v>65</v>
      </c>
      <c r="K841" s="1">
        <f>J841-I841</f>
        <v>5</v>
      </c>
      <c r="L841" s="1">
        <v>148</v>
      </c>
      <c r="M841" s="1">
        <v>80</v>
      </c>
      <c r="N841" s="1">
        <v>2</v>
      </c>
      <c r="O841" s="1">
        <v>2.5</v>
      </c>
      <c r="P841" s="1">
        <f>H841-1</f>
        <v>2</v>
      </c>
      <c r="Q841" s="2">
        <v>0.36199999999999999</v>
      </c>
      <c r="R841" s="1">
        <v>3</v>
      </c>
      <c r="S841" s="1">
        <f>R841/P841</f>
        <v>1.5</v>
      </c>
      <c r="T841" s="1">
        <v>2</v>
      </c>
      <c r="U841" s="1">
        <v>12.5</v>
      </c>
      <c r="V841" s="1">
        <v>1324.9673202614379</v>
      </c>
      <c r="W841" s="1">
        <v>3</v>
      </c>
    </row>
    <row r="842" spans="1:23" x14ac:dyDescent="0.2">
      <c r="A842">
        <v>2021</v>
      </c>
      <c r="B842" t="s">
        <v>23</v>
      </c>
      <c r="C842" t="s">
        <v>24</v>
      </c>
      <c r="D842">
        <v>184</v>
      </c>
      <c r="E842">
        <v>1</v>
      </c>
      <c r="F842">
        <v>9</v>
      </c>
      <c r="G842" t="s">
        <v>209</v>
      </c>
      <c r="H842">
        <v>14</v>
      </c>
      <c r="I842">
        <v>56</v>
      </c>
      <c r="J842">
        <v>59</v>
      </c>
      <c r="K842">
        <v>3</v>
      </c>
      <c r="L842">
        <v>162</v>
      </c>
      <c r="M842">
        <v>57</v>
      </c>
      <c r="N842">
        <v>2</v>
      </c>
      <c r="O842">
        <v>2</v>
      </c>
      <c r="P842">
        <v>13</v>
      </c>
      <c r="Q842">
        <v>0.6</v>
      </c>
      <c r="R842">
        <v>11</v>
      </c>
      <c r="S842">
        <v>0.84615384615384615</v>
      </c>
      <c r="T842">
        <v>3</v>
      </c>
      <c r="U842">
        <v>11.4</v>
      </c>
      <c r="V842">
        <v>2223.6862745098038</v>
      </c>
      <c r="W842">
        <v>2</v>
      </c>
    </row>
    <row r="843" spans="1:23" x14ac:dyDescent="0.2">
      <c r="A843">
        <v>2021</v>
      </c>
      <c r="B843" t="s">
        <v>23</v>
      </c>
      <c r="C843" t="s">
        <v>24</v>
      </c>
      <c r="D843">
        <v>184</v>
      </c>
      <c r="E843">
        <v>2</v>
      </c>
      <c r="F843">
        <v>11</v>
      </c>
      <c r="G843" t="s">
        <v>209</v>
      </c>
      <c r="H843" s="1">
        <v>7</v>
      </c>
      <c r="I843" s="1">
        <v>62</v>
      </c>
      <c r="J843" s="1">
        <v>67</v>
      </c>
      <c r="K843" s="1">
        <f>J843-I843</f>
        <v>5</v>
      </c>
      <c r="L843" s="1">
        <v>165</v>
      </c>
      <c r="M843" s="1">
        <v>73</v>
      </c>
      <c r="N843" s="1">
        <v>1</v>
      </c>
      <c r="O843" s="1">
        <v>3.5</v>
      </c>
      <c r="P843" s="1">
        <v>6</v>
      </c>
      <c r="Q843" s="2">
        <v>0.6008</v>
      </c>
      <c r="R843" s="1">
        <v>6</v>
      </c>
      <c r="S843" s="1">
        <f>R843/P843</f>
        <v>1</v>
      </c>
      <c r="T843" s="1">
        <v>5</v>
      </c>
      <c r="U843" s="1">
        <v>12.5</v>
      </c>
      <c r="V843" s="1">
        <v>2199.0065359477126</v>
      </c>
      <c r="W843" s="1">
        <v>4</v>
      </c>
    </row>
    <row r="844" spans="1:23" x14ac:dyDescent="0.2">
      <c r="A844">
        <v>2021</v>
      </c>
      <c r="B844" t="s">
        <v>23</v>
      </c>
      <c r="C844" t="s">
        <v>24</v>
      </c>
      <c r="D844">
        <v>185</v>
      </c>
      <c r="E844">
        <v>1</v>
      </c>
      <c r="F844">
        <v>2</v>
      </c>
      <c r="G844" t="s">
        <v>210</v>
      </c>
      <c r="H844">
        <v>9</v>
      </c>
      <c r="I844">
        <v>55</v>
      </c>
      <c r="J844">
        <v>56</v>
      </c>
      <c r="K844">
        <v>1</v>
      </c>
      <c r="L844">
        <v>184</v>
      </c>
      <c r="M844">
        <v>49</v>
      </c>
      <c r="N844">
        <v>2</v>
      </c>
      <c r="O844">
        <v>3</v>
      </c>
      <c r="P844">
        <v>9</v>
      </c>
      <c r="Q844">
        <v>0.6</v>
      </c>
      <c r="R844">
        <v>8</v>
      </c>
      <c r="S844">
        <v>0.88888888888888884</v>
      </c>
      <c r="T844">
        <v>2</v>
      </c>
      <c r="U844">
        <v>12.5</v>
      </c>
      <c r="V844">
        <v>2196.0784313725489</v>
      </c>
      <c r="W844">
        <v>2</v>
      </c>
    </row>
    <row r="845" spans="1:23" x14ac:dyDescent="0.2">
      <c r="A845">
        <v>2021</v>
      </c>
      <c r="B845" t="s">
        <v>23</v>
      </c>
      <c r="C845" t="s">
        <v>24</v>
      </c>
      <c r="D845">
        <v>185</v>
      </c>
      <c r="E845">
        <v>2</v>
      </c>
      <c r="F845">
        <v>4</v>
      </c>
      <c r="G845" t="s">
        <v>210</v>
      </c>
      <c r="H845">
        <v>4</v>
      </c>
      <c r="I845">
        <v>61</v>
      </c>
      <c r="J845">
        <v>65</v>
      </c>
      <c r="K845">
        <v>4</v>
      </c>
      <c r="L845">
        <v>130</v>
      </c>
      <c r="M845">
        <v>47</v>
      </c>
      <c r="N845">
        <v>3</v>
      </c>
      <c r="O845">
        <v>4</v>
      </c>
      <c r="P845">
        <v>4</v>
      </c>
      <c r="Q845">
        <v>0.14099999999999999</v>
      </c>
      <c r="R845">
        <v>5</v>
      </c>
      <c r="S845">
        <v>1.25</v>
      </c>
      <c r="T845">
        <v>3</v>
      </c>
      <c r="U845">
        <v>12.5</v>
      </c>
      <c r="V845">
        <v>516.07843137254906</v>
      </c>
      <c r="W845">
        <v>1</v>
      </c>
    </row>
    <row r="846" spans="1:23" x14ac:dyDescent="0.2">
      <c r="A846">
        <v>2021</v>
      </c>
      <c r="B846" t="s">
        <v>23</v>
      </c>
      <c r="C846" t="s">
        <v>24</v>
      </c>
      <c r="D846">
        <v>186</v>
      </c>
      <c r="E846">
        <v>1</v>
      </c>
      <c r="F846">
        <v>3</v>
      </c>
      <c r="G846" t="s">
        <v>211</v>
      </c>
      <c r="H846" s="1">
        <v>13</v>
      </c>
      <c r="I846" s="1">
        <v>57</v>
      </c>
      <c r="J846" s="1">
        <v>62</v>
      </c>
      <c r="K846" s="1">
        <f>J846-I846</f>
        <v>5</v>
      </c>
      <c r="L846" s="1">
        <v>168</v>
      </c>
      <c r="M846" s="1">
        <v>98</v>
      </c>
      <c r="N846" s="1">
        <v>2</v>
      </c>
      <c r="O846" s="1">
        <v>2.5</v>
      </c>
      <c r="P846" s="1">
        <v>10</v>
      </c>
      <c r="Q846" s="2">
        <v>1.56</v>
      </c>
      <c r="R846" s="1">
        <v>10</v>
      </c>
      <c r="S846" s="1">
        <f>R846/P846</f>
        <v>1</v>
      </c>
      <c r="T846" s="1">
        <v>2</v>
      </c>
      <c r="U846" s="1">
        <v>10.199999999999999</v>
      </c>
      <c r="V846" s="1">
        <v>5859.8901960784315</v>
      </c>
      <c r="W846" s="1">
        <v>3</v>
      </c>
    </row>
    <row r="847" spans="1:23" x14ac:dyDescent="0.2">
      <c r="A847">
        <v>2021</v>
      </c>
      <c r="B847" t="s">
        <v>23</v>
      </c>
      <c r="C847" t="s">
        <v>24</v>
      </c>
      <c r="D847">
        <v>186</v>
      </c>
      <c r="E847">
        <v>2</v>
      </c>
      <c r="F847">
        <v>2</v>
      </c>
      <c r="G847" t="s">
        <v>211</v>
      </c>
      <c r="H847" s="1">
        <v>6</v>
      </c>
      <c r="I847" s="1">
        <v>64</v>
      </c>
      <c r="J847" s="1">
        <v>69</v>
      </c>
      <c r="K847" s="1">
        <f>J847-I847</f>
        <v>5</v>
      </c>
      <c r="L847" s="1">
        <v>143</v>
      </c>
      <c r="M847" s="1">
        <v>82</v>
      </c>
      <c r="N847" s="1">
        <v>1</v>
      </c>
      <c r="O847" s="1">
        <v>2.5</v>
      </c>
      <c r="P847" s="1">
        <v>3</v>
      </c>
      <c r="Q847" s="2">
        <v>0.316</v>
      </c>
      <c r="R847" s="1">
        <v>3</v>
      </c>
      <c r="S847" s="1">
        <f>R847/P847</f>
        <v>1</v>
      </c>
      <c r="T847" s="1">
        <v>3</v>
      </c>
      <c r="U847" s="1">
        <v>8.5</v>
      </c>
      <c r="V847" s="1">
        <v>1209.4745098039216</v>
      </c>
      <c r="W847" s="1">
        <v>4</v>
      </c>
    </row>
    <row r="848" spans="1:23" x14ac:dyDescent="0.2">
      <c r="A848">
        <v>2021</v>
      </c>
      <c r="B848" t="s">
        <v>23</v>
      </c>
      <c r="C848" t="s">
        <v>24</v>
      </c>
      <c r="D848">
        <v>187</v>
      </c>
      <c r="E848">
        <v>1</v>
      </c>
      <c r="F848">
        <v>1</v>
      </c>
      <c r="G848" t="s">
        <v>212</v>
      </c>
      <c r="H848" s="1">
        <v>12</v>
      </c>
      <c r="I848" s="1">
        <v>70</v>
      </c>
      <c r="J848" s="1">
        <v>74</v>
      </c>
      <c r="K848" s="1">
        <f>J848-I848</f>
        <v>4</v>
      </c>
      <c r="L848" s="1">
        <v>133</v>
      </c>
      <c r="M848" s="1">
        <v>90</v>
      </c>
      <c r="N848" s="1">
        <v>2</v>
      </c>
      <c r="O848" s="1">
        <v>3.5</v>
      </c>
      <c r="P848" s="1">
        <f>H848</f>
        <v>12</v>
      </c>
      <c r="Q848" s="2">
        <v>0.22410000000000002</v>
      </c>
      <c r="R848" s="1">
        <v>9</v>
      </c>
      <c r="S848" s="1">
        <f>R848/P848</f>
        <v>0.75</v>
      </c>
      <c r="T848" s="1">
        <v>5</v>
      </c>
      <c r="U848" s="1">
        <v>12.5</v>
      </c>
      <c r="V848" s="1">
        <v>820.23529411764707</v>
      </c>
      <c r="W848" s="1">
        <v>5</v>
      </c>
    </row>
    <row r="849" spans="1:23" x14ac:dyDescent="0.2">
      <c r="A849">
        <v>2021</v>
      </c>
      <c r="B849" t="s">
        <v>23</v>
      </c>
      <c r="C849" t="s">
        <v>24</v>
      </c>
      <c r="D849">
        <v>187</v>
      </c>
      <c r="E849">
        <v>2</v>
      </c>
      <c r="F849">
        <v>4</v>
      </c>
      <c r="G849" t="s">
        <v>212</v>
      </c>
      <c r="H849">
        <v>12</v>
      </c>
      <c r="I849">
        <v>57</v>
      </c>
      <c r="J849">
        <v>59</v>
      </c>
      <c r="K849">
        <v>2</v>
      </c>
      <c r="L849">
        <v>175</v>
      </c>
      <c r="M849">
        <v>92</v>
      </c>
      <c r="N849">
        <v>2</v>
      </c>
      <c r="O849">
        <v>2</v>
      </c>
      <c r="P849">
        <v>9</v>
      </c>
      <c r="Q849">
        <v>1.2</v>
      </c>
      <c r="R849">
        <v>14</v>
      </c>
      <c r="S849">
        <v>1.5555555555555556</v>
      </c>
      <c r="T849">
        <v>2</v>
      </c>
      <c r="U849">
        <v>9.6</v>
      </c>
      <c r="V849">
        <v>4537.7254901960787</v>
      </c>
      <c r="W849">
        <v>1</v>
      </c>
    </row>
    <row r="850" spans="1:23" x14ac:dyDescent="0.2">
      <c r="A850">
        <v>2021</v>
      </c>
      <c r="B850" t="s">
        <v>23</v>
      </c>
      <c r="C850" t="s">
        <v>24</v>
      </c>
      <c r="D850">
        <v>188</v>
      </c>
      <c r="E850">
        <v>1</v>
      </c>
      <c r="F850">
        <v>8</v>
      </c>
      <c r="G850" t="s">
        <v>213</v>
      </c>
      <c r="H850">
        <v>9</v>
      </c>
      <c r="I850">
        <v>55</v>
      </c>
      <c r="J850">
        <v>57</v>
      </c>
      <c r="K850">
        <v>2</v>
      </c>
      <c r="L850">
        <v>186</v>
      </c>
      <c r="M850">
        <v>71</v>
      </c>
      <c r="N850">
        <v>2</v>
      </c>
      <c r="O850">
        <v>3</v>
      </c>
      <c r="P850">
        <v>9</v>
      </c>
      <c r="Q850">
        <v>0.56000000000000005</v>
      </c>
      <c r="R850">
        <v>8</v>
      </c>
      <c r="S850">
        <v>0.88888888888888884</v>
      </c>
      <c r="T850">
        <v>2</v>
      </c>
      <c r="U850">
        <v>12.5</v>
      </c>
      <c r="V850">
        <v>2049.6732026143795</v>
      </c>
      <c r="W850">
        <v>2</v>
      </c>
    </row>
    <row r="851" spans="1:23" x14ac:dyDescent="0.2">
      <c r="A851">
        <v>2021</v>
      </c>
      <c r="B851" t="s">
        <v>23</v>
      </c>
      <c r="C851" t="s">
        <v>24</v>
      </c>
      <c r="D851">
        <v>188</v>
      </c>
      <c r="E851">
        <v>2</v>
      </c>
      <c r="F851">
        <v>6</v>
      </c>
      <c r="G851" t="s">
        <v>213</v>
      </c>
      <c r="H851">
        <v>7</v>
      </c>
      <c r="I851">
        <v>56</v>
      </c>
      <c r="J851">
        <v>60</v>
      </c>
      <c r="K851">
        <v>4</v>
      </c>
      <c r="L851">
        <v>90</v>
      </c>
      <c r="M851">
        <v>28</v>
      </c>
      <c r="N851">
        <v>2</v>
      </c>
      <c r="O851">
        <v>3</v>
      </c>
      <c r="P851">
        <v>7</v>
      </c>
      <c r="Q851">
        <v>0.5</v>
      </c>
      <c r="R851">
        <v>8</v>
      </c>
      <c r="S851">
        <v>1.1428571428571428</v>
      </c>
      <c r="T851">
        <v>3</v>
      </c>
      <c r="U851">
        <v>12.5</v>
      </c>
      <c r="V851">
        <v>1830.0653594771243</v>
      </c>
      <c r="W851">
        <v>2</v>
      </c>
    </row>
    <row r="852" spans="1:23" x14ac:dyDescent="0.2">
      <c r="A852">
        <v>2021</v>
      </c>
      <c r="B852" t="s">
        <v>23</v>
      </c>
      <c r="C852" t="s">
        <v>24</v>
      </c>
      <c r="D852">
        <v>189</v>
      </c>
      <c r="E852">
        <v>1</v>
      </c>
      <c r="F852">
        <v>1</v>
      </c>
      <c r="G852" t="s">
        <v>214</v>
      </c>
      <c r="H852">
        <v>12</v>
      </c>
      <c r="I852">
        <v>53</v>
      </c>
      <c r="J852">
        <v>56</v>
      </c>
      <c r="K852">
        <v>3</v>
      </c>
      <c r="L852">
        <v>152</v>
      </c>
      <c r="M852">
        <v>55</v>
      </c>
      <c r="N852">
        <v>2</v>
      </c>
      <c r="O852">
        <v>2</v>
      </c>
      <c r="P852">
        <v>8</v>
      </c>
      <c r="Q852">
        <v>0.3</v>
      </c>
      <c r="R852">
        <v>8</v>
      </c>
      <c r="S852">
        <v>1</v>
      </c>
      <c r="T852">
        <v>4</v>
      </c>
      <c r="U852">
        <v>14.3</v>
      </c>
      <c r="V852">
        <v>1075.4509803921569</v>
      </c>
      <c r="W852">
        <v>2</v>
      </c>
    </row>
    <row r="853" spans="1:23" x14ac:dyDescent="0.2">
      <c r="A853">
        <v>2021</v>
      </c>
      <c r="B853" t="s">
        <v>23</v>
      </c>
      <c r="C853" t="s">
        <v>24</v>
      </c>
      <c r="D853">
        <v>189</v>
      </c>
      <c r="E853">
        <v>2</v>
      </c>
      <c r="F853">
        <v>8</v>
      </c>
      <c r="G853" t="s">
        <v>214</v>
      </c>
      <c r="H853" s="1">
        <v>6</v>
      </c>
      <c r="I853" s="1">
        <v>61</v>
      </c>
      <c r="J853" s="1">
        <v>66</v>
      </c>
      <c r="K853" s="1">
        <f>J853-I853</f>
        <v>5</v>
      </c>
      <c r="L853" s="1">
        <v>165</v>
      </c>
      <c r="M853" s="1">
        <v>75</v>
      </c>
      <c r="N853" s="1">
        <v>2</v>
      </c>
      <c r="O853" s="1">
        <v>3</v>
      </c>
      <c r="P853" s="1">
        <v>6</v>
      </c>
      <c r="Q853" s="2">
        <v>0.35199999999999998</v>
      </c>
      <c r="R853" s="1">
        <v>4</v>
      </c>
      <c r="S853" s="1">
        <f>R853/P853</f>
        <v>0.66666666666666663</v>
      </c>
      <c r="T853" s="1">
        <v>5</v>
      </c>
      <c r="U853" s="1">
        <v>12.5</v>
      </c>
      <c r="V853" s="1">
        <v>1288.3660130718954</v>
      </c>
      <c r="W853" s="1">
        <v>4</v>
      </c>
    </row>
    <row r="854" spans="1:23" x14ac:dyDescent="0.2">
      <c r="A854">
        <v>2021</v>
      </c>
      <c r="B854" t="s">
        <v>23</v>
      </c>
      <c r="C854" t="s">
        <v>24</v>
      </c>
      <c r="D854">
        <v>190</v>
      </c>
      <c r="E854">
        <v>1</v>
      </c>
      <c r="F854">
        <v>9</v>
      </c>
      <c r="G854" t="s">
        <v>215</v>
      </c>
      <c r="H854">
        <v>5</v>
      </c>
      <c r="I854">
        <v>59</v>
      </c>
      <c r="J854">
        <v>62</v>
      </c>
      <c r="K854">
        <v>3</v>
      </c>
      <c r="L854">
        <v>125</v>
      </c>
      <c r="M854">
        <v>51</v>
      </c>
      <c r="N854">
        <v>1.5</v>
      </c>
      <c r="O854">
        <v>2.5</v>
      </c>
      <c r="P854">
        <v>5</v>
      </c>
      <c r="Q854">
        <v>0.3</v>
      </c>
      <c r="R854">
        <v>3</v>
      </c>
      <c r="S854">
        <v>0.6</v>
      </c>
      <c r="T854" t="s">
        <v>273</v>
      </c>
      <c r="U854">
        <v>12.5</v>
      </c>
      <c r="V854">
        <v>1098.0392156862745</v>
      </c>
      <c r="W854">
        <v>1</v>
      </c>
    </row>
    <row r="855" spans="1:23" x14ac:dyDescent="0.2">
      <c r="A855">
        <v>2021</v>
      </c>
      <c r="B855" t="s">
        <v>23</v>
      </c>
      <c r="C855" t="s">
        <v>24</v>
      </c>
      <c r="D855">
        <v>190</v>
      </c>
      <c r="E855">
        <v>2</v>
      </c>
      <c r="F855">
        <v>6</v>
      </c>
      <c r="G855" t="s">
        <v>215</v>
      </c>
      <c r="H855">
        <v>16</v>
      </c>
      <c r="I855">
        <v>52</v>
      </c>
      <c r="J855">
        <v>54</v>
      </c>
      <c r="K855">
        <v>2</v>
      </c>
      <c r="L855">
        <v>194</v>
      </c>
      <c r="M855">
        <v>64</v>
      </c>
      <c r="N855">
        <v>2</v>
      </c>
      <c r="O855">
        <v>2</v>
      </c>
      <c r="P855">
        <v>13</v>
      </c>
      <c r="Q855">
        <v>1.1000000000000001</v>
      </c>
      <c r="R855">
        <v>12</v>
      </c>
      <c r="S855">
        <v>0.92307692307692313</v>
      </c>
      <c r="T855">
        <v>2</v>
      </c>
      <c r="U855">
        <v>11.2</v>
      </c>
      <c r="V855">
        <v>4085.9607843137255</v>
      </c>
      <c r="W855">
        <v>2</v>
      </c>
    </row>
    <row r="856" spans="1:23" x14ac:dyDescent="0.2">
      <c r="A856">
        <v>2021</v>
      </c>
      <c r="B856" t="s">
        <v>23</v>
      </c>
      <c r="C856" t="s">
        <v>24</v>
      </c>
      <c r="D856">
        <v>191</v>
      </c>
      <c r="E856">
        <v>1</v>
      </c>
      <c r="F856">
        <v>3</v>
      </c>
      <c r="G856" t="s">
        <v>216</v>
      </c>
      <c r="H856" s="1">
        <v>6</v>
      </c>
      <c r="I856" s="1">
        <v>64</v>
      </c>
      <c r="J856" s="1">
        <v>67</v>
      </c>
      <c r="K856" s="1">
        <f>J856-I856</f>
        <v>3</v>
      </c>
      <c r="L856" s="1">
        <v>152</v>
      </c>
      <c r="M856" s="1">
        <v>67</v>
      </c>
      <c r="N856" s="1">
        <v>2.5</v>
      </c>
      <c r="O856" s="1">
        <v>3</v>
      </c>
      <c r="P856" s="1">
        <v>4</v>
      </c>
      <c r="Q856" s="2">
        <v>0.45</v>
      </c>
      <c r="R856" s="1">
        <v>4</v>
      </c>
      <c r="S856" s="1">
        <f>R856/P856</f>
        <v>1</v>
      </c>
      <c r="T856" s="1">
        <v>2</v>
      </c>
      <c r="U856" s="1">
        <v>12.5</v>
      </c>
      <c r="V856" s="1">
        <v>1647.0588235294117</v>
      </c>
      <c r="W856" s="1">
        <v>3</v>
      </c>
    </row>
    <row r="857" spans="1:23" x14ac:dyDescent="0.2">
      <c r="A857">
        <v>2021</v>
      </c>
      <c r="B857" t="s">
        <v>23</v>
      </c>
      <c r="C857" t="s">
        <v>24</v>
      </c>
      <c r="D857">
        <v>191</v>
      </c>
      <c r="E857">
        <v>2</v>
      </c>
      <c r="F857">
        <v>10</v>
      </c>
      <c r="G857" t="s">
        <v>216</v>
      </c>
      <c r="H857" s="1">
        <v>3</v>
      </c>
      <c r="I857" s="1">
        <v>62</v>
      </c>
      <c r="J857" s="1">
        <v>67</v>
      </c>
      <c r="K857" s="1">
        <f>J857-I857</f>
        <v>5</v>
      </c>
      <c r="L857" s="1">
        <v>111</v>
      </c>
      <c r="M857" s="1">
        <v>56</v>
      </c>
      <c r="N857" s="1">
        <v>2</v>
      </c>
      <c r="O857" s="1">
        <v>3.5</v>
      </c>
      <c r="P857" s="1">
        <v>3</v>
      </c>
      <c r="Q857" s="2">
        <v>7.2999999999999995E-2</v>
      </c>
      <c r="R857" s="1">
        <v>4</v>
      </c>
      <c r="S857" s="1">
        <f>R857/P857</f>
        <v>1.3333333333333333</v>
      </c>
      <c r="T857" s="1">
        <v>5</v>
      </c>
      <c r="U857" s="1">
        <v>12.5</v>
      </c>
      <c r="V857" s="1">
        <v>267.18954248366009</v>
      </c>
      <c r="W857" s="1">
        <v>4</v>
      </c>
    </row>
    <row r="858" spans="1:23" x14ac:dyDescent="0.2">
      <c r="A858">
        <v>2021</v>
      </c>
      <c r="B858" t="s">
        <v>23</v>
      </c>
      <c r="C858" t="s">
        <v>24</v>
      </c>
      <c r="D858">
        <v>192</v>
      </c>
      <c r="E858">
        <v>1</v>
      </c>
      <c r="F858">
        <v>9</v>
      </c>
      <c r="G858" t="s">
        <v>217</v>
      </c>
      <c r="H858" s="1">
        <v>2</v>
      </c>
      <c r="I858" s="1">
        <v>63</v>
      </c>
      <c r="J858" s="1">
        <v>68</v>
      </c>
      <c r="K858" s="1">
        <f>J858-I858</f>
        <v>5</v>
      </c>
      <c r="L858" s="1">
        <v>128</v>
      </c>
      <c r="M858" s="1">
        <v>87</v>
      </c>
      <c r="N858" s="1">
        <v>2</v>
      </c>
      <c r="O858" s="1">
        <v>2</v>
      </c>
      <c r="P858" s="1">
        <v>2</v>
      </c>
      <c r="Q858" s="2">
        <v>0.30399999999999999</v>
      </c>
      <c r="R858" s="1">
        <v>2</v>
      </c>
      <c r="S858" s="1">
        <f>R858/P858</f>
        <v>1</v>
      </c>
      <c r="T858" s="1">
        <v>5</v>
      </c>
      <c r="U858" s="1">
        <v>12.5</v>
      </c>
      <c r="V858" s="1">
        <v>1112.6797385620914</v>
      </c>
      <c r="W858" s="1">
        <v>2</v>
      </c>
    </row>
    <row r="859" spans="1:23" x14ac:dyDescent="0.2">
      <c r="A859">
        <v>2021</v>
      </c>
      <c r="B859" t="s">
        <v>23</v>
      </c>
      <c r="C859" t="s">
        <v>24</v>
      </c>
      <c r="D859">
        <v>192</v>
      </c>
      <c r="E859">
        <v>2</v>
      </c>
      <c r="F859">
        <v>14</v>
      </c>
      <c r="G859" t="s">
        <v>217</v>
      </c>
      <c r="H859" s="1">
        <v>8</v>
      </c>
      <c r="I859" s="1">
        <v>58</v>
      </c>
      <c r="J859" s="1">
        <v>61</v>
      </c>
      <c r="K859" s="1">
        <f>J859-I859</f>
        <v>3</v>
      </c>
      <c r="L859" s="1">
        <v>118</v>
      </c>
      <c r="M859" s="1">
        <v>40</v>
      </c>
      <c r="N859" s="1">
        <v>3</v>
      </c>
      <c r="O859" s="1">
        <v>3.5</v>
      </c>
      <c r="P859" s="1">
        <v>8</v>
      </c>
      <c r="Q859" s="2">
        <v>0.17774999999999999</v>
      </c>
      <c r="R859" s="1">
        <v>8</v>
      </c>
      <c r="S859" s="1">
        <f>R859/P859</f>
        <v>1</v>
      </c>
      <c r="T859" s="1">
        <v>4</v>
      </c>
      <c r="U859" s="1">
        <v>12.5</v>
      </c>
      <c r="V859" s="1">
        <v>650.58823529411757</v>
      </c>
      <c r="W859" s="1">
        <v>4</v>
      </c>
    </row>
    <row r="860" spans="1:23" x14ac:dyDescent="0.2">
      <c r="A860">
        <v>2021</v>
      </c>
      <c r="B860" t="s">
        <v>23</v>
      </c>
      <c r="C860" t="s">
        <v>24</v>
      </c>
      <c r="D860">
        <v>193</v>
      </c>
      <c r="E860">
        <v>1</v>
      </c>
      <c r="F860">
        <v>7</v>
      </c>
      <c r="G860" t="s">
        <v>218</v>
      </c>
      <c r="H860" s="1">
        <v>10</v>
      </c>
      <c r="I860" s="1">
        <v>69</v>
      </c>
      <c r="J860" s="1">
        <v>74</v>
      </c>
      <c r="K860" s="1">
        <f>J860-I860</f>
        <v>5</v>
      </c>
      <c r="L860" s="1">
        <v>104</v>
      </c>
      <c r="M860" s="1">
        <v>32</v>
      </c>
      <c r="N860" s="1">
        <v>3</v>
      </c>
      <c r="O860" s="1">
        <v>5</v>
      </c>
      <c r="P860" s="1">
        <v>1</v>
      </c>
      <c r="Q860" s="2">
        <v>1.4999999999999999E-2</v>
      </c>
      <c r="R860" s="1">
        <v>1</v>
      </c>
      <c r="S860" s="1">
        <f>R860/P860</f>
        <v>1</v>
      </c>
      <c r="T860" s="1">
        <v>5</v>
      </c>
      <c r="U860" s="1">
        <v>12.5</v>
      </c>
      <c r="V860" s="1">
        <v>54.901960784313729</v>
      </c>
      <c r="W860" s="1">
        <v>5</v>
      </c>
    </row>
    <row r="861" spans="1:23" x14ac:dyDescent="0.2">
      <c r="A861">
        <v>2021</v>
      </c>
      <c r="B861" t="s">
        <v>23</v>
      </c>
      <c r="C861" t="s">
        <v>24</v>
      </c>
      <c r="D861">
        <v>193</v>
      </c>
      <c r="E861">
        <v>2</v>
      </c>
      <c r="F861">
        <v>9</v>
      </c>
      <c r="G861" t="s">
        <v>218</v>
      </c>
      <c r="H861">
        <v>3</v>
      </c>
      <c r="I861">
        <v>55</v>
      </c>
      <c r="J861">
        <v>59</v>
      </c>
      <c r="K861">
        <v>4</v>
      </c>
      <c r="L861">
        <v>102</v>
      </c>
      <c r="M861">
        <v>29</v>
      </c>
      <c r="N861">
        <v>2</v>
      </c>
      <c r="O861">
        <v>3</v>
      </c>
      <c r="P861">
        <v>3</v>
      </c>
      <c r="Q861">
        <v>0.15</v>
      </c>
      <c r="R861">
        <v>2</v>
      </c>
      <c r="S861">
        <v>0.66666666666666663</v>
      </c>
      <c r="T861">
        <v>2.5</v>
      </c>
      <c r="U861">
        <v>12.5</v>
      </c>
      <c r="V861">
        <v>549.01960784313724</v>
      </c>
      <c r="W861">
        <v>2</v>
      </c>
    </row>
    <row r="862" spans="1:23" x14ac:dyDescent="0.2">
      <c r="A862">
        <v>2021</v>
      </c>
      <c r="B862" t="s">
        <v>23</v>
      </c>
      <c r="C862" t="s">
        <v>24</v>
      </c>
      <c r="D862">
        <v>194</v>
      </c>
      <c r="E862">
        <v>1</v>
      </c>
      <c r="F862">
        <v>1</v>
      </c>
      <c r="G862" t="s">
        <v>219</v>
      </c>
      <c r="H862">
        <v>9</v>
      </c>
      <c r="I862">
        <v>54</v>
      </c>
      <c r="J862">
        <v>55</v>
      </c>
      <c r="K862">
        <v>1</v>
      </c>
      <c r="L862">
        <v>160</v>
      </c>
      <c r="M862">
        <v>85</v>
      </c>
      <c r="N862">
        <v>1</v>
      </c>
      <c r="O862">
        <v>2.5</v>
      </c>
      <c r="P862">
        <v>9</v>
      </c>
      <c r="Q862">
        <v>0.6</v>
      </c>
      <c r="R862">
        <v>8</v>
      </c>
      <c r="S862">
        <v>0.88888888888888884</v>
      </c>
      <c r="T862">
        <v>1</v>
      </c>
      <c r="U862">
        <v>9.8000000000000007</v>
      </c>
      <c r="V862">
        <v>2263.8431372549021</v>
      </c>
      <c r="W862">
        <v>2</v>
      </c>
    </row>
    <row r="863" spans="1:23" x14ac:dyDescent="0.2">
      <c r="A863">
        <v>2021</v>
      </c>
      <c r="B863" t="s">
        <v>23</v>
      </c>
      <c r="C863" t="s">
        <v>24</v>
      </c>
      <c r="D863">
        <v>194</v>
      </c>
      <c r="E863">
        <v>2</v>
      </c>
      <c r="F863">
        <v>11</v>
      </c>
      <c r="G863" t="s">
        <v>219</v>
      </c>
      <c r="H863" s="1">
        <v>10</v>
      </c>
      <c r="I863" s="1">
        <v>66</v>
      </c>
      <c r="J863" s="1">
        <v>70</v>
      </c>
      <c r="K863" s="1">
        <f>J863-I863</f>
        <v>4</v>
      </c>
      <c r="L863" s="1">
        <v>114</v>
      </c>
      <c r="M863" s="1">
        <v>36</v>
      </c>
      <c r="N863" s="1">
        <v>3</v>
      </c>
      <c r="O863" s="1">
        <v>4.5</v>
      </c>
      <c r="P863" s="1">
        <v>4</v>
      </c>
      <c r="Q863" s="2">
        <v>0.10199999999999999</v>
      </c>
      <c r="R863" s="1">
        <v>4</v>
      </c>
      <c r="S863" s="1">
        <f>R863/P863</f>
        <v>1</v>
      </c>
      <c r="T863" s="1">
        <v>5</v>
      </c>
      <c r="U863" s="1">
        <v>12.5</v>
      </c>
      <c r="V863" s="1">
        <v>373.33333333333326</v>
      </c>
      <c r="W863" s="1">
        <v>6</v>
      </c>
    </row>
    <row r="864" spans="1:23" x14ac:dyDescent="0.2">
      <c r="A864">
        <v>2021</v>
      </c>
      <c r="B864" t="s">
        <v>23</v>
      </c>
      <c r="C864" t="s">
        <v>24</v>
      </c>
      <c r="D864">
        <v>195</v>
      </c>
      <c r="E864">
        <v>1</v>
      </c>
      <c r="F864">
        <v>2</v>
      </c>
      <c r="G864" t="s">
        <v>220</v>
      </c>
      <c r="H864">
        <v>15</v>
      </c>
      <c r="I864">
        <v>55</v>
      </c>
      <c r="J864">
        <v>60</v>
      </c>
      <c r="K864">
        <v>5</v>
      </c>
      <c r="L864">
        <v>175</v>
      </c>
      <c r="M864">
        <v>86</v>
      </c>
      <c r="N864">
        <v>1.5</v>
      </c>
      <c r="O864">
        <v>2.5</v>
      </c>
      <c r="P864">
        <v>14</v>
      </c>
      <c r="Q864">
        <v>1</v>
      </c>
      <c r="R864">
        <v>12</v>
      </c>
      <c r="S864">
        <v>0.8571428571428571</v>
      </c>
      <c r="T864">
        <v>2</v>
      </c>
      <c r="U864">
        <v>12.5</v>
      </c>
      <c r="V864">
        <v>3660.1307189542486</v>
      </c>
      <c r="W864">
        <v>2</v>
      </c>
    </row>
    <row r="865" spans="1:23" x14ac:dyDescent="0.2">
      <c r="A865">
        <v>2021</v>
      </c>
      <c r="B865" t="s">
        <v>23</v>
      </c>
      <c r="C865" t="s">
        <v>24</v>
      </c>
      <c r="D865">
        <v>195</v>
      </c>
      <c r="E865">
        <v>2</v>
      </c>
      <c r="F865">
        <v>14</v>
      </c>
      <c r="G865" t="s">
        <v>220</v>
      </c>
      <c r="H865" s="1">
        <v>12</v>
      </c>
      <c r="I865" s="1">
        <v>71</v>
      </c>
      <c r="J865" s="1">
        <v>75</v>
      </c>
      <c r="K865" s="1">
        <f>J865-I865</f>
        <v>4</v>
      </c>
      <c r="L865" s="1">
        <v>181</v>
      </c>
      <c r="M865" s="1">
        <v>70</v>
      </c>
      <c r="N865" s="1">
        <v>2.5</v>
      </c>
      <c r="O865" s="1">
        <v>3.5</v>
      </c>
      <c r="P865" s="1">
        <v>7</v>
      </c>
      <c r="Q865" s="2">
        <v>0.33839999999999998</v>
      </c>
      <c r="R865" s="1">
        <v>7</v>
      </c>
      <c r="S865" s="1">
        <f>R865/P865</f>
        <v>1</v>
      </c>
      <c r="T865" s="1">
        <v>4</v>
      </c>
      <c r="U865" s="1">
        <v>12.5</v>
      </c>
      <c r="V865" s="1">
        <v>1238.5882352941178</v>
      </c>
      <c r="W865" s="1">
        <v>3</v>
      </c>
    </row>
    <row r="866" spans="1:23" x14ac:dyDescent="0.2">
      <c r="A866">
        <v>2021</v>
      </c>
      <c r="B866" t="s">
        <v>23</v>
      </c>
      <c r="C866" t="s">
        <v>24</v>
      </c>
      <c r="D866">
        <v>196</v>
      </c>
      <c r="E866">
        <v>1</v>
      </c>
      <c r="F866">
        <v>5</v>
      </c>
      <c r="G866" t="s">
        <v>221</v>
      </c>
      <c r="H866" s="1">
        <v>10</v>
      </c>
      <c r="I866" s="1">
        <v>62</v>
      </c>
      <c r="J866" s="1">
        <v>66</v>
      </c>
      <c r="K866" s="1">
        <f>J866-I866</f>
        <v>4</v>
      </c>
      <c r="L866" s="1">
        <v>137</v>
      </c>
      <c r="M866" s="1">
        <v>51</v>
      </c>
      <c r="N866" s="1">
        <v>2</v>
      </c>
      <c r="O866" s="1">
        <v>3.5</v>
      </c>
      <c r="P866" s="1">
        <v>9</v>
      </c>
      <c r="Q866" s="2">
        <v>0.17959999999999998</v>
      </c>
      <c r="R866" s="1">
        <v>9</v>
      </c>
      <c r="S866" s="1">
        <f>R866/P866</f>
        <v>1</v>
      </c>
      <c r="T866" s="1">
        <v>3</v>
      </c>
      <c r="U866" s="1">
        <v>12.5</v>
      </c>
      <c r="V866" s="1">
        <v>657.35947712418283</v>
      </c>
      <c r="W866" s="1">
        <v>4</v>
      </c>
    </row>
    <row r="867" spans="1:23" x14ac:dyDescent="0.2">
      <c r="A867">
        <v>2021</v>
      </c>
      <c r="B867" t="s">
        <v>23</v>
      </c>
      <c r="C867" t="s">
        <v>24</v>
      </c>
      <c r="D867">
        <v>196</v>
      </c>
      <c r="E867">
        <v>2</v>
      </c>
      <c r="F867">
        <v>4</v>
      </c>
      <c r="G867" t="s">
        <v>221</v>
      </c>
      <c r="H867" s="1">
        <v>8</v>
      </c>
      <c r="I867" s="1">
        <v>65</v>
      </c>
      <c r="J867" s="1">
        <v>70</v>
      </c>
      <c r="K867" s="1">
        <f>J867-I867</f>
        <v>5</v>
      </c>
      <c r="L867" s="1">
        <v>95</v>
      </c>
      <c r="M867" s="1">
        <v>16</v>
      </c>
      <c r="N867" s="1">
        <v>2</v>
      </c>
      <c r="O867" s="1">
        <v>4</v>
      </c>
      <c r="P867" s="1">
        <v>5</v>
      </c>
      <c r="Q867" s="2">
        <v>0.11899999999999999</v>
      </c>
      <c r="R867" s="1">
        <v>4</v>
      </c>
      <c r="S867" s="1">
        <f>R867/P867</f>
        <v>0.8</v>
      </c>
      <c r="T867" s="1">
        <v>5</v>
      </c>
      <c r="U867" s="1">
        <v>12.5</v>
      </c>
      <c r="V867" s="1">
        <v>435.55555555555554</v>
      </c>
      <c r="W867" s="1">
        <v>5</v>
      </c>
    </row>
    <row r="868" spans="1:23" x14ac:dyDescent="0.2">
      <c r="A868">
        <v>2021</v>
      </c>
      <c r="B868" t="s">
        <v>23</v>
      </c>
      <c r="C868" t="s">
        <v>24</v>
      </c>
      <c r="D868">
        <v>197</v>
      </c>
      <c r="E868">
        <v>1</v>
      </c>
      <c r="F868">
        <v>3</v>
      </c>
      <c r="G868" t="s">
        <v>222</v>
      </c>
      <c r="H868" s="1">
        <v>7</v>
      </c>
      <c r="I868" s="1">
        <v>66</v>
      </c>
      <c r="J868" s="1">
        <v>70</v>
      </c>
      <c r="K868" s="1">
        <f>J868-I868</f>
        <v>4</v>
      </c>
      <c r="L868" s="1">
        <v>101</v>
      </c>
      <c r="M868" s="1">
        <v>41</v>
      </c>
      <c r="N868" s="1">
        <v>2</v>
      </c>
      <c r="O868" s="1">
        <v>4</v>
      </c>
      <c r="P868" s="1">
        <v>4</v>
      </c>
      <c r="Q868" s="2">
        <v>7.6999999999999999E-2</v>
      </c>
      <c r="R868" s="1">
        <v>3</v>
      </c>
      <c r="S868" s="1">
        <f>R868/P868</f>
        <v>0.75</v>
      </c>
      <c r="T868" s="1">
        <v>4</v>
      </c>
      <c r="U868" s="1">
        <v>12.5</v>
      </c>
      <c r="V868" s="1">
        <v>281.83006535947715</v>
      </c>
      <c r="W868" s="1">
        <v>5</v>
      </c>
    </row>
    <row r="869" spans="1:23" x14ac:dyDescent="0.2">
      <c r="A869">
        <v>2021</v>
      </c>
      <c r="B869" t="s">
        <v>23</v>
      </c>
      <c r="C869" t="s">
        <v>24</v>
      </c>
      <c r="D869">
        <v>197</v>
      </c>
      <c r="E869">
        <v>2</v>
      </c>
      <c r="F869">
        <v>12</v>
      </c>
      <c r="G869" t="s">
        <v>222</v>
      </c>
      <c r="H869" s="1">
        <v>10</v>
      </c>
      <c r="I869" s="1">
        <v>59</v>
      </c>
      <c r="J869" s="1">
        <v>63</v>
      </c>
      <c r="K869" s="1">
        <f>J869-I869</f>
        <v>4</v>
      </c>
      <c r="L869" s="1">
        <v>127</v>
      </c>
      <c r="M869" s="1">
        <v>62</v>
      </c>
      <c r="N869" s="1">
        <v>2</v>
      </c>
      <c r="O869" s="1">
        <v>4</v>
      </c>
      <c r="P869" s="1">
        <v>7</v>
      </c>
      <c r="Q869" s="2">
        <v>0.45200000000000001</v>
      </c>
      <c r="R869" s="1">
        <v>7</v>
      </c>
      <c r="S869" s="1">
        <f>R869/P869</f>
        <v>1</v>
      </c>
      <c r="T869" s="1">
        <v>3.5</v>
      </c>
      <c r="U869" s="1">
        <v>12.5</v>
      </c>
      <c r="V869" s="1">
        <v>1654.3790849673205</v>
      </c>
      <c r="W869" s="1">
        <v>6</v>
      </c>
    </row>
    <row r="870" spans="1:23" x14ac:dyDescent="0.2">
      <c r="A870">
        <v>2021</v>
      </c>
      <c r="B870" t="s">
        <v>23</v>
      </c>
      <c r="C870" t="s">
        <v>24</v>
      </c>
      <c r="D870">
        <v>198</v>
      </c>
      <c r="E870">
        <v>1</v>
      </c>
      <c r="F870">
        <v>7</v>
      </c>
      <c r="G870" t="s">
        <v>223</v>
      </c>
      <c r="H870">
        <v>8</v>
      </c>
      <c r="I870">
        <v>60</v>
      </c>
      <c r="J870">
        <v>66</v>
      </c>
      <c r="K870">
        <v>6</v>
      </c>
      <c r="L870">
        <v>115</v>
      </c>
      <c r="M870">
        <v>56</v>
      </c>
      <c r="N870">
        <v>2</v>
      </c>
      <c r="O870">
        <v>4</v>
      </c>
      <c r="P870">
        <v>3</v>
      </c>
      <c r="Q870">
        <v>7.640000000000001E-2</v>
      </c>
      <c r="R870">
        <v>1</v>
      </c>
      <c r="S870">
        <v>0.33333333333333331</v>
      </c>
      <c r="T870">
        <v>2</v>
      </c>
      <c r="U870">
        <v>12.5</v>
      </c>
      <c r="V870">
        <v>279.63398692810455</v>
      </c>
      <c r="W870">
        <v>1</v>
      </c>
    </row>
    <row r="871" spans="1:23" x14ac:dyDescent="0.2">
      <c r="A871">
        <v>2021</v>
      </c>
      <c r="B871" t="s">
        <v>23</v>
      </c>
      <c r="C871" t="s">
        <v>24</v>
      </c>
      <c r="D871">
        <v>198</v>
      </c>
      <c r="E871">
        <v>2</v>
      </c>
      <c r="F871">
        <v>11</v>
      </c>
      <c r="G871" t="s">
        <v>223</v>
      </c>
      <c r="H871">
        <v>15</v>
      </c>
      <c r="I871">
        <v>55</v>
      </c>
      <c r="J871">
        <v>59</v>
      </c>
      <c r="K871">
        <v>4</v>
      </c>
      <c r="L871">
        <v>189</v>
      </c>
      <c r="M871">
        <v>72</v>
      </c>
      <c r="N871">
        <v>2</v>
      </c>
      <c r="O871">
        <v>1.5</v>
      </c>
      <c r="P871">
        <v>14</v>
      </c>
      <c r="Q871">
        <v>1.4</v>
      </c>
      <c r="R871">
        <v>13</v>
      </c>
      <c r="S871">
        <v>0.9285714285714286</v>
      </c>
      <c r="T871">
        <v>4</v>
      </c>
      <c r="U871">
        <v>11.3</v>
      </c>
      <c r="V871">
        <v>5194.4575163398695</v>
      </c>
      <c r="W871">
        <v>2</v>
      </c>
    </row>
    <row r="872" spans="1:23" x14ac:dyDescent="0.2">
      <c r="A872">
        <v>2021</v>
      </c>
      <c r="B872" t="s">
        <v>23</v>
      </c>
      <c r="C872" t="s">
        <v>24</v>
      </c>
      <c r="D872">
        <v>199</v>
      </c>
      <c r="E872">
        <v>1</v>
      </c>
      <c r="F872">
        <v>12</v>
      </c>
      <c r="G872" t="s">
        <v>224</v>
      </c>
      <c r="H872">
        <v>6</v>
      </c>
      <c r="I872">
        <v>63</v>
      </c>
      <c r="J872">
        <v>67</v>
      </c>
      <c r="K872">
        <v>4</v>
      </c>
      <c r="L872">
        <v>125</v>
      </c>
      <c r="M872">
        <v>70</v>
      </c>
      <c r="N872">
        <v>1.5</v>
      </c>
      <c r="O872">
        <v>4</v>
      </c>
      <c r="P872">
        <v>6</v>
      </c>
      <c r="Q872">
        <v>0.45</v>
      </c>
      <c r="R872">
        <v>8</v>
      </c>
      <c r="S872">
        <v>1.3333333333333333</v>
      </c>
      <c r="T872">
        <v>2</v>
      </c>
      <c r="U872">
        <v>12.5</v>
      </c>
      <c r="V872">
        <v>1647.0588235294117</v>
      </c>
      <c r="W872">
        <v>1</v>
      </c>
    </row>
    <row r="873" spans="1:23" x14ac:dyDescent="0.2">
      <c r="A873">
        <v>2021</v>
      </c>
      <c r="B873" t="s">
        <v>23</v>
      </c>
      <c r="C873" t="s">
        <v>24</v>
      </c>
      <c r="D873">
        <v>199</v>
      </c>
      <c r="E873">
        <v>2</v>
      </c>
      <c r="F873">
        <v>8</v>
      </c>
      <c r="G873" t="s">
        <v>224</v>
      </c>
      <c r="H873">
        <v>9</v>
      </c>
      <c r="I873">
        <v>55</v>
      </c>
      <c r="J873">
        <v>59</v>
      </c>
      <c r="K873">
        <v>4</v>
      </c>
      <c r="L873">
        <v>198</v>
      </c>
      <c r="M873">
        <v>66</v>
      </c>
      <c r="N873">
        <v>4</v>
      </c>
      <c r="O873">
        <v>4</v>
      </c>
      <c r="P873">
        <v>8</v>
      </c>
      <c r="Q873">
        <v>1.1839999999999999</v>
      </c>
      <c r="R873">
        <v>6</v>
      </c>
      <c r="S873">
        <v>0.75</v>
      </c>
      <c r="T873">
        <v>2</v>
      </c>
      <c r="U873">
        <v>12.5</v>
      </c>
      <c r="V873">
        <v>4333.5947712418301</v>
      </c>
      <c r="W873">
        <v>1</v>
      </c>
    </row>
    <row r="874" spans="1:23" x14ac:dyDescent="0.2">
      <c r="A874">
        <v>2021</v>
      </c>
      <c r="B874" t="s">
        <v>23</v>
      </c>
      <c r="C874" t="s">
        <v>24</v>
      </c>
      <c r="D874">
        <v>200</v>
      </c>
      <c r="E874">
        <v>1</v>
      </c>
      <c r="F874">
        <v>12</v>
      </c>
      <c r="G874" t="s">
        <v>225</v>
      </c>
      <c r="H874" s="1">
        <v>18</v>
      </c>
      <c r="I874" s="1">
        <v>59</v>
      </c>
      <c r="J874" s="1">
        <v>65</v>
      </c>
      <c r="K874" s="1">
        <f>J874-I874</f>
        <v>6</v>
      </c>
      <c r="L874" s="1">
        <v>133</v>
      </c>
      <c r="M874" s="1">
        <v>50</v>
      </c>
      <c r="N874" s="1">
        <v>2</v>
      </c>
      <c r="O874" s="1">
        <v>3</v>
      </c>
      <c r="P874" s="1">
        <f>H874-2</f>
        <v>16</v>
      </c>
      <c r="Q874" s="2">
        <v>0.31125000000000003</v>
      </c>
      <c r="R874" s="1">
        <v>13</v>
      </c>
      <c r="S874" s="1">
        <f>R874/P874</f>
        <v>0.8125</v>
      </c>
      <c r="T874" s="1">
        <v>5</v>
      </c>
      <c r="U874" s="1">
        <v>12.5</v>
      </c>
      <c r="V874" s="1">
        <v>1139.2156862745101</v>
      </c>
      <c r="W874" s="1">
        <v>2</v>
      </c>
    </row>
    <row r="875" spans="1:23" x14ac:dyDescent="0.2">
      <c r="A875">
        <v>2021</v>
      </c>
      <c r="B875" t="s">
        <v>23</v>
      </c>
      <c r="C875" t="s">
        <v>24</v>
      </c>
      <c r="D875">
        <v>200</v>
      </c>
      <c r="E875">
        <v>2</v>
      </c>
      <c r="F875">
        <v>6</v>
      </c>
      <c r="G875" t="s">
        <v>225</v>
      </c>
      <c r="H875" s="1">
        <v>6</v>
      </c>
      <c r="I875" s="1">
        <v>63</v>
      </c>
      <c r="J875" s="1">
        <v>66</v>
      </c>
      <c r="K875" s="1">
        <f>J875-I875</f>
        <v>3</v>
      </c>
      <c r="L875" s="1">
        <v>152</v>
      </c>
      <c r="M875" s="1">
        <v>51</v>
      </c>
      <c r="N875" s="1">
        <v>2.5</v>
      </c>
      <c r="O875" s="1">
        <v>4.5</v>
      </c>
      <c r="P875" s="1">
        <v>4</v>
      </c>
      <c r="Q875" s="2">
        <v>7.3999999999999996E-2</v>
      </c>
      <c r="R875" s="1">
        <v>4</v>
      </c>
      <c r="S875" s="1">
        <f>R875/P875</f>
        <v>1</v>
      </c>
      <c r="T875" s="1">
        <v>4</v>
      </c>
      <c r="U875" s="1">
        <v>12.5</v>
      </c>
      <c r="V875" s="1">
        <v>270.84967320261438</v>
      </c>
      <c r="W875" s="1">
        <v>5</v>
      </c>
    </row>
    <row r="876" spans="1:23" x14ac:dyDescent="0.2">
      <c r="A876">
        <v>2021</v>
      </c>
      <c r="B876" t="s">
        <v>23</v>
      </c>
      <c r="C876" t="s">
        <v>24</v>
      </c>
      <c r="D876">
        <v>201</v>
      </c>
      <c r="E876">
        <v>1</v>
      </c>
      <c r="F876">
        <v>1</v>
      </c>
      <c r="G876" t="s">
        <v>226</v>
      </c>
      <c r="H876" s="1">
        <v>3</v>
      </c>
      <c r="I876" s="1">
        <v>61</v>
      </c>
      <c r="J876" s="1">
        <v>64</v>
      </c>
      <c r="K876" s="1">
        <f>J876-I876</f>
        <v>3</v>
      </c>
      <c r="L876" s="1">
        <v>125</v>
      </c>
      <c r="M876" s="1">
        <v>46</v>
      </c>
      <c r="N876" s="1">
        <v>2</v>
      </c>
      <c r="O876" s="1">
        <v>4.5</v>
      </c>
      <c r="P876" s="1">
        <v>3</v>
      </c>
      <c r="Q876" s="2">
        <v>7.8750000000000001E-2</v>
      </c>
      <c r="R876" s="1">
        <v>3</v>
      </c>
      <c r="S876" s="1">
        <f>R876/P876</f>
        <v>1</v>
      </c>
      <c r="T876" s="1">
        <v>5</v>
      </c>
      <c r="U876" s="1">
        <v>12.5</v>
      </c>
      <c r="V876" s="1">
        <v>288.23529411764707</v>
      </c>
      <c r="W876" s="1">
        <v>6</v>
      </c>
    </row>
    <row r="877" spans="1:23" x14ac:dyDescent="0.2">
      <c r="A877">
        <v>2021</v>
      </c>
      <c r="B877" t="s">
        <v>23</v>
      </c>
      <c r="C877" t="s">
        <v>24</v>
      </c>
      <c r="D877">
        <v>201</v>
      </c>
      <c r="E877">
        <v>2</v>
      </c>
      <c r="F877">
        <v>2</v>
      </c>
      <c r="G877" t="s">
        <v>226</v>
      </c>
      <c r="H877" s="1">
        <v>4</v>
      </c>
      <c r="I877" s="1">
        <v>66</v>
      </c>
      <c r="J877" s="1">
        <v>70</v>
      </c>
      <c r="K877" s="1">
        <f>J877-I877</f>
        <v>4</v>
      </c>
      <c r="L877" s="1">
        <v>195</v>
      </c>
      <c r="M877" s="1">
        <v>112</v>
      </c>
      <c r="N877" s="1">
        <v>1</v>
      </c>
      <c r="O877" s="1">
        <v>2.5</v>
      </c>
      <c r="P877" s="1">
        <v>4</v>
      </c>
      <c r="Q877" s="2">
        <v>0.16400000000000001</v>
      </c>
      <c r="R877" s="1">
        <v>2</v>
      </c>
      <c r="S877" s="1">
        <f>R877/P877</f>
        <v>0.5</v>
      </c>
      <c r="T877" s="1">
        <v>2</v>
      </c>
      <c r="U877" s="1">
        <v>12.5</v>
      </c>
      <c r="V877" s="1">
        <v>600.26143790849665</v>
      </c>
      <c r="W877" s="1">
        <v>3</v>
      </c>
    </row>
    <row r="878" spans="1:23" x14ac:dyDescent="0.2">
      <c r="A878">
        <v>2021</v>
      </c>
      <c r="B878" t="s">
        <v>23</v>
      </c>
      <c r="C878" t="s">
        <v>24</v>
      </c>
      <c r="D878">
        <v>202</v>
      </c>
      <c r="E878">
        <v>1</v>
      </c>
      <c r="F878">
        <v>2</v>
      </c>
      <c r="G878" t="s">
        <v>227</v>
      </c>
      <c r="H878" s="1">
        <v>7</v>
      </c>
      <c r="I878" s="1">
        <v>64</v>
      </c>
      <c r="J878" s="1">
        <v>69</v>
      </c>
      <c r="K878" s="1">
        <f>J878-I878</f>
        <v>5</v>
      </c>
      <c r="L878" s="1">
        <v>169</v>
      </c>
      <c r="M878" s="1">
        <v>69</v>
      </c>
      <c r="N878" s="1">
        <v>2</v>
      </c>
      <c r="O878" s="1">
        <v>2.5</v>
      </c>
      <c r="P878" s="1">
        <v>7</v>
      </c>
      <c r="Q878" s="2">
        <v>8.2754999999999995E-2</v>
      </c>
      <c r="R878" s="1">
        <v>4</v>
      </c>
      <c r="S878" s="1">
        <f>R878/P878</f>
        <v>0.5714285714285714</v>
      </c>
      <c r="T878" s="1">
        <v>5</v>
      </c>
      <c r="U878" s="1">
        <v>12.5</v>
      </c>
      <c r="V878" s="1">
        <v>302.89411764705881</v>
      </c>
      <c r="W878" s="1">
        <v>5</v>
      </c>
    </row>
    <row r="879" spans="1:23" x14ac:dyDescent="0.2">
      <c r="A879">
        <v>2021</v>
      </c>
      <c r="B879" t="s">
        <v>23</v>
      </c>
      <c r="C879" t="s">
        <v>24</v>
      </c>
      <c r="D879">
        <v>202</v>
      </c>
      <c r="E879">
        <v>2</v>
      </c>
      <c r="F879">
        <v>9</v>
      </c>
      <c r="G879" t="s">
        <v>227</v>
      </c>
      <c r="H879">
        <v>16</v>
      </c>
      <c r="I879">
        <v>59</v>
      </c>
      <c r="J879">
        <v>62</v>
      </c>
      <c r="K879">
        <v>3</v>
      </c>
      <c r="L879">
        <v>155</v>
      </c>
      <c r="M879">
        <v>75</v>
      </c>
      <c r="N879">
        <v>2</v>
      </c>
      <c r="O879">
        <v>2</v>
      </c>
      <c r="P879">
        <v>14</v>
      </c>
      <c r="Q879">
        <v>0.7</v>
      </c>
      <c r="R879">
        <v>9</v>
      </c>
      <c r="S879">
        <v>0.6428571428571429</v>
      </c>
      <c r="T879">
        <v>3</v>
      </c>
      <c r="U879">
        <v>12.7</v>
      </c>
      <c r="V879">
        <v>2556.2352941176468</v>
      </c>
      <c r="W879">
        <v>2</v>
      </c>
    </row>
    <row r="880" spans="1:23" x14ac:dyDescent="0.2">
      <c r="A880">
        <v>2021</v>
      </c>
      <c r="B880" t="s">
        <v>23</v>
      </c>
      <c r="C880" t="s">
        <v>24</v>
      </c>
      <c r="D880">
        <v>203</v>
      </c>
      <c r="E880">
        <v>1</v>
      </c>
      <c r="F880">
        <v>1</v>
      </c>
      <c r="G880" t="s">
        <v>228</v>
      </c>
      <c r="H880" s="1">
        <v>13</v>
      </c>
      <c r="I880" s="1">
        <v>66</v>
      </c>
      <c r="J880" s="1">
        <v>70</v>
      </c>
      <c r="K880" s="1">
        <f t="shared" ref="K880:K885" si="44">J880-I880</f>
        <v>4</v>
      </c>
      <c r="L880" s="1">
        <v>183</v>
      </c>
      <c r="M880" s="1">
        <v>90</v>
      </c>
      <c r="N880" s="1">
        <v>2</v>
      </c>
      <c r="O880" s="1">
        <v>3</v>
      </c>
      <c r="P880" s="1">
        <v>12</v>
      </c>
      <c r="Q880" s="2">
        <v>0.432</v>
      </c>
      <c r="R880" s="1">
        <v>8</v>
      </c>
      <c r="S880" s="1">
        <f t="shared" ref="S880:S885" si="45">R880/P880</f>
        <v>0.66666666666666663</v>
      </c>
      <c r="T880" s="1">
        <v>5</v>
      </c>
      <c r="U880" s="1">
        <v>11.3</v>
      </c>
      <c r="V880" s="1">
        <v>1602.8611764705886</v>
      </c>
      <c r="W880" s="1">
        <v>6</v>
      </c>
    </row>
    <row r="881" spans="1:23" x14ac:dyDescent="0.2">
      <c r="A881">
        <v>2021</v>
      </c>
      <c r="B881" t="s">
        <v>23</v>
      </c>
      <c r="C881" t="s">
        <v>24</v>
      </c>
      <c r="D881">
        <v>203</v>
      </c>
      <c r="E881">
        <v>2</v>
      </c>
      <c r="F881">
        <v>7</v>
      </c>
      <c r="G881" t="s">
        <v>228</v>
      </c>
      <c r="H881" s="1">
        <v>1</v>
      </c>
      <c r="I881" s="1">
        <v>62</v>
      </c>
      <c r="J881" s="1">
        <v>65</v>
      </c>
      <c r="K881" s="1">
        <f t="shared" si="44"/>
        <v>3</v>
      </c>
      <c r="L881" s="1">
        <v>157</v>
      </c>
      <c r="M881" s="1">
        <v>91</v>
      </c>
      <c r="N881" s="1">
        <v>2</v>
      </c>
      <c r="O881" s="1">
        <v>2.5</v>
      </c>
      <c r="P881" s="1">
        <v>1</v>
      </c>
      <c r="Q881" s="2">
        <v>3.2625000000000001E-2</v>
      </c>
      <c r="R881" s="1">
        <v>1</v>
      </c>
      <c r="S881" s="1">
        <f t="shared" si="45"/>
        <v>1</v>
      </c>
      <c r="T881" s="1">
        <v>5</v>
      </c>
      <c r="U881" s="1">
        <v>12.5</v>
      </c>
      <c r="V881" s="1">
        <v>119.41176470588238</v>
      </c>
      <c r="W881" s="1">
        <v>5</v>
      </c>
    </row>
    <row r="882" spans="1:23" x14ac:dyDescent="0.2">
      <c r="A882">
        <v>2021</v>
      </c>
      <c r="B882" t="s">
        <v>23</v>
      </c>
      <c r="C882" t="s">
        <v>24</v>
      </c>
      <c r="D882">
        <v>204</v>
      </c>
      <c r="E882">
        <v>1</v>
      </c>
      <c r="F882">
        <v>11</v>
      </c>
      <c r="G882" t="s">
        <v>229</v>
      </c>
      <c r="H882" s="1">
        <v>8</v>
      </c>
      <c r="I882" s="1">
        <v>58</v>
      </c>
      <c r="J882" s="1">
        <v>63</v>
      </c>
      <c r="K882" s="1">
        <f t="shared" si="44"/>
        <v>5</v>
      </c>
      <c r="L882" s="1">
        <v>98</v>
      </c>
      <c r="M882" s="1">
        <v>58</v>
      </c>
      <c r="N882" s="1">
        <v>3</v>
      </c>
      <c r="O882" s="1">
        <v>4</v>
      </c>
      <c r="P882" s="1">
        <f>H882-1</f>
        <v>7</v>
      </c>
      <c r="Q882" s="2">
        <v>8.9249999999999996E-2</v>
      </c>
      <c r="R882" s="1">
        <v>7</v>
      </c>
      <c r="S882" s="1">
        <f t="shared" si="45"/>
        <v>1</v>
      </c>
      <c r="T882" s="1">
        <v>5</v>
      </c>
      <c r="U882" s="1">
        <v>12.5</v>
      </c>
      <c r="V882" s="1">
        <v>326.66666666666669</v>
      </c>
      <c r="W882" s="1">
        <v>5</v>
      </c>
    </row>
    <row r="883" spans="1:23" x14ac:dyDescent="0.2">
      <c r="A883">
        <v>2021</v>
      </c>
      <c r="B883" t="s">
        <v>23</v>
      </c>
      <c r="C883" t="s">
        <v>24</v>
      </c>
      <c r="D883">
        <v>204</v>
      </c>
      <c r="E883">
        <v>2</v>
      </c>
      <c r="F883">
        <v>6</v>
      </c>
      <c r="G883" t="s">
        <v>229</v>
      </c>
      <c r="H883" s="1">
        <v>6</v>
      </c>
      <c r="I883" s="1">
        <v>61</v>
      </c>
      <c r="J883" s="1">
        <v>66</v>
      </c>
      <c r="K883" s="1">
        <f t="shared" si="44"/>
        <v>5</v>
      </c>
      <c r="L883" s="1">
        <v>137</v>
      </c>
      <c r="M883" s="1">
        <v>83</v>
      </c>
      <c r="N883" s="1">
        <v>2</v>
      </c>
      <c r="O883" s="1">
        <v>2.5</v>
      </c>
      <c r="P883" s="1">
        <v>6</v>
      </c>
      <c r="Q883" s="2">
        <v>9.9300000000000013E-2</v>
      </c>
      <c r="R883" s="1">
        <v>6</v>
      </c>
      <c r="S883" s="1">
        <f t="shared" si="45"/>
        <v>1</v>
      </c>
      <c r="T883" s="1">
        <v>5</v>
      </c>
      <c r="U883" s="1">
        <v>12.5</v>
      </c>
      <c r="V883" s="1">
        <v>363.45098039215685</v>
      </c>
      <c r="W883" s="1">
        <v>4</v>
      </c>
    </row>
    <row r="884" spans="1:23" x14ac:dyDescent="0.2">
      <c r="A884">
        <v>2021</v>
      </c>
      <c r="B884" t="s">
        <v>23</v>
      </c>
      <c r="C884" t="s">
        <v>24</v>
      </c>
      <c r="D884">
        <v>205</v>
      </c>
      <c r="E884">
        <v>1</v>
      </c>
      <c r="F884">
        <v>11</v>
      </c>
      <c r="G884" t="s">
        <v>230</v>
      </c>
      <c r="H884" s="1">
        <v>11</v>
      </c>
      <c r="I884" s="1">
        <v>63</v>
      </c>
      <c r="J884" s="1">
        <v>66</v>
      </c>
      <c r="K884" s="1">
        <f t="shared" si="44"/>
        <v>3</v>
      </c>
      <c r="L884" s="1">
        <v>118</v>
      </c>
      <c r="M884" s="1">
        <v>90</v>
      </c>
      <c r="N884" s="1">
        <v>2</v>
      </c>
      <c r="O884" s="1">
        <v>3</v>
      </c>
      <c r="P884" s="1">
        <f>H884</f>
        <v>11</v>
      </c>
      <c r="Q884" s="2">
        <v>0.26639999999999997</v>
      </c>
      <c r="R884" s="1">
        <v>8</v>
      </c>
      <c r="S884" s="1">
        <f t="shared" si="45"/>
        <v>0.72727272727272729</v>
      </c>
      <c r="T884" s="1">
        <v>5</v>
      </c>
      <c r="U884" s="1">
        <v>12.5</v>
      </c>
      <c r="V884" s="1">
        <v>975.05882352941182</v>
      </c>
      <c r="W884" s="1">
        <v>5</v>
      </c>
    </row>
    <row r="885" spans="1:23" x14ac:dyDescent="0.2">
      <c r="A885">
        <v>2021</v>
      </c>
      <c r="B885" t="s">
        <v>23</v>
      </c>
      <c r="C885" t="s">
        <v>24</v>
      </c>
      <c r="D885">
        <v>205</v>
      </c>
      <c r="E885">
        <v>2</v>
      </c>
      <c r="F885">
        <v>6</v>
      </c>
      <c r="G885" t="s">
        <v>230</v>
      </c>
      <c r="H885" s="1">
        <v>2</v>
      </c>
      <c r="I885" s="1">
        <v>64</v>
      </c>
      <c r="J885" s="1">
        <v>68</v>
      </c>
      <c r="K885" s="1">
        <f t="shared" si="44"/>
        <v>4</v>
      </c>
      <c r="L885" s="1">
        <v>129</v>
      </c>
      <c r="M885" s="1">
        <v>44</v>
      </c>
      <c r="N885" s="1">
        <v>2</v>
      </c>
      <c r="O885" s="1">
        <v>4.5</v>
      </c>
      <c r="P885" s="1">
        <v>1</v>
      </c>
      <c r="Q885" s="2">
        <v>3.0799999999999998E-2</v>
      </c>
      <c r="R885" s="1">
        <v>1</v>
      </c>
      <c r="S885" s="1">
        <f t="shared" si="45"/>
        <v>1</v>
      </c>
      <c r="T885" s="1">
        <v>5</v>
      </c>
      <c r="U885" s="1">
        <v>12.5</v>
      </c>
      <c r="V885" s="1">
        <v>112.73202614379085</v>
      </c>
      <c r="W885" s="1">
        <v>5</v>
      </c>
    </row>
    <row r="886" spans="1:23" x14ac:dyDescent="0.2">
      <c r="A886">
        <v>2021</v>
      </c>
      <c r="B886" t="s">
        <v>23</v>
      </c>
      <c r="C886" t="s">
        <v>24</v>
      </c>
      <c r="D886">
        <v>206</v>
      </c>
      <c r="E886">
        <v>1</v>
      </c>
      <c r="F886">
        <v>15</v>
      </c>
      <c r="G886" t="s">
        <v>231</v>
      </c>
      <c r="H886">
        <v>13</v>
      </c>
      <c r="I886">
        <v>52</v>
      </c>
      <c r="J886">
        <v>55</v>
      </c>
      <c r="K886">
        <v>3</v>
      </c>
      <c r="L886">
        <v>163</v>
      </c>
      <c r="M886">
        <v>48</v>
      </c>
      <c r="N886">
        <v>2</v>
      </c>
      <c r="O886">
        <v>2.5</v>
      </c>
      <c r="P886">
        <v>10</v>
      </c>
      <c r="Q886">
        <v>0.6</v>
      </c>
      <c r="R886">
        <v>10</v>
      </c>
      <c r="S886">
        <v>1</v>
      </c>
      <c r="T886">
        <v>3</v>
      </c>
      <c r="U886">
        <v>10.4</v>
      </c>
      <c r="V886">
        <v>2248.7843137254904</v>
      </c>
      <c r="W886">
        <v>1</v>
      </c>
    </row>
    <row r="887" spans="1:23" x14ac:dyDescent="0.2">
      <c r="A887">
        <v>2021</v>
      </c>
      <c r="B887" t="s">
        <v>23</v>
      </c>
      <c r="C887" t="s">
        <v>24</v>
      </c>
      <c r="D887">
        <v>206</v>
      </c>
      <c r="E887">
        <v>2</v>
      </c>
      <c r="F887">
        <v>15</v>
      </c>
      <c r="G887" t="s">
        <v>231</v>
      </c>
      <c r="H887" s="1">
        <v>9</v>
      </c>
      <c r="I887" s="1">
        <v>66</v>
      </c>
      <c r="J887" s="1">
        <v>69</v>
      </c>
      <c r="K887" s="1">
        <f t="shared" ref="K887:K893" si="46">J887-I887</f>
        <v>3</v>
      </c>
      <c r="L887" s="1">
        <v>117</v>
      </c>
      <c r="M887" s="1">
        <v>58</v>
      </c>
      <c r="N887" s="1">
        <v>2</v>
      </c>
      <c r="O887" s="1">
        <v>3.5</v>
      </c>
      <c r="P887" s="1">
        <v>7</v>
      </c>
      <c r="Q887" s="2">
        <v>2.2499999999999999E-2</v>
      </c>
      <c r="R887" s="1">
        <v>2</v>
      </c>
      <c r="S887" s="1">
        <f t="shared" ref="S887:S893" si="47">R887/P887</f>
        <v>0.2857142857142857</v>
      </c>
      <c r="T887" s="1">
        <v>5</v>
      </c>
      <c r="U887" s="1">
        <v>12.5</v>
      </c>
      <c r="V887" s="1">
        <v>82.35294117647058</v>
      </c>
      <c r="W887" s="1">
        <v>6</v>
      </c>
    </row>
    <row r="888" spans="1:23" x14ac:dyDescent="0.2">
      <c r="A888">
        <v>2021</v>
      </c>
      <c r="B888" t="s">
        <v>23</v>
      </c>
      <c r="C888" t="s">
        <v>24</v>
      </c>
      <c r="D888">
        <v>207</v>
      </c>
      <c r="E888">
        <v>1</v>
      </c>
      <c r="F888">
        <v>1</v>
      </c>
      <c r="G888" t="s">
        <v>232</v>
      </c>
      <c r="H888" s="1">
        <v>15</v>
      </c>
      <c r="I888" s="1">
        <v>68</v>
      </c>
      <c r="J888" s="1">
        <v>70</v>
      </c>
      <c r="K888" s="1">
        <f t="shared" si="46"/>
        <v>2</v>
      </c>
      <c r="L888" s="1">
        <v>181</v>
      </c>
      <c r="M888" s="1">
        <v>110</v>
      </c>
      <c r="N888" s="1">
        <v>2</v>
      </c>
      <c r="O888" s="1">
        <v>2.5</v>
      </c>
      <c r="P888" s="1">
        <f>H888</f>
        <v>15</v>
      </c>
      <c r="Q888" s="2">
        <v>0.42299999999999999</v>
      </c>
      <c r="R888" s="1">
        <v>8</v>
      </c>
      <c r="S888" s="1">
        <f t="shared" si="47"/>
        <v>0.53333333333333333</v>
      </c>
      <c r="T888" s="1">
        <v>3</v>
      </c>
      <c r="U888" s="1">
        <v>12.5</v>
      </c>
      <c r="V888" s="1">
        <v>1548.2352941176468</v>
      </c>
      <c r="W888" s="1">
        <v>4</v>
      </c>
    </row>
    <row r="889" spans="1:23" x14ac:dyDescent="0.2">
      <c r="A889">
        <v>2021</v>
      </c>
      <c r="B889" t="s">
        <v>23</v>
      </c>
      <c r="C889" t="s">
        <v>24</v>
      </c>
      <c r="D889">
        <v>207</v>
      </c>
      <c r="E889">
        <v>2</v>
      </c>
      <c r="F889">
        <v>5</v>
      </c>
      <c r="G889" t="s">
        <v>232</v>
      </c>
      <c r="H889" s="1">
        <v>10</v>
      </c>
      <c r="I889" s="1">
        <v>62</v>
      </c>
      <c r="J889" s="1">
        <v>67</v>
      </c>
      <c r="K889" s="1">
        <f t="shared" si="46"/>
        <v>5</v>
      </c>
      <c r="L889" s="1">
        <v>140</v>
      </c>
      <c r="M889" s="1">
        <v>93</v>
      </c>
      <c r="N889" s="1">
        <v>3</v>
      </c>
      <c r="O889" s="1">
        <v>4</v>
      </c>
      <c r="P889" s="1">
        <v>9</v>
      </c>
      <c r="Q889" s="2">
        <v>0.53925000000000001</v>
      </c>
      <c r="R889" s="1">
        <v>8</v>
      </c>
      <c r="S889" s="1">
        <f t="shared" si="47"/>
        <v>0.88888888888888884</v>
      </c>
      <c r="T889" s="1">
        <v>4</v>
      </c>
      <c r="U889" s="1">
        <v>12.5</v>
      </c>
      <c r="V889" s="1">
        <v>1973.7254901960785</v>
      </c>
      <c r="W889" s="1">
        <v>4</v>
      </c>
    </row>
    <row r="890" spans="1:23" x14ac:dyDescent="0.2">
      <c r="A890">
        <v>2021</v>
      </c>
      <c r="B890" t="s">
        <v>23</v>
      </c>
      <c r="C890" t="s">
        <v>24</v>
      </c>
      <c r="D890">
        <v>208</v>
      </c>
      <c r="E890">
        <v>1</v>
      </c>
      <c r="F890">
        <v>3</v>
      </c>
      <c r="G890" t="s">
        <v>233</v>
      </c>
      <c r="H890" s="1">
        <v>2</v>
      </c>
      <c r="I890" s="1">
        <v>64</v>
      </c>
      <c r="J890" s="1">
        <v>69</v>
      </c>
      <c r="K890" s="1">
        <f t="shared" si="46"/>
        <v>5</v>
      </c>
      <c r="L890" s="1">
        <v>70</v>
      </c>
      <c r="M890" s="1">
        <v>16</v>
      </c>
      <c r="N890" s="1">
        <v>1.5</v>
      </c>
      <c r="O890" s="1">
        <v>4</v>
      </c>
      <c r="P890" s="1">
        <v>1</v>
      </c>
      <c r="Q890" s="2">
        <v>7.0000000000000007E-2</v>
      </c>
      <c r="R890" s="1">
        <v>1</v>
      </c>
      <c r="S890" s="1">
        <f t="shared" si="47"/>
        <v>1</v>
      </c>
      <c r="T890" s="1">
        <v>5</v>
      </c>
      <c r="U890" s="1">
        <v>12.5</v>
      </c>
      <c r="V890" s="1">
        <v>256.20915032679744</v>
      </c>
      <c r="W890" s="1">
        <v>6</v>
      </c>
    </row>
    <row r="891" spans="1:23" x14ac:dyDescent="0.2">
      <c r="A891">
        <v>2021</v>
      </c>
      <c r="B891" t="s">
        <v>23</v>
      </c>
      <c r="C891" t="s">
        <v>24</v>
      </c>
      <c r="D891">
        <v>208</v>
      </c>
      <c r="E891">
        <v>2</v>
      </c>
      <c r="F891">
        <v>12</v>
      </c>
      <c r="G891" t="s">
        <v>233</v>
      </c>
      <c r="H891" s="3">
        <v>10</v>
      </c>
      <c r="I891" s="3">
        <v>67</v>
      </c>
      <c r="J891" s="3">
        <v>73</v>
      </c>
      <c r="K891" s="3">
        <f t="shared" si="46"/>
        <v>6</v>
      </c>
      <c r="L891" s="3">
        <v>120</v>
      </c>
      <c r="M891" s="3">
        <v>46</v>
      </c>
      <c r="N891" s="3">
        <v>2.5</v>
      </c>
      <c r="O891" s="3">
        <v>4.5</v>
      </c>
      <c r="P891" s="3">
        <v>5</v>
      </c>
      <c r="Q891" s="4">
        <v>0.112</v>
      </c>
      <c r="R891" s="3">
        <v>5</v>
      </c>
      <c r="S891" s="3">
        <f t="shared" si="47"/>
        <v>1</v>
      </c>
      <c r="T891" s="3">
        <v>5</v>
      </c>
      <c r="U891" s="3">
        <v>12.5</v>
      </c>
      <c r="V891" s="3">
        <v>409.93464052287584</v>
      </c>
      <c r="W891" s="3">
        <v>5</v>
      </c>
    </row>
    <row r="892" spans="1:23" x14ac:dyDescent="0.2">
      <c r="A892">
        <v>2021</v>
      </c>
      <c r="B892" t="s">
        <v>23</v>
      </c>
      <c r="C892" t="s">
        <v>24</v>
      </c>
      <c r="D892">
        <v>209</v>
      </c>
      <c r="E892">
        <v>1</v>
      </c>
      <c r="F892">
        <v>11</v>
      </c>
      <c r="G892" t="s">
        <v>234</v>
      </c>
      <c r="H892" s="1">
        <v>2</v>
      </c>
      <c r="I892" s="1">
        <v>68</v>
      </c>
      <c r="J892" s="1">
        <v>72</v>
      </c>
      <c r="K892" s="1">
        <f t="shared" si="46"/>
        <v>4</v>
      </c>
      <c r="L892" s="1">
        <v>102</v>
      </c>
      <c r="M892" s="1">
        <v>47</v>
      </c>
      <c r="N892" s="1">
        <v>2</v>
      </c>
      <c r="O892" s="1">
        <v>3</v>
      </c>
      <c r="P892" s="1">
        <v>2</v>
      </c>
      <c r="Q892" s="2">
        <v>0.13700000000000001</v>
      </c>
      <c r="R892" s="1">
        <v>2</v>
      </c>
      <c r="S892" s="1">
        <f t="shared" si="47"/>
        <v>1</v>
      </c>
      <c r="T892" s="1">
        <v>3</v>
      </c>
      <c r="U892" s="1">
        <v>11.3</v>
      </c>
      <c r="V892" s="1">
        <v>508.3147712418301</v>
      </c>
      <c r="W892" s="1">
        <v>4</v>
      </c>
    </row>
    <row r="893" spans="1:23" x14ac:dyDescent="0.2">
      <c r="A893">
        <v>2021</v>
      </c>
      <c r="B893" t="s">
        <v>23</v>
      </c>
      <c r="C893" t="s">
        <v>24</v>
      </c>
      <c r="D893">
        <v>209</v>
      </c>
      <c r="E893">
        <v>2</v>
      </c>
      <c r="F893">
        <v>8</v>
      </c>
      <c r="G893" t="s">
        <v>234</v>
      </c>
      <c r="H893" s="1">
        <v>10</v>
      </c>
      <c r="I893" s="1">
        <v>61</v>
      </c>
      <c r="J893" s="1">
        <v>65</v>
      </c>
      <c r="K893" s="1">
        <f t="shared" si="46"/>
        <v>4</v>
      </c>
      <c r="L893" s="1">
        <v>78</v>
      </c>
      <c r="M893" s="1">
        <v>40</v>
      </c>
      <c r="N893" s="1">
        <v>2.5</v>
      </c>
      <c r="O893" s="1">
        <v>4.5</v>
      </c>
      <c r="P893" s="1">
        <v>10</v>
      </c>
      <c r="Q893" s="2">
        <v>0.47199999999999998</v>
      </c>
      <c r="R893" s="1">
        <v>10</v>
      </c>
      <c r="S893" s="1">
        <f t="shared" si="47"/>
        <v>1</v>
      </c>
      <c r="T893" s="1">
        <v>4</v>
      </c>
      <c r="U893" s="1">
        <v>12.5</v>
      </c>
      <c r="V893" s="1">
        <v>1727.5816993464052</v>
      </c>
      <c r="W893" s="1">
        <v>5</v>
      </c>
    </row>
    <row r="894" spans="1:23" x14ac:dyDescent="0.2">
      <c r="A894">
        <v>2021</v>
      </c>
      <c r="B894" t="s">
        <v>23</v>
      </c>
      <c r="C894" t="s">
        <v>24</v>
      </c>
      <c r="D894">
        <v>210</v>
      </c>
      <c r="E894">
        <v>1</v>
      </c>
      <c r="F894">
        <v>15</v>
      </c>
      <c r="G894" t="s">
        <v>235</v>
      </c>
      <c r="H894">
        <v>15</v>
      </c>
      <c r="I894">
        <v>63</v>
      </c>
      <c r="J894">
        <v>65</v>
      </c>
      <c r="K894">
        <v>2</v>
      </c>
      <c r="L894">
        <v>149</v>
      </c>
      <c r="M894">
        <v>60</v>
      </c>
      <c r="N894">
        <v>1.5</v>
      </c>
      <c r="O894">
        <v>3.5</v>
      </c>
      <c r="P894">
        <v>15</v>
      </c>
      <c r="Q894">
        <v>0.9</v>
      </c>
      <c r="R894">
        <v>11</v>
      </c>
      <c r="S894">
        <v>0.73333333333333328</v>
      </c>
      <c r="T894">
        <v>2.5</v>
      </c>
      <c r="U894">
        <v>12.5</v>
      </c>
      <c r="V894">
        <v>3294.1176470588234</v>
      </c>
      <c r="W894">
        <v>1</v>
      </c>
    </row>
    <row r="895" spans="1:23" x14ac:dyDescent="0.2">
      <c r="A895">
        <v>2021</v>
      </c>
      <c r="B895" t="s">
        <v>23</v>
      </c>
      <c r="C895" t="s">
        <v>24</v>
      </c>
      <c r="D895">
        <v>210</v>
      </c>
      <c r="E895">
        <v>2</v>
      </c>
      <c r="F895">
        <v>10</v>
      </c>
      <c r="G895" t="s">
        <v>235</v>
      </c>
      <c r="H895" s="1">
        <v>10</v>
      </c>
      <c r="I895" s="1">
        <v>62</v>
      </c>
      <c r="J895" s="1">
        <v>67</v>
      </c>
      <c r="K895" s="1">
        <f>J895-I895</f>
        <v>5</v>
      </c>
      <c r="L895" s="1">
        <v>147</v>
      </c>
      <c r="M895" s="1">
        <v>92</v>
      </c>
      <c r="N895" s="1">
        <v>2</v>
      </c>
      <c r="O895" s="1">
        <v>3.5</v>
      </c>
      <c r="P895" s="1">
        <v>8</v>
      </c>
      <c r="Q895" s="2">
        <v>0.82399999999999995</v>
      </c>
      <c r="R895" s="1">
        <v>7</v>
      </c>
      <c r="S895" s="1">
        <f>R895/P895</f>
        <v>0.875</v>
      </c>
      <c r="T895" s="1">
        <v>3</v>
      </c>
      <c r="U895" s="1">
        <v>7.9</v>
      </c>
      <c r="V895" s="1">
        <v>3174.5003921568623</v>
      </c>
      <c r="W895" s="1">
        <v>3</v>
      </c>
    </row>
    <row r="896" spans="1:23" x14ac:dyDescent="0.2">
      <c r="A896">
        <v>2021</v>
      </c>
      <c r="B896" t="s">
        <v>23</v>
      </c>
      <c r="C896" t="s">
        <v>24</v>
      </c>
      <c r="D896">
        <v>211</v>
      </c>
      <c r="E896">
        <v>1</v>
      </c>
      <c r="F896">
        <v>1</v>
      </c>
      <c r="G896" t="s">
        <v>236</v>
      </c>
      <c r="H896">
        <v>12</v>
      </c>
      <c r="I896">
        <v>58</v>
      </c>
      <c r="J896">
        <v>60</v>
      </c>
      <c r="K896">
        <v>2</v>
      </c>
      <c r="L896">
        <v>164</v>
      </c>
      <c r="M896">
        <v>44</v>
      </c>
      <c r="N896">
        <v>2</v>
      </c>
      <c r="O896">
        <v>2.5</v>
      </c>
      <c r="P896">
        <v>11</v>
      </c>
      <c r="Q896">
        <v>0.9</v>
      </c>
      <c r="R896">
        <v>14</v>
      </c>
      <c r="S896">
        <v>1.2727272727272727</v>
      </c>
      <c r="T896">
        <v>2</v>
      </c>
      <c r="U896">
        <v>9.5</v>
      </c>
      <c r="V896">
        <v>3407.0588235294117</v>
      </c>
      <c r="W896">
        <v>2</v>
      </c>
    </row>
    <row r="897" spans="1:23" x14ac:dyDescent="0.2">
      <c r="A897">
        <v>2021</v>
      </c>
      <c r="B897" t="s">
        <v>23</v>
      </c>
      <c r="C897" t="s">
        <v>24</v>
      </c>
      <c r="D897">
        <v>211</v>
      </c>
      <c r="E897">
        <v>2</v>
      </c>
      <c r="F897">
        <v>14</v>
      </c>
      <c r="G897" t="s">
        <v>236</v>
      </c>
      <c r="H897" s="1">
        <v>2</v>
      </c>
      <c r="I897" s="1">
        <v>64</v>
      </c>
      <c r="J897" s="1">
        <v>69</v>
      </c>
      <c r="K897" s="1">
        <f>J897-I897</f>
        <v>5</v>
      </c>
      <c r="L897" s="1">
        <v>136</v>
      </c>
      <c r="M897" s="1">
        <v>95</v>
      </c>
      <c r="N897" s="1">
        <v>2</v>
      </c>
      <c r="O897" s="1">
        <v>2.5</v>
      </c>
      <c r="P897" s="1">
        <v>2</v>
      </c>
      <c r="Q897" s="2">
        <v>7.8750000000000001E-2</v>
      </c>
      <c r="R897" s="1">
        <v>2</v>
      </c>
      <c r="S897" s="1">
        <f>R897/P897</f>
        <v>1</v>
      </c>
      <c r="T897" s="1">
        <v>5</v>
      </c>
      <c r="U897" s="1">
        <v>12.5</v>
      </c>
      <c r="V897" s="1">
        <v>288.23529411764707</v>
      </c>
      <c r="W897" s="1">
        <v>6</v>
      </c>
    </row>
    <row r="898" spans="1:23" x14ac:dyDescent="0.2">
      <c r="A898">
        <v>2021</v>
      </c>
      <c r="B898" t="s">
        <v>23</v>
      </c>
      <c r="C898" t="s">
        <v>24</v>
      </c>
      <c r="D898">
        <v>212</v>
      </c>
      <c r="E898">
        <v>1</v>
      </c>
      <c r="F898">
        <v>13</v>
      </c>
      <c r="G898" t="s">
        <v>237</v>
      </c>
      <c r="H898" s="1">
        <v>11</v>
      </c>
      <c r="I898" s="1">
        <v>64</v>
      </c>
      <c r="J898" s="1">
        <v>66</v>
      </c>
      <c r="K898" s="1">
        <f>J898-I898</f>
        <v>2</v>
      </c>
      <c r="L898" s="1">
        <v>106</v>
      </c>
      <c r="M898" s="1">
        <v>53</v>
      </c>
      <c r="N898" s="1">
        <v>2</v>
      </c>
      <c r="O898" s="1">
        <v>5</v>
      </c>
      <c r="P898" s="1">
        <v>7</v>
      </c>
      <c r="Q898" s="2">
        <v>0.104</v>
      </c>
      <c r="R898" s="1">
        <v>4</v>
      </c>
      <c r="S898" s="1">
        <f>R898/P898</f>
        <v>0.5714285714285714</v>
      </c>
      <c r="T898" s="1">
        <v>5</v>
      </c>
      <c r="U898" s="1">
        <v>12.5</v>
      </c>
      <c r="V898" s="1">
        <v>380.65359477124184</v>
      </c>
      <c r="W898" s="1">
        <v>5</v>
      </c>
    </row>
    <row r="899" spans="1:23" x14ac:dyDescent="0.2">
      <c r="A899">
        <v>2021</v>
      </c>
      <c r="B899" t="s">
        <v>23</v>
      </c>
      <c r="C899" t="s">
        <v>24</v>
      </c>
      <c r="D899">
        <v>212</v>
      </c>
      <c r="E899">
        <v>2</v>
      </c>
      <c r="F899">
        <v>5</v>
      </c>
      <c r="G899" t="s">
        <v>237</v>
      </c>
      <c r="H899" s="1">
        <v>6</v>
      </c>
      <c r="I899" s="1">
        <v>66</v>
      </c>
      <c r="J899" s="1">
        <v>69</v>
      </c>
      <c r="K899" s="1">
        <f>J899-I899</f>
        <v>3</v>
      </c>
      <c r="L899" s="1">
        <v>81</v>
      </c>
      <c r="M899" s="1">
        <v>31</v>
      </c>
      <c r="N899" s="1">
        <v>2</v>
      </c>
      <c r="O899" s="1">
        <v>5</v>
      </c>
      <c r="P899" s="1">
        <v>1</v>
      </c>
      <c r="Q899" s="2">
        <v>1.4999999999999999E-2</v>
      </c>
      <c r="R899" s="1">
        <v>1</v>
      </c>
      <c r="S899" s="1">
        <f>R899/P899</f>
        <v>1</v>
      </c>
      <c r="T899" s="1">
        <v>5</v>
      </c>
      <c r="U899" s="1">
        <v>12.5</v>
      </c>
      <c r="V899" s="1">
        <v>54.901960784313729</v>
      </c>
      <c r="W899" s="1">
        <v>7</v>
      </c>
    </row>
    <row r="900" spans="1:23" x14ac:dyDescent="0.2">
      <c r="A900">
        <v>2021</v>
      </c>
      <c r="B900" t="s">
        <v>23</v>
      </c>
      <c r="C900" t="s">
        <v>24</v>
      </c>
      <c r="D900">
        <v>213</v>
      </c>
      <c r="E900">
        <v>1</v>
      </c>
      <c r="F900">
        <v>9</v>
      </c>
      <c r="G900" t="s">
        <v>238</v>
      </c>
      <c r="H900">
        <v>6</v>
      </c>
      <c r="I900">
        <v>63</v>
      </c>
      <c r="J900">
        <v>65</v>
      </c>
      <c r="K900">
        <v>2</v>
      </c>
      <c r="L900">
        <v>140</v>
      </c>
      <c r="M900">
        <v>56</v>
      </c>
      <c r="N900">
        <v>1.5</v>
      </c>
      <c r="O900">
        <v>3.5</v>
      </c>
      <c r="P900">
        <v>6</v>
      </c>
      <c r="Q900">
        <v>0.8</v>
      </c>
      <c r="R900">
        <v>7</v>
      </c>
      <c r="S900">
        <v>1.1666666666666667</v>
      </c>
      <c r="T900" t="s">
        <v>273</v>
      </c>
      <c r="U900">
        <v>12.5</v>
      </c>
      <c r="V900">
        <v>2928.1045751633987</v>
      </c>
      <c r="W900">
        <v>1</v>
      </c>
    </row>
    <row r="901" spans="1:23" x14ac:dyDescent="0.2">
      <c r="A901">
        <v>2021</v>
      </c>
      <c r="B901" t="s">
        <v>23</v>
      </c>
      <c r="C901" t="s">
        <v>24</v>
      </c>
      <c r="D901">
        <v>213</v>
      </c>
      <c r="E901">
        <v>2</v>
      </c>
      <c r="F901">
        <v>6</v>
      </c>
      <c r="G901" t="s">
        <v>238</v>
      </c>
      <c r="H901" s="1">
        <v>11</v>
      </c>
      <c r="I901" s="1">
        <v>64</v>
      </c>
      <c r="J901" s="1">
        <v>67</v>
      </c>
      <c r="K901" s="1">
        <f>J901-I901</f>
        <v>3</v>
      </c>
      <c r="L901" s="1">
        <v>133</v>
      </c>
      <c r="M901" s="1">
        <v>68</v>
      </c>
      <c r="N901" s="1">
        <v>2</v>
      </c>
      <c r="O901" s="1">
        <v>3</v>
      </c>
      <c r="P901" s="1">
        <v>10</v>
      </c>
      <c r="Q901" s="2">
        <v>0.34312500000000001</v>
      </c>
      <c r="R901" s="1">
        <v>8</v>
      </c>
      <c r="S901" s="1">
        <f>R901/P901</f>
        <v>0.8</v>
      </c>
      <c r="T901" s="1">
        <v>5</v>
      </c>
      <c r="U901" s="1">
        <v>12.5</v>
      </c>
      <c r="V901" s="1">
        <v>1255.8823529411764</v>
      </c>
      <c r="W901" s="1">
        <v>5</v>
      </c>
    </row>
    <row r="902" spans="1:23" x14ac:dyDescent="0.2">
      <c r="A902">
        <v>2021</v>
      </c>
      <c r="B902" t="s">
        <v>23</v>
      </c>
      <c r="C902" t="s">
        <v>24</v>
      </c>
      <c r="D902">
        <v>214</v>
      </c>
      <c r="E902">
        <v>1</v>
      </c>
      <c r="F902">
        <v>11</v>
      </c>
      <c r="G902" t="s">
        <v>239</v>
      </c>
      <c r="H902" s="1">
        <v>3</v>
      </c>
      <c r="I902" s="1">
        <v>57</v>
      </c>
      <c r="J902" s="1">
        <v>61</v>
      </c>
      <c r="K902" s="1">
        <f>J902-I902</f>
        <v>4</v>
      </c>
      <c r="L902" s="1">
        <v>149</v>
      </c>
      <c r="M902" s="1">
        <v>57</v>
      </c>
      <c r="N902" s="1">
        <v>2</v>
      </c>
      <c r="O902" s="1">
        <v>3</v>
      </c>
      <c r="P902" s="1">
        <f>H902</f>
        <v>3</v>
      </c>
      <c r="Q902" s="2">
        <v>8.3699999999999983E-2</v>
      </c>
      <c r="R902" s="1">
        <v>3</v>
      </c>
      <c r="S902" s="1">
        <f>R902/P902</f>
        <v>1</v>
      </c>
      <c r="T902" s="1">
        <v>3</v>
      </c>
      <c r="U902" s="1">
        <v>12.5</v>
      </c>
      <c r="V902" s="1">
        <v>306.35294117647055</v>
      </c>
      <c r="W902" s="1">
        <v>3</v>
      </c>
    </row>
    <row r="903" spans="1:23" x14ac:dyDescent="0.2">
      <c r="A903">
        <v>2021</v>
      </c>
      <c r="B903" t="s">
        <v>23</v>
      </c>
      <c r="C903" t="s">
        <v>24</v>
      </c>
      <c r="D903">
        <v>214</v>
      </c>
      <c r="E903">
        <v>2</v>
      </c>
      <c r="F903">
        <v>11</v>
      </c>
      <c r="G903" t="s">
        <v>239</v>
      </c>
      <c r="H903" s="1">
        <v>5</v>
      </c>
      <c r="I903" s="1">
        <v>68</v>
      </c>
      <c r="J903" s="1">
        <v>72</v>
      </c>
      <c r="K903" s="1">
        <f>J903-I903</f>
        <v>4</v>
      </c>
      <c r="L903" s="1">
        <v>157</v>
      </c>
      <c r="M903" s="1">
        <v>73</v>
      </c>
      <c r="N903" s="1">
        <v>2</v>
      </c>
      <c r="O903" s="1">
        <v>2</v>
      </c>
      <c r="P903" s="1">
        <v>5</v>
      </c>
      <c r="Q903" s="2">
        <v>0.49</v>
      </c>
      <c r="R903" s="1">
        <v>6</v>
      </c>
      <c r="S903" s="1">
        <f>R903/P903</f>
        <v>1.2</v>
      </c>
      <c r="T903" s="1">
        <v>3</v>
      </c>
      <c r="U903" s="1">
        <v>12.5</v>
      </c>
      <c r="V903" s="1">
        <v>1793.4640522875818</v>
      </c>
      <c r="W903" s="1">
        <v>4</v>
      </c>
    </row>
    <row r="904" spans="1:23" x14ac:dyDescent="0.2">
      <c r="A904">
        <v>2021</v>
      </c>
      <c r="B904" t="s">
        <v>23</v>
      </c>
      <c r="C904" t="s">
        <v>24</v>
      </c>
      <c r="D904">
        <v>215</v>
      </c>
      <c r="E904">
        <v>1</v>
      </c>
      <c r="F904">
        <v>10</v>
      </c>
      <c r="G904" t="s">
        <v>240</v>
      </c>
      <c r="H904" s="1">
        <v>6</v>
      </c>
      <c r="I904" s="1">
        <v>69</v>
      </c>
      <c r="J904" s="1">
        <v>74</v>
      </c>
      <c r="K904" s="1">
        <f>J904-I904</f>
        <v>5</v>
      </c>
      <c r="L904" s="1">
        <v>80</v>
      </c>
      <c r="M904" s="1">
        <v>42</v>
      </c>
      <c r="N904" s="1">
        <v>2</v>
      </c>
      <c r="O904" s="1">
        <v>4</v>
      </c>
      <c r="P904" s="1">
        <v>4</v>
      </c>
      <c r="Q904" s="2">
        <v>0.16600000000000001</v>
      </c>
      <c r="R904" s="1">
        <v>3</v>
      </c>
      <c r="S904" s="1">
        <f>R904/P904</f>
        <v>0.75</v>
      </c>
      <c r="T904" s="1">
        <v>3.5</v>
      </c>
      <c r="U904" s="1">
        <v>12.5</v>
      </c>
      <c r="V904" s="1">
        <v>607.58169934640523</v>
      </c>
      <c r="W904" s="1">
        <v>3</v>
      </c>
    </row>
    <row r="905" spans="1:23" x14ac:dyDescent="0.2">
      <c r="A905">
        <v>2021</v>
      </c>
      <c r="B905" t="s">
        <v>23</v>
      </c>
      <c r="C905" t="s">
        <v>24</v>
      </c>
      <c r="D905">
        <v>215</v>
      </c>
      <c r="E905">
        <v>2</v>
      </c>
      <c r="F905">
        <v>4</v>
      </c>
      <c r="G905" t="s">
        <v>240</v>
      </c>
      <c r="H905" s="1">
        <v>14</v>
      </c>
      <c r="I905" s="1">
        <v>67</v>
      </c>
      <c r="J905" s="1">
        <v>72</v>
      </c>
      <c r="K905" s="1">
        <f>J905-I905</f>
        <v>5</v>
      </c>
      <c r="L905" s="1">
        <v>142</v>
      </c>
      <c r="M905" s="1">
        <v>54</v>
      </c>
      <c r="N905" s="1">
        <v>3</v>
      </c>
      <c r="O905" s="1">
        <v>4.5</v>
      </c>
      <c r="P905" s="1">
        <v>8</v>
      </c>
      <c r="Q905" s="2">
        <v>0.151</v>
      </c>
      <c r="R905" s="1">
        <v>5</v>
      </c>
      <c r="S905" s="1">
        <f>R905/P905</f>
        <v>0.625</v>
      </c>
      <c r="T905" s="1">
        <v>5</v>
      </c>
      <c r="U905" s="1">
        <v>12.5</v>
      </c>
      <c r="V905" s="1">
        <v>552.67973856209153</v>
      </c>
      <c r="W905" s="1">
        <v>6</v>
      </c>
    </row>
    <row r="906" spans="1:23" x14ac:dyDescent="0.2">
      <c r="A906">
        <v>2021</v>
      </c>
      <c r="B906" t="s">
        <v>23</v>
      </c>
      <c r="C906" t="s">
        <v>24</v>
      </c>
      <c r="D906">
        <v>216</v>
      </c>
      <c r="E906">
        <v>1</v>
      </c>
      <c r="F906">
        <v>6</v>
      </c>
      <c r="G906" t="s">
        <v>241</v>
      </c>
      <c r="H906">
        <v>13</v>
      </c>
      <c r="I906">
        <v>55</v>
      </c>
      <c r="J906">
        <v>60</v>
      </c>
      <c r="K906">
        <v>5</v>
      </c>
      <c r="L906">
        <v>75</v>
      </c>
      <c r="M906">
        <v>83</v>
      </c>
      <c r="N906">
        <v>1.5</v>
      </c>
      <c r="O906">
        <v>3</v>
      </c>
      <c r="P906">
        <v>12</v>
      </c>
      <c r="Q906">
        <v>1</v>
      </c>
      <c r="R906">
        <v>12</v>
      </c>
      <c r="S906">
        <v>1</v>
      </c>
      <c r="T906">
        <v>2.5</v>
      </c>
      <c r="U906">
        <v>12.5</v>
      </c>
      <c r="V906">
        <v>3660.1307189542486</v>
      </c>
      <c r="W906">
        <v>2</v>
      </c>
    </row>
    <row r="907" spans="1:23" x14ac:dyDescent="0.2">
      <c r="A907">
        <v>2021</v>
      </c>
      <c r="B907" t="s">
        <v>23</v>
      </c>
      <c r="C907" t="s">
        <v>24</v>
      </c>
      <c r="D907">
        <v>216</v>
      </c>
      <c r="E907">
        <v>2</v>
      </c>
      <c r="F907">
        <v>10</v>
      </c>
      <c r="G907" t="s">
        <v>241</v>
      </c>
      <c r="H907" s="1">
        <v>11</v>
      </c>
      <c r="I907" s="1">
        <v>61</v>
      </c>
      <c r="J907" s="1">
        <v>64</v>
      </c>
      <c r="K907" s="1">
        <f t="shared" ref="K907:K912" si="48">J907-I907</f>
        <v>3</v>
      </c>
      <c r="L907" s="1">
        <v>137</v>
      </c>
      <c r="M907" s="1">
        <v>45</v>
      </c>
      <c r="N907" s="1">
        <v>1.5</v>
      </c>
      <c r="O907" s="1">
        <v>4</v>
      </c>
      <c r="P907" s="1">
        <v>5</v>
      </c>
      <c r="Q907" s="2">
        <v>0.11899999999999999</v>
      </c>
      <c r="R907" s="1">
        <v>5</v>
      </c>
      <c r="S907" s="1">
        <f t="shared" ref="S907:S912" si="49">R907/P907</f>
        <v>1</v>
      </c>
      <c r="T907" s="1">
        <v>4</v>
      </c>
      <c r="U907" s="1">
        <v>12.5</v>
      </c>
      <c r="V907" s="1">
        <v>435.55555555555554</v>
      </c>
      <c r="W907" s="1">
        <v>4</v>
      </c>
    </row>
    <row r="908" spans="1:23" x14ac:dyDescent="0.2">
      <c r="A908">
        <v>2021</v>
      </c>
      <c r="B908" t="s">
        <v>23</v>
      </c>
      <c r="C908" t="s">
        <v>24</v>
      </c>
      <c r="D908">
        <v>217</v>
      </c>
      <c r="E908">
        <v>1</v>
      </c>
      <c r="F908">
        <v>14</v>
      </c>
      <c r="G908" t="s">
        <v>242</v>
      </c>
      <c r="H908" s="3">
        <v>10</v>
      </c>
      <c r="I908" s="3">
        <v>67</v>
      </c>
      <c r="J908" s="3">
        <v>70</v>
      </c>
      <c r="K908" s="3">
        <f t="shared" si="48"/>
        <v>3</v>
      </c>
      <c r="L908" s="3">
        <v>120</v>
      </c>
      <c r="M908" s="3">
        <v>56</v>
      </c>
      <c r="N908" s="3">
        <v>2</v>
      </c>
      <c r="O908" s="3">
        <v>4.5</v>
      </c>
      <c r="P908" s="3">
        <v>6</v>
      </c>
      <c r="Q908" s="4">
        <v>0.08</v>
      </c>
      <c r="R908" s="3">
        <v>5</v>
      </c>
      <c r="S908" s="3">
        <f t="shared" si="49"/>
        <v>0.83333333333333337</v>
      </c>
      <c r="T908" s="3">
        <v>5</v>
      </c>
      <c r="U908" s="3">
        <v>12.5</v>
      </c>
      <c r="V908" s="3">
        <v>292.81045751633991</v>
      </c>
      <c r="W908" s="3">
        <v>4</v>
      </c>
    </row>
    <row r="909" spans="1:23" x14ac:dyDescent="0.2">
      <c r="A909">
        <v>2021</v>
      </c>
      <c r="B909" t="s">
        <v>23</v>
      </c>
      <c r="C909" t="s">
        <v>24</v>
      </c>
      <c r="D909">
        <v>217</v>
      </c>
      <c r="E909">
        <v>2</v>
      </c>
      <c r="F909">
        <v>12</v>
      </c>
      <c r="G909" t="s">
        <v>242</v>
      </c>
      <c r="H909" s="1">
        <v>7</v>
      </c>
      <c r="I909" s="1">
        <v>62</v>
      </c>
      <c r="J909" s="1">
        <v>66</v>
      </c>
      <c r="K909" s="1">
        <f t="shared" si="48"/>
        <v>4</v>
      </c>
      <c r="L909" s="1">
        <v>150</v>
      </c>
      <c r="M909" s="1">
        <v>35</v>
      </c>
      <c r="N909" s="1">
        <v>3</v>
      </c>
      <c r="O909" s="1">
        <v>4.5</v>
      </c>
      <c r="P909" s="1">
        <v>5</v>
      </c>
      <c r="Q909" s="2">
        <v>0.22679999999999997</v>
      </c>
      <c r="R909" s="1">
        <v>4</v>
      </c>
      <c r="S909" s="1">
        <f t="shared" si="49"/>
        <v>0.8</v>
      </c>
      <c r="T909" s="1">
        <v>3</v>
      </c>
      <c r="U909" s="1">
        <v>12.5</v>
      </c>
      <c r="V909" s="1">
        <v>830.11764705882354</v>
      </c>
      <c r="W909" s="1">
        <v>4</v>
      </c>
    </row>
    <row r="910" spans="1:23" x14ac:dyDescent="0.2">
      <c r="A910">
        <v>2021</v>
      </c>
      <c r="B910" t="s">
        <v>23</v>
      </c>
      <c r="C910" t="s">
        <v>24</v>
      </c>
      <c r="D910">
        <v>218</v>
      </c>
      <c r="E910">
        <v>1</v>
      </c>
      <c r="F910">
        <v>2</v>
      </c>
      <c r="G910" t="s">
        <v>243</v>
      </c>
      <c r="H910" s="1">
        <v>10</v>
      </c>
      <c r="I910" s="1">
        <v>63</v>
      </c>
      <c r="J910" s="1">
        <v>67</v>
      </c>
      <c r="K910" s="1">
        <f t="shared" si="48"/>
        <v>4</v>
      </c>
      <c r="L910" s="1">
        <v>131</v>
      </c>
      <c r="M910" s="1">
        <v>36</v>
      </c>
      <c r="N910" s="1">
        <v>3</v>
      </c>
      <c r="O910" s="1">
        <v>4.5</v>
      </c>
      <c r="P910" s="1">
        <v>3</v>
      </c>
      <c r="Q910" s="2">
        <v>4.2000000000000003E-2</v>
      </c>
      <c r="R910" s="1">
        <v>1</v>
      </c>
      <c r="S910" s="1">
        <f t="shared" si="49"/>
        <v>0.33333333333333331</v>
      </c>
      <c r="T910" s="1">
        <v>5</v>
      </c>
      <c r="U910" s="1">
        <v>12.5</v>
      </c>
      <c r="V910" s="1">
        <v>153.72549019607843</v>
      </c>
      <c r="W910" s="1">
        <v>4</v>
      </c>
    </row>
    <row r="911" spans="1:23" x14ac:dyDescent="0.2">
      <c r="A911">
        <v>2021</v>
      </c>
      <c r="B911" t="s">
        <v>23</v>
      </c>
      <c r="C911" t="s">
        <v>24</v>
      </c>
      <c r="D911">
        <v>218</v>
      </c>
      <c r="E911">
        <v>2</v>
      </c>
      <c r="F911">
        <v>15</v>
      </c>
      <c r="G911" t="s">
        <v>243</v>
      </c>
      <c r="H911" s="1">
        <v>5</v>
      </c>
      <c r="I911" s="1">
        <v>65</v>
      </c>
      <c r="J911" s="1">
        <v>70</v>
      </c>
      <c r="K911" s="1">
        <f t="shared" si="48"/>
        <v>5</v>
      </c>
      <c r="L911" s="1">
        <v>141</v>
      </c>
      <c r="M911" s="1">
        <v>62</v>
      </c>
      <c r="N911" s="1">
        <v>2</v>
      </c>
      <c r="O911" s="1">
        <v>3</v>
      </c>
      <c r="P911" s="1">
        <v>5</v>
      </c>
      <c r="Q911" s="2">
        <v>0.66400000000000003</v>
      </c>
      <c r="R911" s="1">
        <v>5</v>
      </c>
      <c r="S911" s="1">
        <f t="shared" si="49"/>
        <v>1</v>
      </c>
      <c r="T911" s="1">
        <v>4</v>
      </c>
      <c r="U911" s="1">
        <v>12.5</v>
      </c>
      <c r="V911" s="1">
        <v>2430.3267973856209</v>
      </c>
      <c r="W911" s="1">
        <v>4</v>
      </c>
    </row>
    <row r="912" spans="1:23" x14ac:dyDescent="0.2">
      <c r="A912">
        <v>2021</v>
      </c>
      <c r="B912" t="s">
        <v>23</v>
      </c>
      <c r="C912" t="s">
        <v>24</v>
      </c>
      <c r="D912">
        <v>219</v>
      </c>
      <c r="E912">
        <v>1</v>
      </c>
      <c r="F912">
        <v>13</v>
      </c>
      <c r="G912" t="s">
        <v>244</v>
      </c>
      <c r="H912" s="3">
        <v>2</v>
      </c>
      <c r="I912" s="3">
        <v>70</v>
      </c>
      <c r="J912" s="3">
        <v>72</v>
      </c>
      <c r="K912" s="3">
        <f t="shared" si="48"/>
        <v>2</v>
      </c>
      <c r="L912" s="3">
        <v>158</v>
      </c>
      <c r="M912" s="3">
        <v>77</v>
      </c>
      <c r="N912" s="3">
        <v>2</v>
      </c>
      <c r="O912" s="3">
        <v>2.5</v>
      </c>
      <c r="P912" s="3">
        <v>8</v>
      </c>
      <c r="Q912" s="4">
        <v>0.33</v>
      </c>
      <c r="R912" s="3">
        <v>6</v>
      </c>
      <c r="S912" s="3">
        <f t="shared" si="49"/>
        <v>0.75</v>
      </c>
      <c r="T912" s="3">
        <v>4</v>
      </c>
      <c r="U912" s="3">
        <v>12.5</v>
      </c>
      <c r="V912" s="3">
        <v>1207.8431372549019</v>
      </c>
      <c r="W912" s="3">
        <v>5</v>
      </c>
    </row>
    <row r="913" spans="1:23" x14ac:dyDescent="0.2">
      <c r="A913">
        <v>2021</v>
      </c>
      <c r="B913" t="s">
        <v>23</v>
      </c>
      <c r="C913" t="s">
        <v>24</v>
      </c>
      <c r="D913">
        <v>219</v>
      </c>
      <c r="E913">
        <v>2</v>
      </c>
      <c r="F913">
        <v>2</v>
      </c>
      <c r="G913" t="s">
        <v>244</v>
      </c>
      <c r="H913">
        <v>15</v>
      </c>
      <c r="I913">
        <v>55</v>
      </c>
      <c r="J913">
        <v>60</v>
      </c>
      <c r="K913">
        <v>5</v>
      </c>
      <c r="L913">
        <v>193</v>
      </c>
      <c r="M913">
        <v>93</v>
      </c>
      <c r="N913">
        <v>2</v>
      </c>
      <c r="O913">
        <v>2.5</v>
      </c>
      <c r="P913">
        <v>11</v>
      </c>
      <c r="Q913">
        <v>0.6</v>
      </c>
      <c r="R913">
        <v>13</v>
      </c>
      <c r="S913">
        <v>1.1818181818181819</v>
      </c>
      <c r="T913">
        <v>3</v>
      </c>
      <c r="U913">
        <v>9.3000000000000007</v>
      </c>
      <c r="V913">
        <v>2276.3921568627452</v>
      </c>
      <c r="W913">
        <v>2</v>
      </c>
    </row>
    <row r="914" spans="1:23" x14ac:dyDescent="0.2">
      <c r="A914">
        <v>2021</v>
      </c>
      <c r="B914" t="s">
        <v>23</v>
      </c>
      <c r="C914" t="s">
        <v>24</v>
      </c>
      <c r="D914">
        <v>220</v>
      </c>
      <c r="E914">
        <v>1</v>
      </c>
      <c r="F914">
        <v>11</v>
      </c>
      <c r="G914" t="s">
        <v>245</v>
      </c>
      <c r="H914" s="1">
        <v>13</v>
      </c>
      <c r="I914" s="1">
        <v>62</v>
      </c>
      <c r="J914" s="1">
        <v>65</v>
      </c>
      <c r="K914" s="1">
        <f>J914-I914</f>
        <v>3</v>
      </c>
      <c r="L914" s="1">
        <v>166</v>
      </c>
      <c r="M914" s="1">
        <v>63</v>
      </c>
      <c r="N914" s="1">
        <v>2</v>
      </c>
      <c r="O914" s="1">
        <v>2</v>
      </c>
      <c r="P914" s="1">
        <f>H914</f>
        <v>13</v>
      </c>
      <c r="Q914" s="2">
        <v>0.153</v>
      </c>
      <c r="R914" s="1">
        <v>10</v>
      </c>
      <c r="S914" s="1">
        <f>R914/P914</f>
        <v>0.76923076923076927</v>
      </c>
      <c r="T914" s="1">
        <v>3</v>
      </c>
      <c r="U914" s="1">
        <v>12.5</v>
      </c>
      <c r="V914" s="1">
        <v>560</v>
      </c>
      <c r="W914" s="1">
        <v>4</v>
      </c>
    </row>
    <row r="915" spans="1:23" x14ac:dyDescent="0.2">
      <c r="A915">
        <v>2021</v>
      </c>
      <c r="B915" t="s">
        <v>23</v>
      </c>
      <c r="C915" t="s">
        <v>24</v>
      </c>
      <c r="D915">
        <v>220</v>
      </c>
      <c r="E915">
        <v>2</v>
      </c>
      <c r="F915">
        <v>14</v>
      </c>
      <c r="G915" t="s">
        <v>245</v>
      </c>
      <c r="H915" s="1">
        <v>12</v>
      </c>
      <c r="I915" s="1">
        <v>59</v>
      </c>
      <c r="J915" s="1">
        <v>64</v>
      </c>
      <c r="K915" s="1">
        <f>J915-I915</f>
        <v>5</v>
      </c>
      <c r="L915" s="1">
        <v>123</v>
      </c>
      <c r="M915" s="1">
        <v>85</v>
      </c>
      <c r="N915" s="1">
        <v>2</v>
      </c>
      <c r="O915" s="1">
        <v>3.5</v>
      </c>
      <c r="P915" s="1">
        <f>H915-2</f>
        <v>10</v>
      </c>
      <c r="Q915" s="2">
        <v>0.25800000000000001</v>
      </c>
      <c r="R915" s="1">
        <v>10</v>
      </c>
      <c r="S915" s="1">
        <f>R915/P915</f>
        <v>1</v>
      </c>
      <c r="T915" s="1">
        <v>3</v>
      </c>
      <c r="U915" s="1">
        <v>12.5</v>
      </c>
      <c r="V915" s="1">
        <v>944.31372549019602</v>
      </c>
      <c r="W915" s="1">
        <v>5</v>
      </c>
    </row>
    <row r="916" spans="1:23" x14ac:dyDescent="0.2">
      <c r="A916">
        <v>2021</v>
      </c>
      <c r="B916" t="s">
        <v>23</v>
      </c>
      <c r="C916" t="s">
        <v>24</v>
      </c>
      <c r="D916">
        <v>221</v>
      </c>
      <c r="E916">
        <v>1</v>
      </c>
      <c r="F916">
        <v>11</v>
      </c>
      <c r="G916" t="s">
        <v>246</v>
      </c>
      <c r="H916" s="1">
        <v>1</v>
      </c>
      <c r="I916" s="1">
        <v>62</v>
      </c>
      <c r="J916" s="1">
        <v>65</v>
      </c>
      <c r="K916" s="1">
        <f>J916-I916</f>
        <v>3</v>
      </c>
      <c r="L916" s="1">
        <v>173</v>
      </c>
      <c r="M916" s="1">
        <v>87</v>
      </c>
      <c r="N916" s="1">
        <v>2</v>
      </c>
      <c r="O916" s="1">
        <v>2</v>
      </c>
      <c r="P916" s="1">
        <f>H916</f>
        <v>1</v>
      </c>
      <c r="Q916" s="2">
        <v>3.7499999999999999E-2</v>
      </c>
      <c r="R916" s="1">
        <v>1</v>
      </c>
      <c r="S916" s="1">
        <f>R916/P916</f>
        <v>1</v>
      </c>
      <c r="T916" s="1">
        <v>4</v>
      </c>
      <c r="U916" s="1">
        <v>12.5</v>
      </c>
      <c r="V916" s="1">
        <v>137.25490196078431</v>
      </c>
      <c r="W916" s="1">
        <v>4</v>
      </c>
    </row>
    <row r="917" spans="1:23" x14ac:dyDescent="0.2">
      <c r="A917">
        <v>2021</v>
      </c>
      <c r="B917" t="s">
        <v>23</v>
      </c>
      <c r="C917" t="s">
        <v>24</v>
      </c>
      <c r="D917">
        <v>221</v>
      </c>
      <c r="E917">
        <v>2</v>
      </c>
      <c r="F917">
        <v>12</v>
      </c>
      <c r="G917" t="s">
        <v>246</v>
      </c>
      <c r="H917" s="1">
        <v>11</v>
      </c>
      <c r="I917" s="1">
        <v>60</v>
      </c>
      <c r="J917" s="1">
        <v>65</v>
      </c>
      <c r="K917" s="1">
        <f>J917-I917</f>
        <v>5</v>
      </c>
      <c r="L917" s="1">
        <v>117</v>
      </c>
      <c r="M917" s="1">
        <v>70</v>
      </c>
      <c r="N917" s="1">
        <v>2</v>
      </c>
      <c r="O917" s="1">
        <v>3</v>
      </c>
      <c r="P917" s="1">
        <v>10</v>
      </c>
      <c r="Q917" s="2">
        <v>0.38250000000000001</v>
      </c>
      <c r="R917" s="1">
        <v>8</v>
      </c>
      <c r="S917" s="1">
        <f>R917/P917</f>
        <v>0.8</v>
      </c>
      <c r="T917" s="1">
        <v>5</v>
      </c>
      <c r="U917" s="1">
        <v>12.5</v>
      </c>
      <c r="V917" s="1">
        <v>1400</v>
      </c>
      <c r="W917" s="1">
        <v>5</v>
      </c>
    </row>
    <row r="918" spans="1:23" x14ac:dyDescent="0.2">
      <c r="A918">
        <v>2021</v>
      </c>
      <c r="B918" t="s">
        <v>23</v>
      </c>
      <c r="C918" t="s">
        <v>24</v>
      </c>
      <c r="D918">
        <v>222</v>
      </c>
      <c r="E918">
        <v>1</v>
      </c>
      <c r="F918">
        <v>13</v>
      </c>
      <c r="G918" t="s">
        <v>247</v>
      </c>
      <c r="H918" s="1">
        <v>5</v>
      </c>
      <c r="I918" s="1">
        <v>62</v>
      </c>
      <c r="J918" s="1">
        <v>67</v>
      </c>
      <c r="K918" s="1">
        <f>J918-I918</f>
        <v>5</v>
      </c>
      <c r="L918" s="1">
        <v>192</v>
      </c>
      <c r="M918" s="1">
        <v>112</v>
      </c>
      <c r="N918" s="1">
        <v>2</v>
      </c>
      <c r="O918" s="1">
        <v>3</v>
      </c>
      <c r="P918" s="1">
        <v>4</v>
      </c>
      <c r="Q918" s="2">
        <v>8.4000000000000005E-2</v>
      </c>
      <c r="R918" s="1">
        <v>5</v>
      </c>
      <c r="S918" s="1">
        <f>R918/P918</f>
        <v>1.25</v>
      </c>
      <c r="T918" s="1">
        <v>5</v>
      </c>
      <c r="U918" s="1">
        <v>7.2</v>
      </c>
      <c r="V918" s="1">
        <v>326.07372549019613</v>
      </c>
      <c r="W918" s="1">
        <v>4</v>
      </c>
    </row>
    <row r="919" spans="1:23" x14ac:dyDescent="0.2">
      <c r="A919">
        <v>2021</v>
      </c>
      <c r="B919" t="s">
        <v>23</v>
      </c>
      <c r="C919" t="s">
        <v>24</v>
      </c>
      <c r="D919">
        <v>222</v>
      </c>
      <c r="E919">
        <v>2</v>
      </c>
      <c r="F919">
        <v>1</v>
      </c>
      <c r="G919" t="s">
        <v>247</v>
      </c>
      <c r="H919">
        <v>14</v>
      </c>
      <c r="I919">
        <v>55</v>
      </c>
      <c r="J919">
        <v>57</v>
      </c>
      <c r="K919">
        <v>2</v>
      </c>
      <c r="L919">
        <v>90</v>
      </c>
      <c r="M919">
        <v>29</v>
      </c>
      <c r="N919">
        <v>1</v>
      </c>
      <c r="O919">
        <v>2</v>
      </c>
      <c r="P919">
        <v>14</v>
      </c>
      <c r="Q919">
        <v>1.87</v>
      </c>
      <c r="R919">
        <v>14</v>
      </c>
      <c r="S919">
        <v>1</v>
      </c>
      <c r="T919">
        <v>3</v>
      </c>
      <c r="U919">
        <v>12.5</v>
      </c>
      <c r="V919">
        <v>6844.4444444444443</v>
      </c>
      <c r="W919">
        <v>2</v>
      </c>
    </row>
    <row r="920" spans="1:23" x14ac:dyDescent="0.2">
      <c r="A920">
        <v>2021</v>
      </c>
      <c r="B920" t="s">
        <v>23</v>
      </c>
      <c r="C920" t="s">
        <v>24</v>
      </c>
      <c r="D920">
        <v>223</v>
      </c>
      <c r="E920">
        <v>1</v>
      </c>
      <c r="F920">
        <v>8</v>
      </c>
      <c r="G920" t="s">
        <v>248</v>
      </c>
      <c r="H920" s="1">
        <v>3</v>
      </c>
      <c r="I920" s="1">
        <v>62</v>
      </c>
      <c r="J920" s="1">
        <v>66</v>
      </c>
      <c r="K920" s="1">
        <f>J920-I920</f>
        <v>4</v>
      </c>
      <c r="L920" s="1">
        <v>131</v>
      </c>
      <c r="M920" s="1">
        <v>67</v>
      </c>
      <c r="N920" s="1">
        <v>2</v>
      </c>
      <c r="O920" s="1">
        <v>3</v>
      </c>
      <c r="P920" s="1">
        <v>3</v>
      </c>
      <c r="Q920" s="2">
        <v>0.19440000000000002</v>
      </c>
      <c r="R920" s="1">
        <v>3</v>
      </c>
      <c r="S920" s="1">
        <f>R920/P920</f>
        <v>1</v>
      </c>
      <c r="T920" s="1">
        <v>4</v>
      </c>
      <c r="U920" s="1">
        <v>12.5</v>
      </c>
      <c r="V920" s="1">
        <v>711.52941176470597</v>
      </c>
      <c r="W920" s="1">
        <v>3</v>
      </c>
    </row>
    <row r="921" spans="1:23" x14ac:dyDescent="0.2">
      <c r="A921">
        <v>2021</v>
      </c>
      <c r="B921" t="s">
        <v>23</v>
      </c>
      <c r="C921" t="s">
        <v>24</v>
      </c>
      <c r="D921">
        <v>223</v>
      </c>
      <c r="E921">
        <v>2</v>
      </c>
      <c r="F921">
        <v>9</v>
      </c>
      <c r="G921" t="s">
        <v>248</v>
      </c>
      <c r="H921" s="1">
        <v>5</v>
      </c>
      <c r="I921" s="1">
        <v>62</v>
      </c>
      <c r="J921" s="1">
        <v>65</v>
      </c>
      <c r="K921" s="1">
        <f>J921-I921</f>
        <v>3</v>
      </c>
      <c r="L921" s="1">
        <v>123</v>
      </c>
      <c r="M921" s="1">
        <v>58</v>
      </c>
      <c r="N921" s="1">
        <v>3</v>
      </c>
      <c r="O921" s="1">
        <v>4</v>
      </c>
      <c r="P921" s="1">
        <v>3</v>
      </c>
      <c r="Q921" s="2">
        <v>0.15419999999999998</v>
      </c>
      <c r="R921" s="1">
        <v>3</v>
      </c>
      <c r="S921" s="1">
        <f>R921/P921</f>
        <v>1</v>
      </c>
      <c r="T921" s="1">
        <v>5</v>
      </c>
      <c r="U921" s="1">
        <v>12.5</v>
      </c>
      <c r="V921" s="1">
        <v>564.39215686274508</v>
      </c>
      <c r="W921" s="1">
        <v>5</v>
      </c>
    </row>
    <row r="922" spans="1:23" x14ac:dyDescent="0.2">
      <c r="A922">
        <v>2021</v>
      </c>
      <c r="B922" t="s">
        <v>23</v>
      </c>
      <c r="C922" t="s">
        <v>24</v>
      </c>
      <c r="D922">
        <v>224</v>
      </c>
      <c r="E922">
        <v>1</v>
      </c>
      <c r="F922">
        <v>4</v>
      </c>
      <c r="G922" t="s">
        <v>249</v>
      </c>
      <c r="H922" s="1">
        <v>13</v>
      </c>
      <c r="I922" s="1">
        <v>67</v>
      </c>
      <c r="J922" s="1">
        <v>72</v>
      </c>
      <c r="K922" s="1">
        <f>J922-I922</f>
        <v>5</v>
      </c>
      <c r="L922" s="1">
        <v>68</v>
      </c>
      <c r="M922" s="1">
        <v>63</v>
      </c>
      <c r="N922" s="1">
        <v>2</v>
      </c>
      <c r="O922" s="1">
        <v>3</v>
      </c>
      <c r="P922" s="1">
        <f>H922</f>
        <v>13</v>
      </c>
      <c r="Q922" s="2">
        <v>0.114</v>
      </c>
      <c r="R922" s="1">
        <v>9</v>
      </c>
      <c r="S922" s="1">
        <f>R922/P922</f>
        <v>0.69230769230769229</v>
      </c>
      <c r="T922" s="1">
        <v>3</v>
      </c>
      <c r="U922" s="1">
        <v>12.5</v>
      </c>
      <c r="V922" s="1">
        <v>417.25490196078431</v>
      </c>
      <c r="W922" s="1">
        <v>3</v>
      </c>
    </row>
    <row r="923" spans="1:23" x14ac:dyDescent="0.2">
      <c r="A923">
        <v>2021</v>
      </c>
      <c r="B923" t="s">
        <v>23</v>
      </c>
      <c r="C923" t="s">
        <v>24</v>
      </c>
      <c r="D923">
        <v>224</v>
      </c>
      <c r="E923">
        <v>2</v>
      </c>
      <c r="F923">
        <v>3</v>
      </c>
      <c r="G923" t="s">
        <v>249</v>
      </c>
      <c r="H923" s="1">
        <v>13</v>
      </c>
      <c r="I923" s="1">
        <v>61</v>
      </c>
      <c r="J923" s="1">
        <v>64</v>
      </c>
      <c r="K923" s="1">
        <f>J923-I923</f>
        <v>3</v>
      </c>
      <c r="L923" s="1">
        <v>141</v>
      </c>
      <c r="M923" s="1">
        <v>76</v>
      </c>
      <c r="N923" s="1">
        <v>2</v>
      </c>
      <c r="O923" s="1">
        <v>3.5</v>
      </c>
      <c r="P923" s="1">
        <v>9</v>
      </c>
      <c r="Q923" s="2">
        <v>5.4449999999999998E-2</v>
      </c>
      <c r="R923" s="1">
        <v>7</v>
      </c>
      <c r="S923" s="1">
        <f>R923/P923</f>
        <v>0.77777777777777779</v>
      </c>
      <c r="T923" s="1">
        <v>5</v>
      </c>
      <c r="U923" s="1">
        <v>12.5</v>
      </c>
      <c r="V923" s="1">
        <v>199.29411764705884</v>
      </c>
      <c r="W923" s="1">
        <v>5</v>
      </c>
    </row>
    <row r="924" spans="1:23" x14ac:dyDescent="0.2">
      <c r="A924">
        <v>2021</v>
      </c>
      <c r="B924" t="s">
        <v>23</v>
      </c>
      <c r="C924" t="s">
        <v>24</v>
      </c>
      <c r="D924">
        <v>225</v>
      </c>
      <c r="E924">
        <v>1</v>
      </c>
      <c r="F924">
        <v>13</v>
      </c>
      <c r="G924" t="s">
        <v>250</v>
      </c>
      <c r="H924" s="1">
        <v>11</v>
      </c>
      <c r="I924" s="1">
        <v>61</v>
      </c>
      <c r="J924" s="1">
        <v>66</v>
      </c>
      <c r="K924" s="1">
        <f>J924-I924</f>
        <v>5</v>
      </c>
      <c r="L924" s="1">
        <v>142</v>
      </c>
      <c r="M924" s="1">
        <v>67</v>
      </c>
      <c r="N924" s="1">
        <v>2</v>
      </c>
      <c r="O924" s="1">
        <v>4</v>
      </c>
      <c r="P924" s="1">
        <v>7</v>
      </c>
      <c r="Q924" s="2">
        <v>0.46160000000000001</v>
      </c>
      <c r="R924" s="1">
        <v>5</v>
      </c>
      <c r="S924" s="1">
        <f>R924/P924</f>
        <v>0.7142857142857143</v>
      </c>
      <c r="T924" s="1">
        <v>5</v>
      </c>
      <c r="U924" s="1">
        <v>8.4</v>
      </c>
      <c r="V924" s="1">
        <v>1768.682248366013</v>
      </c>
      <c r="W924" s="1">
        <v>6</v>
      </c>
    </row>
    <row r="925" spans="1:23" x14ac:dyDescent="0.2">
      <c r="A925">
        <v>2021</v>
      </c>
      <c r="B925" t="s">
        <v>23</v>
      </c>
      <c r="C925" t="s">
        <v>24</v>
      </c>
      <c r="D925">
        <v>225</v>
      </c>
      <c r="E925">
        <v>2</v>
      </c>
      <c r="F925">
        <v>2</v>
      </c>
      <c r="G925" t="s">
        <v>250</v>
      </c>
      <c r="H925">
        <v>3</v>
      </c>
      <c r="I925">
        <v>60</v>
      </c>
      <c r="J925">
        <v>63</v>
      </c>
      <c r="K925">
        <v>3</v>
      </c>
      <c r="L925">
        <v>152</v>
      </c>
      <c r="M925">
        <v>72</v>
      </c>
      <c r="N925">
        <v>1.5</v>
      </c>
      <c r="O925">
        <v>2</v>
      </c>
      <c r="P925">
        <v>3</v>
      </c>
      <c r="Q925">
        <v>0.4</v>
      </c>
      <c r="R925">
        <v>3</v>
      </c>
      <c r="S925">
        <v>1</v>
      </c>
      <c r="T925">
        <v>2.5</v>
      </c>
      <c r="U925">
        <v>12.5</v>
      </c>
      <c r="V925">
        <v>1464.0522875816994</v>
      </c>
      <c r="W925">
        <v>1</v>
      </c>
    </row>
    <row r="926" spans="1:23" x14ac:dyDescent="0.2">
      <c r="A926">
        <v>2021</v>
      </c>
      <c r="B926" t="s">
        <v>23</v>
      </c>
      <c r="C926" t="s">
        <v>24</v>
      </c>
      <c r="D926">
        <v>226</v>
      </c>
      <c r="E926">
        <v>1</v>
      </c>
      <c r="F926">
        <v>2</v>
      </c>
      <c r="G926" t="s">
        <v>251</v>
      </c>
      <c r="H926" s="1">
        <v>10</v>
      </c>
      <c r="I926" s="1">
        <v>56</v>
      </c>
      <c r="J926" s="1">
        <v>60</v>
      </c>
      <c r="K926" s="1">
        <f>J926-I926</f>
        <v>4</v>
      </c>
      <c r="L926" s="1">
        <v>122</v>
      </c>
      <c r="M926" s="1">
        <v>32</v>
      </c>
      <c r="N926" s="1">
        <v>3</v>
      </c>
      <c r="O926" s="1">
        <v>4.5</v>
      </c>
      <c r="P926" s="1">
        <v>6</v>
      </c>
      <c r="Q926" s="2">
        <v>9.0200000000000002E-2</v>
      </c>
      <c r="R926" s="1">
        <v>4</v>
      </c>
      <c r="S926" s="1">
        <f>R926/P926</f>
        <v>0.66666666666666663</v>
      </c>
      <c r="T926" s="1">
        <v>5</v>
      </c>
      <c r="U926" s="1">
        <v>12.5</v>
      </c>
      <c r="V926" s="1">
        <v>330.14379084967322</v>
      </c>
      <c r="W926" s="1">
        <v>6</v>
      </c>
    </row>
    <row r="927" spans="1:23" x14ac:dyDescent="0.2">
      <c r="A927">
        <v>2021</v>
      </c>
      <c r="B927" t="s">
        <v>23</v>
      </c>
      <c r="C927" t="s">
        <v>24</v>
      </c>
      <c r="D927">
        <v>226</v>
      </c>
      <c r="E927">
        <v>2</v>
      </c>
      <c r="F927">
        <v>7</v>
      </c>
      <c r="G927" t="s">
        <v>251</v>
      </c>
      <c r="H927" s="1">
        <v>11</v>
      </c>
      <c r="I927" s="1">
        <v>63</v>
      </c>
      <c r="J927" s="1">
        <v>66</v>
      </c>
      <c r="K927" s="1">
        <f>J927-I927</f>
        <v>3</v>
      </c>
      <c r="L927" s="1">
        <v>167</v>
      </c>
      <c r="M927" s="1">
        <v>98</v>
      </c>
      <c r="N927" s="1">
        <v>2</v>
      </c>
      <c r="O927" s="1">
        <v>3.5</v>
      </c>
      <c r="P927" s="1">
        <f>H927</f>
        <v>11</v>
      </c>
      <c r="Q927" s="2">
        <v>0.176625</v>
      </c>
      <c r="R927" s="1">
        <v>9</v>
      </c>
      <c r="S927" s="1">
        <f>R927/P927</f>
        <v>0.81818181818181823</v>
      </c>
      <c r="T927" s="1">
        <v>5</v>
      </c>
      <c r="U927" s="1">
        <v>12.5</v>
      </c>
      <c r="V927" s="1">
        <v>646.47058823529414</v>
      </c>
      <c r="W927" s="1">
        <v>3</v>
      </c>
    </row>
    <row r="928" spans="1:23" x14ac:dyDescent="0.2">
      <c r="A928">
        <v>2021</v>
      </c>
      <c r="B928" t="s">
        <v>23</v>
      </c>
      <c r="C928" t="s">
        <v>24</v>
      </c>
      <c r="D928">
        <v>227</v>
      </c>
      <c r="E928">
        <v>1</v>
      </c>
      <c r="F928">
        <v>11</v>
      </c>
      <c r="G928" t="s">
        <v>252</v>
      </c>
      <c r="H928" s="1">
        <v>8</v>
      </c>
      <c r="I928" s="1">
        <v>61</v>
      </c>
      <c r="J928" s="1">
        <v>64</v>
      </c>
      <c r="K928" s="1">
        <f>J928-I928</f>
        <v>3</v>
      </c>
      <c r="L928" s="1">
        <v>155</v>
      </c>
      <c r="M928" s="1">
        <v>56</v>
      </c>
      <c r="N928" s="1">
        <v>2</v>
      </c>
      <c r="O928" s="1">
        <v>4</v>
      </c>
      <c r="P928" s="1">
        <v>6</v>
      </c>
      <c r="Q928" s="2">
        <v>0.09</v>
      </c>
      <c r="R928" s="1">
        <v>6</v>
      </c>
      <c r="S928" s="1">
        <f>R928/P928</f>
        <v>1</v>
      </c>
      <c r="T928" s="1">
        <v>4</v>
      </c>
      <c r="U928" s="1">
        <v>12.5</v>
      </c>
      <c r="V928" s="1">
        <v>329.41176470588232</v>
      </c>
      <c r="W928" s="1">
        <v>5</v>
      </c>
    </row>
    <row r="929" spans="1:23" x14ac:dyDescent="0.2">
      <c r="A929">
        <v>2021</v>
      </c>
      <c r="B929" t="s">
        <v>23</v>
      </c>
      <c r="C929" t="s">
        <v>24</v>
      </c>
      <c r="D929">
        <v>227</v>
      </c>
      <c r="E929">
        <v>2</v>
      </c>
      <c r="F929">
        <v>2</v>
      </c>
      <c r="G929" t="s">
        <v>252</v>
      </c>
      <c r="H929">
        <v>13</v>
      </c>
      <c r="I929">
        <v>54</v>
      </c>
      <c r="J929">
        <v>56</v>
      </c>
      <c r="K929">
        <v>2</v>
      </c>
      <c r="L929">
        <v>142</v>
      </c>
      <c r="M929">
        <v>39</v>
      </c>
      <c r="N929">
        <v>2</v>
      </c>
      <c r="O929">
        <v>2</v>
      </c>
      <c r="P929">
        <v>8</v>
      </c>
      <c r="Q929">
        <v>0.5</v>
      </c>
      <c r="R929">
        <v>7</v>
      </c>
      <c r="S929">
        <v>0.875</v>
      </c>
      <c r="T929">
        <v>4</v>
      </c>
      <c r="U929">
        <v>12.1</v>
      </c>
      <c r="V929">
        <v>1838.4313725490194</v>
      </c>
      <c r="W929">
        <v>2</v>
      </c>
    </row>
    <row r="930" spans="1:23" x14ac:dyDescent="0.2">
      <c r="A930">
        <v>2021</v>
      </c>
      <c r="B930" t="s">
        <v>23</v>
      </c>
      <c r="C930" t="s">
        <v>24</v>
      </c>
      <c r="D930">
        <v>228</v>
      </c>
      <c r="E930">
        <v>1</v>
      </c>
      <c r="F930">
        <v>3</v>
      </c>
      <c r="G930" t="s">
        <v>253</v>
      </c>
      <c r="H930" s="1">
        <v>7</v>
      </c>
      <c r="I930" s="1">
        <v>56</v>
      </c>
      <c r="J930" s="1">
        <v>61</v>
      </c>
      <c r="K930" s="1">
        <f>J930-I930</f>
        <v>5</v>
      </c>
      <c r="L930" s="1">
        <v>134</v>
      </c>
      <c r="M930" s="1">
        <v>56</v>
      </c>
      <c r="N930" s="1">
        <v>3</v>
      </c>
      <c r="O930" s="1">
        <v>3.5</v>
      </c>
      <c r="P930" s="1">
        <v>4</v>
      </c>
      <c r="Q930" s="2">
        <v>0.72399999999999998</v>
      </c>
      <c r="R930" s="1">
        <v>4</v>
      </c>
      <c r="S930" s="1">
        <f>R930/P930</f>
        <v>1</v>
      </c>
      <c r="T930" s="1">
        <v>2</v>
      </c>
      <c r="U930" s="1">
        <v>12.5</v>
      </c>
      <c r="V930" s="1">
        <v>2649.9346405228757</v>
      </c>
      <c r="W930" s="1">
        <v>4</v>
      </c>
    </row>
    <row r="931" spans="1:23" x14ac:dyDescent="0.2">
      <c r="A931">
        <v>2021</v>
      </c>
      <c r="B931" t="s">
        <v>23</v>
      </c>
      <c r="C931" t="s">
        <v>24</v>
      </c>
      <c r="D931">
        <v>228</v>
      </c>
      <c r="E931">
        <v>2</v>
      </c>
      <c r="F931">
        <v>9</v>
      </c>
      <c r="G931" t="s">
        <v>253</v>
      </c>
      <c r="H931">
        <v>12</v>
      </c>
      <c r="I931">
        <v>57</v>
      </c>
      <c r="J931">
        <v>60</v>
      </c>
      <c r="K931">
        <v>3</v>
      </c>
      <c r="L931">
        <v>128</v>
      </c>
      <c r="M931">
        <v>86</v>
      </c>
      <c r="N931">
        <v>2</v>
      </c>
      <c r="O931">
        <v>2</v>
      </c>
      <c r="P931">
        <v>10</v>
      </c>
      <c r="Q931">
        <v>0.8</v>
      </c>
      <c r="R931">
        <v>8</v>
      </c>
      <c r="S931">
        <v>0.8</v>
      </c>
      <c r="T931">
        <v>2</v>
      </c>
      <c r="U931">
        <v>11</v>
      </c>
      <c r="V931">
        <v>2978.3006535947711</v>
      </c>
      <c r="W931">
        <v>2</v>
      </c>
    </row>
    <row r="932" spans="1:23" x14ac:dyDescent="0.2">
      <c r="A932">
        <v>2021</v>
      </c>
      <c r="B932" t="s">
        <v>23</v>
      </c>
      <c r="C932" t="s">
        <v>24</v>
      </c>
      <c r="D932">
        <v>229</v>
      </c>
      <c r="E932">
        <v>1</v>
      </c>
      <c r="F932">
        <v>10</v>
      </c>
      <c r="G932" t="s">
        <v>254</v>
      </c>
      <c r="H932" s="1">
        <v>3</v>
      </c>
      <c r="I932" s="1">
        <v>63</v>
      </c>
      <c r="J932" s="1">
        <v>66</v>
      </c>
      <c r="K932" s="1">
        <f>J932-I932</f>
        <v>3</v>
      </c>
      <c r="L932" s="1">
        <v>145</v>
      </c>
      <c r="M932" s="1">
        <v>50</v>
      </c>
      <c r="N932" s="1">
        <v>1.5</v>
      </c>
      <c r="O932" s="1">
        <v>2.5</v>
      </c>
      <c r="P932" s="1">
        <v>3</v>
      </c>
      <c r="Q932" s="2">
        <v>0.3105</v>
      </c>
      <c r="R932" s="1">
        <v>2</v>
      </c>
      <c r="S932" s="1">
        <f>R932/P932</f>
        <v>0.66666666666666663</v>
      </c>
      <c r="T932" s="1">
        <v>2.5</v>
      </c>
      <c r="U932" s="1">
        <v>12.5</v>
      </c>
      <c r="V932" s="1">
        <v>1136.4705882352941</v>
      </c>
      <c r="W932" s="1">
        <v>2</v>
      </c>
    </row>
    <row r="933" spans="1:23" x14ac:dyDescent="0.2">
      <c r="A933">
        <v>2021</v>
      </c>
      <c r="B933" t="s">
        <v>23</v>
      </c>
      <c r="C933" t="s">
        <v>24</v>
      </c>
      <c r="D933">
        <v>229</v>
      </c>
      <c r="E933">
        <v>2</v>
      </c>
      <c r="F933">
        <v>8</v>
      </c>
      <c r="G933" t="s">
        <v>254</v>
      </c>
      <c r="H933" s="1">
        <v>3</v>
      </c>
      <c r="I933" s="1">
        <v>67</v>
      </c>
      <c r="J933" s="1">
        <v>70</v>
      </c>
      <c r="K933" s="1">
        <f>J933-I933</f>
        <v>3</v>
      </c>
      <c r="L933" s="1">
        <v>158</v>
      </c>
      <c r="M933" s="1">
        <v>56</v>
      </c>
      <c r="N933" s="1">
        <v>1.5</v>
      </c>
      <c r="O933" s="1">
        <v>4.5</v>
      </c>
      <c r="P933" s="1">
        <v>2</v>
      </c>
      <c r="Q933" s="2">
        <v>2.9000000000000001E-2</v>
      </c>
      <c r="R933" s="1">
        <v>1</v>
      </c>
      <c r="S933" s="1">
        <f>R933/P933</f>
        <v>0.5</v>
      </c>
      <c r="T933" s="1">
        <v>5</v>
      </c>
      <c r="U933" s="1">
        <v>12.5</v>
      </c>
      <c r="V933" s="1">
        <v>106.14379084967319</v>
      </c>
      <c r="W933" s="1">
        <v>3</v>
      </c>
    </row>
    <row r="934" spans="1:23" x14ac:dyDescent="0.2">
      <c r="A934">
        <v>2021</v>
      </c>
      <c r="B934" t="s">
        <v>23</v>
      </c>
      <c r="C934" t="s">
        <v>24</v>
      </c>
      <c r="D934">
        <v>230</v>
      </c>
      <c r="E934">
        <v>1</v>
      </c>
      <c r="F934">
        <v>13</v>
      </c>
      <c r="G934" t="s">
        <v>255</v>
      </c>
      <c r="H934" s="3">
        <v>7</v>
      </c>
      <c r="I934" s="3">
        <v>68</v>
      </c>
      <c r="J934" s="3">
        <v>72</v>
      </c>
      <c r="K934" s="3">
        <f>J934-I934</f>
        <v>4</v>
      </c>
      <c r="L934" s="3">
        <v>71</v>
      </c>
      <c r="M934" s="3">
        <v>25</v>
      </c>
      <c r="N934" s="3">
        <v>2</v>
      </c>
      <c r="O934" s="3">
        <v>5</v>
      </c>
      <c r="P934" s="3">
        <v>1</v>
      </c>
      <c r="Q934" s="4">
        <v>4.4999999999999998E-2</v>
      </c>
      <c r="R934" s="3">
        <v>1</v>
      </c>
      <c r="S934" s="3">
        <f>R934/P934</f>
        <v>1</v>
      </c>
      <c r="T934" s="3">
        <v>5</v>
      </c>
      <c r="U934" s="3">
        <v>12.5</v>
      </c>
      <c r="V934" s="3">
        <v>164.70588235294116</v>
      </c>
      <c r="W934" s="3">
        <v>6</v>
      </c>
    </row>
    <row r="935" spans="1:23" x14ac:dyDescent="0.2">
      <c r="A935">
        <v>2021</v>
      </c>
      <c r="B935" t="s">
        <v>23</v>
      </c>
      <c r="C935" t="s">
        <v>24</v>
      </c>
      <c r="D935">
        <v>230</v>
      </c>
      <c r="E935">
        <v>2</v>
      </c>
      <c r="F935">
        <v>9</v>
      </c>
      <c r="G935" t="s">
        <v>255</v>
      </c>
      <c r="H935" s="1">
        <v>16</v>
      </c>
      <c r="I935" s="1">
        <v>67</v>
      </c>
      <c r="J935" s="1">
        <v>69</v>
      </c>
      <c r="K935" s="1">
        <f>J935-I935</f>
        <v>2</v>
      </c>
      <c r="L935" s="1">
        <v>169</v>
      </c>
      <c r="M935" s="1">
        <v>54</v>
      </c>
      <c r="N935" s="1">
        <v>2</v>
      </c>
      <c r="O935" s="1">
        <v>2.5</v>
      </c>
      <c r="P935" s="1">
        <v>9</v>
      </c>
      <c r="Q935" s="2">
        <v>0.25839000000000006</v>
      </c>
      <c r="R935" s="1">
        <v>10</v>
      </c>
      <c r="S935" s="1">
        <f>R935/P935</f>
        <v>1.1111111111111112</v>
      </c>
      <c r="T935" s="1">
        <v>5</v>
      </c>
      <c r="U935" s="1">
        <v>12.5</v>
      </c>
      <c r="V935" s="1">
        <v>945.74117647058847</v>
      </c>
      <c r="W935" s="1">
        <v>6</v>
      </c>
    </row>
    <row r="936" spans="1:23" x14ac:dyDescent="0.2">
      <c r="A936">
        <v>2021</v>
      </c>
      <c r="B936" t="s">
        <v>23</v>
      </c>
      <c r="C936" t="s">
        <v>24</v>
      </c>
      <c r="D936">
        <v>231</v>
      </c>
      <c r="E936">
        <v>1</v>
      </c>
      <c r="F936">
        <v>3</v>
      </c>
      <c r="G936" t="s">
        <v>256</v>
      </c>
      <c r="H936">
        <v>16</v>
      </c>
      <c r="I936">
        <v>54</v>
      </c>
      <c r="J936">
        <v>56</v>
      </c>
      <c r="K936">
        <v>2</v>
      </c>
      <c r="L936">
        <v>175</v>
      </c>
      <c r="M936">
        <v>90</v>
      </c>
      <c r="N936">
        <v>1</v>
      </c>
      <c r="O936">
        <v>2</v>
      </c>
      <c r="P936">
        <v>16</v>
      </c>
      <c r="Q936">
        <v>1.2</v>
      </c>
      <c r="R936">
        <v>15</v>
      </c>
      <c r="S936">
        <v>0.9375</v>
      </c>
      <c r="T936">
        <v>2</v>
      </c>
      <c r="U936">
        <v>8.6999999999999993</v>
      </c>
      <c r="V936">
        <v>4582.9019607843129</v>
      </c>
      <c r="W936">
        <v>2</v>
      </c>
    </row>
    <row r="937" spans="1:23" x14ac:dyDescent="0.2">
      <c r="A937">
        <v>2021</v>
      </c>
      <c r="B937" t="s">
        <v>23</v>
      </c>
      <c r="C937" t="s">
        <v>24</v>
      </c>
      <c r="D937">
        <v>231</v>
      </c>
      <c r="E937">
        <v>2</v>
      </c>
      <c r="F937">
        <v>7</v>
      </c>
      <c r="G937" t="s">
        <v>256</v>
      </c>
      <c r="H937" s="1">
        <v>10</v>
      </c>
      <c r="I937" s="1">
        <v>66</v>
      </c>
      <c r="J937" s="1">
        <v>70</v>
      </c>
      <c r="K937" s="1">
        <f>J937-I937</f>
        <v>4</v>
      </c>
      <c r="L937" s="1">
        <v>138</v>
      </c>
      <c r="M937" s="1">
        <v>87</v>
      </c>
      <c r="N937" s="1">
        <v>2</v>
      </c>
      <c r="O937" s="1">
        <v>3.5</v>
      </c>
      <c r="P937" s="1">
        <v>8</v>
      </c>
      <c r="Q937" s="2">
        <v>0.1928</v>
      </c>
      <c r="R937" s="1">
        <v>4</v>
      </c>
      <c r="S937" s="1">
        <f>R937/P937</f>
        <v>0.5</v>
      </c>
      <c r="T937" s="1">
        <v>5</v>
      </c>
      <c r="U937" s="1">
        <v>12.9</v>
      </c>
      <c r="V937" s="1">
        <v>702.44726797385624</v>
      </c>
      <c r="W937" s="1">
        <v>2</v>
      </c>
    </row>
    <row r="938" spans="1:23" x14ac:dyDescent="0.2">
      <c r="A938">
        <v>2021</v>
      </c>
      <c r="B938" t="s">
        <v>23</v>
      </c>
      <c r="C938" t="s">
        <v>24</v>
      </c>
      <c r="D938">
        <v>232</v>
      </c>
      <c r="E938">
        <v>1</v>
      </c>
      <c r="F938">
        <v>2</v>
      </c>
      <c r="G938" t="s">
        <v>257</v>
      </c>
      <c r="H938" s="1">
        <v>2</v>
      </c>
      <c r="I938" s="1">
        <v>57</v>
      </c>
      <c r="J938" s="1">
        <v>61</v>
      </c>
      <c r="K938" s="1">
        <f>J938-I938</f>
        <v>4</v>
      </c>
      <c r="L938" s="1">
        <v>80</v>
      </c>
      <c r="M938" s="1">
        <v>36</v>
      </c>
      <c r="N938" s="1">
        <v>2</v>
      </c>
      <c r="O938" s="1">
        <v>2.5</v>
      </c>
      <c r="P938" s="1">
        <v>2</v>
      </c>
      <c r="Q938" s="2">
        <v>0.1404</v>
      </c>
      <c r="R938" s="1">
        <v>1</v>
      </c>
      <c r="S938" s="1">
        <f>R938/P938</f>
        <v>0.5</v>
      </c>
      <c r="T938" s="1">
        <v>5</v>
      </c>
      <c r="U938" s="1">
        <v>12.5</v>
      </c>
      <c r="V938" s="1">
        <v>513.88235294117646</v>
      </c>
      <c r="W938" s="1">
        <v>4</v>
      </c>
    </row>
    <row r="939" spans="1:23" x14ac:dyDescent="0.2">
      <c r="A939">
        <v>2021</v>
      </c>
      <c r="B939" t="s">
        <v>23</v>
      </c>
      <c r="C939" t="s">
        <v>24</v>
      </c>
      <c r="D939">
        <v>232</v>
      </c>
      <c r="E939">
        <v>2</v>
      </c>
      <c r="F939">
        <v>14</v>
      </c>
      <c r="G939" t="s">
        <v>257</v>
      </c>
      <c r="H939">
        <v>16</v>
      </c>
      <c r="I939">
        <v>58</v>
      </c>
      <c r="J939">
        <v>60</v>
      </c>
      <c r="K939">
        <v>2</v>
      </c>
      <c r="L939">
        <v>174</v>
      </c>
      <c r="M939">
        <v>86</v>
      </c>
      <c r="N939">
        <v>2</v>
      </c>
      <c r="O939">
        <v>2</v>
      </c>
      <c r="P939">
        <v>8</v>
      </c>
      <c r="Q939">
        <v>0.4</v>
      </c>
      <c r="R939">
        <v>7</v>
      </c>
      <c r="S939">
        <v>0.875</v>
      </c>
      <c r="T939">
        <v>3</v>
      </c>
      <c r="U939">
        <v>9.8000000000000007</v>
      </c>
      <c r="V939">
        <v>1509.228758169935</v>
      </c>
      <c r="W939">
        <v>2</v>
      </c>
    </row>
    <row r="940" spans="1:23" x14ac:dyDescent="0.2">
      <c r="A940">
        <v>2021</v>
      </c>
      <c r="B940" t="s">
        <v>23</v>
      </c>
      <c r="C940" t="s">
        <v>24</v>
      </c>
      <c r="D940">
        <v>233</v>
      </c>
      <c r="E940">
        <v>1</v>
      </c>
      <c r="F940">
        <v>12</v>
      </c>
      <c r="G940" t="s">
        <v>258</v>
      </c>
      <c r="H940">
        <v>14</v>
      </c>
      <c r="I940">
        <v>50</v>
      </c>
      <c r="J940">
        <v>55</v>
      </c>
      <c r="K940">
        <v>5</v>
      </c>
      <c r="L940">
        <v>133</v>
      </c>
      <c r="M940">
        <v>67</v>
      </c>
      <c r="N940">
        <v>2</v>
      </c>
      <c r="O940">
        <v>2</v>
      </c>
      <c r="P940">
        <v>12</v>
      </c>
      <c r="Q940">
        <v>0.8</v>
      </c>
      <c r="R940">
        <v>9</v>
      </c>
      <c r="S940">
        <v>0.75</v>
      </c>
      <c r="T940">
        <v>3</v>
      </c>
      <c r="U940">
        <v>8.9</v>
      </c>
      <c r="V940">
        <v>3048.5751633986929</v>
      </c>
      <c r="W940">
        <v>2</v>
      </c>
    </row>
    <row r="941" spans="1:23" x14ac:dyDescent="0.2">
      <c r="A941">
        <v>2021</v>
      </c>
      <c r="B941" t="s">
        <v>23</v>
      </c>
      <c r="C941" t="s">
        <v>24</v>
      </c>
      <c r="D941">
        <v>233</v>
      </c>
      <c r="E941">
        <v>2</v>
      </c>
      <c r="F941">
        <v>4</v>
      </c>
      <c r="G941" t="s">
        <v>258</v>
      </c>
      <c r="H941">
        <v>16</v>
      </c>
      <c r="I941">
        <v>54</v>
      </c>
      <c r="J941">
        <v>57</v>
      </c>
      <c r="K941">
        <v>3</v>
      </c>
      <c r="L941">
        <v>125</v>
      </c>
      <c r="M941">
        <v>41</v>
      </c>
      <c r="N941">
        <v>2</v>
      </c>
      <c r="O941">
        <v>2.5</v>
      </c>
      <c r="P941">
        <v>15</v>
      </c>
      <c r="Q941">
        <v>1</v>
      </c>
      <c r="R941">
        <v>15</v>
      </c>
      <c r="S941">
        <v>1</v>
      </c>
      <c r="T941">
        <v>3</v>
      </c>
      <c r="U941">
        <v>8.8000000000000007</v>
      </c>
      <c r="V941">
        <v>3814.9019607843138</v>
      </c>
      <c r="W941">
        <v>1</v>
      </c>
    </row>
    <row r="942" spans="1:23" x14ac:dyDescent="0.2">
      <c r="A942">
        <v>2021</v>
      </c>
      <c r="B942" t="s">
        <v>23</v>
      </c>
      <c r="C942" t="s">
        <v>24</v>
      </c>
      <c r="D942">
        <v>234</v>
      </c>
      <c r="E942">
        <v>1</v>
      </c>
      <c r="F942">
        <v>11</v>
      </c>
      <c r="G942" t="s">
        <v>259</v>
      </c>
      <c r="H942" s="3">
        <v>6</v>
      </c>
      <c r="I942" s="3">
        <v>70</v>
      </c>
      <c r="J942" s="3">
        <v>72</v>
      </c>
      <c r="K942" s="3">
        <f>J942-I942</f>
        <v>2</v>
      </c>
      <c r="L942" s="3">
        <v>60</v>
      </c>
      <c r="M942" s="3">
        <v>10</v>
      </c>
      <c r="N942" s="3">
        <v>3</v>
      </c>
      <c r="O942" s="3">
        <v>5</v>
      </c>
      <c r="P942" s="3">
        <v>1</v>
      </c>
      <c r="Q942" s="4">
        <v>0.01</v>
      </c>
      <c r="R942" s="3">
        <v>1</v>
      </c>
      <c r="S942" s="3">
        <f>R942/P942</f>
        <v>1</v>
      </c>
      <c r="T942" s="3">
        <v>5</v>
      </c>
      <c r="U942" s="3">
        <v>12.5</v>
      </c>
      <c r="V942" s="3">
        <v>36.601307189542489</v>
      </c>
      <c r="W942" s="3">
        <v>7</v>
      </c>
    </row>
    <row r="943" spans="1:23" x14ac:dyDescent="0.2">
      <c r="A943">
        <v>2021</v>
      </c>
      <c r="B943" t="s">
        <v>23</v>
      </c>
      <c r="C943" t="s">
        <v>24</v>
      </c>
      <c r="D943">
        <v>234</v>
      </c>
      <c r="E943">
        <v>2</v>
      </c>
      <c r="F943">
        <v>1</v>
      </c>
      <c r="G943" t="s">
        <v>259</v>
      </c>
      <c r="H943" s="1">
        <v>1</v>
      </c>
      <c r="I943" s="1">
        <v>70</v>
      </c>
      <c r="J943" s="1">
        <v>73</v>
      </c>
      <c r="K943" s="1">
        <f>J943-I943</f>
        <v>3</v>
      </c>
      <c r="L943" s="1">
        <v>171</v>
      </c>
      <c r="M943" s="1">
        <v>64</v>
      </c>
      <c r="N943" s="1">
        <v>2</v>
      </c>
      <c r="O943" s="1">
        <v>3</v>
      </c>
      <c r="P943" s="1">
        <f>H943</f>
        <v>1</v>
      </c>
      <c r="Q943" s="2">
        <v>2.2499999999999999E-2</v>
      </c>
      <c r="R943" s="1">
        <v>1</v>
      </c>
      <c r="S943" s="1">
        <f>R943/P943</f>
        <v>1</v>
      </c>
      <c r="T943" s="1">
        <v>5</v>
      </c>
      <c r="U943" s="1">
        <v>12.5</v>
      </c>
      <c r="V943" s="1">
        <v>82.35294117647058</v>
      </c>
      <c r="W943" s="1">
        <v>4</v>
      </c>
    </row>
    <row r="944" spans="1:23" x14ac:dyDescent="0.2">
      <c r="A944">
        <v>2021</v>
      </c>
      <c r="B944" t="s">
        <v>23</v>
      </c>
      <c r="C944" t="s">
        <v>24</v>
      </c>
      <c r="D944">
        <v>235</v>
      </c>
      <c r="E944">
        <v>1</v>
      </c>
      <c r="F944">
        <v>11</v>
      </c>
      <c r="G944" t="s">
        <v>268</v>
      </c>
      <c r="H944" s="1">
        <v>4</v>
      </c>
      <c r="I944" s="1">
        <v>65</v>
      </c>
      <c r="J944" s="1">
        <v>69</v>
      </c>
      <c r="K944" s="1">
        <f>J944-I944</f>
        <v>4</v>
      </c>
      <c r="L944" s="1">
        <v>142</v>
      </c>
      <c r="M944" s="1">
        <v>75</v>
      </c>
      <c r="N944" s="1">
        <v>2</v>
      </c>
      <c r="O944" s="1">
        <v>3.5</v>
      </c>
      <c r="P944" s="1">
        <v>3</v>
      </c>
      <c r="Q944" s="2">
        <v>8.6639999999999995E-2</v>
      </c>
      <c r="R944" s="1">
        <v>3</v>
      </c>
      <c r="S944" s="1">
        <f>R944/P944</f>
        <v>1</v>
      </c>
      <c r="T944" s="1">
        <v>5</v>
      </c>
      <c r="U944" s="1">
        <v>12.5</v>
      </c>
      <c r="V944" s="1">
        <v>317.11372549019609</v>
      </c>
      <c r="W944" s="1">
        <v>4</v>
      </c>
    </row>
    <row r="945" spans="1:23" x14ac:dyDescent="0.2">
      <c r="A945">
        <v>2021</v>
      </c>
      <c r="B945" t="s">
        <v>23</v>
      </c>
      <c r="C945" t="s">
        <v>24</v>
      </c>
      <c r="D945">
        <v>235</v>
      </c>
      <c r="E945">
        <v>2</v>
      </c>
      <c r="F945">
        <v>11</v>
      </c>
      <c r="G945" t="s">
        <v>268</v>
      </c>
      <c r="H945">
        <v>10</v>
      </c>
      <c r="I945">
        <v>58</v>
      </c>
      <c r="J945">
        <v>60</v>
      </c>
      <c r="K945">
        <v>2</v>
      </c>
      <c r="L945">
        <v>110</v>
      </c>
      <c r="M945">
        <v>51</v>
      </c>
      <c r="N945">
        <v>2.5</v>
      </c>
      <c r="O945">
        <v>2</v>
      </c>
      <c r="P945">
        <v>9</v>
      </c>
      <c r="Q945">
        <v>0.8</v>
      </c>
      <c r="R945">
        <v>9</v>
      </c>
      <c r="S945">
        <v>1</v>
      </c>
      <c r="T945">
        <v>2.5</v>
      </c>
      <c r="U945">
        <v>12.5</v>
      </c>
      <c r="V945">
        <v>2928.1045751633987</v>
      </c>
      <c r="W945">
        <v>2</v>
      </c>
    </row>
    <row r="946" spans="1:23" x14ac:dyDescent="0.2">
      <c r="A946">
        <v>2021</v>
      </c>
      <c r="B946" t="s">
        <v>23</v>
      </c>
      <c r="C946" t="s">
        <v>24</v>
      </c>
      <c r="D946">
        <v>236</v>
      </c>
      <c r="E946">
        <v>1</v>
      </c>
      <c r="F946">
        <v>6</v>
      </c>
      <c r="G946" t="s">
        <v>269</v>
      </c>
      <c r="H946" s="1">
        <v>8</v>
      </c>
      <c r="I946" s="1">
        <v>68</v>
      </c>
      <c r="J946" s="1">
        <v>70</v>
      </c>
      <c r="K946" s="1">
        <f t="shared" ref="K946:K953" si="50">J946-I946</f>
        <v>2</v>
      </c>
      <c r="L946" s="1">
        <v>144</v>
      </c>
      <c r="M946" s="1">
        <v>59</v>
      </c>
      <c r="N946" s="1">
        <v>2</v>
      </c>
      <c r="O946" s="1">
        <v>3.5</v>
      </c>
      <c r="P946" s="1">
        <f>H946-2</f>
        <v>6</v>
      </c>
      <c r="Q946" s="2">
        <v>0.63749999999999996</v>
      </c>
      <c r="R946" s="1">
        <v>4</v>
      </c>
      <c r="S946" s="1">
        <f t="shared" ref="S946:S953" si="51">R946/P946</f>
        <v>0.66666666666666663</v>
      </c>
      <c r="T946" s="1">
        <v>4</v>
      </c>
      <c r="U946" s="1">
        <v>12.5</v>
      </c>
      <c r="V946" s="1">
        <v>2333.333333333333</v>
      </c>
      <c r="W946" s="1">
        <v>3</v>
      </c>
    </row>
    <row r="947" spans="1:23" x14ac:dyDescent="0.2">
      <c r="A947">
        <v>2021</v>
      </c>
      <c r="B947" t="s">
        <v>23</v>
      </c>
      <c r="C947" t="s">
        <v>24</v>
      </c>
      <c r="D947">
        <v>236</v>
      </c>
      <c r="E947">
        <v>2</v>
      </c>
      <c r="F947">
        <v>15</v>
      </c>
      <c r="G947" t="s">
        <v>269</v>
      </c>
      <c r="H947" s="1">
        <v>2</v>
      </c>
      <c r="I947" s="1">
        <v>71</v>
      </c>
      <c r="J947" s="1">
        <v>72</v>
      </c>
      <c r="K947" s="1">
        <f t="shared" si="50"/>
        <v>1</v>
      </c>
      <c r="L947" s="1">
        <v>100</v>
      </c>
      <c r="M947" s="1">
        <v>40</v>
      </c>
      <c r="N947" s="1">
        <v>1.5</v>
      </c>
      <c r="O947" s="1">
        <v>4.5</v>
      </c>
      <c r="P947" s="1">
        <v>2</v>
      </c>
      <c r="Q947" s="2">
        <v>0.11359999999999999</v>
      </c>
      <c r="R947" s="1">
        <v>2</v>
      </c>
      <c r="S947" s="1">
        <f t="shared" si="51"/>
        <v>1</v>
      </c>
      <c r="T947" s="1">
        <v>3.5</v>
      </c>
      <c r="U947" s="1">
        <v>12.5</v>
      </c>
      <c r="V947" s="1">
        <v>415.79084967320262</v>
      </c>
      <c r="W947" s="1">
        <v>4</v>
      </c>
    </row>
    <row r="948" spans="1:23" x14ac:dyDescent="0.2">
      <c r="A948">
        <v>2021</v>
      </c>
      <c r="B948" t="s">
        <v>23</v>
      </c>
      <c r="C948" t="s">
        <v>24</v>
      </c>
      <c r="D948">
        <v>237</v>
      </c>
      <c r="E948">
        <v>1</v>
      </c>
      <c r="F948">
        <v>8</v>
      </c>
      <c r="G948" t="s">
        <v>270</v>
      </c>
      <c r="H948" s="1">
        <v>9</v>
      </c>
      <c r="I948" s="1">
        <v>67</v>
      </c>
      <c r="J948" s="1">
        <v>72</v>
      </c>
      <c r="K948" s="1">
        <f t="shared" si="50"/>
        <v>5</v>
      </c>
      <c r="L948" s="1">
        <v>127</v>
      </c>
      <c r="M948" s="1">
        <v>80</v>
      </c>
      <c r="N948" s="1">
        <v>2</v>
      </c>
      <c r="O948" s="1">
        <v>3.5</v>
      </c>
      <c r="P948" s="1">
        <f>H948</f>
        <v>9</v>
      </c>
      <c r="Q948" s="2">
        <v>5.3249999999999999E-2</v>
      </c>
      <c r="R948" s="1">
        <v>9</v>
      </c>
      <c r="S948" s="1">
        <f t="shared" si="51"/>
        <v>1</v>
      </c>
      <c r="T948" s="1">
        <v>5</v>
      </c>
      <c r="U948" s="1">
        <v>12.5</v>
      </c>
      <c r="V948" s="1">
        <v>194.9019607843137</v>
      </c>
      <c r="W948" s="1">
        <v>6</v>
      </c>
    </row>
    <row r="949" spans="1:23" x14ac:dyDescent="0.2">
      <c r="A949">
        <v>2021</v>
      </c>
      <c r="B949" t="s">
        <v>23</v>
      </c>
      <c r="C949" t="s">
        <v>24</v>
      </c>
      <c r="D949">
        <v>237</v>
      </c>
      <c r="E949">
        <v>2</v>
      </c>
      <c r="F949">
        <v>9</v>
      </c>
      <c r="G949" t="s">
        <v>270</v>
      </c>
      <c r="H949" s="1">
        <v>5</v>
      </c>
      <c r="I949" s="1">
        <v>60</v>
      </c>
      <c r="J949" s="1">
        <v>65</v>
      </c>
      <c r="K949" s="1">
        <f t="shared" si="50"/>
        <v>5</v>
      </c>
      <c r="L949" s="1">
        <v>113</v>
      </c>
      <c r="M949" s="1">
        <v>45</v>
      </c>
      <c r="N949" s="1">
        <v>2</v>
      </c>
      <c r="O949" s="1">
        <v>4.5</v>
      </c>
      <c r="P949" s="1">
        <v>3</v>
      </c>
      <c r="Q949" s="2">
        <v>8.4000000000000005E-2</v>
      </c>
      <c r="R949" s="1">
        <v>1</v>
      </c>
      <c r="S949" s="1">
        <f t="shared" si="51"/>
        <v>0.33333333333333331</v>
      </c>
      <c r="T949" s="1">
        <v>5</v>
      </c>
      <c r="U949" s="1">
        <v>12.5</v>
      </c>
      <c r="V949" s="1">
        <v>307.45098039215685</v>
      </c>
      <c r="W949" s="1">
        <v>5</v>
      </c>
    </row>
    <row r="950" spans="1:23" x14ac:dyDescent="0.2">
      <c r="A950">
        <v>2022</v>
      </c>
      <c r="B950" t="s">
        <v>23</v>
      </c>
      <c r="C950" t="s">
        <v>24</v>
      </c>
      <c r="D950">
        <v>1</v>
      </c>
      <c r="E950">
        <v>1</v>
      </c>
      <c r="F950">
        <v>9</v>
      </c>
      <c r="G950" t="s">
        <v>25</v>
      </c>
      <c r="H950" s="1">
        <v>4</v>
      </c>
      <c r="I950" s="1">
        <v>65</v>
      </c>
      <c r="J950" s="1">
        <v>68</v>
      </c>
      <c r="K950" s="1">
        <f t="shared" si="50"/>
        <v>3</v>
      </c>
      <c r="L950" s="1">
        <v>105</v>
      </c>
      <c r="M950" s="1">
        <v>81</v>
      </c>
      <c r="N950" s="1">
        <v>2</v>
      </c>
      <c r="O950" s="1">
        <v>2.5</v>
      </c>
      <c r="P950" s="1">
        <f>H950</f>
        <v>4</v>
      </c>
      <c r="Q950" s="2">
        <v>0.17624999999999999</v>
      </c>
      <c r="R950" s="1">
        <v>3</v>
      </c>
      <c r="S950" s="1">
        <f t="shared" si="51"/>
        <v>0.75</v>
      </c>
      <c r="T950" s="1">
        <v>3</v>
      </c>
      <c r="U950" s="1">
        <v>12.5</v>
      </c>
      <c r="V950" s="1">
        <v>645.0980392156863</v>
      </c>
      <c r="W950" s="1">
        <v>4</v>
      </c>
    </row>
    <row r="951" spans="1:23" x14ac:dyDescent="0.2">
      <c r="A951">
        <v>2022</v>
      </c>
      <c r="B951" t="s">
        <v>23</v>
      </c>
      <c r="C951" t="s">
        <v>24</v>
      </c>
      <c r="D951">
        <v>1</v>
      </c>
      <c r="E951">
        <v>2</v>
      </c>
      <c r="F951">
        <v>4</v>
      </c>
      <c r="G951" t="s">
        <v>25</v>
      </c>
      <c r="H951" s="1">
        <v>12</v>
      </c>
      <c r="I951" s="1">
        <v>60</v>
      </c>
      <c r="J951" s="1">
        <v>63</v>
      </c>
      <c r="K951" s="1">
        <f t="shared" si="50"/>
        <v>3</v>
      </c>
      <c r="L951" s="1">
        <v>120</v>
      </c>
      <c r="M951" s="1">
        <v>77</v>
      </c>
      <c r="N951" s="1">
        <v>1</v>
      </c>
      <c r="O951" s="1">
        <v>1.5</v>
      </c>
      <c r="P951" s="1">
        <v>12</v>
      </c>
      <c r="Q951" s="2">
        <v>0.308</v>
      </c>
      <c r="R951" s="1">
        <v>6</v>
      </c>
      <c r="S951" s="1">
        <f t="shared" si="51"/>
        <v>0.5</v>
      </c>
      <c r="T951" s="1">
        <v>5</v>
      </c>
      <c r="U951" s="1">
        <v>8.9</v>
      </c>
      <c r="V951" s="1">
        <v>1173.7014379084967</v>
      </c>
      <c r="W951" s="1">
        <v>6</v>
      </c>
    </row>
    <row r="952" spans="1:23" x14ac:dyDescent="0.2">
      <c r="A952">
        <v>2022</v>
      </c>
      <c r="B952" t="s">
        <v>23</v>
      </c>
      <c r="C952" t="s">
        <v>24</v>
      </c>
      <c r="D952">
        <v>2</v>
      </c>
      <c r="E952">
        <v>1</v>
      </c>
      <c r="F952">
        <v>5</v>
      </c>
      <c r="G952" t="s">
        <v>26</v>
      </c>
      <c r="H952" s="1">
        <v>6</v>
      </c>
      <c r="I952" s="1">
        <v>65</v>
      </c>
      <c r="J952" s="1">
        <v>69</v>
      </c>
      <c r="K952" s="1">
        <f t="shared" si="50"/>
        <v>4</v>
      </c>
      <c r="L952" s="1">
        <v>139</v>
      </c>
      <c r="M952" s="1">
        <v>33</v>
      </c>
      <c r="N952" s="1">
        <v>2</v>
      </c>
      <c r="O952" s="1">
        <v>3.5</v>
      </c>
      <c r="P952" s="1">
        <v>6</v>
      </c>
      <c r="Q952" s="2">
        <v>0.36</v>
      </c>
      <c r="R952" s="1">
        <v>5</v>
      </c>
      <c r="S952" s="1">
        <f t="shared" si="51"/>
        <v>0.83333333333333337</v>
      </c>
      <c r="T952" s="1">
        <v>2.5</v>
      </c>
      <c r="U952" s="1">
        <v>12.5</v>
      </c>
      <c r="V952" s="1">
        <v>1317.6470588235293</v>
      </c>
      <c r="W952" s="1">
        <v>4</v>
      </c>
    </row>
    <row r="953" spans="1:23" x14ac:dyDescent="0.2">
      <c r="A953">
        <v>2022</v>
      </c>
      <c r="B953" t="s">
        <v>23</v>
      </c>
      <c r="C953" t="s">
        <v>24</v>
      </c>
      <c r="D953">
        <v>2</v>
      </c>
      <c r="E953">
        <v>2</v>
      </c>
      <c r="F953">
        <v>5</v>
      </c>
      <c r="G953" t="s">
        <v>26</v>
      </c>
      <c r="H953" s="1">
        <v>4</v>
      </c>
      <c r="I953" s="1">
        <v>66</v>
      </c>
      <c r="J953" s="1">
        <v>69</v>
      </c>
      <c r="K953" s="1">
        <f t="shared" si="50"/>
        <v>3</v>
      </c>
      <c r="L953" s="1">
        <v>167</v>
      </c>
      <c r="M953" s="1">
        <v>73</v>
      </c>
      <c r="N953" s="1">
        <v>2</v>
      </c>
      <c r="O953" s="1">
        <v>3.5</v>
      </c>
      <c r="P953" s="1">
        <v>2</v>
      </c>
      <c r="Q953" s="2">
        <v>0.18680000000000002</v>
      </c>
      <c r="R953" s="1">
        <v>2</v>
      </c>
      <c r="S953" s="1">
        <f t="shared" si="51"/>
        <v>1</v>
      </c>
      <c r="T953" s="1">
        <v>5</v>
      </c>
      <c r="U953" s="1">
        <v>10.5</v>
      </c>
      <c r="V953" s="1">
        <v>699.34013071895436</v>
      </c>
      <c r="W953" s="1">
        <v>4</v>
      </c>
    </row>
    <row r="954" spans="1:23" x14ac:dyDescent="0.2">
      <c r="A954">
        <v>2022</v>
      </c>
      <c r="B954" t="s">
        <v>23</v>
      </c>
      <c r="C954" t="s">
        <v>24</v>
      </c>
      <c r="D954">
        <v>3</v>
      </c>
      <c r="E954">
        <v>1</v>
      </c>
      <c r="F954">
        <v>6</v>
      </c>
      <c r="G954" t="s">
        <v>27</v>
      </c>
      <c r="H954">
        <v>12</v>
      </c>
      <c r="I954">
        <v>58</v>
      </c>
      <c r="J954">
        <v>62</v>
      </c>
      <c r="K954">
        <v>4</v>
      </c>
      <c r="L954">
        <v>123</v>
      </c>
      <c r="M954">
        <v>65</v>
      </c>
      <c r="N954">
        <v>2</v>
      </c>
      <c r="O954">
        <v>3.5</v>
      </c>
      <c r="P954">
        <v>8</v>
      </c>
      <c r="Q954">
        <v>0.1</v>
      </c>
      <c r="R954">
        <v>8</v>
      </c>
      <c r="S954">
        <v>1</v>
      </c>
      <c r="T954">
        <v>4</v>
      </c>
      <c r="U954">
        <v>9.4</v>
      </c>
      <c r="V954">
        <v>378.98039215686276</v>
      </c>
      <c r="W954">
        <v>2</v>
      </c>
    </row>
    <row r="955" spans="1:23" x14ac:dyDescent="0.2">
      <c r="A955">
        <v>2022</v>
      </c>
      <c r="B955" t="s">
        <v>23</v>
      </c>
      <c r="C955" t="s">
        <v>24</v>
      </c>
      <c r="D955">
        <v>3</v>
      </c>
      <c r="E955">
        <v>2</v>
      </c>
      <c r="F955">
        <v>15</v>
      </c>
      <c r="G955" t="s">
        <v>27</v>
      </c>
      <c r="H955" s="1">
        <v>5</v>
      </c>
      <c r="I955" s="1">
        <v>69</v>
      </c>
      <c r="J955" s="1">
        <v>74</v>
      </c>
      <c r="K955" s="1">
        <f>J955-I955</f>
        <v>5</v>
      </c>
      <c r="L955" s="1">
        <v>129</v>
      </c>
      <c r="M955" s="1">
        <v>51</v>
      </c>
      <c r="N955" s="1">
        <v>2</v>
      </c>
      <c r="O955" s="1">
        <v>3.5</v>
      </c>
      <c r="P955" s="1">
        <v>3</v>
      </c>
      <c r="Q955" s="2">
        <v>0.17799999999999999</v>
      </c>
      <c r="R955" s="1">
        <v>2</v>
      </c>
      <c r="S955" s="1">
        <f>R955/P955</f>
        <v>0.66666666666666663</v>
      </c>
      <c r="T955" s="1">
        <v>2</v>
      </c>
      <c r="U955" s="1">
        <v>12.5</v>
      </c>
      <c r="V955" s="1">
        <v>651.50326797385628</v>
      </c>
      <c r="W955" s="1">
        <v>4</v>
      </c>
    </row>
    <row r="956" spans="1:23" x14ac:dyDescent="0.2">
      <c r="A956">
        <v>2022</v>
      </c>
      <c r="B956" t="s">
        <v>23</v>
      </c>
      <c r="C956" t="s">
        <v>24</v>
      </c>
      <c r="D956">
        <v>4</v>
      </c>
      <c r="E956">
        <v>1</v>
      </c>
      <c r="F956">
        <v>11</v>
      </c>
      <c r="G956" t="s">
        <v>28</v>
      </c>
      <c r="H956" s="1">
        <v>14</v>
      </c>
      <c r="I956" s="1">
        <v>66</v>
      </c>
      <c r="J956" s="1">
        <v>71</v>
      </c>
      <c r="K956" s="1">
        <f>J956-I956</f>
        <v>5</v>
      </c>
      <c r="L956" s="1">
        <v>147</v>
      </c>
      <c r="M956" s="1">
        <v>90</v>
      </c>
      <c r="N956" s="1">
        <v>2</v>
      </c>
      <c r="O956" s="1">
        <v>2.5</v>
      </c>
      <c r="P956" s="1">
        <f>H956</f>
        <v>14</v>
      </c>
      <c r="Q956" s="2">
        <v>0.105</v>
      </c>
      <c r="R956" s="1">
        <v>14</v>
      </c>
      <c r="S956" s="1">
        <f>R956/P956</f>
        <v>1</v>
      </c>
      <c r="T956" s="1">
        <v>5</v>
      </c>
      <c r="U956" s="1">
        <v>12.5</v>
      </c>
      <c r="V956" s="1">
        <v>384.31372549019608</v>
      </c>
      <c r="W956" s="1">
        <v>5</v>
      </c>
    </row>
    <row r="957" spans="1:23" x14ac:dyDescent="0.2">
      <c r="A957">
        <v>2022</v>
      </c>
      <c r="B957" t="s">
        <v>23</v>
      </c>
      <c r="C957" t="s">
        <v>24</v>
      </c>
      <c r="D957">
        <v>4</v>
      </c>
      <c r="E957">
        <v>2</v>
      </c>
      <c r="F957">
        <v>10</v>
      </c>
      <c r="G957" t="s">
        <v>28</v>
      </c>
      <c r="H957" s="1">
        <v>10</v>
      </c>
      <c r="I957" s="1">
        <v>64</v>
      </c>
      <c r="J957" s="1">
        <v>69</v>
      </c>
      <c r="K957" s="1">
        <f>J957-I957</f>
        <v>5</v>
      </c>
      <c r="L957" s="1">
        <v>75</v>
      </c>
      <c r="M957" s="1">
        <v>32</v>
      </c>
      <c r="N957" s="1">
        <v>1.5</v>
      </c>
      <c r="O957" s="1">
        <v>4</v>
      </c>
      <c r="P957" s="1">
        <v>8</v>
      </c>
      <c r="Q957" s="2">
        <v>0.24</v>
      </c>
      <c r="R957" s="1">
        <v>6</v>
      </c>
      <c r="S957" s="1">
        <f>R957/P957</f>
        <v>0.75</v>
      </c>
      <c r="T957" s="1">
        <v>3.5</v>
      </c>
      <c r="U957" s="1">
        <v>12.5</v>
      </c>
      <c r="V957" s="1">
        <v>878.43137254901967</v>
      </c>
      <c r="W957" s="1">
        <v>5</v>
      </c>
    </row>
    <row r="958" spans="1:23" x14ac:dyDescent="0.2">
      <c r="A958">
        <v>2022</v>
      </c>
      <c r="B958" t="s">
        <v>23</v>
      </c>
      <c r="C958" t="s">
        <v>24</v>
      </c>
      <c r="D958">
        <v>5</v>
      </c>
      <c r="E958">
        <v>1</v>
      </c>
      <c r="F958">
        <v>9</v>
      </c>
      <c r="G958" t="s">
        <v>29</v>
      </c>
      <c r="H958" s="1">
        <v>8</v>
      </c>
      <c r="I958" s="1">
        <v>64</v>
      </c>
      <c r="J958" s="1">
        <v>69</v>
      </c>
      <c r="K958" s="1">
        <f>J958-I958</f>
        <v>5</v>
      </c>
      <c r="L958" s="1">
        <v>131</v>
      </c>
      <c r="M958" s="1">
        <v>85</v>
      </c>
      <c r="N958" s="1">
        <v>2</v>
      </c>
      <c r="O958" s="1">
        <v>3.5</v>
      </c>
      <c r="P958" s="1">
        <v>8</v>
      </c>
      <c r="Q958" s="2">
        <v>9.6225000000000005E-2</v>
      </c>
      <c r="R958" s="1">
        <v>7</v>
      </c>
      <c r="S958" s="1">
        <f>R958/P958</f>
        <v>0.875</v>
      </c>
      <c r="T958" s="1">
        <v>5</v>
      </c>
      <c r="U958" s="1">
        <v>12.5</v>
      </c>
      <c r="V958" s="1">
        <v>352.1960784313726</v>
      </c>
      <c r="W958" s="1">
        <v>5</v>
      </c>
    </row>
    <row r="959" spans="1:23" x14ac:dyDescent="0.2">
      <c r="A959">
        <v>2022</v>
      </c>
      <c r="B959" t="s">
        <v>23</v>
      </c>
      <c r="C959" t="s">
        <v>24</v>
      </c>
      <c r="D959">
        <v>5</v>
      </c>
      <c r="E959">
        <v>2</v>
      </c>
      <c r="F959">
        <v>3</v>
      </c>
      <c r="G959" t="s">
        <v>29</v>
      </c>
      <c r="H959">
        <v>11</v>
      </c>
      <c r="I959">
        <v>56</v>
      </c>
      <c r="J959">
        <v>60</v>
      </c>
      <c r="K959">
        <v>4</v>
      </c>
      <c r="L959">
        <v>106</v>
      </c>
      <c r="M959">
        <v>28</v>
      </c>
      <c r="N959">
        <v>2</v>
      </c>
      <c r="O959">
        <v>3</v>
      </c>
      <c r="P959">
        <v>11</v>
      </c>
      <c r="Q959">
        <v>0.7</v>
      </c>
      <c r="R959">
        <v>12</v>
      </c>
      <c r="S959">
        <v>1.0909090909090908</v>
      </c>
      <c r="T959">
        <v>3</v>
      </c>
      <c r="U959">
        <v>12.5</v>
      </c>
      <c r="V959">
        <v>2562.0915032679736</v>
      </c>
      <c r="W959">
        <v>1</v>
      </c>
    </row>
    <row r="960" spans="1:23" x14ac:dyDescent="0.2">
      <c r="A960">
        <v>2022</v>
      </c>
      <c r="B960" t="s">
        <v>23</v>
      </c>
      <c r="C960" t="s">
        <v>24</v>
      </c>
      <c r="D960">
        <v>6</v>
      </c>
      <c r="E960">
        <v>1</v>
      </c>
      <c r="F960">
        <v>14</v>
      </c>
      <c r="G960" t="s">
        <v>30</v>
      </c>
      <c r="H960">
        <v>16</v>
      </c>
      <c r="I960">
        <v>59</v>
      </c>
      <c r="J960">
        <v>60</v>
      </c>
      <c r="K960">
        <v>1</v>
      </c>
      <c r="L960">
        <v>166</v>
      </c>
      <c r="M960">
        <v>53</v>
      </c>
      <c r="N960">
        <v>2</v>
      </c>
      <c r="O960">
        <v>2.5</v>
      </c>
      <c r="P960">
        <v>16</v>
      </c>
      <c r="Q960">
        <v>1.2</v>
      </c>
      <c r="R960">
        <v>14</v>
      </c>
      <c r="S960">
        <v>0.875</v>
      </c>
      <c r="T960">
        <v>2</v>
      </c>
      <c r="U960">
        <v>10</v>
      </c>
      <c r="V960">
        <v>4517.6470588235288</v>
      </c>
      <c r="W960">
        <v>2</v>
      </c>
    </row>
    <row r="961" spans="1:23" x14ac:dyDescent="0.2">
      <c r="A961">
        <v>2022</v>
      </c>
      <c r="B961" t="s">
        <v>23</v>
      </c>
      <c r="C961" t="s">
        <v>24</v>
      </c>
      <c r="D961">
        <v>6</v>
      </c>
      <c r="E961">
        <v>2</v>
      </c>
      <c r="F961">
        <v>4</v>
      </c>
      <c r="G961" t="s">
        <v>30</v>
      </c>
      <c r="H961">
        <v>16</v>
      </c>
      <c r="I961">
        <v>55</v>
      </c>
      <c r="J961">
        <v>60</v>
      </c>
      <c r="K961">
        <v>5</v>
      </c>
      <c r="L961">
        <v>126</v>
      </c>
      <c r="M961">
        <v>74</v>
      </c>
      <c r="N961">
        <v>2</v>
      </c>
      <c r="O961">
        <v>2</v>
      </c>
      <c r="P961">
        <v>12</v>
      </c>
      <c r="Q961">
        <v>0.8</v>
      </c>
      <c r="R961">
        <v>12</v>
      </c>
      <c r="S961">
        <v>1</v>
      </c>
      <c r="T961">
        <v>3</v>
      </c>
      <c r="U961">
        <v>7.8</v>
      </c>
      <c r="V961">
        <v>3085.3856209150326</v>
      </c>
      <c r="W961">
        <v>1</v>
      </c>
    </row>
    <row r="962" spans="1:23" x14ac:dyDescent="0.2">
      <c r="A962">
        <v>2022</v>
      </c>
      <c r="B962" t="s">
        <v>23</v>
      </c>
      <c r="C962" t="s">
        <v>24</v>
      </c>
      <c r="D962">
        <v>7</v>
      </c>
      <c r="E962">
        <v>1</v>
      </c>
      <c r="F962">
        <v>6</v>
      </c>
      <c r="G962" t="s">
        <v>31</v>
      </c>
      <c r="H962" s="1">
        <v>13</v>
      </c>
      <c r="I962" s="1">
        <v>68</v>
      </c>
      <c r="J962" s="1">
        <v>73</v>
      </c>
      <c r="K962" s="1">
        <f>J962-I962</f>
        <v>5</v>
      </c>
      <c r="L962" s="1">
        <v>160</v>
      </c>
      <c r="M962" s="1">
        <v>100</v>
      </c>
      <c r="N962" s="1">
        <v>2</v>
      </c>
      <c r="O962" s="1">
        <v>2</v>
      </c>
      <c r="P962" s="1">
        <f>H962-2</f>
        <v>11</v>
      </c>
      <c r="Q962" s="2">
        <v>0.14699999999999999</v>
      </c>
      <c r="R962" s="1">
        <v>7</v>
      </c>
      <c r="S962" s="1">
        <f>R962/P962</f>
        <v>0.63636363636363635</v>
      </c>
      <c r="T962" s="1">
        <v>3</v>
      </c>
      <c r="U962" s="1">
        <v>12.5</v>
      </c>
      <c r="V962" s="1">
        <v>538.03921568627447</v>
      </c>
      <c r="W962" s="1">
        <v>4</v>
      </c>
    </row>
    <row r="963" spans="1:23" x14ac:dyDescent="0.2">
      <c r="A963">
        <v>2022</v>
      </c>
      <c r="B963" t="s">
        <v>23</v>
      </c>
      <c r="C963" t="s">
        <v>24</v>
      </c>
      <c r="D963">
        <v>7</v>
      </c>
      <c r="E963">
        <v>2</v>
      </c>
      <c r="F963">
        <v>8</v>
      </c>
      <c r="G963" t="s">
        <v>31</v>
      </c>
      <c r="H963" s="1">
        <v>10</v>
      </c>
      <c r="I963" s="1">
        <v>61</v>
      </c>
      <c r="J963" s="1">
        <v>64</v>
      </c>
      <c r="K963" s="1">
        <f>J963-I963</f>
        <v>3</v>
      </c>
      <c r="L963" s="1">
        <v>166</v>
      </c>
      <c r="M963" s="1">
        <v>70</v>
      </c>
      <c r="N963" s="1">
        <v>2</v>
      </c>
      <c r="O963" s="1">
        <v>4</v>
      </c>
      <c r="P963" s="1">
        <v>9</v>
      </c>
      <c r="Q963" s="2">
        <v>0.14399999999999999</v>
      </c>
      <c r="R963" s="1">
        <v>9</v>
      </c>
      <c r="S963" s="1">
        <f>R963/P963</f>
        <v>1</v>
      </c>
      <c r="T963" s="1">
        <v>3</v>
      </c>
      <c r="U963" s="1">
        <v>12.5</v>
      </c>
      <c r="V963" s="1">
        <v>527.05882352941182</v>
      </c>
      <c r="W963" s="1">
        <v>6</v>
      </c>
    </row>
    <row r="964" spans="1:23" x14ac:dyDescent="0.2">
      <c r="A964">
        <v>2022</v>
      </c>
      <c r="B964" t="s">
        <v>23</v>
      </c>
      <c r="C964" t="s">
        <v>24</v>
      </c>
      <c r="D964">
        <v>8</v>
      </c>
      <c r="E964">
        <v>1</v>
      </c>
      <c r="F964">
        <v>14</v>
      </c>
      <c r="G964" t="s">
        <v>32</v>
      </c>
      <c r="H964" s="1">
        <v>3</v>
      </c>
      <c r="I964" s="1">
        <v>68</v>
      </c>
      <c r="J964" s="1">
        <v>72</v>
      </c>
      <c r="K964" s="1">
        <f>J964-I964</f>
        <v>4</v>
      </c>
      <c r="L964" s="1">
        <v>221</v>
      </c>
      <c r="M964" s="1">
        <v>109</v>
      </c>
      <c r="N964" s="1">
        <v>3</v>
      </c>
      <c r="O964" s="1">
        <v>4</v>
      </c>
      <c r="P964" s="1">
        <v>2</v>
      </c>
      <c r="Q964" s="2">
        <v>7.4999999999999997E-2</v>
      </c>
      <c r="R964" s="1">
        <v>3</v>
      </c>
      <c r="S964" s="1">
        <f>R964/P964</f>
        <v>1.5</v>
      </c>
      <c r="T964" s="1">
        <v>4</v>
      </c>
      <c r="U964" s="1">
        <v>12.5</v>
      </c>
      <c r="V964" s="1">
        <v>274.50980392156862</v>
      </c>
      <c r="W964" s="1">
        <v>2</v>
      </c>
    </row>
    <row r="965" spans="1:23" x14ac:dyDescent="0.2">
      <c r="A965">
        <v>2022</v>
      </c>
      <c r="B965" t="s">
        <v>23</v>
      </c>
      <c r="C965" t="s">
        <v>24</v>
      </c>
      <c r="D965">
        <v>8</v>
      </c>
      <c r="E965">
        <v>2</v>
      </c>
      <c r="F965">
        <v>10</v>
      </c>
      <c r="G965" t="s">
        <v>32</v>
      </c>
      <c r="H965" s="1">
        <v>9</v>
      </c>
      <c r="I965" s="1">
        <v>65</v>
      </c>
      <c r="J965" s="1">
        <v>67</v>
      </c>
      <c r="K965" s="1">
        <f>J965-I965</f>
        <v>2</v>
      </c>
      <c r="L965" s="1">
        <v>138</v>
      </c>
      <c r="M965" s="1">
        <v>60</v>
      </c>
      <c r="N965" s="1">
        <v>2</v>
      </c>
      <c r="O965" s="1">
        <v>2.5</v>
      </c>
      <c r="P965" s="1">
        <v>8</v>
      </c>
      <c r="Q965" s="2">
        <v>0.13719375000000003</v>
      </c>
      <c r="R965" s="1">
        <v>8</v>
      </c>
      <c r="S965" s="1">
        <f>R965/P965</f>
        <v>1</v>
      </c>
      <c r="T965" s="1">
        <v>5</v>
      </c>
      <c r="U965" s="1">
        <v>12.5</v>
      </c>
      <c r="V965" s="1">
        <v>502.14705882352951</v>
      </c>
      <c r="W965" s="1">
        <v>6</v>
      </c>
    </row>
    <row r="966" spans="1:23" x14ac:dyDescent="0.2">
      <c r="A966">
        <v>2022</v>
      </c>
      <c r="B966" t="s">
        <v>23</v>
      </c>
      <c r="C966" t="s">
        <v>24</v>
      </c>
      <c r="D966">
        <v>9</v>
      </c>
      <c r="E966">
        <v>1</v>
      </c>
      <c r="F966">
        <v>12</v>
      </c>
      <c r="G966" t="s">
        <v>33</v>
      </c>
      <c r="H966" s="3">
        <v>10</v>
      </c>
      <c r="I966" s="3">
        <v>67</v>
      </c>
      <c r="J966" s="3">
        <v>70</v>
      </c>
      <c r="K966" s="3">
        <f>J966-I966</f>
        <v>3</v>
      </c>
      <c r="L966" s="3">
        <v>120</v>
      </c>
      <c r="M966" s="3">
        <v>56</v>
      </c>
      <c r="N966" s="3">
        <v>2</v>
      </c>
      <c r="O966" s="3">
        <v>4.5</v>
      </c>
      <c r="P966" s="3">
        <v>6</v>
      </c>
      <c r="Q966" s="4">
        <v>0.08</v>
      </c>
      <c r="R966" s="3">
        <v>5</v>
      </c>
      <c r="S966" s="3">
        <f>R966/P966</f>
        <v>0.83333333333333337</v>
      </c>
      <c r="T966" s="3">
        <v>5</v>
      </c>
      <c r="U966" s="3">
        <v>12.5</v>
      </c>
      <c r="V966" s="3">
        <v>292.81045751633991</v>
      </c>
      <c r="W966" s="3">
        <v>4</v>
      </c>
    </row>
    <row r="967" spans="1:23" x14ac:dyDescent="0.2">
      <c r="A967">
        <v>2022</v>
      </c>
      <c r="B967" t="s">
        <v>23</v>
      </c>
      <c r="C967" t="s">
        <v>24</v>
      </c>
      <c r="D967">
        <v>9</v>
      </c>
      <c r="E967">
        <v>2</v>
      </c>
      <c r="F967">
        <v>5</v>
      </c>
      <c r="G967" t="s">
        <v>33</v>
      </c>
      <c r="H967">
        <v>3</v>
      </c>
      <c r="I967">
        <v>55</v>
      </c>
      <c r="J967">
        <v>61</v>
      </c>
      <c r="K967">
        <v>6</v>
      </c>
      <c r="L967">
        <v>96</v>
      </c>
      <c r="M967">
        <v>22</v>
      </c>
      <c r="N967">
        <v>3</v>
      </c>
      <c r="O967">
        <v>3</v>
      </c>
      <c r="P967">
        <v>3</v>
      </c>
      <c r="Q967">
        <v>0.18099999999999999</v>
      </c>
      <c r="R967">
        <v>3</v>
      </c>
      <c r="S967">
        <v>1</v>
      </c>
      <c r="T967">
        <v>4</v>
      </c>
      <c r="U967">
        <v>12.5</v>
      </c>
      <c r="V967">
        <v>662.48366013071893</v>
      </c>
      <c r="W967">
        <v>2</v>
      </c>
    </row>
    <row r="968" spans="1:23" x14ac:dyDescent="0.2">
      <c r="A968">
        <v>2022</v>
      </c>
      <c r="B968" t="s">
        <v>23</v>
      </c>
      <c r="C968" t="s">
        <v>24</v>
      </c>
      <c r="D968">
        <v>10</v>
      </c>
      <c r="E968">
        <v>1</v>
      </c>
      <c r="F968">
        <v>7</v>
      </c>
      <c r="G968" t="s">
        <v>34</v>
      </c>
      <c r="H968" s="1">
        <v>12</v>
      </c>
      <c r="I968" s="1">
        <v>61</v>
      </c>
      <c r="J968" s="1">
        <v>66</v>
      </c>
      <c r="K968" s="1">
        <f>J968-I968</f>
        <v>5</v>
      </c>
      <c r="L968" s="1">
        <v>157</v>
      </c>
      <c r="M968" s="1">
        <v>85</v>
      </c>
      <c r="N968" s="1">
        <v>2</v>
      </c>
      <c r="O968" s="1">
        <v>3</v>
      </c>
      <c r="P968" s="1">
        <v>11</v>
      </c>
      <c r="Q968" s="2">
        <v>0.77279999999999993</v>
      </c>
      <c r="R968" s="1">
        <v>11</v>
      </c>
      <c r="S968" s="1">
        <f>R968/P968</f>
        <v>1</v>
      </c>
      <c r="T968" s="1">
        <v>5</v>
      </c>
      <c r="U968" s="1">
        <v>7.9</v>
      </c>
      <c r="V968" s="1">
        <v>2977.2498823529404</v>
      </c>
      <c r="W968" s="1">
        <v>5</v>
      </c>
    </row>
    <row r="969" spans="1:23" x14ac:dyDescent="0.2">
      <c r="A969">
        <v>2022</v>
      </c>
      <c r="B969" t="s">
        <v>23</v>
      </c>
      <c r="C969" t="s">
        <v>24</v>
      </c>
      <c r="D969">
        <v>10</v>
      </c>
      <c r="E969">
        <v>2</v>
      </c>
      <c r="F969">
        <v>8</v>
      </c>
      <c r="G969" t="s">
        <v>34</v>
      </c>
      <c r="H969" s="1">
        <v>4</v>
      </c>
      <c r="I969" s="1">
        <v>66</v>
      </c>
      <c r="J969" s="1">
        <v>71</v>
      </c>
      <c r="K969" s="1">
        <f>J969-I969</f>
        <v>5</v>
      </c>
      <c r="L969" s="1">
        <v>139</v>
      </c>
      <c r="M969" s="1">
        <v>53</v>
      </c>
      <c r="N969" s="1">
        <v>2</v>
      </c>
      <c r="O969" s="1">
        <v>4</v>
      </c>
      <c r="P969" s="1">
        <v>3</v>
      </c>
      <c r="Q969" s="2">
        <v>9.1999999999999998E-2</v>
      </c>
      <c r="R969" s="1">
        <v>3</v>
      </c>
      <c r="S969" s="1">
        <f>R969/P969</f>
        <v>1</v>
      </c>
      <c r="T969" s="1">
        <v>5</v>
      </c>
      <c r="U969" s="1">
        <v>12.5</v>
      </c>
      <c r="V969" s="1">
        <v>336.73202614379085</v>
      </c>
      <c r="W969" s="1">
        <v>5</v>
      </c>
    </row>
    <row r="970" spans="1:23" x14ac:dyDescent="0.2">
      <c r="A970">
        <v>2022</v>
      </c>
      <c r="B970" t="s">
        <v>23</v>
      </c>
      <c r="C970" t="s">
        <v>24</v>
      </c>
      <c r="D970">
        <v>11</v>
      </c>
      <c r="E970">
        <v>1</v>
      </c>
      <c r="F970">
        <v>6</v>
      </c>
      <c r="G970" t="s">
        <v>35</v>
      </c>
      <c r="H970">
        <v>15</v>
      </c>
      <c r="I970">
        <v>53</v>
      </c>
      <c r="J970">
        <v>54</v>
      </c>
      <c r="K970">
        <v>1</v>
      </c>
      <c r="L970">
        <v>159</v>
      </c>
      <c r="M970">
        <v>58</v>
      </c>
      <c r="N970">
        <v>2</v>
      </c>
      <c r="O970">
        <v>2</v>
      </c>
      <c r="P970">
        <v>11</v>
      </c>
      <c r="Q970">
        <v>1</v>
      </c>
      <c r="R970">
        <v>11</v>
      </c>
      <c r="S970">
        <v>1</v>
      </c>
      <c r="T970">
        <v>4</v>
      </c>
      <c r="U970">
        <v>9.8000000000000007</v>
      </c>
      <c r="V970">
        <v>3773.0718954248368</v>
      </c>
      <c r="W970">
        <v>2</v>
      </c>
    </row>
    <row r="971" spans="1:23" x14ac:dyDescent="0.2">
      <c r="A971">
        <v>2022</v>
      </c>
      <c r="B971" t="s">
        <v>23</v>
      </c>
      <c r="C971" t="s">
        <v>24</v>
      </c>
      <c r="D971">
        <v>11</v>
      </c>
      <c r="E971">
        <v>2</v>
      </c>
      <c r="F971">
        <v>15</v>
      </c>
      <c r="G971" t="s">
        <v>35</v>
      </c>
      <c r="H971" s="1">
        <v>5</v>
      </c>
      <c r="I971" s="1">
        <v>67</v>
      </c>
      <c r="J971" s="1">
        <v>72</v>
      </c>
      <c r="K971" s="1">
        <f>J971-I971</f>
        <v>5</v>
      </c>
      <c r="L971" s="1">
        <v>135</v>
      </c>
      <c r="M971" s="1">
        <v>45</v>
      </c>
      <c r="N971" s="1">
        <v>3</v>
      </c>
      <c r="O971" s="1">
        <v>4.5</v>
      </c>
      <c r="P971" s="1">
        <v>5</v>
      </c>
      <c r="Q971" s="2">
        <v>0.21440000000000001</v>
      </c>
      <c r="R971" s="1">
        <v>5</v>
      </c>
      <c r="S971" s="1">
        <f>R971/P971</f>
        <v>1</v>
      </c>
      <c r="T971" s="1">
        <v>4</v>
      </c>
      <c r="U971" s="1">
        <v>12.5</v>
      </c>
      <c r="V971" s="1">
        <v>784.73202614379102</v>
      </c>
      <c r="W971" s="1">
        <v>4</v>
      </c>
    </row>
    <row r="972" spans="1:23" x14ac:dyDescent="0.2">
      <c r="A972">
        <v>2022</v>
      </c>
      <c r="B972" t="s">
        <v>23</v>
      </c>
      <c r="C972" t="s">
        <v>24</v>
      </c>
      <c r="D972">
        <v>12</v>
      </c>
      <c r="E972">
        <v>1</v>
      </c>
      <c r="F972">
        <v>11</v>
      </c>
      <c r="G972" t="s">
        <v>36</v>
      </c>
      <c r="H972">
        <v>15</v>
      </c>
      <c r="I972">
        <v>51</v>
      </c>
      <c r="J972">
        <v>52</v>
      </c>
      <c r="K972">
        <v>1</v>
      </c>
      <c r="L972">
        <v>160</v>
      </c>
      <c r="M972">
        <v>64</v>
      </c>
      <c r="N972">
        <v>2</v>
      </c>
      <c r="O972">
        <v>2.5</v>
      </c>
      <c r="P972">
        <v>8</v>
      </c>
      <c r="Q972">
        <v>0.1</v>
      </c>
      <c r="R972">
        <v>8</v>
      </c>
      <c r="S972">
        <v>1</v>
      </c>
      <c r="T972">
        <v>5</v>
      </c>
      <c r="U972">
        <v>10.5</v>
      </c>
      <c r="V972">
        <v>374.3790849673203</v>
      </c>
      <c r="W972">
        <v>1</v>
      </c>
    </row>
    <row r="973" spans="1:23" x14ac:dyDescent="0.2">
      <c r="A973">
        <v>2022</v>
      </c>
      <c r="B973" t="s">
        <v>23</v>
      </c>
      <c r="C973" t="s">
        <v>24</v>
      </c>
      <c r="D973">
        <v>12</v>
      </c>
      <c r="E973">
        <v>2</v>
      </c>
      <c r="F973">
        <v>5</v>
      </c>
      <c r="G973" t="s">
        <v>36</v>
      </c>
      <c r="H973">
        <v>2</v>
      </c>
      <c r="I973">
        <v>55</v>
      </c>
      <c r="J973">
        <v>58</v>
      </c>
      <c r="K973">
        <v>3</v>
      </c>
      <c r="L973">
        <v>98</v>
      </c>
      <c r="M973">
        <v>21</v>
      </c>
      <c r="N973">
        <v>4</v>
      </c>
      <c r="O973">
        <v>4</v>
      </c>
      <c r="P973">
        <v>2</v>
      </c>
      <c r="Q973">
        <v>0.13400000000000001</v>
      </c>
      <c r="R973">
        <v>3</v>
      </c>
      <c r="S973">
        <v>1.5</v>
      </c>
      <c r="T973">
        <v>1</v>
      </c>
      <c r="U973">
        <v>12.5</v>
      </c>
      <c r="V973">
        <v>490.45751633986936</v>
      </c>
      <c r="W973">
        <v>1</v>
      </c>
    </row>
    <row r="974" spans="1:23" x14ac:dyDescent="0.2">
      <c r="A974">
        <v>2022</v>
      </c>
      <c r="B974" t="s">
        <v>23</v>
      </c>
      <c r="C974" t="s">
        <v>24</v>
      </c>
      <c r="D974">
        <v>13</v>
      </c>
      <c r="E974">
        <v>1</v>
      </c>
      <c r="F974">
        <v>5</v>
      </c>
      <c r="G974" t="s">
        <v>37</v>
      </c>
      <c r="H974" s="1">
        <v>7</v>
      </c>
      <c r="I974" s="1">
        <v>62</v>
      </c>
      <c r="J974" s="1">
        <v>67</v>
      </c>
      <c r="K974" s="1">
        <f>J974-I974</f>
        <v>5</v>
      </c>
      <c r="L974" s="1">
        <v>125</v>
      </c>
      <c r="M974" s="1">
        <v>76</v>
      </c>
      <c r="N974" s="1">
        <v>2</v>
      </c>
      <c r="O974" s="1">
        <v>2</v>
      </c>
      <c r="P974" s="1">
        <f>H974-2</f>
        <v>5</v>
      </c>
      <c r="Q974" s="2">
        <v>0.10199999999999999</v>
      </c>
      <c r="R974" s="1">
        <v>3</v>
      </c>
      <c r="S974" s="1">
        <f>R974/P974</f>
        <v>0.6</v>
      </c>
      <c r="T974" s="1">
        <v>3</v>
      </c>
      <c r="U974" s="1">
        <v>12.5</v>
      </c>
      <c r="V974" s="1">
        <v>373.33333333333326</v>
      </c>
      <c r="W974" s="1">
        <v>5</v>
      </c>
    </row>
    <row r="975" spans="1:23" x14ac:dyDescent="0.2">
      <c r="A975">
        <v>2022</v>
      </c>
      <c r="B975" t="s">
        <v>23</v>
      </c>
      <c r="C975" t="s">
        <v>24</v>
      </c>
      <c r="D975">
        <v>13</v>
      </c>
      <c r="E975">
        <v>2</v>
      </c>
      <c r="F975">
        <v>1</v>
      </c>
      <c r="G975" t="s">
        <v>37</v>
      </c>
      <c r="H975">
        <v>9</v>
      </c>
      <c r="I975">
        <v>55</v>
      </c>
      <c r="J975">
        <v>59</v>
      </c>
      <c r="K975">
        <v>4</v>
      </c>
      <c r="L975">
        <v>143</v>
      </c>
      <c r="M975">
        <v>48</v>
      </c>
      <c r="N975">
        <v>3</v>
      </c>
      <c r="O975">
        <v>4</v>
      </c>
      <c r="P975">
        <v>8</v>
      </c>
      <c r="Q975">
        <v>1.419</v>
      </c>
      <c r="R975">
        <v>8</v>
      </c>
      <c r="S975">
        <v>1</v>
      </c>
      <c r="T975">
        <v>3</v>
      </c>
      <c r="U975">
        <v>12.5</v>
      </c>
      <c r="V975">
        <v>5193.7254901960787</v>
      </c>
      <c r="W975">
        <v>3</v>
      </c>
    </row>
    <row r="976" spans="1:23" x14ac:dyDescent="0.2">
      <c r="A976">
        <v>2022</v>
      </c>
      <c r="B976" t="s">
        <v>23</v>
      </c>
      <c r="C976" t="s">
        <v>24</v>
      </c>
      <c r="D976">
        <v>14</v>
      </c>
      <c r="E976">
        <v>1</v>
      </c>
      <c r="F976">
        <v>15</v>
      </c>
      <c r="G976" t="s">
        <v>38</v>
      </c>
      <c r="H976" s="1">
        <v>8</v>
      </c>
      <c r="I976" s="1">
        <v>67</v>
      </c>
      <c r="J976" s="1">
        <v>70</v>
      </c>
      <c r="K976" s="1">
        <f>J976-I976</f>
        <v>3</v>
      </c>
      <c r="L976" s="1">
        <v>152</v>
      </c>
      <c r="M976" s="1">
        <v>66</v>
      </c>
      <c r="N976" s="1">
        <v>1.5</v>
      </c>
      <c r="O976" s="1">
        <v>4</v>
      </c>
      <c r="P976" s="1">
        <v>7</v>
      </c>
      <c r="Q976" s="2">
        <v>0.41499999999999998</v>
      </c>
      <c r="R976" s="1">
        <v>4</v>
      </c>
      <c r="S976" s="1">
        <f>R976/P976</f>
        <v>0.5714285714285714</v>
      </c>
      <c r="T976" s="1">
        <v>2</v>
      </c>
      <c r="U976" s="1">
        <v>12.5</v>
      </c>
      <c r="V976" s="1">
        <v>1518.954248366013</v>
      </c>
      <c r="W976" s="1">
        <v>6</v>
      </c>
    </row>
    <row r="977" spans="1:23" x14ac:dyDescent="0.2">
      <c r="A977">
        <v>2022</v>
      </c>
      <c r="B977" t="s">
        <v>23</v>
      </c>
      <c r="C977" t="s">
        <v>24</v>
      </c>
      <c r="D977">
        <v>14</v>
      </c>
      <c r="E977">
        <v>2</v>
      </c>
      <c r="F977">
        <v>15</v>
      </c>
      <c r="G977" t="s">
        <v>38</v>
      </c>
      <c r="H977" s="1">
        <v>14</v>
      </c>
      <c r="I977" s="1">
        <v>70</v>
      </c>
      <c r="J977" s="1">
        <v>74</v>
      </c>
      <c r="K977" s="1">
        <f>J977-I977</f>
        <v>4</v>
      </c>
      <c r="L977" s="1">
        <v>132</v>
      </c>
      <c r="M977" s="1">
        <v>73</v>
      </c>
      <c r="N977" s="1">
        <v>2</v>
      </c>
      <c r="O977" s="1">
        <v>3.5</v>
      </c>
      <c r="P977" s="1">
        <v>11</v>
      </c>
      <c r="Q977" s="2">
        <v>0.12048</v>
      </c>
      <c r="R977" s="1">
        <v>4</v>
      </c>
      <c r="S977" s="1">
        <f>R977/P977</f>
        <v>0.36363636363636365</v>
      </c>
      <c r="T977" s="1">
        <v>5</v>
      </c>
      <c r="U977" s="1">
        <v>12.5</v>
      </c>
      <c r="V977" s="1">
        <v>440.97254901960787</v>
      </c>
      <c r="W977" s="1">
        <v>5</v>
      </c>
    </row>
    <row r="978" spans="1:23" x14ac:dyDescent="0.2">
      <c r="A978">
        <v>2022</v>
      </c>
      <c r="B978" t="s">
        <v>23</v>
      </c>
      <c r="C978" t="s">
        <v>24</v>
      </c>
      <c r="D978">
        <v>15</v>
      </c>
      <c r="E978">
        <v>1</v>
      </c>
      <c r="F978">
        <v>14</v>
      </c>
      <c r="G978" t="s">
        <v>39</v>
      </c>
      <c r="H978" s="1">
        <v>16</v>
      </c>
      <c r="I978" s="1">
        <v>61</v>
      </c>
      <c r="J978" s="1">
        <v>66</v>
      </c>
      <c r="K978" s="1">
        <f>J978-I978</f>
        <v>5</v>
      </c>
      <c r="L978" s="1">
        <v>152</v>
      </c>
      <c r="M978" s="1">
        <v>107</v>
      </c>
      <c r="N978" s="1">
        <v>2</v>
      </c>
      <c r="O978" s="1">
        <v>2</v>
      </c>
      <c r="P978" s="1">
        <v>15</v>
      </c>
      <c r="Q978" s="2">
        <v>0.55725000000000002</v>
      </c>
      <c r="R978" s="1">
        <v>12</v>
      </c>
      <c r="S978" s="1">
        <f>R978/P978</f>
        <v>0.8</v>
      </c>
      <c r="T978" s="1">
        <v>5</v>
      </c>
      <c r="U978" s="1">
        <v>12.5</v>
      </c>
      <c r="V978" s="1">
        <v>2039.6078431372548</v>
      </c>
      <c r="W978" s="1">
        <v>6</v>
      </c>
    </row>
    <row r="979" spans="1:23" x14ac:dyDescent="0.2">
      <c r="A979">
        <v>2022</v>
      </c>
      <c r="B979" t="s">
        <v>23</v>
      </c>
      <c r="C979" t="s">
        <v>24</v>
      </c>
      <c r="D979">
        <v>15</v>
      </c>
      <c r="E979">
        <v>2</v>
      </c>
      <c r="F979">
        <v>13</v>
      </c>
      <c r="G979" t="s">
        <v>39</v>
      </c>
      <c r="H979">
        <v>8</v>
      </c>
      <c r="I979">
        <v>51</v>
      </c>
      <c r="J979">
        <v>55</v>
      </c>
      <c r="K979">
        <v>4</v>
      </c>
      <c r="L979">
        <v>158</v>
      </c>
      <c r="M979">
        <v>33</v>
      </c>
      <c r="N979">
        <v>3</v>
      </c>
      <c r="O979">
        <v>3</v>
      </c>
      <c r="P979">
        <v>8</v>
      </c>
      <c r="Q979">
        <v>1.514</v>
      </c>
      <c r="R979">
        <v>10</v>
      </c>
      <c r="S979">
        <v>1.25</v>
      </c>
      <c r="T979">
        <v>2</v>
      </c>
      <c r="U979">
        <v>12.5</v>
      </c>
      <c r="V979">
        <v>5541.4379084967322</v>
      </c>
      <c r="W979">
        <v>2</v>
      </c>
    </row>
    <row r="980" spans="1:23" x14ac:dyDescent="0.2">
      <c r="A980">
        <v>2022</v>
      </c>
      <c r="B980" t="s">
        <v>23</v>
      </c>
      <c r="C980" t="s">
        <v>24</v>
      </c>
      <c r="D980">
        <v>16</v>
      </c>
      <c r="E980">
        <v>1</v>
      </c>
      <c r="F980">
        <v>5</v>
      </c>
      <c r="G980" t="s">
        <v>40</v>
      </c>
      <c r="H980" s="1">
        <v>2</v>
      </c>
      <c r="I980" s="1">
        <v>63</v>
      </c>
      <c r="J980" s="1">
        <v>65</v>
      </c>
      <c r="K980" s="1">
        <f>J980-I980</f>
        <v>2</v>
      </c>
      <c r="L980" s="1">
        <v>127</v>
      </c>
      <c r="M980" s="1">
        <v>46</v>
      </c>
      <c r="N980" s="1">
        <v>1.5</v>
      </c>
      <c r="O980" s="1">
        <v>3</v>
      </c>
      <c r="P980" s="1">
        <v>1</v>
      </c>
      <c r="Q980" s="2">
        <v>5.3999999999999999E-2</v>
      </c>
      <c r="R980" s="1">
        <v>1</v>
      </c>
      <c r="S980" s="1">
        <f>R980/P980</f>
        <v>1</v>
      </c>
      <c r="T980" s="1">
        <v>3</v>
      </c>
      <c r="U980" s="1">
        <v>12.5</v>
      </c>
      <c r="V980" s="1">
        <v>197.64705882352939</v>
      </c>
      <c r="W980" s="1">
        <v>2</v>
      </c>
    </row>
    <row r="981" spans="1:23" x14ac:dyDescent="0.2">
      <c r="A981">
        <v>2022</v>
      </c>
      <c r="B981" t="s">
        <v>23</v>
      </c>
      <c r="C981" t="s">
        <v>24</v>
      </c>
      <c r="D981">
        <v>16</v>
      </c>
      <c r="E981">
        <v>2</v>
      </c>
      <c r="F981">
        <v>9</v>
      </c>
      <c r="G981" t="s">
        <v>40</v>
      </c>
      <c r="H981" s="1">
        <v>6</v>
      </c>
      <c r="I981" s="1">
        <v>67</v>
      </c>
      <c r="J981" s="1">
        <v>70</v>
      </c>
      <c r="K981" s="1">
        <f>J981-I981</f>
        <v>3</v>
      </c>
      <c r="L981" s="1">
        <v>67</v>
      </c>
      <c r="M981" s="1">
        <v>36</v>
      </c>
      <c r="N981" s="1">
        <v>1.5</v>
      </c>
      <c r="O981" s="1">
        <v>5</v>
      </c>
      <c r="P981" s="1">
        <v>1</v>
      </c>
      <c r="Q981" s="2">
        <v>7.3999999999999996E-2</v>
      </c>
      <c r="R981" s="1">
        <v>1</v>
      </c>
      <c r="S981" s="1">
        <f>R981/P981</f>
        <v>1</v>
      </c>
      <c r="T981" s="1">
        <v>5</v>
      </c>
      <c r="U981" s="1">
        <v>12.5</v>
      </c>
      <c r="V981" s="1">
        <v>270.84967320261438</v>
      </c>
      <c r="W981" s="1">
        <v>6</v>
      </c>
    </row>
    <row r="982" spans="1:23" x14ac:dyDescent="0.2">
      <c r="A982">
        <v>2022</v>
      </c>
      <c r="B982" t="s">
        <v>23</v>
      </c>
      <c r="C982" t="s">
        <v>24</v>
      </c>
      <c r="D982">
        <v>17</v>
      </c>
      <c r="E982">
        <v>1</v>
      </c>
      <c r="F982">
        <v>10</v>
      </c>
      <c r="G982" t="s">
        <v>41</v>
      </c>
      <c r="H982">
        <v>4</v>
      </c>
      <c r="I982">
        <v>51</v>
      </c>
      <c r="J982">
        <v>54</v>
      </c>
      <c r="K982">
        <v>3</v>
      </c>
      <c r="L982">
        <v>138</v>
      </c>
      <c r="M982">
        <v>36</v>
      </c>
      <c r="N982">
        <v>3</v>
      </c>
      <c r="O982">
        <v>3</v>
      </c>
      <c r="P982">
        <v>3</v>
      </c>
      <c r="Q982">
        <v>0.152</v>
      </c>
      <c r="R982">
        <v>3</v>
      </c>
      <c r="S982">
        <v>1</v>
      </c>
      <c r="T982">
        <v>4</v>
      </c>
      <c r="U982">
        <v>12.5</v>
      </c>
      <c r="V982">
        <v>556.33986928104571</v>
      </c>
      <c r="W982">
        <v>1</v>
      </c>
    </row>
    <row r="983" spans="1:23" x14ac:dyDescent="0.2">
      <c r="A983">
        <v>2022</v>
      </c>
      <c r="B983" t="s">
        <v>23</v>
      </c>
      <c r="C983" t="s">
        <v>24</v>
      </c>
      <c r="D983">
        <v>17</v>
      </c>
      <c r="E983">
        <v>2</v>
      </c>
      <c r="F983">
        <v>1</v>
      </c>
      <c r="G983" t="s">
        <v>41</v>
      </c>
      <c r="H983" s="3">
        <v>7</v>
      </c>
      <c r="I983" s="3">
        <v>69</v>
      </c>
      <c r="J983" s="3">
        <v>72</v>
      </c>
      <c r="K983" s="3">
        <f>J983-I983</f>
        <v>3</v>
      </c>
      <c r="L983" s="3">
        <v>168</v>
      </c>
      <c r="M983" s="3">
        <v>70</v>
      </c>
      <c r="N983" s="3">
        <v>2</v>
      </c>
      <c r="O983" s="3">
        <v>2.5</v>
      </c>
      <c r="P983" s="3">
        <f>H983-1</f>
        <v>6</v>
      </c>
      <c r="Q983" s="4">
        <v>9.6000000000000002E-2</v>
      </c>
      <c r="R983" s="3">
        <v>5</v>
      </c>
      <c r="S983" s="3">
        <f>R983/P983</f>
        <v>0.83333333333333337</v>
      </c>
      <c r="T983" s="3">
        <v>3</v>
      </c>
      <c r="U983" s="3">
        <v>12.5</v>
      </c>
      <c r="V983" s="3">
        <v>351.37254901960785</v>
      </c>
      <c r="W983" s="3">
        <v>4</v>
      </c>
    </row>
    <row r="984" spans="1:23" x14ac:dyDescent="0.2">
      <c r="A984">
        <v>2022</v>
      </c>
      <c r="B984" t="s">
        <v>23</v>
      </c>
      <c r="C984" t="s">
        <v>24</v>
      </c>
      <c r="D984">
        <v>18</v>
      </c>
      <c r="E984">
        <v>1</v>
      </c>
      <c r="F984">
        <v>7</v>
      </c>
      <c r="G984" t="s">
        <v>42</v>
      </c>
      <c r="H984">
        <v>8</v>
      </c>
      <c r="I984">
        <v>56</v>
      </c>
      <c r="J984">
        <v>57</v>
      </c>
      <c r="K984">
        <v>1</v>
      </c>
      <c r="L984">
        <v>150</v>
      </c>
      <c r="M984">
        <v>83</v>
      </c>
      <c r="N984">
        <v>2</v>
      </c>
      <c r="O984">
        <v>2</v>
      </c>
      <c r="P984">
        <v>7</v>
      </c>
      <c r="Q984">
        <v>0.3</v>
      </c>
      <c r="R984">
        <v>6</v>
      </c>
      <c r="S984">
        <v>0.8571428571428571</v>
      </c>
      <c r="T984">
        <v>4</v>
      </c>
      <c r="U984">
        <v>10.199999999999999</v>
      </c>
      <c r="V984">
        <v>1126.9019607843138</v>
      </c>
      <c r="W984">
        <v>2</v>
      </c>
    </row>
    <row r="985" spans="1:23" x14ac:dyDescent="0.2">
      <c r="A985">
        <v>2022</v>
      </c>
      <c r="B985" t="s">
        <v>23</v>
      </c>
      <c r="C985" t="s">
        <v>24</v>
      </c>
      <c r="D985">
        <v>18</v>
      </c>
      <c r="E985">
        <v>2</v>
      </c>
      <c r="F985">
        <v>7</v>
      </c>
      <c r="G985" t="s">
        <v>42</v>
      </c>
      <c r="H985">
        <v>16</v>
      </c>
      <c r="I985">
        <v>50</v>
      </c>
      <c r="J985">
        <v>56</v>
      </c>
      <c r="K985">
        <v>6</v>
      </c>
      <c r="L985">
        <v>152</v>
      </c>
      <c r="M985">
        <v>94</v>
      </c>
      <c r="N985">
        <v>1</v>
      </c>
      <c r="O985">
        <v>2.5</v>
      </c>
      <c r="P985">
        <v>13</v>
      </c>
      <c r="Q985">
        <v>1.4</v>
      </c>
      <c r="R985">
        <v>12</v>
      </c>
      <c r="S985">
        <v>0.92307692307692313</v>
      </c>
      <c r="T985">
        <v>2</v>
      </c>
      <c r="U985">
        <v>11.8</v>
      </c>
      <c r="V985">
        <v>5165.1764705882351</v>
      </c>
      <c r="W985">
        <v>1</v>
      </c>
    </row>
    <row r="986" spans="1:23" x14ac:dyDescent="0.2">
      <c r="A986">
        <v>2022</v>
      </c>
      <c r="B986" t="s">
        <v>23</v>
      </c>
      <c r="C986" t="s">
        <v>24</v>
      </c>
      <c r="D986">
        <v>19</v>
      </c>
      <c r="E986">
        <v>1</v>
      </c>
      <c r="F986">
        <v>6</v>
      </c>
      <c r="G986" t="s">
        <v>263</v>
      </c>
      <c r="H986" s="1">
        <v>1</v>
      </c>
      <c r="I986" s="1">
        <v>63</v>
      </c>
      <c r="J986" s="1">
        <v>68</v>
      </c>
      <c r="K986" s="1">
        <f>J986-I986</f>
        <v>5</v>
      </c>
      <c r="L986" s="1">
        <v>123</v>
      </c>
      <c r="M986" s="1">
        <v>71</v>
      </c>
      <c r="N986" s="1">
        <v>2</v>
      </c>
      <c r="O986" s="1">
        <v>3.5</v>
      </c>
      <c r="P986" s="1">
        <v>1</v>
      </c>
      <c r="Q986" s="2">
        <v>0.03</v>
      </c>
      <c r="R986" s="1">
        <v>1</v>
      </c>
      <c r="S986" s="1">
        <f>R986/P986</f>
        <v>1</v>
      </c>
      <c r="T986" s="1">
        <v>5</v>
      </c>
      <c r="U986" s="1">
        <v>12.5</v>
      </c>
      <c r="V986" s="1">
        <v>109.80392156862746</v>
      </c>
      <c r="W986" s="1">
        <v>4</v>
      </c>
    </row>
    <row r="987" spans="1:23" x14ac:dyDescent="0.2">
      <c r="A987">
        <v>2022</v>
      </c>
      <c r="B987" t="s">
        <v>23</v>
      </c>
      <c r="C987" t="s">
        <v>24</v>
      </c>
      <c r="D987">
        <v>19</v>
      </c>
      <c r="E987">
        <v>2</v>
      </c>
      <c r="F987">
        <v>10</v>
      </c>
      <c r="G987" t="s">
        <v>263</v>
      </c>
      <c r="H987">
        <v>2</v>
      </c>
      <c r="I987">
        <v>56</v>
      </c>
      <c r="J987">
        <v>60</v>
      </c>
      <c r="K987">
        <v>4</v>
      </c>
      <c r="L987">
        <v>78</v>
      </c>
      <c r="M987">
        <v>28</v>
      </c>
      <c r="N987">
        <v>1.5</v>
      </c>
      <c r="O987">
        <v>2</v>
      </c>
      <c r="P987">
        <v>2</v>
      </c>
      <c r="Q987">
        <v>0.4</v>
      </c>
      <c r="R987">
        <v>3</v>
      </c>
      <c r="S987">
        <v>1.5</v>
      </c>
      <c r="T987">
        <v>2.5</v>
      </c>
      <c r="U987">
        <v>12.5</v>
      </c>
      <c r="V987">
        <v>1464.0522875816994</v>
      </c>
      <c r="W987">
        <v>1</v>
      </c>
    </row>
    <row r="988" spans="1:23" x14ac:dyDescent="0.2">
      <c r="A988">
        <v>2022</v>
      </c>
      <c r="B988" t="s">
        <v>23</v>
      </c>
      <c r="C988" t="s">
        <v>24</v>
      </c>
      <c r="D988">
        <v>20</v>
      </c>
      <c r="E988">
        <v>1</v>
      </c>
      <c r="F988">
        <v>2</v>
      </c>
      <c r="G988" t="s">
        <v>264</v>
      </c>
      <c r="H988" s="1">
        <v>12</v>
      </c>
      <c r="I988" s="1">
        <v>67</v>
      </c>
      <c r="J988" s="1">
        <v>72</v>
      </c>
      <c r="K988" s="1">
        <f>J988-I988</f>
        <v>5</v>
      </c>
      <c r="L988" s="1">
        <v>153</v>
      </c>
      <c r="M988" s="1">
        <v>68</v>
      </c>
      <c r="N988" s="1">
        <v>3</v>
      </c>
      <c r="O988" s="1">
        <v>4</v>
      </c>
      <c r="P988" s="1">
        <v>5</v>
      </c>
      <c r="Q988" s="2">
        <v>0.34379999999999999</v>
      </c>
      <c r="R988" s="1">
        <v>7</v>
      </c>
      <c r="S988" s="1">
        <f>R988/P988</f>
        <v>1.4</v>
      </c>
      <c r="T988" s="1">
        <v>5</v>
      </c>
      <c r="U988" s="1">
        <v>12.5</v>
      </c>
      <c r="V988" s="1">
        <v>1258.3529411764707</v>
      </c>
      <c r="W988" s="1">
        <v>6</v>
      </c>
    </row>
    <row r="989" spans="1:23" x14ac:dyDescent="0.2">
      <c r="A989">
        <v>2022</v>
      </c>
      <c r="B989" t="s">
        <v>23</v>
      </c>
      <c r="C989" t="s">
        <v>24</v>
      </c>
      <c r="D989">
        <v>20</v>
      </c>
      <c r="E989">
        <v>2</v>
      </c>
      <c r="F989">
        <v>3</v>
      </c>
      <c r="G989" t="s">
        <v>264</v>
      </c>
      <c r="H989" s="1">
        <v>7</v>
      </c>
      <c r="I989" s="1">
        <v>62</v>
      </c>
      <c r="J989" s="1">
        <v>67</v>
      </c>
      <c r="K989" s="1">
        <f>J989-I989</f>
        <v>5</v>
      </c>
      <c r="L989" s="1">
        <v>145</v>
      </c>
      <c r="M989" s="1">
        <v>70</v>
      </c>
      <c r="N989" s="1">
        <v>2</v>
      </c>
      <c r="O989" s="1">
        <v>2.5</v>
      </c>
      <c r="P989" s="1">
        <v>7</v>
      </c>
      <c r="Q989" s="2">
        <v>1.19</v>
      </c>
      <c r="R989" s="1">
        <v>6</v>
      </c>
      <c r="S989" s="1">
        <f>R989/P989</f>
        <v>0.8571428571428571</v>
      </c>
      <c r="T989" s="1">
        <v>2</v>
      </c>
      <c r="U989" s="1">
        <v>12.5</v>
      </c>
      <c r="V989" s="1">
        <v>4355.5555555555557</v>
      </c>
      <c r="W989" s="1">
        <v>5</v>
      </c>
    </row>
    <row r="990" spans="1:23" x14ac:dyDescent="0.2">
      <c r="A990">
        <v>2022</v>
      </c>
      <c r="B990" t="s">
        <v>23</v>
      </c>
      <c r="C990" t="s">
        <v>24</v>
      </c>
      <c r="D990">
        <v>21</v>
      </c>
      <c r="E990">
        <v>1</v>
      </c>
      <c r="F990">
        <v>14</v>
      </c>
      <c r="G990" t="s">
        <v>265</v>
      </c>
      <c r="H990" s="1">
        <v>5</v>
      </c>
      <c r="I990" s="1">
        <v>58</v>
      </c>
      <c r="J990" s="1">
        <v>62</v>
      </c>
      <c r="K990" s="1">
        <f>J990-I990</f>
        <v>4</v>
      </c>
      <c r="L990" s="1">
        <v>83</v>
      </c>
      <c r="M990" s="1">
        <v>77</v>
      </c>
      <c r="N990" s="1">
        <v>2</v>
      </c>
      <c r="O990" s="1">
        <v>3.5</v>
      </c>
      <c r="P990" s="1">
        <v>4</v>
      </c>
      <c r="Q990" s="2">
        <v>5.0639999999999998E-2</v>
      </c>
      <c r="R990" s="1">
        <v>2</v>
      </c>
      <c r="S990" s="1">
        <f>R990/P990</f>
        <v>0.5</v>
      </c>
      <c r="T990" s="1">
        <v>5</v>
      </c>
      <c r="U990" s="1">
        <v>11.8</v>
      </c>
      <c r="V990" s="1">
        <v>186.83181176470586</v>
      </c>
      <c r="W990" s="1">
        <v>2</v>
      </c>
    </row>
    <row r="991" spans="1:23" x14ac:dyDescent="0.2">
      <c r="A991">
        <v>2022</v>
      </c>
      <c r="B991" t="s">
        <v>23</v>
      </c>
      <c r="C991" t="s">
        <v>24</v>
      </c>
      <c r="D991">
        <v>21</v>
      </c>
      <c r="E991">
        <v>2</v>
      </c>
      <c r="F991">
        <v>11</v>
      </c>
      <c r="G991" t="s">
        <v>265</v>
      </c>
      <c r="H991" s="1">
        <v>6</v>
      </c>
      <c r="I991" s="1">
        <v>64</v>
      </c>
      <c r="J991" s="1">
        <v>67</v>
      </c>
      <c r="K991" s="1">
        <f>J991-I991</f>
        <v>3</v>
      </c>
      <c r="L991" s="1">
        <v>143</v>
      </c>
      <c r="M991" s="1">
        <v>76</v>
      </c>
      <c r="N991" s="1">
        <v>2</v>
      </c>
      <c r="O991" s="1">
        <v>4</v>
      </c>
      <c r="P991" s="1">
        <f>H991</f>
        <v>6</v>
      </c>
      <c r="Q991" s="2">
        <v>0.16312499999999999</v>
      </c>
      <c r="R991" s="1">
        <v>8</v>
      </c>
      <c r="S991" s="1">
        <f>R991/P991</f>
        <v>1.3333333333333333</v>
      </c>
      <c r="T991" s="1">
        <v>5</v>
      </c>
      <c r="U991" s="1">
        <v>12.5</v>
      </c>
      <c r="V991" s="1">
        <v>597.05882352941182</v>
      </c>
      <c r="W991" s="1">
        <v>6</v>
      </c>
    </row>
    <row r="992" spans="1:23" x14ac:dyDescent="0.2">
      <c r="A992">
        <v>2022</v>
      </c>
      <c r="B992" t="s">
        <v>23</v>
      </c>
      <c r="C992" t="s">
        <v>24</v>
      </c>
      <c r="D992">
        <v>22</v>
      </c>
      <c r="E992">
        <v>1</v>
      </c>
      <c r="F992">
        <v>7</v>
      </c>
      <c r="G992" t="s">
        <v>46</v>
      </c>
      <c r="H992" s="1">
        <v>10</v>
      </c>
      <c r="I992" s="1">
        <v>67</v>
      </c>
      <c r="J992" s="1">
        <v>72</v>
      </c>
      <c r="K992" s="1">
        <f>J992-I992</f>
        <v>5</v>
      </c>
      <c r="L992" s="1">
        <v>135</v>
      </c>
      <c r="M992" s="1">
        <v>47</v>
      </c>
      <c r="N992" s="1">
        <v>2</v>
      </c>
      <c r="O992" s="1">
        <v>4</v>
      </c>
      <c r="P992" s="1">
        <v>6</v>
      </c>
      <c r="Q992" s="2">
        <v>0.192</v>
      </c>
      <c r="R992" s="1">
        <v>6</v>
      </c>
      <c r="S992" s="1">
        <f>R992/P992</f>
        <v>1</v>
      </c>
      <c r="T992" s="1">
        <v>4</v>
      </c>
      <c r="U992" s="1">
        <v>12.5</v>
      </c>
      <c r="V992" s="1">
        <v>702.74509803921569</v>
      </c>
      <c r="W992" s="1">
        <v>4</v>
      </c>
    </row>
    <row r="993" spans="1:23" x14ac:dyDescent="0.2">
      <c r="A993">
        <v>2022</v>
      </c>
      <c r="B993" t="s">
        <v>23</v>
      </c>
      <c r="C993" t="s">
        <v>24</v>
      </c>
      <c r="D993">
        <v>22</v>
      </c>
      <c r="E993">
        <v>2</v>
      </c>
      <c r="F993">
        <v>14</v>
      </c>
      <c r="G993" t="s">
        <v>46</v>
      </c>
      <c r="H993">
        <v>16</v>
      </c>
      <c r="I993">
        <v>55</v>
      </c>
      <c r="J993">
        <v>57</v>
      </c>
      <c r="K993">
        <v>2</v>
      </c>
      <c r="L993">
        <v>160</v>
      </c>
      <c r="M993">
        <v>56</v>
      </c>
      <c r="N993">
        <v>2</v>
      </c>
      <c r="O993">
        <v>2</v>
      </c>
      <c r="P993">
        <v>15</v>
      </c>
      <c r="Q993">
        <v>1</v>
      </c>
      <c r="R993">
        <v>14</v>
      </c>
      <c r="S993">
        <v>0.93333333333333335</v>
      </c>
      <c r="T993">
        <v>2</v>
      </c>
      <c r="U993">
        <v>10</v>
      </c>
      <c r="V993">
        <v>3764.705882352941</v>
      </c>
      <c r="W993">
        <v>1</v>
      </c>
    </row>
    <row r="994" spans="1:23" x14ac:dyDescent="0.2">
      <c r="A994">
        <v>2022</v>
      </c>
      <c r="B994" t="s">
        <v>23</v>
      </c>
      <c r="C994" t="s">
        <v>24</v>
      </c>
      <c r="D994">
        <v>23</v>
      </c>
      <c r="E994">
        <v>1</v>
      </c>
      <c r="F994">
        <v>4</v>
      </c>
      <c r="G994" t="s">
        <v>47</v>
      </c>
      <c r="H994" s="1">
        <v>7</v>
      </c>
      <c r="I994" s="1">
        <v>62</v>
      </c>
      <c r="J994" s="1">
        <v>67</v>
      </c>
      <c r="K994" s="1">
        <f>J994-I994</f>
        <v>5</v>
      </c>
      <c r="L994" s="1">
        <v>165</v>
      </c>
      <c r="M994" s="1">
        <v>73</v>
      </c>
      <c r="N994" s="1">
        <v>1</v>
      </c>
      <c r="O994" s="1">
        <v>3.5</v>
      </c>
      <c r="P994" s="1">
        <v>6</v>
      </c>
      <c r="Q994" s="2">
        <v>0.6008</v>
      </c>
      <c r="R994" s="1">
        <v>6</v>
      </c>
      <c r="S994" s="1">
        <f>R994/P994</f>
        <v>1</v>
      </c>
      <c r="T994" s="1">
        <v>5</v>
      </c>
      <c r="U994" s="1">
        <v>12.5</v>
      </c>
      <c r="V994" s="1">
        <v>2199.0065359477126</v>
      </c>
      <c r="W994" s="1">
        <v>4</v>
      </c>
    </row>
    <row r="995" spans="1:23" x14ac:dyDescent="0.2">
      <c r="A995">
        <v>2022</v>
      </c>
      <c r="B995" t="s">
        <v>23</v>
      </c>
      <c r="C995" t="s">
        <v>24</v>
      </c>
      <c r="D995">
        <v>23</v>
      </c>
      <c r="E995">
        <v>2</v>
      </c>
      <c r="F995">
        <v>8</v>
      </c>
      <c r="G995" t="s">
        <v>47</v>
      </c>
      <c r="H995" s="1">
        <v>4</v>
      </c>
      <c r="I995" s="1">
        <v>72</v>
      </c>
      <c r="J995" s="1">
        <v>73</v>
      </c>
      <c r="K995" s="1">
        <f>J995-I995</f>
        <v>1</v>
      </c>
      <c r="L995" s="1">
        <v>118</v>
      </c>
      <c r="M995" s="1">
        <v>39</v>
      </c>
      <c r="N995" s="1">
        <v>3</v>
      </c>
      <c r="O995" s="1">
        <v>5</v>
      </c>
      <c r="P995" s="1">
        <v>1</v>
      </c>
      <c r="Q995" s="2">
        <v>2.1599999999999998E-2</v>
      </c>
      <c r="R995" s="1">
        <v>1</v>
      </c>
      <c r="S995" s="1">
        <f>R995/P995</f>
        <v>1</v>
      </c>
      <c r="T995" s="1">
        <v>5</v>
      </c>
      <c r="U995" s="1">
        <v>12.5</v>
      </c>
      <c r="V995" s="1">
        <v>79.058823529411768</v>
      </c>
      <c r="W995" s="1">
        <v>6</v>
      </c>
    </row>
    <row r="996" spans="1:23" x14ac:dyDescent="0.2">
      <c r="A996">
        <v>2022</v>
      </c>
      <c r="B996" t="s">
        <v>23</v>
      </c>
      <c r="C996" t="s">
        <v>24</v>
      </c>
      <c r="D996">
        <v>24</v>
      </c>
      <c r="E996">
        <v>1</v>
      </c>
      <c r="F996">
        <v>14</v>
      </c>
      <c r="G996" t="s">
        <v>48</v>
      </c>
      <c r="H996" s="1">
        <v>12</v>
      </c>
      <c r="I996" s="1">
        <v>57</v>
      </c>
      <c r="J996" s="1">
        <v>60</v>
      </c>
      <c r="K996" s="1">
        <f>J996-I996</f>
        <v>3</v>
      </c>
      <c r="L996" s="1">
        <v>151</v>
      </c>
      <c r="M996" s="1">
        <v>57</v>
      </c>
      <c r="N996" s="1">
        <v>3</v>
      </c>
      <c r="O996" s="1">
        <v>3.5</v>
      </c>
      <c r="P996" s="1">
        <v>8</v>
      </c>
      <c r="Q996" s="2">
        <v>0.25679999999999997</v>
      </c>
      <c r="R996" s="1">
        <v>10</v>
      </c>
      <c r="S996" s="1">
        <f>R996/P996</f>
        <v>1.25</v>
      </c>
      <c r="T996" s="1">
        <v>5</v>
      </c>
      <c r="U996" s="1">
        <v>12.5</v>
      </c>
      <c r="V996" s="1">
        <v>939.92156862745105</v>
      </c>
      <c r="W996" s="1">
        <v>3</v>
      </c>
    </row>
    <row r="997" spans="1:23" x14ac:dyDescent="0.2">
      <c r="A997">
        <v>2022</v>
      </c>
      <c r="B997" t="s">
        <v>23</v>
      </c>
      <c r="C997" t="s">
        <v>24</v>
      </c>
      <c r="D997">
        <v>24</v>
      </c>
      <c r="E997">
        <v>2</v>
      </c>
      <c r="F997">
        <v>13</v>
      </c>
      <c r="G997" t="s">
        <v>48</v>
      </c>
      <c r="H997">
        <v>10</v>
      </c>
      <c r="I997">
        <v>56</v>
      </c>
      <c r="J997">
        <v>60</v>
      </c>
      <c r="K997">
        <v>4</v>
      </c>
      <c r="L997">
        <v>90</v>
      </c>
      <c r="M997">
        <v>28</v>
      </c>
      <c r="N997">
        <v>1.5</v>
      </c>
      <c r="O997">
        <v>4</v>
      </c>
      <c r="P997">
        <v>10</v>
      </c>
      <c r="Q997">
        <v>1</v>
      </c>
      <c r="R997">
        <v>11</v>
      </c>
      <c r="S997">
        <v>1.1000000000000001</v>
      </c>
      <c r="T997">
        <v>2.5</v>
      </c>
      <c r="U997">
        <v>12.5</v>
      </c>
      <c r="V997">
        <v>3660.1307189542486</v>
      </c>
      <c r="W997">
        <v>2</v>
      </c>
    </row>
    <row r="998" spans="1:23" x14ac:dyDescent="0.2">
      <c r="A998">
        <v>2022</v>
      </c>
      <c r="B998" t="s">
        <v>23</v>
      </c>
      <c r="C998" t="s">
        <v>24</v>
      </c>
      <c r="D998">
        <v>25</v>
      </c>
      <c r="E998">
        <v>1</v>
      </c>
      <c r="F998">
        <v>8</v>
      </c>
      <c r="G998" t="s">
        <v>49</v>
      </c>
      <c r="H998" s="1">
        <v>3</v>
      </c>
      <c r="I998" s="1">
        <v>64</v>
      </c>
      <c r="J998" s="1">
        <v>68</v>
      </c>
      <c r="K998" s="1">
        <f>J998-I998</f>
        <v>4</v>
      </c>
      <c r="L998" s="1">
        <v>170</v>
      </c>
      <c r="M998" s="1">
        <v>70</v>
      </c>
      <c r="N998" s="1">
        <v>2.5</v>
      </c>
      <c r="O998" s="1">
        <v>3</v>
      </c>
      <c r="P998" s="1">
        <v>3</v>
      </c>
      <c r="Q998" s="2">
        <v>0.192</v>
      </c>
      <c r="R998" s="1">
        <v>3</v>
      </c>
      <c r="S998" s="1">
        <f>R998/P998</f>
        <v>1</v>
      </c>
      <c r="T998" s="1">
        <v>3</v>
      </c>
      <c r="U998" s="1">
        <v>12.5</v>
      </c>
      <c r="V998" s="1">
        <v>702.74509803921569</v>
      </c>
      <c r="W998" s="1">
        <v>4</v>
      </c>
    </row>
    <row r="999" spans="1:23" x14ac:dyDescent="0.2">
      <c r="A999">
        <v>2022</v>
      </c>
      <c r="B999" t="s">
        <v>23</v>
      </c>
      <c r="C999" t="s">
        <v>24</v>
      </c>
      <c r="D999">
        <v>25</v>
      </c>
      <c r="E999">
        <v>2</v>
      </c>
      <c r="F999">
        <v>7</v>
      </c>
      <c r="G999" t="s">
        <v>49</v>
      </c>
      <c r="H999" s="3">
        <v>4</v>
      </c>
      <c r="I999" s="3">
        <v>68</v>
      </c>
      <c r="J999" s="3">
        <v>71</v>
      </c>
      <c r="K999" s="3">
        <f>J999-I999</f>
        <v>3</v>
      </c>
      <c r="L999" s="3">
        <v>84</v>
      </c>
      <c r="M999" s="3">
        <v>39</v>
      </c>
      <c r="N999" s="3">
        <v>2</v>
      </c>
      <c r="O999" s="3">
        <v>3</v>
      </c>
      <c r="P999" s="3">
        <f>H999</f>
        <v>4</v>
      </c>
      <c r="Q999" s="4">
        <v>6.5250000000000002E-2</v>
      </c>
      <c r="R999" s="3">
        <v>2</v>
      </c>
      <c r="S999" s="3">
        <f>R999/P999</f>
        <v>0.5</v>
      </c>
      <c r="T999" s="3">
        <v>4</v>
      </c>
      <c r="U999" s="3">
        <v>12.5</v>
      </c>
      <c r="V999" s="3">
        <v>238.82352941176475</v>
      </c>
      <c r="W999" s="3">
        <v>3</v>
      </c>
    </row>
    <row r="1000" spans="1:23" x14ac:dyDescent="0.2">
      <c r="A1000">
        <v>2022</v>
      </c>
      <c r="B1000" t="s">
        <v>23</v>
      </c>
      <c r="C1000" t="s">
        <v>24</v>
      </c>
      <c r="D1000">
        <v>26</v>
      </c>
      <c r="E1000">
        <v>1</v>
      </c>
      <c r="F1000">
        <v>1</v>
      </c>
      <c r="G1000" t="s">
        <v>50</v>
      </c>
      <c r="H1000" s="1">
        <v>9</v>
      </c>
      <c r="I1000" s="1">
        <v>68</v>
      </c>
      <c r="J1000" s="1">
        <v>71</v>
      </c>
      <c r="K1000" s="1">
        <f>J1000-I1000</f>
        <v>3</v>
      </c>
      <c r="L1000" s="1">
        <v>180</v>
      </c>
      <c r="M1000" s="1">
        <v>75</v>
      </c>
      <c r="N1000" s="1">
        <v>2</v>
      </c>
      <c r="O1000" s="1">
        <v>3</v>
      </c>
      <c r="P1000" s="1">
        <v>9</v>
      </c>
      <c r="Q1000" s="2">
        <v>0.23599999999999999</v>
      </c>
      <c r="R1000" s="1">
        <v>6</v>
      </c>
      <c r="S1000" s="1">
        <f>R1000/P1000</f>
        <v>0.66666666666666663</v>
      </c>
      <c r="T1000" s="1">
        <v>5</v>
      </c>
      <c r="U1000" s="1">
        <v>12.5</v>
      </c>
      <c r="V1000" s="1">
        <v>863.79084967320262</v>
      </c>
      <c r="W1000" s="1">
        <v>5</v>
      </c>
    </row>
    <row r="1001" spans="1:23" x14ac:dyDescent="0.2">
      <c r="A1001">
        <v>2022</v>
      </c>
      <c r="B1001" t="s">
        <v>23</v>
      </c>
      <c r="C1001" t="s">
        <v>24</v>
      </c>
      <c r="D1001">
        <v>26</v>
      </c>
      <c r="E1001">
        <v>2</v>
      </c>
      <c r="F1001">
        <v>1</v>
      </c>
      <c r="G1001" t="s">
        <v>50</v>
      </c>
      <c r="H1001">
        <v>6</v>
      </c>
      <c r="I1001">
        <v>56</v>
      </c>
      <c r="J1001">
        <v>62</v>
      </c>
      <c r="K1001">
        <v>6</v>
      </c>
      <c r="L1001">
        <v>98</v>
      </c>
      <c r="M1001">
        <v>20</v>
      </c>
      <c r="N1001">
        <v>4</v>
      </c>
      <c r="O1001">
        <v>3</v>
      </c>
      <c r="P1001">
        <v>6</v>
      </c>
      <c r="Q1001">
        <v>1.1140000000000001</v>
      </c>
      <c r="R1001">
        <v>5</v>
      </c>
      <c r="S1001">
        <v>0.83333333333333337</v>
      </c>
      <c r="T1001">
        <v>2</v>
      </c>
      <c r="U1001">
        <v>12.5</v>
      </c>
      <c r="V1001">
        <v>4077.3856209150335</v>
      </c>
      <c r="W1001">
        <v>1</v>
      </c>
    </row>
    <row r="1002" spans="1:23" x14ac:dyDescent="0.2">
      <c r="A1002">
        <v>2022</v>
      </c>
      <c r="B1002" t="s">
        <v>23</v>
      </c>
      <c r="C1002" t="s">
        <v>24</v>
      </c>
      <c r="D1002">
        <v>27</v>
      </c>
      <c r="E1002">
        <v>1</v>
      </c>
      <c r="F1002">
        <v>12</v>
      </c>
      <c r="G1002" t="s">
        <v>51</v>
      </c>
      <c r="H1002">
        <v>4</v>
      </c>
      <c r="I1002">
        <v>56</v>
      </c>
      <c r="J1002">
        <v>62</v>
      </c>
      <c r="K1002">
        <v>6</v>
      </c>
      <c r="L1002">
        <v>150</v>
      </c>
      <c r="M1002">
        <v>61</v>
      </c>
      <c r="N1002">
        <v>3</v>
      </c>
      <c r="O1002">
        <v>3</v>
      </c>
      <c r="P1002">
        <v>4</v>
      </c>
      <c r="Q1002">
        <v>0.53200000000000003</v>
      </c>
      <c r="R1002">
        <v>6</v>
      </c>
      <c r="S1002">
        <v>1.5</v>
      </c>
      <c r="T1002">
        <v>2</v>
      </c>
      <c r="U1002">
        <v>12.5</v>
      </c>
      <c r="V1002">
        <v>1947.1895424836605</v>
      </c>
      <c r="W1002">
        <v>2</v>
      </c>
    </row>
    <row r="1003" spans="1:23" x14ac:dyDescent="0.2">
      <c r="A1003">
        <v>2022</v>
      </c>
      <c r="B1003" t="s">
        <v>23</v>
      </c>
      <c r="C1003" t="s">
        <v>24</v>
      </c>
      <c r="D1003">
        <v>27</v>
      </c>
      <c r="E1003">
        <v>2</v>
      </c>
      <c r="F1003">
        <v>11</v>
      </c>
      <c r="G1003" t="s">
        <v>51</v>
      </c>
      <c r="H1003">
        <v>4</v>
      </c>
      <c r="I1003">
        <v>56</v>
      </c>
      <c r="J1003">
        <v>62</v>
      </c>
      <c r="K1003">
        <v>6</v>
      </c>
      <c r="L1003">
        <v>79</v>
      </c>
      <c r="M1003">
        <v>30</v>
      </c>
      <c r="N1003">
        <v>4</v>
      </c>
      <c r="O1003">
        <v>5</v>
      </c>
      <c r="P1003">
        <v>3</v>
      </c>
      <c r="Q1003">
        <v>0.219</v>
      </c>
      <c r="R1003">
        <v>3</v>
      </c>
      <c r="S1003">
        <v>1</v>
      </c>
      <c r="T1003">
        <v>2</v>
      </c>
      <c r="U1003">
        <v>12.5</v>
      </c>
      <c r="V1003">
        <v>801.56862745098033</v>
      </c>
      <c r="W1003">
        <v>1</v>
      </c>
    </row>
    <row r="1004" spans="1:23" x14ac:dyDescent="0.2">
      <c r="A1004">
        <v>2022</v>
      </c>
      <c r="B1004" t="s">
        <v>23</v>
      </c>
      <c r="C1004" t="s">
        <v>24</v>
      </c>
      <c r="D1004">
        <v>28</v>
      </c>
      <c r="E1004">
        <v>1</v>
      </c>
      <c r="F1004">
        <v>8</v>
      </c>
      <c r="G1004" t="s">
        <v>52</v>
      </c>
      <c r="H1004" s="1">
        <v>6</v>
      </c>
      <c r="I1004" s="1">
        <v>65</v>
      </c>
      <c r="J1004" s="1">
        <v>70</v>
      </c>
      <c r="K1004" s="1">
        <f>J1004-I1004</f>
        <v>5</v>
      </c>
      <c r="L1004" s="1">
        <v>179</v>
      </c>
      <c r="M1004" s="1">
        <v>71</v>
      </c>
      <c r="N1004" s="1">
        <v>2</v>
      </c>
      <c r="O1004" s="1">
        <v>4</v>
      </c>
      <c r="P1004" s="1">
        <v>4</v>
      </c>
      <c r="Q1004" s="2">
        <v>0.18</v>
      </c>
      <c r="R1004" s="1">
        <v>4</v>
      </c>
      <c r="S1004" s="1">
        <f>R1004/P1004</f>
        <v>1</v>
      </c>
      <c r="T1004" s="1">
        <v>4</v>
      </c>
      <c r="U1004" s="1">
        <v>12.5</v>
      </c>
      <c r="V1004" s="1">
        <v>658.82352941176464</v>
      </c>
      <c r="W1004" s="1">
        <v>3</v>
      </c>
    </row>
    <row r="1005" spans="1:23" x14ac:dyDescent="0.2">
      <c r="A1005">
        <v>2022</v>
      </c>
      <c r="B1005" t="s">
        <v>23</v>
      </c>
      <c r="C1005" t="s">
        <v>24</v>
      </c>
      <c r="D1005">
        <v>28</v>
      </c>
      <c r="E1005">
        <v>2</v>
      </c>
      <c r="F1005">
        <v>15</v>
      </c>
      <c r="G1005" t="s">
        <v>52</v>
      </c>
      <c r="H1005">
        <v>2</v>
      </c>
      <c r="I1005">
        <v>60</v>
      </c>
      <c r="J1005">
        <v>65</v>
      </c>
      <c r="K1005">
        <v>5</v>
      </c>
      <c r="L1005">
        <v>68</v>
      </c>
      <c r="M1005">
        <v>16</v>
      </c>
      <c r="N1005">
        <v>5</v>
      </c>
      <c r="O1005">
        <v>4</v>
      </c>
      <c r="P1005">
        <v>2</v>
      </c>
      <c r="Q1005">
        <v>6.0999999999999999E-2</v>
      </c>
      <c r="R1005">
        <v>1</v>
      </c>
      <c r="S1005">
        <v>0.5</v>
      </c>
      <c r="T1005">
        <v>4</v>
      </c>
      <c r="U1005">
        <v>12.5</v>
      </c>
      <c r="V1005">
        <v>223.26797385620915</v>
      </c>
      <c r="W1005">
        <v>1</v>
      </c>
    </row>
    <row r="1006" spans="1:23" x14ac:dyDescent="0.2">
      <c r="A1006">
        <v>2022</v>
      </c>
      <c r="B1006" t="s">
        <v>23</v>
      </c>
      <c r="C1006" t="s">
        <v>24</v>
      </c>
      <c r="D1006">
        <v>29</v>
      </c>
      <c r="E1006">
        <v>1</v>
      </c>
      <c r="F1006">
        <v>1</v>
      </c>
      <c r="G1006" t="s">
        <v>53</v>
      </c>
      <c r="H1006" s="1">
        <v>12</v>
      </c>
      <c r="I1006" s="1">
        <v>72</v>
      </c>
      <c r="J1006" s="1">
        <v>73</v>
      </c>
      <c r="K1006" s="1">
        <f t="shared" ref="K1006:K1012" si="52">J1006-I1006</f>
        <v>1</v>
      </c>
      <c r="L1006" s="1">
        <v>162</v>
      </c>
      <c r="M1006" s="1">
        <v>88</v>
      </c>
      <c r="N1006" s="1">
        <v>2</v>
      </c>
      <c r="O1006" s="1">
        <v>3.5</v>
      </c>
      <c r="P1006" s="1">
        <v>12</v>
      </c>
      <c r="Q1006" s="2">
        <v>0.24551999999999999</v>
      </c>
      <c r="R1006" s="1">
        <v>8</v>
      </c>
      <c r="S1006" s="1">
        <f t="shared" ref="S1006:S1012" si="53">R1006/P1006</f>
        <v>0.66666666666666663</v>
      </c>
      <c r="T1006" s="1">
        <v>5</v>
      </c>
      <c r="U1006" s="1">
        <v>12.5</v>
      </c>
      <c r="V1006" s="1">
        <v>898.63529411764705</v>
      </c>
      <c r="W1006" s="1">
        <v>5</v>
      </c>
    </row>
    <row r="1007" spans="1:23" x14ac:dyDescent="0.2">
      <c r="A1007">
        <v>2022</v>
      </c>
      <c r="B1007" t="s">
        <v>23</v>
      </c>
      <c r="C1007" t="s">
        <v>24</v>
      </c>
      <c r="D1007">
        <v>29</v>
      </c>
      <c r="E1007">
        <v>2</v>
      </c>
      <c r="F1007">
        <v>11</v>
      </c>
      <c r="G1007" t="s">
        <v>53</v>
      </c>
      <c r="H1007" s="1">
        <v>8</v>
      </c>
      <c r="I1007" s="1">
        <v>62</v>
      </c>
      <c r="J1007" s="1">
        <v>65</v>
      </c>
      <c r="K1007" s="1">
        <f t="shared" si="52"/>
        <v>3</v>
      </c>
      <c r="L1007" s="1">
        <v>144</v>
      </c>
      <c r="M1007" s="1">
        <v>47</v>
      </c>
      <c r="N1007" s="1">
        <v>2</v>
      </c>
      <c r="O1007" s="1">
        <v>4</v>
      </c>
      <c r="P1007" s="1">
        <v>6</v>
      </c>
      <c r="Q1007" s="2">
        <v>0.254</v>
      </c>
      <c r="R1007" s="1">
        <v>6</v>
      </c>
      <c r="S1007" s="1">
        <f t="shared" si="53"/>
        <v>1</v>
      </c>
      <c r="T1007" s="1">
        <v>3</v>
      </c>
      <c r="U1007" s="1">
        <v>12.5</v>
      </c>
      <c r="V1007" s="1">
        <v>929.67320261437919</v>
      </c>
      <c r="W1007" s="1">
        <v>4</v>
      </c>
    </row>
    <row r="1008" spans="1:23" x14ac:dyDescent="0.2">
      <c r="A1008">
        <v>2022</v>
      </c>
      <c r="B1008" t="s">
        <v>23</v>
      </c>
      <c r="C1008" t="s">
        <v>24</v>
      </c>
      <c r="D1008">
        <v>30</v>
      </c>
      <c r="E1008">
        <v>1</v>
      </c>
      <c r="F1008">
        <v>10</v>
      </c>
      <c r="G1008" t="s">
        <v>54</v>
      </c>
      <c r="H1008" s="1">
        <v>8</v>
      </c>
      <c r="I1008" s="1">
        <v>60</v>
      </c>
      <c r="J1008" s="1">
        <v>63</v>
      </c>
      <c r="K1008" s="1">
        <f t="shared" si="52"/>
        <v>3</v>
      </c>
      <c r="L1008" s="1">
        <v>155</v>
      </c>
      <c r="M1008" s="1">
        <v>55</v>
      </c>
      <c r="N1008" s="1">
        <v>2</v>
      </c>
      <c r="O1008" s="1">
        <v>4</v>
      </c>
      <c r="P1008" s="1">
        <v>5</v>
      </c>
      <c r="Q1008" s="2">
        <v>7.9500000000000001E-2</v>
      </c>
      <c r="R1008" s="1">
        <v>5</v>
      </c>
      <c r="S1008" s="1">
        <f t="shared" si="53"/>
        <v>1</v>
      </c>
      <c r="T1008" s="1">
        <v>3.5</v>
      </c>
      <c r="U1008" s="1">
        <v>12.5</v>
      </c>
      <c r="V1008" s="1">
        <v>290.98039215686276</v>
      </c>
      <c r="W1008" s="1">
        <v>6</v>
      </c>
    </row>
    <row r="1009" spans="1:23" x14ac:dyDescent="0.2">
      <c r="A1009">
        <v>2022</v>
      </c>
      <c r="B1009" t="s">
        <v>23</v>
      </c>
      <c r="C1009" t="s">
        <v>24</v>
      </c>
      <c r="D1009">
        <v>30</v>
      </c>
      <c r="E1009">
        <v>2</v>
      </c>
      <c r="F1009">
        <v>9</v>
      </c>
      <c r="G1009" t="s">
        <v>54</v>
      </c>
      <c r="H1009" s="3">
        <v>7</v>
      </c>
      <c r="I1009" s="3">
        <v>69</v>
      </c>
      <c r="J1009" s="3">
        <v>72</v>
      </c>
      <c r="K1009" s="3">
        <f t="shared" si="52"/>
        <v>3</v>
      </c>
      <c r="L1009" s="3">
        <v>188</v>
      </c>
      <c r="M1009" s="3">
        <v>71</v>
      </c>
      <c r="N1009" s="3">
        <v>2</v>
      </c>
      <c r="O1009" s="3">
        <v>2.5</v>
      </c>
      <c r="P1009" s="3">
        <f>H1009-1</f>
        <v>6</v>
      </c>
      <c r="Q1009" s="4">
        <v>5.7000000000000002E-2</v>
      </c>
      <c r="R1009" s="3">
        <v>5</v>
      </c>
      <c r="S1009" s="3">
        <f t="shared" si="53"/>
        <v>0.83333333333333337</v>
      </c>
      <c r="T1009" s="3">
        <v>3</v>
      </c>
      <c r="U1009" s="3">
        <v>12.5</v>
      </c>
      <c r="V1009" s="3">
        <v>208.62745098039215</v>
      </c>
      <c r="W1009" s="3">
        <v>4</v>
      </c>
    </row>
    <row r="1010" spans="1:23" x14ac:dyDescent="0.2">
      <c r="A1010">
        <v>2022</v>
      </c>
      <c r="B1010" t="s">
        <v>23</v>
      </c>
      <c r="C1010" t="s">
        <v>24</v>
      </c>
      <c r="D1010">
        <v>31</v>
      </c>
      <c r="E1010">
        <v>1</v>
      </c>
      <c r="F1010">
        <v>5</v>
      </c>
      <c r="G1010" t="s">
        <v>55</v>
      </c>
      <c r="H1010" s="1">
        <v>8</v>
      </c>
      <c r="I1010" s="1">
        <v>61</v>
      </c>
      <c r="J1010" s="1">
        <v>65</v>
      </c>
      <c r="K1010" s="1">
        <f t="shared" si="52"/>
        <v>4</v>
      </c>
      <c r="L1010" s="1">
        <v>139</v>
      </c>
      <c r="M1010" s="1">
        <v>41</v>
      </c>
      <c r="N1010" s="1">
        <v>3</v>
      </c>
      <c r="O1010" s="1">
        <v>4.5</v>
      </c>
      <c r="P1010" s="1">
        <v>5</v>
      </c>
      <c r="Q1010" s="2">
        <v>7.9400000000000012E-2</v>
      </c>
      <c r="R1010" s="1">
        <v>3</v>
      </c>
      <c r="S1010" s="1">
        <f t="shared" si="53"/>
        <v>0.6</v>
      </c>
      <c r="T1010" s="1">
        <v>5</v>
      </c>
      <c r="U1010" s="1">
        <v>12.5</v>
      </c>
      <c r="V1010" s="1">
        <v>290.61437908496731</v>
      </c>
      <c r="W1010" s="1">
        <v>5</v>
      </c>
    </row>
    <row r="1011" spans="1:23" x14ac:dyDescent="0.2">
      <c r="A1011">
        <v>2022</v>
      </c>
      <c r="B1011" t="s">
        <v>23</v>
      </c>
      <c r="C1011" t="s">
        <v>24</v>
      </c>
      <c r="D1011">
        <v>31</v>
      </c>
      <c r="E1011">
        <v>2</v>
      </c>
      <c r="F1011">
        <v>3</v>
      </c>
      <c r="G1011" t="s">
        <v>55</v>
      </c>
      <c r="H1011" s="1">
        <v>10</v>
      </c>
      <c r="I1011" s="1">
        <v>61</v>
      </c>
      <c r="J1011" s="1">
        <v>65</v>
      </c>
      <c r="K1011" s="1">
        <f t="shared" si="52"/>
        <v>4</v>
      </c>
      <c r="L1011" s="1">
        <v>129</v>
      </c>
      <c r="M1011" s="1">
        <v>41</v>
      </c>
      <c r="N1011" s="1">
        <v>3</v>
      </c>
      <c r="O1011" s="1">
        <v>4.5</v>
      </c>
      <c r="P1011" s="1">
        <v>8</v>
      </c>
      <c r="Q1011" s="2">
        <v>0.11899999999999999</v>
      </c>
      <c r="R1011" s="1">
        <v>7</v>
      </c>
      <c r="S1011" s="1">
        <f t="shared" si="53"/>
        <v>0.875</v>
      </c>
      <c r="T1011" s="1">
        <v>5</v>
      </c>
      <c r="U1011" s="1">
        <v>12.5</v>
      </c>
      <c r="V1011" s="1">
        <v>435.55555555555554</v>
      </c>
      <c r="W1011" s="1">
        <v>5</v>
      </c>
    </row>
    <row r="1012" spans="1:23" x14ac:dyDescent="0.2">
      <c r="A1012">
        <v>2022</v>
      </c>
      <c r="B1012" t="s">
        <v>23</v>
      </c>
      <c r="C1012" t="s">
        <v>24</v>
      </c>
      <c r="D1012">
        <v>32</v>
      </c>
      <c r="E1012">
        <v>1</v>
      </c>
      <c r="F1012">
        <v>8</v>
      </c>
      <c r="G1012" t="s">
        <v>56</v>
      </c>
      <c r="H1012" s="1">
        <v>10</v>
      </c>
      <c r="I1012" s="1">
        <v>66</v>
      </c>
      <c r="J1012" s="1">
        <v>70</v>
      </c>
      <c r="K1012" s="1">
        <f t="shared" si="52"/>
        <v>4</v>
      </c>
      <c r="L1012" s="1">
        <v>126</v>
      </c>
      <c r="M1012" s="1">
        <v>52</v>
      </c>
      <c r="N1012" s="1">
        <v>2</v>
      </c>
      <c r="O1012" s="1">
        <v>3.5</v>
      </c>
      <c r="P1012" s="1">
        <v>9</v>
      </c>
      <c r="Q1012" s="2">
        <v>0.19950000000000001</v>
      </c>
      <c r="R1012" s="1">
        <v>9</v>
      </c>
      <c r="S1012" s="1">
        <f t="shared" si="53"/>
        <v>1</v>
      </c>
      <c r="T1012" s="1">
        <v>3</v>
      </c>
      <c r="U1012" s="1">
        <v>12.5</v>
      </c>
      <c r="V1012" s="1">
        <v>730.1960784313726</v>
      </c>
      <c r="W1012" s="1">
        <v>4</v>
      </c>
    </row>
    <row r="1013" spans="1:23" x14ac:dyDescent="0.2">
      <c r="A1013">
        <v>2022</v>
      </c>
      <c r="B1013" t="s">
        <v>23</v>
      </c>
      <c r="C1013" t="s">
        <v>24</v>
      </c>
      <c r="D1013">
        <v>32</v>
      </c>
      <c r="E1013">
        <v>2</v>
      </c>
      <c r="F1013">
        <v>9</v>
      </c>
      <c r="G1013" t="s">
        <v>56</v>
      </c>
      <c r="H1013">
        <v>15</v>
      </c>
      <c r="I1013">
        <v>55</v>
      </c>
      <c r="J1013">
        <v>60</v>
      </c>
      <c r="K1013">
        <v>5</v>
      </c>
      <c r="L1013">
        <v>160</v>
      </c>
      <c r="M1013">
        <v>100</v>
      </c>
      <c r="N1013">
        <v>2</v>
      </c>
      <c r="O1013">
        <v>2</v>
      </c>
      <c r="P1013">
        <v>14</v>
      </c>
      <c r="Q1013">
        <v>0.8</v>
      </c>
      <c r="R1013">
        <v>14</v>
      </c>
      <c r="S1013">
        <v>1</v>
      </c>
      <c r="T1013">
        <v>3</v>
      </c>
      <c r="U1013">
        <v>10.3</v>
      </c>
      <c r="V1013">
        <v>3001.7254901960787</v>
      </c>
      <c r="W1013">
        <v>2</v>
      </c>
    </row>
    <row r="1014" spans="1:23" x14ac:dyDescent="0.2">
      <c r="A1014">
        <v>2022</v>
      </c>
      <c r="B1014" t="s">
        <v>23</v>
      </c>
      <c r="C1014" t="s">
        <v>24</v>
      </c>
      <c r="D1014">
        <v>33</v>
      </c>
      <c r="E1014">
        <v>1</v>
      </c>
      <c r="F1014">
        <v>14</v>
      </c>
      <c r="G1014" t="s">
        <v>57</v>
      </c>
      <c r="H1014">
        <v>16</v>
      </c>
      <c r="I1014">
        <v>56</v>
      </c>
      <c r="J1014">
        <v>57</v>
      </c>
      <c r="K1014">
        <v>1</v>
      </c>
      <c r="L1014">
        <v>150</v>
      </c>
      <c r="M1014">
        <v>90</v>
      </c>
      <c r="N1014">
        <v>2</v>
      </c>
      <c r="O1014">
        <v>2</v>
      </c>
      <c r="P1014">
        <v>13</v>
      </c>
      <c r="Q1014">
        <v>0.6</v>
      </c>
      <c r="R1014">
        <v>10</v>
      </c>
      <c r="S1014">
        <v>0.76923076923076927</v>
      </c>
      <c r="T1014">
        <v>4</v>
      </c>
      <c r="U1014">
        <v>10</v>
      </c>
      <c r="V1014">
        <v>2258.8235294117644</v>
      </c>
      <c r="W1014">
        <v>1</v>
      </c>
    </row>
    <row r="1015" spans="1:23" x14ac:dyDescent="0.2">
      <c r="A1015">
        <v>2022</v>
      </c>
      <c r="B1015" t="s">
        <v>23</v>
      </c>
      <c r="C1015" t="s">
        <v>24</v>
      </c>
      <c r="D1015">
        <v>33</v>
      </c>
      <c r="E1015">
        <v>2</v>
      </c>
      <c r="F1015">
        <v>8</v>
      </c>
      <c r="G1015" t="s">
        <v>57</v>
      </c>
      <c r="H1015">
        <v>4</v>
      </c>
      <c r="I1015">
        <v>66</v>
      </c>
      <c r="J1015">
        <v>69</v>
      </c>
      <c r="K1015">
        <v>3</v>
      </c>
      <c r="L1015">
        <v>135</v>
      </c>
      <c r="M1015">
        <v>71</v>
      </c>
      <c r="N1015">
        <v>1.5</v>
      </c>
      <c r="O1015">
        <v>2</v>
      </c>
      <c r="P1015">
        <v>4</v>
      </c>
      <c r="Q1015">
        <v>0.5</v>
      </c>
      <c r="R1015">
        <v>4</v>
      </c>
      <c r="S1015">
        <v>1</v>
      </c>
      <c r="T1015">
        <v>2.5</v>
      </c>
      <c r="U1015">
        <v>12.5</v>
      </c>
      <c r="V1015">
        <v>1830.0653594771243</v>
      </c>
      <c r="W1015">
        <v>1</v>
      </c>
    </row>
    <row r="1016" spans="1:23" x14ac:dyDescent="0.2">
      <c r="A1016">
        <v>2022</v>
      </c>
      <c r="B1016" t="s">
        <v>23</v>
      </c>
      <c r="C1016" t="s">
        <v>24</v>
      </c>
      <c r="D1016">
        <v>34</v>
      </c>
      <c r="E1016">
        <v>1</v>
      </c>
      <c r="F1016">
        <v>6</v>
      </c>
      <c r="G1016" t="s">
        <v>58</v>
      </c>
      <c r="H1016" s="1">
        <v>10</v>
      </c>
      <c r="I1016" s="1">
        <v>66</v>
      </c>
      <c r="J1016" s="1">
        <v>69</v>
      </c>
      <c r="K1016" s="1">
        <f t="shared" ref="K1016:K1022" si="54">J1016-I1016</f>
        <v>3</v>
      </c>
      <c r="L1016" s="1">
        <v>160</v>
      </c>
      <c r="M1016" s="1">
        <v>78</v>
      </c>
      <c r="N1016" s="1">
        <v>1</v>
      </c>
      <c r="O1016" s="1">
        <v>3.5</v>
      </c>
      <c r="P1016" s="1">
        <v>10</v>
      </c>
      <c r="Q1016" s="2">
        <v>0.92130000000000012</v>
      </c>
      <c r="R1016" s="1">
        <v>9</v>
      </c>
      <c r="S1016" s="1">
        <f t="shared" ref="S1016:S1022" si="55">R1016/P1016</f>
        <v>0.9</v>
      </c>
      <c r="T1016" s="1">
        <v>3</v>
      </c>
      <c r="U1016" s="1">
        <v>12.5</v>
      </c>
      <c r="V1016" s="1">
        <v>3372.0784313725499</v>
      </c>
      <c r="W1016" s="1">
        <v>5</v>
      </c>
    </row>
    <row r="1017" spans="1:23" x14ac:dyDescent="0.2">
      <c r="A1017">
        <v>2022</v>
      </c>
      <c r="B1017" t="s">
        <v>23</v>
      </c>
      <c r="C1017" t="s">
        <v>24</v>
      </c>
      <c r="D1017">
        <v>34</v>
      </c>
      <c r="E1017">
        <v>2</v>
      </c>
      <c r="F1017">
        <v>3</v>
      </c>
      <c r="G1017" t="s">
        <v>58</v>
      </c>
      <c r="H1017" s="1">
        <v>4</v>
      </c>
      <c r="I1017" s="1">
        <v>64</v>
      </c>
      <c r="J1017" s="1">
        <v>69</v>
      </c>
      <c r="K1017" s="1">
        <f t="shared" si="54"/>
        <v>5</v>
      </c>
      <c r="L1017" s="1">
        <v>93</v>
      </c>
      <c r="M1017" s="1">
        <v>43</v>
      </c>
      <c r="N1017" s="1">
        <v>2</v>
      </c>
      <c r="O1017" s="1">
        <v>3.5</v>
      </c>
      <c r="P1017" s="1">
        <v>4</v>
      </c>
      <c r="Q1017" s="2">
        <v>7.8E-2</v>
      </c>
      <c r="R1017" s="1">
        <v>4</v>
      </c>
      <c r="S1017" s="1">
        <f t="shared" si="55"/>
        <v>1</v>
      </c>
      <c r="T1017" s="1">
        <v>5</v>
      </c>
      <c r="U1017" s="1">
        <v>12.5</v>
      </c>
      <c r="V1017" s="1">
        <v>285.49019607843138</v>
      </c>
      <c r="W1017" s="1">
        <v>5</v>
      </c>
    </row>
    <row r="1018" spans="1:23" x14ac:dyDescent="0.2">
      <c r="A1018">
        <v>2022</v>
      </c>
      <c r="B1018" t="s">
        <v>23</v>
      </c>
      <c r="C1018" t="s">
        <v>24</v>
      </c>
      <c r="D1018">
        <v>35</v>
      </c>
      <c r="E1018">
        <v>1</v>
      </c>
      <c r="F1018">
        <v>9</v>
      </c>
      <c r="G1018" t="s">
        <v>59</v>
      </c>
      <c r="H1018" s="1">
        <v>4</v>
      </c>
      <c r="I1018" s="1">
        <v>67</v>
      </c>
      <c r="J1018" s="1">
        <v>69</v>
      </c>
      <c r="K1018" s="1">
        <f t="shared" si="54"/>
        <v>2</v>
      </c>
      <c r="L1018" s="1">
        <v>33</v>
      </c>
      <c r="M1018" s="1">
        <v>30</v>
      </c>
      <c r="N1018" s="1">
        <v>1.5</v>
      </c>
      <c r="O1018" s="1">
        <v>5</v>
      </c>
      <c r="P1018" s="1">
        <v>2</v>
      </c>
      <c r="Q1018" s="2">
        <v>4.4999999999999998E-2</v>
      </c>
      <c r="R1018" s="1">
        <v>2</v>
      </c>
      <c r="S1018" s="1">
        <f t="shared" si="55"/>
        <v>1</v>
      </c>
      <c r="T1018" s="1">
        <v>5</v>
      </c>
      <c r="U1018" s="1">
        <v>12.5</v>
      </c>
      <c r="V1018" s="1">
        <v>164.70588235294116</v>
      </c>
      <c r="W1018" s="1">
        <v>5</v>
      </c>
    </row>
    <row r="1019" spans="1:23" x14ac:dyDescent="0.2">
      <c r="A1019">
        <v>2022</v>
      </c>
      <c r="B1019" t="s">
        <v>23</v>
      </c>
      <c r="C1019" t="s">
        <v>24</v>
      </c>
      <c r="D1019">
        <v>35</v>
      </c>
      <c r="E1019">
        <v>2</v>
      </c>
      <c r="F1019">
        <v>9</v>
      </c>
      <c r="G1019" t="s">
        <v>59</v>
      </c>
      <c r="H1019" s="1">
        <v>12</v>
      </c>
      <c r="I1019" s="1">
        <v>66</v>
      </c>
      <c r="J1019" s="1">
        <v>67</v>
      </c>
      <c r="K1019" s="1">
        <f t="shared" si="54"/>
        <v>1</v>
      </c>
      <c r="L1019" s="1">
        <v>134</v>
      </c>
      <c r="M1019" s="1">
        <v>50</v>
      </c>
      <c r="N1019" s="1">
        <v>2</v>
      </c>
      <c r="O1019" s="1">
        <v>4.5</v>
      </c>
      <c r="P1019" s="1">
        <v>7</v>
      </c>
      <c r="Q1019" s="2">
        <v>0.26800000000000002</v>
      </c>
      <c r="R1019" s="1">
        <v>5</v>
      </c>
      <c r="S1019" s="1">
        <f t="shared" si="55"/>
        <v>0.7142857142857143</v>
      </c>
      <c r="T1019" s="1">
        <v>4.5</v>
      </c>
      <c r="U1019" s="1">
        <v>12.5</v>
      </c>
      <c r="V1019" s="1">
        <v>980.91503267973872</v>
      </c>
      <c r="W1019" s="1">
        <v>5</v>
      </c>
    </row>
    <row r="1020" spans="1:23" x14ac:dyDescent="0.2">
      <c r="A1020">
        <v>2022</v>
      </c>
      <c r="B1020" t="s">
        <v>23</v>
      </c>
      <c r="C1020" t="s">
        <v>24</v>
      </c>
      <c r="D1020">
        <v>36</v>
      </c>
      <c r="E1020">
        <v>1</v>
      </c>
      <c r="F1020">
        <v>2</v>
      </c>
      <c r="G1020" t="s">
        <v>60</v>
      </c>
      <c r="H1020" s="1">
        <v>13</v>
      </c>
      <c r="I1020" s="1">
        <v>62</v>
      </c>
      <c r="J1020" s="1">
        <v>66</v>
      </c>
      <c r="K1020" s="1">
        <f t="shared" si="54"/>
        <v>4</v>
      </c>
      <c r="L1020" s="1">
        <v>120</v>
      </c>
      <c r="M1020" s="1">
        <v>90</v>
      </c>
      <c r="N1020" s="1">
        <v>1</v>
      </c>
      <c r="O1020" s="1">
        <v>2</v>
      </c>
      <c r="P1020" s="1">
        <f>H1020</f>
        <v>13</v>
      </c>
      <c r="Q1020" s="2">
        <v>4.9049999999999996E-2</v>
      </c>
      <c r="R1020" s="1">
        <v>10</v>
      </c>
      <c r="S1020" s="1">
        <f t="shared" si="55"/>
        <v>0.76923076923076927</v>
      </c>
      <c r="T1020" s="1">
        <v>4</v>
      </c>
      <c r="U1020" s="1">
        <v>12.5</v>
      </c>
      <c r="V1020" s="1">
        <v>179.52941176470588</v>
      </c>
      <c r="W1020" s="1">
        <v>5</v>
      </c>
    </row>
    <row r="1021" spans="1:23" x14ac:dyDescent="0.2">
      <c r="A1021">
        <v>2022</v>
      </c>
      <c r="B1021" t="s">
        <v>23</v>
      </c>
      <c r="C1021" t="s">
        <v>24</v>
      </c>
      <c r="D1021">
        <v>36</v>
      </c>
      <c r="E1021">
        <v>2</v>
      </c>
      <c r="F1021">
        <v>13</v>
      </c>
      <c r="G1021" t="s">
        <v>60</v>
      </c>
      <c r="H1021" s="1">
        <v>14</v>
      </c>
      <c r="I1021" s="1">
        <v>57</v>
      </c>
      <c r="J1021" s="1">
        <v>62</v>
      </c>
      <c r="K1021" s="1">
        <f t="shared" si="54"/>
        <v>5</v>
      </c>
      <c r="L1021" s="1">
        <v>155</v>
      </c>
      <c r="M1021" s="1">
        <v>88</v>
      </c>
      <c r="N1021" s="1">
        <v>2</v>
      </c>
      <c r="O1021" s="1">
        <v>2</v>
      </c>
      <c r="P1021" s="1">
        <f>H1021-2</f>
        <v>12</v>
      </c>
      <c r="Q1021" s="2">
        <v>6.8250000000000005E-2</v>
      </c>
      <c r="R1021" s="1">
        <v>10</v>
      </c>
      <c r="S1021" s="1">
        <f t="shared" si="55"/>
        <v>0.83333333333333337</v>
      </c>
      <c r="T1021" s="1">
        <v>3</v>
      </c>
      <c r="U1021" s="1">
        <v>12.5</v>
      </c>
      <c r="V1021" s="1">
        <v>249.80392156862749</v>
      </c>
      <c r="W1021" s="1">
        <v>4</v>
      </c>
    </row>
    <row r="1022" spans="1:23" x14ac:dyDescent="0.2">
      <c r="A1022">
        <v>2022</v>
      </c>
      <c r="B1022" t="s">
        <v>23</v>
      </c>
      <c r="C1022" t="s">
        <v>24</v>
      </c>
      <c r="D1022">
        <v>37</v>
      </c>
      <c r="E1022">
        <v>1</v>
      </c>
      <c r="F1022">
        <v>14</v>
      </c>
      <c r="G1022" t="s">
        <v>61</v>
      </c>
      <c r="H1022" s="1">
        <v>5</v>
      </c>
      <c r="I1022" s="1">
        <v>63</v>
      </c>
      <c r="J1022" s="1">
        <v>68</v>
      </c>
      <c r="K1022" s="1">
        <f t="shared" si="54"/>
        <v>5</v>
      </c>
      <c r="L1022" s="1">
        <v>119</v>
      </c>
      <c r="M1022" s="1">
        <v>42</v>
      </c>
      <c r="N1022" s="1">
        <v>2.5</v>
      </c>
      <c r="O1022" s="1">
        <v>4</v>
      </c>
      <c r="P1022" s="1">
        <v>4</v>
      </c>
      <c r="Q1022" s="2">
        <v>0.152</v>
      </c>
      <c r="R1022" s="1">
        <v>4</v>
      </c>
      <c r="S1022" s="1">
        <f t="shared" si="55"/>
        <v>1</v>
      </c>
      <c r="T1022" s="1">
        <v>3.5</v>
      </c>
      <c r="U1022" s="1">
        <v>12.5</v>
      </c>
      <c r="V1022" s="1">
        <v>556.33986928104571</v>
      </c>
      <c r="W1022" s="1">
        <v>5</v>
      </c>
    </row>
    <row r="1023" spans="1:23" x14ac:dyDescent="0.2">
      <c r="A1023">
        <v>2022</v>
      </c>
      <c r="B1023" t="s">
        <v>23</v>
      </c>
      <c r="C1023" t="s">
        <v>24</v>
      </c>
      <c r="D1023">
        <v>37</v>
      </c>
      <c r="E1023">
        <v>2</v>
      </c>
      <c r="F1023">
        <v>15</v>
      </c>
      <c r="G1023" t="s">
        <v>61</v>
      </c>
      <c r="H1023">
        <v>5</v>
      </c>
      <c r="I1023">
        <v>55</v>
      </c>
      <c r="J1023">
        <v>57</v>
      </c>
      <c r="K1023">
        <v>2</v>
      </c>
      <c r="L1023">
        <v>179</v>
      </c>
      <c r="M1023">
        <v>45</v>
      </c>
      <c r="N1023">
        <v>3</v>
      </c>
      <c r="O1023">
        <v>4</v>
      </c>
      <c r="P1023">
        <v>4</v>
      </c>
      <c r="Q1023">
        <v>0.14099999999999999</v>
      </c>
      <c r="R1023">
        <v>3</v>
      </c>
      <c r="S1023">
        <v>0.75</v>
      </c>
      <c r="T1023">
        <v>4</v>
      </c>
      <c r="U1023">
        <v>12.5</v>
      </c>
      <c r="V1023">
        <v>516.07843137254906</v>
      </c>
      <c r="W1023">
        <v>1</v>
      </c>
    </row>
    <row r="1024" spans="1:23" x14ac:dyDescent="0.2">
      <c r="A1024">
        <v>2022</v>
      </c>
      <c r="B1024" t="s">
        <v>23</v>
      </c>
      <c r="C1024" t="s">
        <v>24</v>
      </c>
      <c r="D1024">
        <v>38</v>
      </c>
      <c r="E1024">
        <v>1</v>
      </c>
      <c r="F1024">
        <v>5</v>
      </c>
      <c r="G1024" t="s">
        <v>62</v>
      </c>
      <c r="H1024">
        <v>12</v>
      </c>
      <c r="I1024">
        <v>55</v>
      </c>
      <c r="J1024">
        <v>58</v>
      </c>
      <c r="K1024">
        <v>3</v>
      </c>
      <c r="L1024">
        <v>158</v>
      </c>
      <c r="M1024">
        <v>83</v>
      </c>
      <c r="N1024">
        <v>2.5</v>
      </c>
      <c r="O1024">
        <v>2</v>
      </c>
      <c r="P1024">
        <v>11</v>
      </c>
      <c r="Q1024">
        <v>1</v>
      </c>
      <c r="R1024">
        <v>10</v>
      </c>
      <c r="S1024">
        <v>0.90909090909090906</v>
      </c>
      <c r="T1024">
        <v>3</v>
      </c>
      <c r="U1024">
        <v>12.5</v>
      </c>
      <c r="V1024">
        <v>3660.1307189542486</v>
      </c>
      <c r="W1024">
        <v>2</v>
      </c>
    </row>
    <row r="1025" spans="1:23" x14ac:dyDescent="0.2">
      <c r="A1025">
        <v>2022</v>
      </c>
      <c r="B1025" t="s">
        <v>23</v>
      </c>
      <c r="C1025" t="s">
        <v>24</v>
      </c>
      <c r="D1025">
        <v>38</v>
      </c>
      <c r="E1025">
        <v>2</v>
      </c>
      <c r="F1025">
        <v>3</v>
      </c>
      <c r="G1025" t="s">
        <v>62</v>
      </c>
      <c r="H1025" s="1">
        <v>13</v>
      </c>
      <c r="I1025" s="1">
        <v>60</v>
      </c>
      <c r="J1025" s="1">
        <v>63</v>
      </c>
      <c r="K1025" s="1">
        <f>J1025-I1025</f>
        <v>3</v>
      </c>
      <c r="L1025" s="1">
        <v>146</v>
      </c>
      <c r="M1025" s="1">
        <v>51</v>
      </c>
      <c r="N1025" s="1">
        <v>2</v>
      </c>
      <c r="O1025" s="1">
        <v>3.5</v>
      </c>
      <c r="P1025" s="1">
        <f>H1025-2</f>
        <v>11</v>
      </c>
      <c r="Q1025" s="2">
        <v>0.91800000000000004</v>
      </c>
      <c r="R1025" s="1">
        <v>9</v>
      </c>
      <c r="S1025" s="1">
        <f>R1025/P1025</f>
        <v>0.81818181818181823</v>
      </c>
      <c r="T1025" s="1">
        <v>5</v>
      </c>
      <c r="U1025" s="1">
        <v>12.5</v>
      </c>
      <c r="V1025" s="1">
        <v>3360</v>
      </c>
      <c r="W1025" s="1">
        <v>5</v>
      </c>
    </row>
    <row r="1026" spans="1:23" x14ac:dyDescent="0.2">
      <c r="A1026">
        <v>2022</v>
      </c>
      <c r="B1026" t="s">
        <v>23</v>
      </c>
      <c r="C1026" t="s">
        <v>24</v>
      </c>
      <c r="D1026">
        <v>39</v>
      </c>
      <c r="E1026">
        <v>1</v>
      </c>
      <c r="F1026">
        <v>15</v>
      </c>
      <c r="G1026" t="s">
        <v>63</v>
      </c>
      <c r="H1026">
        <v>3</v>
      </c>
      <c r="I1026">
        <v>53</v>
      </c>
      <c r="J1026">
        <v>59</v>
      </c>
      <c r="K1026">
        <v>6</v>
      </c>
      <c r="L1026">
        <v>95</v>
      </c>
      <c r="M1026">
        <v>20</v>
      </c>
      <c r="N1026">
        <v>4</v>
      </c>
      <c r="O1026">
        <v>5</v>
      </c>
      <c r="P1026">
        <v>3</v>
      </c>
      <c r="Q1026">
        <v>0.184</v>
      </c>
      <c r="R1026">
        <v>2</v>
      </c>
      <c r="S1026">
        <v>0.66666666666666663</v>
      </c>
      <c r="T1026">
        <v>3</v>
      </c>
      <c r="U1026">
        <v>12.5</v>
      </c>
      <c r="V1026">
        <v>673.46405228758169</v>
      </c>
      <c r="W1026">
        <v>1</v>
      </c>
    </row>
    <row r="1027" spans="1:23" x14ac:dyDescent="0.2">
      <c r="A1027">
        <v>2022</v>
      </c>
      <c r="B1027" t="s">
        <v>23</v>
      </c>
      <c r="C1027" t="s">
        <v>24</v>
      </c>
      <c r="D1027">
        <v>39</v>
      </c>
      <c r="E1027">
        <v>2</v>
      </c>
      <c r="F1027">
        <v>4</v>
      </c>
      <c r="G1027" t="s">
        <v>63</v>
      </c>
      <c r="H1027" s="1">
        <v>3</v>
      </c>
      <c r="I1027" s="1">
        <v>66</v>
      </c>
      <c r="J1027" s="1">
        <v>70</v>
      </c>
      <c r="K1027" s="1">
        <f>J1027-I1027</f>
        <v>4</v>
      </c>
      <c r="L1027" s="1">
        <v>173</v>
      </c>
      <c r="M1027" s="1">
        <v>95</v>
      </c>
      <c r="N1027" s="1">
        <v>2</v>
      </c>
      <c r="O1027" s="1">
        <v>2.5</v>
      </c>
      <c r="P1027" s="1">
        <v>3</v>
      </c>
      <c r="Q1027" s="2">
        <v>0.14199999999999999</v>
      </c>
      <c r="R1027" s="1">
        <v>3</v>
      </c>
      <c r="S1027" s="1">
        <f>R1027/P1027</f>
        <v>1</v>
      </c>
      <c r="T1027" s="1">
        <v>2</v>
      </c>
      <c r="U1027" s="1">
        <v>11.5</v>
      </c>
      <c r="V1027" s="1">
        <v>525.67843137254897</v>
      </c>
      <c r="W1027" s="1">
        <v>3</v>
      </c>
    </row>
    <row r="1028" spans="1:23" x14ac:dyDescent="0.2">
      <c r="A1028">
        <v>2022</v>
      </c>
      <c r="B1028" t="s">
        <v>23</v>
      </c>
      <c r="C1028" t="s">
        <v>24</v>
      </c>
      <c r="D1028">
        <v>40</v>
      </c>
      <c r="E1028">
        <v>1</v>
      </c>
      <c r="F1028">
        <v>12</v>
      </c>
      <c r="G1028" t="s">
        <v>64</v>
      </c>
      <c r="H1028" s="1">
        <v>7</v>
      </c>
      <c r="I1028" s="1">
        <v>65</v>
      </c>
      <c r="J1028" s="1">
        <v>69</v>
      </c>
      <c r="K1028" s="1">
        <f>J1028-I1028</f>
        <v>4</v>
      </c>
      <c r="L1028" s="1">
        <v>187</v>
      </c>
      <c r="M1028" s="1">
        <v>83</v>
      </c>
      <c r="N1028" s="1">
        <v>2</v>
      </c>
      <c r="O1028" s="1">
        <v>2.5</v>
      </c>
      <c r="P1028" s="1">
        <v>6</v>
      </c>
      <c r="Q1028" s="2">
        <v>0.71760000000000002</v>
      </c>
      <c r="R1028" s="1">
        <v>3</v>
      </c>
      <c r="S1028" s="1">
        <f>R1028/P1028</f>
        <v>0.5</v>
      </c>
      <c r="T1028" s="1">
        <v>3</v>
      </c>
      <c r="U1028" s="1">
        <v>12.5</v>
      </c>
      <c r="V1028" s="1">
        <v>2626.5098039215686</v>
      </c>
      <c r="W1028" s="1">
        <v>4</v>
      </c>
    </row>
    <row r="1029" spans="1:23" x14ac:dyDescent="0.2">
      <c r="A1029">
        <v>2022</v>
      </c>
      <c r="B1029" t="s">
        <v>23</v>
      </c>
      <c r="C1029" t="s">
        <v>24</v>
      </c>
      <c r="D1029">
        <v>40</v>
      </c>
      <c r="E1029">
        <v>2</v>
      </c>
      <c r="F1029">
        <v>14</v>
      </c>
      <c r="G1029" t="s">
        <v>64</v>
      </c>
      <c r="H1029" s="1">
        <v>13</v>
      </c>
      <c r="I1029" s="1">
        <v>57</v>
      </c>
      <c r="J1029" s="1">
        <v>62</v>
      </c>
      <c r="K1029" s="1">
        <f>J1029-I1029</f>
        <v>5</v>
      </c>
      <c r="L1029" s="1">
        <v>168</v>
      </c>
      <c r="M1029" s="1">
        <v>98</v>
      </c>
      <c r="N1029" s="1">
        <v>2</v>
      </c>
      <c r="O1029" s="1">
        <v>2.5</v>
      </c>
      <c r="P1029" s="1">
        <v>10</v>
      </c>
      <c r="Q1029" s="2">
        <v>1.56</v>
      </c>
      <c r="R1029" s="1">
        <v>10</v>
      </c>
      <c r="S1029" s="1">
        <f>R1029/P1029</f>
        <v>1</v>
      </c>
      <c r="T1029" s="1">
        <v>2</v>
      </c>
      <c r="U1029" s="1">
        <v>10.199999999999999</v>
      </c>
      <c r="V1029" s="1">
        <v>5859.8901960784315</v>
      </c>
      <c r="W1029" s="1">
        <v>3</v>
      </c>
    </row>
    <row r="1030" spans="1:23" x14ac:dyDescent="0.2">
      <c r="A1030">
        <v>2022</v>
      </c>
      <c r="B1030" t="s">
        <v>23</v>
      </c>
      <c r="C1030" t="s">
        <v>24</v>
      </c>
      <c r="D1030">
        <v>41</v>
      </c>
      <c r="E1030">
        <v>1</v>
      </c>
      <c r="F1030">
        <v>7</v>
      </c>
      <c r="G1030" t="s">
        <v>65</v>
      </c>
      <c r="H1030">
        <v>16</v>
      </c>
      <c r="I1030">
        <v>58</v>
      </c>
      <c r="J1030">
        <v>61</v>
      </c>
      <c r="K1030">
        <v>3</v>
      </c>
      <c r="L1030">
        <v>172</v>
      </c>
      <c r="M1030">
        <v>88</v>
      </c>
      <c r="N1030">
        <v>2</v>
      </c>
      <c r="O1030">
        <v>2.5</v>
      </c>
      <c r="P1030">
        <v>13</v>
      </c>
      <c r="Q1030">
        <v>1.3</v>
      </c>
      <c r="R1030">
        <v>13</v>
      </c>
      <c r="S1030">
        <v>1</v>
      </c>
      <c r="T1030">
        <v>2</v>
      </c>
      <c r="U1030">
        <v>12.5</v>
      </c>
      <c r="V1030">
        <v>4758.169934640523</v>
      </c>
      <c r="W1030">
        <v>1</v>
      </c>
    </row>
    <row r="1031" spans="1:23" x14ac:dyDescent="0.2">
      <c r="A1031">
        <v>2022</v>
      </c>
      <c r="B1031" t="s">
        <v>23</v>
      </c>
      <c r="C1031" t="s">
        <v>24</v>
      </c>
      <c r="D1031">
        <v>41</v>
      </c>
      <c r="E1031">
        <v>2</v>
      </c>
      <c r="F1031">
        <v>9</v>
      </c>
      <c r="G1031" t="s">
        <v>65</v>
      </c>
      <c r="H1031" s="1">
        <v>3</v>
      </c>
      <c r="I1031" s="1">
        <v>61</v>
      </c>
      <c r="J1031" s="1">
        <v>64</v>
      </c>
      <c r="K1031" s="1">
        <f>J1031-I1031</f>
        <v>3</v>
      </c>
      <c r="L1031" s="1">
        <v>151</v>
      </c>
      <c r="M1031" s="1">
        <v>68</v>
      </c>
      <c r="N1031" s="1">
        <v>2</v>
      </c>
      <c r="O1031" s="1">
        <v>3.5</v>
      </c>
      <c r="P1031" s="1">
        <v>3</v>
      </c>
      <c r="Q1031" s="2">
        <v>0.22650000000000001</v>
      </c>
      <c r="R1031" s="1">
        <v>3</v>
      </c>
      <c r="S1031" s="1">
        <f>R1031/P1031</f>
        <v>1</v>
      </c>
      <c r="T1031" s="1">
        <v>5</v>
      </c>
      <c r="U1031" s="1">
        <v>12.5</v>
      </c>
      <c r="V1031" s="1">
        <v>829.01960784313724</v>
      </c>
      <c r="W1031" s="1">
        <v>3</v>
      </c>
    </row>
    <row r="1032" spans="1:23" x14ac:dyDescent="0.2">
      <c r="A1032">
        <v>2022</v>
      </c>
      <c r="B1032" t="s">
        <v>23</v>
      </c>
      <c r="C1032" t="s">
        <v>24</v>
      </c>
      <c r="D1032">
        <v>42</v>
      </c>
      <c r="E1032">
        <v>1</v>
      </c>
      <c r="F1032">
        <v>3</v>
      </c>
      <c r="G1032" t="s">
        <v>66</v>
      </c>
      <c r="H1032">
        <v>1</v>
      </c>
      <c r="I1032">
        <v>60</v>
      </c>
      <c r="J1032">
        <v>62</v>
      </c>
      <c r="K1032">
        <v>2</v>
      </c>
      <c r="L1032">
        <v>168</v>
      </c>
      <c r="M1032">
        <v>66</v>
      </c>
      <c r="N1032">
        <v>1</v>
      </c>
      <c r="O1032">
        <v>2</v>
      </c>
      <c r="P1032">
        <v>1</v>
      </c>
      <c r="Q1032">
        <v>0.1</v>
      </c>
      <c r="R1032">
        <v>1</v>
      </c>
      <c r="S1032">
        <v>1</v>
      </c>
      <c r="T1032">
        <v>3</v>
      </c>
      <c r="U1032">
        <v>12.5</v>
      </c>
      <c r="V1032">
        <v>366.01307189542484</v>
      </c>
      <c r="W1032">
        <v>1</v>
      </c>
    </row>
    <row r="1033" spans="1:23" x14ac:dyDescent="0.2">
      <c r="A1033">
        <v>2022</v>
      </c>
      <c r="B1033" t="s">
        <v>23</v>
      </c>
      <c r="C1033" t="s">
        <v>24</v>
      </c>
      <c r="D1033">
        <v>42</v>
      </c>
      <c r="E1033">
        <v>2</v>
      </c>
      <c r="F1033">
        <v>13</v>
      </c>
      <c r="G1033" t="s">
        <v>66</v>
      </c>
      <c r="H1033" s="1">
        <v>8</v>
      </c>
      <c r="I1033" s="1">
        <v>68</v>
      </c>
      <c r="J1033" s="1">
        <v>71</v>
      </c>
      <c r="K1033" s="1">
        <f>J1033-I1033</f>
        <v>3</v>
      </c>
      <c r="L1033" s="1">
        <v>148</v>
      </c>
      <c r="M1033" s="1">
        <v>72</v>
      </c>
      <c r="N1033" s="1">
        <v>2</v>
      </c>
      <c r="O1033" s="1">
        <v>3.5</v>
      </c>
      <c r="P1033" s="1">
        <v>8</v>
      </c>
      <c r="Q1033" s="2">
        <v>0.104625</v>
      </c>
      <c r="R1033" s="1">
        <v>5</v>
      </c>
      <c r="S1033" s="1">
        <f>R1033/P1033</f>
        <v>0.625</v>
      </c>
      <c r="T1033" s="1">
        <v>4</v>
      </c>
      <c r="U1033" s="1">
        <v>12.5</v>
      </c>
      <c r="V1033" s="1">
        <v>382.94117647058823</v>
      </c>
      <c r="W1033" s="1">
        <v>3</v>
      </c>
    </row>
    <row r="1034" spans="1:23" x14ac:dyDescent="0.2">
      <c r="A1034">
        <v>2022</v>
      </c>
      <c r="B1034" t="s">
        <v>23</v>
      </c>
      <c r="C1034" t="s">
        <v>24</v>
      </c>
      <c r="D1034">
        <v>43</v>
      </c>
      <c r="E1034">
        <v>1</v>
      </c>
      <c r="F1034">
        <v>10</v>
      </c>
      <c r="G1034" t="s">
        <v>67</v>
      </c>
      <c r="H1034" s="1">
        <v>8</v>
      </c>
      <c r="I1034" s="1">
        <v>57</v>
      </c>
      <c r="J1034" s="1">
        <v>61</v>
      </c>
      <c r="K1034" s="1">
        <f>J1034-I1034</f>
        <v>4</v>
      </c>
      <c r="L1034" s="1">
        <v>132</v>
      </c>
      <c r="M1034" s="1">
        <v>42</v>
      </c>
      <c r="N1034" s="1">
        <v>2</v>
      </c>
      <c r="O1034" s="1">
        <v>2.5</v>
      </c>
      <c r="P1034" s="1">
        <v>6</v>
      </c>
      <c r="Q1034" s="2">
        <v>0.16579999999999998</v>
      </c>
      <c r="R1034" s="1">
        <v>6</v>
      </c>
      <c r="S1034" s="1">
        <f>R1034/P1034</f>
        <v>1</v>
      </c>
      <c r="T1034" s="1">
        <v>2</v>
      </c>
      <c r="U1034" s="1">
        <v>12.5</v>
      </c>
      <c r="V1034" s="1">
        <v>606.84967320261433</v>
      </c>
      <c r="W1034" s="1">
        <v>2</v>
      </c>
    </row>
    <row r="1035" spans="1:23" x14ac:dyDescent="0.2">
      <c r="A1035">
        <v>2022</v>
      </c>
      <c r="B1035" t="s">
        <v>23</v>
      </c>
      <c r="C1035" t="s">
        <v>24</v>
      </c>
      <c r="D1035">
        <v>43</v>
      </c>
      <c r="E1035">
        <v>2</v>
      </c>
      <c r="F1035">
        <v>10</v>
      </c>
      <c r="G1035" t="s">
        <v>67</v>
      </c>
      <c r="H1035" s="1">
        <v>8</v>
      </c>
      <c r="I1035" s="1">
        <v>59</v>
      </c>
      <c r="J1035" s="1">
        <v>64</v>
      </c>
      <c r="K1035" s="1">
        <f>J1035-I1035</f>
        <v>5</v>
      </c>
      <c r="L1035" s="1">
        <v>100</v>
      </c>
      <c r="M1035" s="1">
        <v>50</v>
      </c>
      <c r="N1035" s="1">
        <v>2</v>
      </c>
      <c r="O1035" s="1">
        <v>4</v>
      </c>
      <c r="P1035" s="1">
        <v>8</v>
      </c>
      <c r="Q1035" s="2">
        <v>0.33</v>
      </c>
      <c r="R1035" s="1">
        <v>6</v>
      </c>
      <c r="S1035" s="1">
        <f>R1035/P1035</f>
        <v>0.75</v>
      </c>
      <c r="T1035" s="1">
        <v>4</v>
      </c>
      <c r="U1035" s="1">
        <v>12.5</v>
      </c>
      <c r="V1035" s="1">
        <v>1207.8431372549019</v>
      </c>
      <c r="W1035" s="1">
        <v>3</v>
      </c>
    </row>
    <row r="1036" spans="1:23" x14ac:dyDescent="0.2">
      <c r="A1036">
        <v>2022</v>
      </c>
      <c r="B1036" t="s">
        <v>23</v>
      </c>
      <c r="C1036" t="s">
        <v>24</v>
      </c>
      <c r="D1036">
        <v>44</v>
      </c>
      <c r="E1036">
        <v>1</v>
      </c>
      <c r="F1036">
        <v>14</v>
      </c>
      <c r="G1036" t="s">
        <v>68</v>
      </c>
      <c r="H1036">
        <v>4</v>
      </c>
      <c r="I1036">
        <v>59</v>
      </c>
      <c r="J1036">
        <v>62</v>
      </c>
      <c r="K1036">
        <v>3</v>
      </c>
      <c r="L1036">
        <v>179</v>
      </c>
      <c r="M1036">
        <v>92</v>
      </c>
      <c r="N1036">
        <v>1.5</v>
      </c>
      <c r="O1036">
        <v>2</v>
      </c>
      <c r="P1036">
        <v>4</v>
      </c>
      <c r="Q1036">
        <v>0.5</v>
      </c>
      <c r="R1036">
        <v>4</v>
      </c>
      <c r="S1036">
        <v>1</v>
      </c>
      <c r="T1036">
        <v>2.5</v>
      </c>
      <c r="U1036">
        <v>12.5</v>
      </c>
      <c r="V1036">
        <v>1830.0653594771243</v>
      </c>
      <c r="W1036">
        <v>1</v>
      </c>
    </row>
    <row r="1037" spans="1:23" x14ac:dyDescent="0.2">
      <c r="A1037">
        <v>2022</v>
      </c>
      <c r="B1037" t="s">
        <v>23</v>
      </c>
      <c r="C1037" t="s">
        <v>24</v>
      </c>
      <c r="D1037">
        <v>44</v>
      </c>
      <c r="E1037">
        <v>2</v>
      </c>
      <c r="F1037">
        <v>12</v>
      </c>
      <c r="G1037" t="s">
        <v>68</v>
      </c>
      <c r="H1037" s="1">
        <v>10</v>
      </c>
      <c r="I1037" s="1">
        <v>69</v>
      </c>
      <c r="J1037" s="1">
        <v>74</v>
      </c>
      <c r="K1037" s="1">
        <f>J1037-I1037</f>
        <v>5</v>
      </c>
      <c r="L1037" s="1">
        <v>125</v>
      </c>
      <c r="M1037" s="1">
        <v>83</v>
      </c>
      <c r="N1037" s="1">
        <v>2</v>
      </c>
      <c r="O1037" s="1">
        <v>3.5</v>
      </c>
      <c r="P1037" s="1">
        <v>6</v>
      </c>
      <c r="Q1037" s="2">
        <v>4.5150000000000003E-2</v>
      </c>
      <c r="R1037" s="1">
        <v>4</v>
      </c>
      <c r="S1037" s="1">
        <f>R1037/P1037</f>
        <v>0.66666666666666663</v>
      </c>
      <c r="T1037" s="1">
        <v>5</v>
      </c>
      <c r="U1037" s="1">
        <v>12.5</v>
      </c>
      <c r="V1037" s="1">
        <v>165.25490196078431</v>
      </c>
      <c r="W1037" s="1">
        <v>7</v>
      </c>
    </row>
    <row r="1038" spans="1:23" x14ac:dyDescent="0.2">
      <c r="A1038">
        <v>2022</v>
      </c>
      <c r="B1038" t="s">
        <v>23</v>
      </c>
      <c r="C1038" t="s">
        <v>24</v>
      </c>
      <c r="D1038">
        <v>45</v>
      </c>
      <c r="E1038">
        <v>1</v>
      </c>
      <c r="F1038">
        <v>7</v>
      </c>
      <c r="G1038" t="s">
        <v>69</v>
      </c>
      <c r="H1038" s="1">
        <v>1</v>
      </c>
      <c r="I1038" s="1">
        <v>69</v>
      </c>
      <c r="J1038" s="1">
        <v>73</v>
      </c>
      <c r="K1038" s="1">
        <f>J1038-I1038</f>
        <v>4</v>
      </c>
      <c r="L1038" s="1">
        <v>137</v>
      </c>
      <c r="M1038" s="1">
        <v>41</v>
      </c>
      <c r="N1038" s="1">
        <v>1.5</v>
      </c>
      <c r="O1038" s="1">
        <v>3.5</v>
      </c>
      <c r="P1038" s="1">
        <v>1</v>
      </c>
      <c r="Q1038" s="2">
        <v>4.9199999999999994E-2</v>
      </c>
      <c r="R1038" s="1">
        <v>1</v>
      </c>
      <c r="S1038" s="1">
        <f>R1038/P1038</f>
        <v>1</v>
      </c>
      <c r="T1038" s="1">
        <v>5</v>
      </c>
      <c r="U1038" s="1">
        <v>12.5</v>
      </c>
      <c r="V1038" s="1">
        <v>180.07843137254903</v>
      </c>
      <c r="W1038" s="1">
        <v>2</v>
      </c>
    </row>
    <row r="1039" spans="1:23" x14ac:dyDescent="0.2">
      <c r="A1039">
        <v>2022</v>
      </c>
      <c r="B1039" t="s">
        <v>23</v>
      </c>
      <c r="C1039" t="s">
        <v>24</v>
      </c>
      <c r="D1039">
        <v>45</v>
      </c>
      <c r="E1039">
        <v>2</v>
      </c>
      <c r="F1039">
        <v>11</v>
      </c>
      <c r="G1039" t="s">
        <v>69</v>
      </c>
      <c r="H1039" s="1">
        <v>10</v>
      </c>
      <c r="I1039" s="1">
        <v>70</v>
      </c>
      <c r="J1039" s="1">
        <v>71</v>
      </c>
      <c r="K1039" s="1">
        <f>J1039-I1039</f>
        <v>1</v>
      </c>
      <c r="L1039" s="1">
        <v>155</v>
      </c>
      <c r="M1039" s="1">
        <v>80</v>
      </c>
      <c r="N1039" s="1">
        <v>2</v>
      </c>
      <c r="O1039" s="1">
        <v>3.5</v>
      </c>
      <c r="P1039" s="1">
        <v>10</v>
      </c>
      <c r="Q1039" s="2">
        <v>0.35352000000000006</v>
      </c>
      <c r="R1039" s="1">
        <v>4</v>
      </c>
      <c r="S1039" s="1">
        <f>R1039/P1039</f>
        <v>0.4</v>
      </c>
      <c r="T1039" s="1">
        <v>5</v>
      </c>
      <c r="U1039" s="1">
        <v>11.5</v>
      </c>
      <c r="V1039" s="1">
        <v>1308.7171764705886</v>
      </c>
      <c r="W1039" s="1">
        <v>4</v>
      </c>
    </row>
    <row r="1040" spans="1:23" x14ac:dyDescent="0.2">
      <c r="A1040">
        <v>2022</v>
      </c>
      <c r="B1040" t="s">
        <v>23</v>
      </c>
      <c r="C1040" t="s">
        <v>24</v>
      </c>
      <c r="D1040">
        <v>46</v>
      </c>
      <c r="E1040">
        <v>1</v>
      </c>
      <c r="F1040">
        <v>8</v>
      </c>
      <c r="G1040" t="s">
        <v>70</v>
      </c>
      <c r="H1040">
        <v>9</v>
      </c>
      <c r="I1040">
        <v>55</v>
      </c>
      <c r="J1040">
        <v>59</v>
      </c>
      <c r="K1040">
        <v>4</v>
      </c>
      <c r="L1040">
        <v>102</v>
      </c>
      <c r="M1040">
        <v>23</v>
      </c>
      <c r="N1040">
        <v>2.5</v>
      </c>
      <c r="O1040">
        <v>3</v>
      </c>
      <c r="P1040">
        <v>9</v>
      </c>
      <c r="Q1040">
        <v>0.4</v>
      </c>
      <c r="R1040">
        <v>9</v>
      </c>
      <c r="S1040">
        <v>1</v>
      </c>
      <c r="T1040">
        <v>3</v>
      </c>
      <c r="U1040">
        <v>12.5</v>
      </c>
      <c r="V1040">
        <v>1464.0522875816994</v>
      </c>
      <c r="W1040">
        <v>2</v>
      </c>
    </row>
    <row r="1041" spans="1:23" x14ac:dyDescent="0.2">
      <c r="A1041">
        <v>2022</v>
      </c>
      <c r="B1041" t="s">
        <v>23</v>
      </c>
      <c r="C1041" t="s">
        <v>24</v>
      </c>
      <c r="D1041">
        <v>46</v>
      </c>
      <c r="E1041">
        <v>2</v>
      </c>
      <c r="F1041">
        <v>15</v>
      </c>
      <c r="G1041" t="s">
        <v>70</v>
      </c>
      <c r="H1041" s="1">
        <v>5</v>
      </c>
      <c r="I1041" s="1">
        <v>62</v>
      </c>
      <c r="J1041" s="1">
        <v>66</v>
      </c>
      <c r="K1041" s="1">
        <f>J1041-I1041</f>
        <v>4</v>
      </c>
      <c r="L1041" s="1">
        <v>193</v>
      </c>
      <c r="M1041" s="1">
        <v>90</v>
      </c>
      <c r="N1041" s="1">
        <v>1</v>
      </c>
      <c r="O1041" s="1">
        <v>2.5</v>
      </c>
      <c r="P1041" s="1">
        <v>4</v>
      </c>
      <c r="Q1041" s="2">
        <v>0.48560000000000003</v>
      </c>
      <c r="R1041" s="1">
        <v>4</v>
      </c>
      <c r="S1041" s="1">
        <f>R1041/P1041</f>
        <v>1</v>
      </c>
      <c r="T1041" s="1">
        <v>2</v>
      </c>
      <c r="U1041" s="1">
        <v>12.5</v>
      </c>
      <c r="V1041" s="1">
        <v>1777.3594771241831</v>
      </c>
      <c r="W1041" s="1">
        <v>3</v>
      </c>
    </row>
    <row r="1042" spans="1:23" x14ac:dyDescent="0.2">
      <c r="A1042">
        <v>2022</v>
      </c>
      <c r="B1042" t="s">
        <v>23</v>
      </c>
      <c r="C1042" t="s">
        <v>24</v>
      </c>
      <c r="D1042">
        <v>47</v>
      </c>
      <c r="E1042">
        <v>1</v>
      </c>
      <c r="F1042">
        <v>9</v>
      </c>
      <c r="G1042" t="s">
        <v>71</v>
      </c>
      <c r="H1042" s="1">
        <v>5</v>
      </c>
      <c r="I1042" s="1">
        <v>62</v>
      </c>
      <c r="J1042" s="1">
        <v>67</v>
      </c>
      <c r="K1042" s="1">
        <f>J1042-I1042</f>
        <v>5</v>
      </c>
      <c r="L1042" s="1">
        <v>128</v>
      </c>
      <c r="M1042" s="1">
        <v>98</v>
      </c>
      <c r="N1042" s="1">
        <v>2</v>
      </c>
      <c r="O1042" s="1">
        <v>2</v>
      </c>
      <c r="P1042" s="1">
        <v>3</v>
      </c>
      <c r="Q1042" s="2">
        <v>0.16800000000000001</v>
      </c>
      <c r="R1042" s="1">
        <v>4</v>
      </c>
      <c r="S1042" s="1">
        <f>R1042/P1042</f>
        <v>1.3333333333333333</v>
      </c>
      <c r="T1042" s="1">
        <v>5</v>
      </c>
      <c r="U1042" s="1">
        <v>12.5</v>
      </c>
      <c r="V1042" s="1">
        <v>614.9019607843137</v>
      </c>
      <c r="W1042" s="1">
        <v>3</v>
      </c>
    </row>
    <row r="1043" spans="1:23" x14ac:dyDescent="0.2">
      <c r="A1043">
        <v>2022</v>
      </c>
      <c r="B1043" t="s">
        <v>23</v>
      </c>
      <c r="C1043" t="s">
        <v>24</v>
      </c>
      <c r="D1043">
        <v>47</v>
      </c>
      <c r="E1043">
        <v>2</v>
      </c>
      <c r="F1043">
        <v>7</v>
      </c>
      <c r="G1043" t="s">
        <v>71</v>
      </c>
      <c r="H1043">
        <v>3</v>
      </c>
      <c r="I1043">
        <v>55</v>
      </c>
      <c r="J1043">
        <v>58</v>
      </c>
      <c r="K1043">
        <v>3</v>
      </c>
      <c r="L1043">
        <v>144</v>
      </c>
      <c r="M1043">
        <v>38</v>
      </c>
      <c r="N1043">
        <v>1</v>
      </c>
      <c r="O1043">
        <v>2</v>
      </c>
      <c r="P1043">
        <v>3</v>
      </c>
      <c r="Q1043">
        <v>0.121</v>
      </c>
      <c r="R1043">
        <v>3</v>
      </c>
      <c r="S1043">
        <v>1</v>
      </c>
      <c r="T1043">
        <v>3</v>
      </c>
      <c r="U1043">
        <v>12.5</v>
      </c>
      <c r="V1043">
        <v>442.87581699346407</v>
      </c>
      <c r="W1043">
        <v>1</v>
      </c>
    </row>
    <row r="1044" spans="1:23" x14ac:dyDescent="0.2">
      <c r="A1044">
        <v>2022</v>
      </c>
      <c r="B1044" t="s">
        <v>23</v>
      </c>
      <c r="C1044" t="s">
        <v>24</v>
      </c>
      <c r="D1044">
        <v>48</v>
      </c>
      <c r="E1044">
        <v>1</v>
      </c>
      <c r="F1044">
        <v>4</v>
      </c>
      <c r="G1044" t="s">
        <v>72</v>
      </c>
      <c r="H1044" s="1">
        <v>6</v>
      </c>
      <c r="I1044" s="1">
        <v>62</v>
      </c>
      <c r="J1044" s="1">
        <v>65</v>
      </c>
      <c r="K1044" s="1">
        <f>J1044-I1044</f>
        <v>3</v>
      </c>
      <c r="L1044" s="1">
        <v>141</v>
      </c>
      <c r="M1044" s="1">
        <v>51</v>
      </c>
      <c r="N1044" s="1">
        <v>2</v>
      </c>
      <c r="O1044" s="1">
        <v>4.5</v>
      </c>
      <c r="P1044" s="1">
        <v>6</v>
      </c>
      <c r="Q1044" s="2">
        <v>0.10199999999999999</v>
      </c>
      <c r="R1044" s="1">
        <v>6</v>
      </c>
      <c r="S1044" s="1">
        <f>R1044/P1044</f>
        <v>1</v>
      </c>
      <c r="T1044" s="1">
        <v>4</v>
      </c>
      <c r="U1044" s="1">
        <v>12.5</v>
      </c>
      <c r="V1044" s="1">
        <v>373.33333333333326</v>
      </c>
      <c r="W1044" s="1">
        <v>3</v>
      </c>
    </row>
    <row r="1045" spans="1:23" x14ac:dyDescent="0.2">
      <c r="A1045">
        <v>2022</v>
      </c>
      <c r="B1045" t="s">
        <v>23</v>
      </c>
      <c r="C1045" t="s">
        <v>24</v>
      </c>
      <c r="D1045">
        <v>48</v>
      </c>
      <c r="E1045">
        <v>2</v>
      </c>
      <c r="F1045">
        <v>5</v>
      </c>
      <c r="G1045" t="s">
        <v>72</v>
      </c>
      <c r="H1045">
        <v>12</v>
      </c>
      <c r="I1045">
        <v>57</v>
      </c>
      <c r="J1045">
        <v>59</v>
      </c>
      <c r="K1045">
        <v>2</v>
      </c>
      <c r="L1045">
        <v>174</v>
      </c>
      <c r="M1045">
        <v>71</v>
      </c>
      <c r="N1045">
        <v>1</v>
      </c>
      <c r="O1045">
        <v>2</v>
      </c>
      <c r="P1045">
        <v>9</v>
      </c>
      <c r="Q1045">
        <v>1.1000000000000001</v>
      </c>
      <c r="R1045">
        <v>11</v>
      </c>
      <c r="S1045">
        <v>1.2222222222222223</v>
      </c>
      <c r="T1045">
        <v>3</v>
      </c>
      <c r="U1045">
        <v>9.5</v>
      </c>
      <c r="V1045">
        <v>4164.1830065359482</v>
      </c>
      <c r="W1045">
        <v>2</v>
      </c>
    </row>
    <row r="1046" spans="1:23" x14ac:dyDescent="0.2">
      <c r="A1046">
        <v>2022</v>
      </c>
      <c r="B1046" t="s">
        <v>23</v>
      </c>
      <c r="C1046" t="s">
        <v>24</v>
      </c>
      <c r="D1046">
        <v>49</v>
      </c>
      <c r="E1046">
        <v>1</v>
      </c>
      <c r="F1046">
        <v>6</v>
      </c>
      <c r="G1046" t="s">
        <v>73</v>
      </c>
      <c r="H1046">
        <v>8</v>
      </c>
      <c r="I1046">
        <v>56</v>
      </c>
      <c r="J1046">
        <v>58</v>
      </c>
      <c r="K1046">
        <v>2</v>
      </c>
      <c r="L1046">
        <v>198</v>
      </c>
      <c r="M1046">
        <v>68</v>
      </c>
      <c r="N1046">
        <v>1.5</v>
      </c>
      <c r="O1046">
        <v>2.5</v>
      </c>
      <c r="P1046">
        <v>7</v>
      </c>
      <c r="Q1046">
        <v>0.6</v>
      </c>
      <c r="R1046">
        <v>7</v>
      </c>
      <c r="S1046">
        <v>1</v>
      </c>
      <c r="T1046">
        <v>2.5</v>
      </c>
      <c r="U1046">
        <v>12.5</v>
      </c>
      <c r="V1046">
        <v>2196.0784313725489</v>
      </c>
      <c r="W1046">
        <v>2</v>
      </c>
    </row>
    <row r="1047" spans="1:23" x14ac:dyDescent="0.2">
      <c r="A1047">
        <v>2022</v>
      </c>
      <c r="B1047" t="s">
        <v>23</v>
      </c>
      <c r="C1047" t="s">
        <v>24</v>
      </c>
      <c r="D1047">
        <v>49</v>
      </c>
      <c r="E1047">
        <v>2</v>
      </c>
      <c r="F1047">
        <v>6</v>
      </c>
      <c r="G1047" t="s">
        <v>73</v>
      </c>
      <c r="H1047" s="1">
        <v>10</v>
      </c>
      <c r="I1047" s="1">
        <v>62</v>
      </c>
      <c r="J1047" s="1">
        <v>68</v>
      </c>
      <c r="K1047" s="1">
        <f>J1047-I1047</f>
        <v>6</v>
      </c>
      <c r="L1047" s="1">
        <v>126</v>
      </c>
      <c r="M1047" s="1">
        <v>47</v>
      </c>
      <c r="N1047" s="1">
        <v>1.5</v>
      </c>
      <c r="O1047" s="1">
        <v>3</v>
      </c>
      <c r="P1047" s="1">
        <v>7</v>
      </c>
      <c r="Q1047" s="2">
        <v>0.76500000000000001</v>
      </c>
      <c r="R1047" s="1">
        <v>7</v>
      </c>
      <c r="S1047" s="1">
        <f>R1047/P1047</f>
        <v>1</v>
      </c>
      <c r="T1047" s="1">
        <v>3</v>
      </c>
      <c r="U1047" s="1">
        <v>12.5</v>
      </c>
      <c r="V1047" s="1">
        <v>2800</v>
      </c>
      <c r="W1047" s="1">
        <v>4</v>
      </c>
    </row>
    <row r="1048" spans="1:23" x14ac:dyDescent="0.2">
      <c r="A1048">
        <v>2022</v>
      </c>
      <c r="B1048" t="s">
        <v>23</v>
      </c>
      <c r="C1048" t="s">
        <v>24</v>
      </c>
      <c r="D1048">
        <v>50</v>
      </c>
      <c r="E1048">
        <v>1</v>
      </c>
      <c r="F1048">
        <v>4</v>
      </c>
      <c r="G1048" t="s">
        <v>74</v>
      </c>
      <c r="H1048">
        <v>12</v>
      </c>
      <c r="I1048">
        <v>55</v>
      </c>
      <c r="J1048">
        <v>58</v>
      </c>
      <c r="K1048">
        <v>3</v>
      </c>
      <c r="L1048">
        <v>140</v>
      </c>
      <c r="M1048">
        <v>75</v>
      </c>
      <c r="N1048">
        <v>2</v>
      </c>
      <c r="O1048">
        <v>3</v>
      </c>
      <c r="P1048">
        <v>12</v>
      </c>
      <c r="Q1048">
        <v>1.2</v>
      </c>
      <c r="R1048">
        <v>12</v>
      </c>
      <c r="S1048">
        <v>1</v>
      </c>
      <c r="T1048">
        <v>2.5</v>
      </c>
      <c r="U1048">
        <v>12.5</v>
      </c>
      <c r="V1048">
        <v>4392.1568627450979</v>
      </c>
      <c r="W1048">
        <v>1</v>
      </c>
    </row>
    <row r="1049" spans="1:23" x14ac:dyDescent="0.2">
      <c r="A1049">
        <v>2022</v>
      </c>
      <c r="B1049" t="s">
        <v>23</v>
      </c>
      <c r="C1049" t="s">
        <v>24</v>
      </c>
      <c r="D1049">
        <v>50</v>
      </c>
      <c r="E1049">
        <v>2</v>
      </c>
      <c r="F1049">
        <v>13</v>
      </c>
      <c r="G1049" t="s">
        <v>74</v>
      </c>
      <c r="H1049" s="1">
        <v>14</v>
      </c>
      <c r="I1049" s="1">
        <v>60</v>
      </c>
      <c r="J1049" s="1">
        <v>63</v>
      </c>
      <c r="K1049" s="1">
        <f t="shared" ref="K1049:K1055" si="56">J1049-I1049</f>
        <v>3</v>
      </c>
      <c r="L1049" s="1">
        <v>141</v>
      </c>
      <c r="M1049" s="1">
        <v>63</v>
      </c>
      <c r="N1049" s="1">
        <v>2</v>
      </c>
      <c r="O1049" s="1">
        <v>2.5</v>
      </c>
      <c r="P1049" s="1">
        <f>H1049</f>
        <v>14</v>
      </c>
      <c r="Q1049" s="2">
        <v>0.19125</v>
      </c>
      <c r="R1049" s="1">
        <v>6</v>
      </c>
      <c r="S1049" s="1">
        <f t="shared" ref="S1049:S1055" si="57">R1049/P1049</f>
        <v>0.42857142857142855</v>
      </c>
      <c r="T1049" s="1">
        <v>5</v>
      </c>
      <c r="U1049" s="1">
        <v>12.5</v>
      </c>
      <c r="V1049" s="1">
        <v>700</v>
      </c>
      <c r="W1049" s="1">
        <v>3</v>
      </c>
    </row>
    <row r="1050" spans="1:23" x14ac:dyDescent="0.2">
      <c r="A1050">
        <v>2022</v>
      </c>
      <c r="B1050" t="s">
        <v>23</v>
      </c>
      <c r="C1050" t="s">
        <v>24</v>
      </c>
      <c r="D1050">
        <v>51</v>
      </c>
      <c r="E1050">
        <v>1</v>
      </c>
      <c r="F1050">
        <v>13</v>
      </c>
      <c r="G1050" t="s">
        <v>75</v>
      </c>
      <c r="H1050" s="1">
        <v>5</v>
      </c>
      <c r="I1050" s="1">
        <v>59</v>
      </c>
      <c r="J1050" s="1">
        <v>62</v>
      </c>
      <c r="K1050" s="1">
        <f t="shared" si="56"/>
        <v>3</v>
      </c>
      <c r="L1050" s="1">
        <v>178</v>
      </c>
      <c r="M1050" s="1">
        <v>92</v>
      </c>
      <c r="N1050" s="1">
        <v>1</v>
      </c>
      <c r="O1050" s="1">
        <v>2</v>
      </c>
      <c r="P1050" s="1">
        <v>5</v>
      </c>
      <c r="Q1050" s="2">
        <v>0.95</v>
      </c>
      <c r="R1050" s="1">
        <v>5</v>
      </c>
      <c r="S1050" s="1">
        <f t="shared" si="57"/>
        <v>1</v>
      </c>
      <c r="T1050" s="1">
        <v>2</v>
      </c>
      <c r="U1050" s="1">
        <v>9</v>
      </c>
      <c r="V1050" s="1">
        <v>3616.209150326797</v>
      </c>
      <c r="W1050" s="1">
        <v>4</v>
      </c>
    </row>
    <row r="1051" spans="1:23" x14ac:dyDescent="0.2">
      <c r="A1051">
        <v>2022</v>
      </c>
      <c r="B1051" t="s">
        <v>23</v>
      </c>
      <c r="C1051" t="s">
        <v>24</v>
      </c>
      <c r="D1051">
        <v>51</v>
      </c>
      <c r="E1051">
        <v>2</v>
      </c>
      <c r="F1051">
        <v>15</v>
      </c>
      <c r="G1051" t="s">
        <v>75</v>
      </c>
      <c r="H1051" s="1">
        <v>10</v>
      </c>
      <c r="I1051" s="1">
        <v>66</v>
      </c>
      <c r="J1051" s="1">
        <v>71</v>
      </c>
      <c r="K1051" s="1">
        <f t="shared" si="56"/>
        <v>5</v>
      </c>
      <c r="L1051" s="1">
        <v>157</v>
      </c>
      <c r="M1051" s="1">
        <v>93</v>
      </c>
      <c r="N1051" s="1">
        <v>2</v>
      </c>
      <c r="O1051" s="1">
        <v>3.5</v>
      </c>
      <c r="P1051" s="1">
        <f>H1051-1</f>
        <v>9</v>
      </c>
      <c r="Q1051" s="2">
        <v>0.156</v>
      </c>
      <c r="R1051" s="1">
        <v>7</v>
      </c>
      <c r="S1051" s="1">
        <f t="shared" si="57"/>
        <v>0.77777777777777779</v>
      </c>
      <c r="T1051" s="1">
        <v>5</v>
      </c>
      <c r="U1051" s="1">
        <v>12.5</v>
      </c>
      <c r="V1051" s="1">
        <v>570.98039215686276</v>
      </c>
      <c r="W1051" s="1">
        <v>7</v>
      </c>
    </row>
    <row r="1052" spans="1:23" x14ac:dyDescent="0.2">
      <c r="A1052">
        <v>2022</v>
      </c>
      <c r="B1052" t="s">
        <v>23</v>
      </c>
      <c r="C1052" t="s">
        <v>24</v>
      </c>
      <c r="D1052">
        <v>52</v>
      </c>
      <c r="E1052">
        <v>1</v>
      </c>
      <c r="F1052">
        <v>13</v>
      </c>
      <c r="G1052" t="s">
        <v>76</v>
      </c>
      <c r="H1052" s="1">
        <v>16</v>
      </c>
      <c r="I1052" s="1">
        <v>66</v>
      </c>
      <c r="J1052" s="1">
        <v>70</v>
      </c>
      <c r="K1052" s="1">
        <f t="shared" si="56"/>
        <v>4</v>
      </c>
      <c r="L1052" s="1">
        <v>118</v>
      </c>
      <c r="M1052" s="1">
        <v>45</v>
      </c>
      <c r="N1052" s="1">
        <v>2</v>
      </c>
      <c r="O1052" s="1">
        <v>3.5</v>
      </c>
      <c r="P1052" s="1">
        <f>H1052</f>
        <v>16</v>
      </c>
      <c r="Q1052" s="2">
        <v>0.67500000000000004</v>
      </c>
      <c r="R1052" s="1">
        <v>10</v>
      </c>
      <c r="S1052" s="1">
        <f t="shared" si="57"/>
        <v>0.625</v>
      </c>
      <c r="T1052" s="1">
        <v>5</v>
      </c>
      <c r="U1052" s="1">
        <v>12.5</v>
      </c>
      <c r="V1052" s="1">
        <v>2470.588235294118</v>
      </c>
      <c r="W1052" s="1">
        <v>4</v>
      </c>
    </row>
    <row r="1053" spans="1:23" x14ac:dyDescent="0.2">
      <c r="A1053">
        <v>2022</v>
      </c>
      <c r="B1053" t="s">
        <v>23</v>
      </c>
      <c r="C1053" t="s">
        <v>24</v>
      </c>
      <c r="D1053">
        <v>52</v>
      </c>
      <c r="E1053">
        <v>2</v>
      </c>
      <c r="F1053">
        <v>5</v>
      </c>
      <c r="G1053" t="s">
        <v>76</v>
      </c>
      <c r="H1053" s="1">
        <v>5</v>
      </c>
      <c r="I1053" s="1">
        <v>61</v>
      </c>
      <c r="J1053" s="1">
        <v>66</v>
      </c>
      <c r="K1053" s="1">
        <f t="shared" si="56"/>
        <v>5</v>
      </c>
      <c r="L1053" s="1">
        <v>127</v>
      </c>
      <c r="M1053" s="1">
        <v>57</v>
      </c>
      <c r="N1053" s="1">
        <v>1.5</v>
      </c>
      <c r="O1053" s="1">
        <v>4</v>
      </c>
      <c r="P1053" s="1">
        <v>5</v>
      </c>
      <c r="Q1053" s="2">
        <v>0.78800000000000003</v>
      </c>
      <c r="R1053" s="1">
        <v>6</v>
      </c>
      <c r="S1053" s="1">
        <f t="shared" si="57"/>
        <v>1.2</v>
      </c>
      <c r="T1053" s="1">
        <v>2</v>
      </c>
      <c r="U1053" s="1">
        <v>12.5</v>
      </c>
      <c r="V1053" s="1">
        <v>2884.1830065359477</v>
      </c>
      <c r="W1053" s="1">
        <v>3</v>
      </c>
    </row>
    <row r="1054" spans="1:23" x14ac:dyDescent="0.2">
      <c r="A1054">
        <v>2022</v>
      </c>
      <c r="B1054" t="s">
        <v>23</v>
      </c>
      <c r="C1054" t="s">
        <v>24</v>
      </c>
      <c r="D1054">
        <v>53</v>
      </c>
      <c r="E1054">
        <v>1</v>
      </c>
      <c r="F1054">
        <v>5</v>
      </c>
      <c r="G1054" t="s">
        <v>77</v>
      </c>
      <c r="H1054" s="1">
        <v>14</v>
      </c>
      <c r="I1054" s="1">
        <v>63</v>
      </c>
      <c r="J1054" s="1">
        <v>66</v>
      </c>
      <c r="K1054" s="1">
        <f t="shared" si="56"/>
        <v>3</v>
      </c>
      <c r="L1054" s="1">
        <v>165</v>
      </c>
      <c r="M1054" s="1">
        <v>85</v>
      </c>
      <c r="N1054" s="1">
        <v>2.5</v>
      </c>
      <c r="O1054" s="1">
        <v>3.5</v>
      </c>
      <c r="P1054" s="1">
        <v>12</v>
      </c>
      <c r="Q1054" s="2">
        <v>0.73799999999999999</v>
      </c>
      <c r="R1054" s="1">
        <v>11</v>
      </c>
      <c r="S1054" s="1">
        <f t="shared" si="57"/>
        <v>0.91666666666666663</v>
      </c>
      <c r="T1054" s="1">
        <v>3</v>
      </c>
      <c r="U1054" s="1">
        <v>12.5</v>
      </c>
      <c r="V1054" s="1">
        <v>2701.1764705882356</v>
      </c>
      <c r="W1054" s="1">
        <v>4</v>
      </c>
    </row>
    <row r="1055" spans="1:23" x14ac:dyDescent="0.2">
      <c r="A1055">
        <v>2022</v>
      </c>
      <c r="B1055" t="s">
        <v>23</v>
      </c>
      <c r="C1055" t="s">
        <v>24</v>
      </c>
      <c r="D1055">
        <v>53</v>
      </c>
      <c r="E1055">
        <v>2</v>
      </c>
      <c r="F1055">
        <v>3</v>
      </c>
      <c r="G1055" t="s">
        <v>77</v>
      </c>
      <c r="H1055" s="3">
        <v>2</v>
      </c>
      <c r="I1055" s="3">
        <v>68</v>
      </c>
      <c r="J1055" s="3">
        <v>70</v>
      </c>
      <c r="K1055" s="3">
        <f t="shared" si="56"/>
        <v>2</v>
      </c>
      <c r="L1055" s="3">
        <v>107</v>
      </c>
      <c r="M1055" s="3">
        <v>65</v>
      </c>
      <c r="N1055" s="3">
        <v>1.5</v>
      </c>
      <c r="O1055" s="3">
        <v>5</v>
      </c>
      <c r="P1055" s="3">
        <v>1</v>
      </c>
      <c r="Q1055" s="4">
        <v>1.4E-2</v>
      </c>
      <c r="R1055" s="3">
        <v>1</v>
      </c>
      <c r="S1055" s="3">
        <f t="shared" si="57"/>
        <v>1</v>
      </c>
      <c r="T1055" s="3">
        <v>5</v>
      </c>
      <c r="U1055" s="3">
        <v>12.5</v>
      </c>
      <c r="V1055" s="3">
        <v>51.24183006535948</v>
      </c>
      <c r="W1055" s="3">
        <v>4</v>
      </c>
    </row>
    <row r="1056" spans="1:23" x14ac:dyDescent="0.2">
      <c r="A1056">
        <v>2022</v>
      </c>
      <c r="B1056" t="s">
        <v>23</v>
      </c>
      <c r="C1056" t="s">
        <v>24</v>
      </c>
      <c r="D1056">
        <v>54</v>
      </c>
      <c r="E1056">
        <v>1</v>
      </c>
      <c r="F1056">
        <v>14</v>
      </c>
      <c r="G1056" t="s">
        <v>78</v>
      </c>
      <c r="H1056">
        <v>14</v>
      </c>
      <c r="I1056">
        <v>59</v>
      </c>
      <c r="J1056">
        <v>64</v>
      </c>
      <c r="K1056">
        <v>5</v>
      </c>
      <c r="L1056">
        <v>163</v>
      </c>
      <c r="M1056">
        <v>86</v>
      </c>
      <c r="N1056">
        <v>2</v>
      </c>
      <c r="O1056">
        <v>2.5</v>
      </c>
      <c r="P1056">
        <v>13</v>
      </c>
      <c r="Q1056">
        <v>0.7</v>
      </c>
      <c r="R1056">
        <v>11</v>
      </c>
      <c r="S1056">
        <v>0.84615384615384615</v>
      </c>
      <c r="T1056">
        <v>2</v>
      </c>
      <c r="U1056">
        <v>12.5</v>
      </c>
      <c r="V1056">
        <v>2562.0915032679736</v>
      </c>
      <c r="W1056">
        <v>1</v>
      </c>
    </row>
    <row r="1057" spans="1:23" x14ac:dyDescent="0.2">
      <c r="A1057">
        <v>2022</v>
      </c>
      <c r="B1057" t="s">
        <v>23</v>
      </c>
      <c r="C1057" t="s">
        <v>24</v>
      </c>
      <c r="D1057">
        <v>54</v>
      </c>
      <c r="E1057">
        <v>2</v>
      </c>
      <c r="F1057">
        <v>11</v>
      </c>
      <c r="G1057" t="s">
        <v>78</v>
      </c>
      <c r="H1057">
        <v>11</v>
      </c>
      <c r="I1057">
        <v>58</v>
      </c>
      <c r="J1057">
        <v>60</v>
      </c>
      <c r="K1057">
        <v>2</v>
      </c>
      <c r="L1057">
        <v>130</v>
      </c>
      <c r="M1057">
        <v>53</v>
      </c>
      <c r="N1057">
        <v>1.5</v>
      </c>
      <c r="O1057">
        <v>4</v>
      </c>
      <c r="P1057">
        <v>10</v>
      </c>
      <c r="Q1057">
        <v>0.8</v>
      </c>
      <c r="R1057">
        <v>8</v>
      </c>
      <c r="S1057">
        <v>0.8</v>
      </c>
      <c r="T1057">
        <v>2.5</v>
      </c>
      <c r="U1057">
        <v>12.5</v>
      </c>
      <c r="V1057">
        <v>2928.1045751633987</v>
      </c>
      <c r="W1057">
        <v>2</v>
      </c>
    </row>
    <row r="1058" spans="1:23" x14ac:dyDescent="0.2">
      <c r="A1058">
        <v>2022</v>
      </c>
      <c r="B1058" t="s">
        <v>23</v>
      </c>
      <c r="C1058" t="s">
        <v>24</v>
      </c>
      <c r="D1058">
        <v>55</v>
      </c>
      <c r="E1058">
        <v>1</v>
      </c>
      <c r="F1058">
        <v>2</v>
      </c>
      <c r="G1058" t="s">
        <v>79</v>
      </c>
      <c r="H1058">
        <v>14</v>
      </c>
      <c r="I1058">
        <v>53</v>
      </c>
      <c r="J1058">
        <v>54</v>
      </c>
      <c r="K1058">
        <v>1</v>
      </c>
      <c r="L1058">
        <v>150</v>
      </c>
      <c r="M1058">
        <v>75</v>
      </c>
      <c r="N1058">
        <v>2</v>
      </c>
      <c r="O1058">
        <v>2.5</v>
      </c>
      <c r="P1058">
        <v>13</v>
      </c>
      <c r="Q1058">
        <v>0.9</v>
      </c>
      <c r="R1058">
        <v>9</v>
      </c>
      <c r="S1058">
        <v>0.69230769230769229</v>
      </c>
      <c r="T1058">
        <v>2</v>
      </c>
      <c r="U1058">
        <v>11.3</v>
      </c>
      <c r="V1058">
        <v>3339.2941176470586</v>
      </c>
      <c r="W1058">
        <v>1</v>
      </c>
    </row>
    <row r="1059" spans="1:23" x14ac:dyDescent="0.2">
      <c r="A1059">
        <v>2022</v>
      </c>
      <c r="B1059" t="s">
        <v>23</v>
      </c>
      <c r="C1059" t="s">
        <v>24</v>
      </c>
      <c r="D1059">
        <v>55</v>
      </c>
      <c r="E1059">
        <v>2</v>
      </c>
      <c r="F1059">
        <v>10</v>
      </c>
      <c r="G1059" t="s">
        <v>79</v>
      </c>
      <c r="H1059" s="1">
        <v>12</v>
      </c>
      <c r="I1059" s="1">
        <v>64</v>
      </c>
      <c r="J1059" s="1">
        <v>69</v>
      </c>
      <c r="K1059" s="1">
        <f>J1059-I1059</f>
        <v>5</v>
      </c>
      <c r="L1059" s="1">
        <v>119</v>
      </c>
      <c r="M1059" s="1">
        <v>45</v>
      </c>
      <c r="N1059" s="1">
        <v>2</v>
      </c>
      <c r="O1059" s="1">
        <v>3</v>
      </c>
      <c r="P1059" s="1">
        <v>8</v>
      </c>
      <c r="Q1059" s="2">
        <v>0.36399999999999999</v>
      </c>
      <c r="R1059" s="1">
        <v>6</v>
      </c>
      <c r="S1059" s="1">
        <f>R1059/P1059</f>
        <v>0.75</v>
      </c>
      <c r="T1059" s="1">
        <v>4</v>
      </c>
      <c r="U1059" s="1">
        <v>12.5</v>
      </c>
      <c r="V1059" s="1">
        <v>1332.2875816993464</v>
      </c>
      <c r="W1059" s="1">
        <v>6</v>
      </c>
    </row>
    <row r="1060" spans="1:23" x14ac:dyDescent="0.2">
      <c r="A1060">
        <v>2022</v>
      </c>
      <c r="B1060" t="s">
        <v>23</v>
      </c>
      <c r="C1060" t="s">
        <v>24</v>
      </c>
      <c r="D1060">
        <v>56</v>
      </c>
      <c r="E1060">
        <v>1</v>
      </c>
      <c r="F1060">
        <v>4</v>
      </c>
      <c r="G1060" t="s">
        <v>80</v>
      </c>
      <c r="H1060">
        <v>10</v>
      </c>
      <c r="I1060">
        <v>60</v>
      </c>
      <c r="J1060">
        <v>63</v>
      </c>
      <c r="K1060">
        <v>3</v>
      </c>
      <c r="L1060">
        <v>110</v>
      </c>
      <c r="M1060">
        <v>66</v>
      </c>
      <c r="N1060">
        <v>1.5</v>
      </c>
      <c r="O1060">
        <v>2</v>
      </c>
      <c r="P1060">
        <v>10</v>
      </c>
      <c r="Q1060">
        <v>1.3</v>
      </c>
      <c r="R1060">
        <v>11</v>
      </c>
      <c r="S1060">
        <v>1.1000000000000001</v>
      </c>
      <c r="T1060">
        <v>2</v>
      </c>
      <c r="U1060">
        <v>12.5</v>
      </c>
      <c r="V1060">
        <v>4758.169934640523</v>
      </c>
      <c r="W1060">
        <v>1</v>
      </c>
    </row>
    <row r="1061" spans="1:23" x14ac:dyDescent="0.2">
      <c r="A1061">
        <v>2022</v>
      </c>
      <c r="B1061" t="s">
        <v>23</v>
      </c>
      <c r="C1061" t="s">
        <v>24</v>
      </c>
      <c r="D1061">
        <v>56</v>
      </c>
      <c r="E1061">
        <v>2</v>
      </c>
      <c r="F1061">
        <v>12</v>
      </c>
      <c r="G1061" t="s">
        <v>80</v>
      </c>
      <c r="H1061" s="1">
        <v>10</v>
      </c>
      <c r="I1061" s="1">
        <v>62</v>
      </c>
      <c r="J1061" s="1">
        <v>67</v>
      </c>
      <c r="K1061" s="1">
        <f>J1061-I1061</f>
        <v>5</v>
      </c>
      <c r="L1061" s="1">
        <v>60</v>
      </c>
      <c r="M1061" s="1">
        <v>21</v>
      </c>
      <c r="N1061" s="1">
        <v>2</v>
      </c>
      <c r="O1061" s="1">
        <v>5</v>
      </c>
      <c r="P1061" s="1">
        <v>5</v>
      </c>
      <c r="Q1061" s="2">
        <v>7.8E-2</v>
      </c>
      <c r="R1061" s="1">
        <v>2</v>
      </c>
      <c r="S1061" s="1">
        <f>R1061/P1061</f>
        <v>0.4</v>
      </c>
      <c r="T1061" s="1">
        <v>5</v>
      </c>
      <c r="U1061" s="1">
        <v>12.5</v>
      </c>
      <c r="V1061" s="1">
        <v>285.49019607843138</v>
      </c>
      <c r="W1061" s="1">
        <v>5</v>
      </c>
    </row>
    <row r="1062" spans="1:23" x14ac:dyDescent="0.2">
      <c r="A1062">
        <v>2022</v>
      </c>
      <c r="B1062" t="s">
        <v>23</v>
      </c>
      <c r="C1062" t="s">
        <v>24</v>
      </c>
      <c r="D1062">
        <v>57</v>
      </c>
      <c r="E1062">
        <v>1</v>
      </c>
      <c r="F1062">
        <v>1</v>
      </c>
      <c r="G1062" t="s">
        <v>81</v>
      </c>
      <c r="H1062" s="1">
        <v>10</v>
      </c>
      <c r="I1062" s="1">
        <v>62</v>
      </c>
      <c r="J1062" s="1">
        <v>66</v>
      </c>
      <c r="K1062" s="1">
        <f>J1062-I1062</f>
        <v>4</v>
      </c>
      <c r="L1062" s="1">
        <v>114</v>
      </c>
      <c r="M1062" s="1">
        <v>41</v>
      </c>
      <c r="N1062" s="1">
        <v>2</v>
      </c>
      <c r="O1062" s="1">
        <v>4</v>
      </c>
      <c r="P1062" s="1">
        <v>6</v>
      </c>
      <c r="Q1062" s="2">
        <v>0.14000000000000001</v>
      </c>
      <c r="R1062" s="1">
        <v>5</v>
      </c>
      <c r="S1062" s="1">
        <f>R1062/P1062</f>
        <v>0.83333333333333337</v>
      </c>
      <c r="T1062" s="1">
        <v>4</v>
      </c>
      <c r="U1062" s="1">
        <v>12.5</v>
      </c>
      <c r="V1062" s="1">
        <v>512.41830065359488</v>
      </c>
      <c r="W1062" s="1">
        <v>4</v>
      </c>
    </row>
    <row r="1063" spans="1:23" x14ac:dyDescent="0.2">
      <c r="A1063">
        <v>2022</v>
      </c>
      <c r="B1063" t="s">
        <v>23</v>
      </c>
      <c r="C1063" t="s">
        <v>24</v>
      </c>
      <c r="D1063">
        <v>57</v>
      </c>
      <c r="E1063">
        <v>2</v>
      </c>
      <c r="F1063">
        <v>13</v>
      </c>
      <c r="G1063" t="s">
        <v>81</v>
      </c>
      <c r="H1063" s="1">
        <v>9</v>
      </c>
      <c r="I1063" s="1">
        <v>64</v>
      </c>
      <c r="J1063" s="1">
        <v>68</v>
      </c>
      <c r="K1063" s="1">
        <f>J1063-I1063</f>
        <v>4</v>
      </c>
      <c r="L1063" s="1">
        <v>183</v>
      </c>
      <c r="M1063" s="1">
        <v>98</v>
      </c>
      <c r="N1063" s="1">
        <v>2</v>
      </c>
      <c r="O1063" s="1">
        <v>3.5</v>
      </c>
      <c r="P1063" s="1">
        <v>6</v>
      </c>
      <c r="Q1063" s="2">
        <v>0.246</v>
      </c>
      <c r="R1063" s="1">
        <v>3</v>
      </c>
      <c r="S1063" s="1">
        <f>R1063/P1063</f>
        <v>0.5</v>
      </c>
      <c r="T1063" s="1">
        <v>5</v>
      </c>
      <c r="U1063" s="1">
        <v>10.8</v>
      </c>
      <c r="V1063" s="1">
        <v>917.88549019607854</v>
      </c>
      <c r="W1063" s="1">
        <v>3</v>
      </c>
    </row>
    <row r="1064" spans="1:23" x14ac:dyDescent="0.2">
      <c r="A1064">
        <v>2022</v>
      </c>
      <c r="B1064" t="s">
        <v>23</v>
      </c>
      <c r="C1064" t="s">
        <v>24</v>
      </c>
      <c r="D1064">
        <v>58</v>
      </c>
      <c r="E1064">
        <v>1</v>
      </c>
      <c r="F1064">
        <v>10</v>
      </c>
      <c r="G1064" t="s">
        <v>82</v>
      </c>
      <c r="H1064" s="1">
        <v>10</v>
      </c>
      <c r="I1064" s="1">
        <v>60</v>
      </c>
      <c r="J1064" s="1">
        <v>63</v>
      </c>
      <c r="K1064" s="1">
        <f>J1064-I1064</f>
        <v>3</v>
      </c>
      <c r="L1064" s="1">
        <v>137</v>
      </c>
      <c r="M1064" s="1">
        <v>46</v>
      </c>
      <c r="N1064" s="1">
        <v>1.5</v>
      </c>
      <c r="O1064" s="1">
        <v>3</v>
      </c>
      <c r="P1064" s="1">
        <v>7</v>
      </c>
      <c r="Q1064" s="2">
        <v>0.47899999999999998</v>
      </c>
      <c r="R1064" s="1">
        <v>7</v>
      </c>
      <c r="S1064" s="1">
        <f>R1064/P1064</f>
        <v>1</v>
      </c>
      <c r="T1064" s="1">
        <v>3</v>
      </c>
      <c r="U1064" s="1">
        <v>12.5</v>
      </c>
      <c r="V1064" s="1">
        <v>1753.2026143790849</v>
      </c>
      <c r="W1064" s="1">
        <v>4</v>
      </c>
    </row>
    <row r="1065" spans="1:23" x14ac:dyDescent="0.2">
      <c r="A1065">
        <v>2022</v>
      </c>
      <c r="B1065" t="s">
        <v>23</v>
      </c>
      <c r="C1065" t="s">
        <v>24</v>
      </c>
      <c r="D1065">
        <v>58</v>
      </c>
      <c r="E1065">
        <v>2</v>
      </c>
      <c r="F1065">
        <v>3</v>
      </c>
      <c r="G1065" t="s">
        <v>82</v>
      </c>
      <c r="H1065" s="1">
        <v>5</v>
      </c>
      <c r="I1065" s="1">
        <v>68</v>
      </c>
      <c r="J1065" s="1">
        <v>72</v>
      </c>
      <c r="K1065" s="1">
        <f>J1065-I1065</f>
        <v>4</v>
      </c>
      <c r="L1065" s="1">
        <v>157</v>
      </c>
      <c r="M1065" s="1">
        <v>73</v>
      </c>
      <c r="N1065" s="1">
        <v>2</v>
      </c>
      <c r="O1065" s="1">
        <v>2</v>
      </c>
      <c r="P1065" s="1">
        <v>5</v>
      </c>
      <c r="Q1065" s="2">
        <v>0.49</v>
      </c>
      <c r="R1065" s="1">
        <v>6</v>
      </c>
      <c r="S1065" s="1">
        <f>R1065/P1065</f>
        <v>1.2</v>
      </c>
      <c r="T1065" s="1">
        <v>3</v>
      </c>
      <c r="U1065" s="1">
        <v>12.5</v>
      </c>
      <c r="V1065" s="1">
        <v>1793.4640522875818</v>
      </c>
      <c r="W1065" s="1">
        <v>4</v>
      </c>
    </row>
    <row r="1066" spans="1:23" x14ac:dyDescent="0.2">
      <c r="A1066">
        <v>2022</v>
      </c>
      <c r="B1066" t="s">
        <v>23</v>
      </c>
      <c r="C1066" t="s">
        <v>24</v>
      </c>
      <c r="D1066">
        <v>59</v>
      </c>
      <c r="E1066">
        <v>1</v>
      </c>
      <c r="F1066">
        <v>12</v>
      </c>
      <c r="G1066" t="s">
        <v>83</v>
      </c>
      <c r="H1066">
        <v>10</v>
      </c>
      <c r="I1066">
        <v>62</v>
      </c>
      <c r="J1066">
        <v>67</v>
      </c>
      <c r="K1066">
        <v>5</v>
      </c>
      <c r="L1066">
        <v>46</v>
      </c>
      <c r="M1066">
        <v>11</v>
      </c>
      <c r="N1066">
        <v>1</v>
      </c>
      <c r="O1066">
        <v>4</v>
      </c>
      <c r="P1066">
        <v>4</v>
      </c>
      <c r="Q1066">
        <v>0.86899999999999999</v>
      </c>
      <c r="R1066">
        <v>4</v>
      </c>
      <c r="S1066">
        <v>1</v>
      </c>
      <c r="T1066">
        <v>2</v>
      </c>
      <c r="U1066">
        <v>12.5</v>
      </c>
      <c r="V1066">
        <v>3180.6535947712418</v>
      </c>
      <c r="W1066">
        <v>1</v>
      </c>
    </row>
    <row r="1067" spans="1:23" x14ac:dyDescent="0.2">
      <c r="A1067">
        <v>2022</v>
      </c>
      <c r="B1067" t="s">
        <v>23</v>
      </c>
      <c r="C1067" t="s">
        <v>24</v>
      </c>
      <c r="D1067">
        <v>59</v>
      </c>
      <c r="E1067">
        <v>2</v>
      </c>
      <c r="F1067">
        <v>11</v>
      </c>
      <c r="G1067" t="s">
        <v>83</v>
      </c>
      <c r="H1067" s="1">
        <v>1</v>
      </c>
      <c r="I1067" s="1">
        <v>63</v>
      </c>
      <c r="J1067" s="1">
        <v>68</v>
      </c>
      <c r="K1067" s="1">
        <f>J1067-I1067</f>
        <v>5</v>
      </c>
      <c r="L1067" s="1">
        <v>123</v>
      </c>
      <c r="M1067" s="1">
        <v>71</v>
      </c>
      <c r="N1067" s="1">
        <v>2</v>
      </c>
      <c r="O1067" s="1">
        <v>3.5</v>
      </c>
      <c r="P1067" s="1">
        <v>1</v>
      </c>
      <c r="Q1067" s="2">
        <v>0.03</v>
      </c>
      <c r="R1067" s="1">
        <v>1</v>
      </c>
      <c r="S1067" s="1">
        <f>R1067/P1067</f>
        <v>1</v>
      </c>
      <c r="T1067" s="1">
        <v>5</v>
      </c>
      <c r="U1067" s="1">
        <v>12.5</v>
      </c>
      <c r="V1067" s="1">
        <v>109.80392156862746</v>
      </c>
      <c r="W1067" s="1">
        <v>4</v>
      </c>
    </row>
    <row r="1068" spans="1:23" x14ac:dyDescent="0.2">
      <c r="A1068">
        <v>2022</v>
      </c>
      <c r="B1068" t="s">
        <v>23</v>
      </c>
      <c r="C1068" t="s">
        <v>24</v>
      </c>
      <c r="D1068">
        <v>60</v>
      </c>
      <c r="E1068">
        <v>1</v>
      </c>
      <c r="F1068">
        <v>8</v>
      </c>
      <c r="G1068" t="s">
        <v>84</v>
      </c>
      <c r="H1068" s="1">
        <v>7</v>
      </c>
      <c r="I1068" s="1">
        <v>64</v>
      </c>
      <c r="J1068" s="1">
        <v>68</v>
      </c>
      <c r="K1068" s="1">
        <f>J1068-I1068</f>
        <v>4</v>
      </c>
      <c r="L1068" s="1">
        <v>153</v>
      </c>
      <c r="M1068" s="1">
        <v>50</v>
      </c>
      <c r="N1068" s="1">
        <v>2</v>
      </c>
      <c r="O1068" s="1">
        <v>3.5</v>
      </c>
      <c r="P1068" s="1">
        <v>4</v>
      </c>
      <c r="Q1068" s="2">
        <v>0.15440000000000001</v>
      </c>
      <c r="R1068" s="1">
        <v>5</v>
      </c>
      <c r="S1068" s="1">
        <f>R1068/P1068</f>
        <v>1.25</v>
      </c>
      <c r="T1068" s="1">
        <v>5</v>
      </c>
      <c r="U1068" s="1">
        <v>12.5</v>
      </c>
      <c r="V1068" s="1">
        <v>565.1241830065361</v>
      </c>
      <c r="W1068" s="1">
        <v>3</v>
      </c>
    </row>
    <row r="1069" spans="1:23" x14ac:dyDescent="0.2">
      <c r="A1069">
        <v>2022</v>
      </c>
      <c r="B1069" t="s">
        <v>23</v>
      </c>
      <c r="C1069" t="s">
        <v>24</v>
      </c>
      <c r="D1069">
        <v>60</v>
      </c>
      <c r="E1069">
        <v>2</v>
      </c>
      <c r="F1069">
        <v>14</v>
      </c>
      <c r="G1069" t="s">
        <v>84</v>
      </c>
      <c r="H1069" s="1">
        <v>8</v>
      </c>
      <c r="I1069" s="1">
        <v>58</v>
      </c>
      <c r="J1069" s="1">
        <v>62</v>
      </c>
      <c r="K1069" s="1">
        <f>J1069-I1069</f>
        <v>4</v>
      </c>
      <c r="L1069" s="1">
        <v>123</v>
      </c>
      <c r="M1069" s="1">
        <v>45</v>
      </c>
      <c r="N1069" s="1">
        <v>3</v>
      </c>
      <c r="O1069" s="1">
        <v>4</v>
      </c>
      <c r="P1069" s="1">
        <v>6</v>
      </c>
      <c r="Q1069" s="2">
        <v>7.9200000000000007E-2</v>
      </c>
      <c r="R1069" s="1">
        <v>6</v>
      </c>
      <c r="S1069" s="1">
        <f>R1069/P1069</f>
        <v>1</v>
      </c>
      <c r="T1069" s="1">
        <v>5</v>
      </c>
      <c r="U1069" s="1">
        <v>12.5</v>
      </c>
      <c r="V1069" s="1">
        <v>289.88235294117646</v>
      </c>
      <c r="W1069" s="1">
        <v>4</v>
      </c>
    </row>
    <row r="1070" spans="1:23" x14ac:dyDescent="0.2">
      <c r="A1070">
        <v>2022</v>
      </c>
      <c r="B1070" t="s">
        <v>23</v>
      </c>
      <c r="C1070" t="s">
        <v>24</v>
      </c>
      <c r="D1070">
        <v>61</v>
      </c>
      <c r="E1070">
        <v>1</v>
      </c>
      <c r="F1070">
        <v>12</v>
      </c>
      <c r="G1070" t="s">
        <v>85</v>
      </c>
      <c r="H1070" s="1">
        <v>3</v>
      </c>
      <c r="I1070" s="1">
        <v>69</v>
      </c>
      <c r="J1070" s="1">
        <v>71</v>
      </c>
      <c r="K1070" s="1">
        <f>J1070-I1070</f>
        <v>2</v>
      </c>
      <c r="L1070" s="1">
        <v>156</v>
      </c>
      <c r="M1070" s="1">
        <v>72</v>
      </c>
      <c r="N1070" s="1">
        <v>3</v>
      </c>
      <c r="O1070" s="1">
        <v>1</v>
      </c>
      <c r="P1070" s="1">
        <v>2</v>
      </c>
      <c r="Q1070" s="2">
        <v>5.6000000000000001E-2</v>
      </c>
      <c r="R1070" s="1">
        <v>2</v>
      </c>
      <c r="S1070" s="1">
        <f>R1070/P1070</f>
        <v>1</v>
      </c>
      <c r="T1070" s="1">
        <v>4</v>
      </c>
      <c r="U1070" s="1">
        <v>8.3000000000000007</v>
      </c>
      <c r="V1070" s="1">
        <v>214.80575163398694</v>
      </c>
      <c r="W1070" s="1">
        <v>2</v>
      </c>
    </row>
    <row r="1071" spans="1:23" x14ac:dyDescent="0.2">
      <c r="A1071">
        <v>2022</v>
      </c>
      <c r="B1071" t="s">
        <v>23</v>
      </c>
      <c r="C1071" t="s">
        <v>24</v>
      </c>
      <c r="D1071">
        <v>61</v>
      </c>
      <c r="E1071">
        <v>2</v>
      </c>
      <c r="F1071">
        <v>2</v>
      </c>
      <c r="G1071" t="s">
        <v>85</v>
      </c>
      <c r="H1071" s="1">
        <v>12</v>
      </c>
      <c r="I1071" s="1">
        <v>65</v>
      </c>
      <c r="J1071" s="1">
        <v>70</v>
      </c>
      <c r="K1071" s="1">
        <f>J1071-I1071</f>
        <v>5</v>
      </c>
      <c r="L1071" s="1">
        <v>154</v>
      </c>
      <c r="M1071" s="1">
        <v>58</v>
      </c>
      <c r="N1071" s="1">
        <v>2</v>
      </c>
      <c r="O1071" s="1">
        <v>2.5</v>
      </c>
      <c r="P1071" s="1">
        <f>H1071-2</f>
        <v>10</v>
      </c>
      <c r="Q1071" s="2">
        <v>0.51187499999999997</v>
      </c>
      <c r="R1071" s="1">
        <v>7</v>
      </c>
      <c r="S1071" s="1">
        <f>R1071/P1071</f>
        <v>0.7</v>
      </c>
      <c r="T1071" s="1">
        <v>5</v>
      </c>
      <c r="U1071" s="1">
        <v>12.5</v>
      </c>
      <c r="V1071" s="1">
        <v>1873.5294117647059</v>
      </c>
      <c r="W1071" s="1">
        <v>4</v>
      </c>
    </row>
    <row r="1072" spans="1:23" x14ac:dyDescent="0.2">
      <c r="A1072">
        <v>2022</v>
      </c>
      <c r="B1072" t="s">
        <v>23</v>
      </c>
      <c r="C1072" t="s">
        <v>24</v>
      </c>
      <c r="D1072">
        <v>62</v>
      </c>
      <c r="E1072">
        <v>1</v>
      </c>
      <c r="F1072">
        <v>7</v>
      </c>
      <c r="G1072" t="s">
        <v>86</v>
      </c>
      <c r="H1072">
        <v>16</v>
      </c>
      <c r="I1072">
        <v>58</v>
      </c>
      <c r="J1072">
        <v>60</v>
      </c>
      <c r="K1072">
        <v>2</v>
      </c>
      <c r="L1072">
        <v>132</v>
      </c>
      <c r="M1072">
        <v>46</v>
      </c>
      <c r="N1072">
        <v>1.5</v>
      </c>
      <c r="O1072">
        <v>2</v>
      </c>
      <c r="P1072">
        <v>15</v>
      </c>
      <c r="Q1072">
        <v>1</v>
      </c>
      <c r="R1072">
        <v>14</v>
      </c>
      <c r="S1072">
        <v>0.93333333333333335</v>
      </c>
      <c r="T1072">
        <v>2.5</v>
      </c>
      <c r="U1072">
        <v>12.5</v>
      </c>
      <c r="V1072">
        <v>3660.1307189542486</v>
      </c>
      <c r="W1072">
        <v>2</v>
      </c>
    </row>
    <row r="1073" spans="1:23" x14ac:dyDescent="0.2">
      <c r="A1073">
        <v>2022</v>
      </c>
      <c r="B1073" t="s">
        <v>23</v>
      </c>
      <c r="C1073" t="s">
        <v>24</v>
      </c>
      <c r="D1073">
        <v>62</v>
      </c>
      <c r="E1073">
        <v>2</v>
      </c>
      <c r="F1073">
        <v>4</v>
      </c>
      <c r="G1073" t="s">
        <v>86</v>
      </c>
      <c r="H1073">
        <v>16</v>
      </c>
      <c r="I1073">
        <v>55</v>
      </c>
      <c r="J1073">
        <v>59</v>
      </c>
      <c r="K1073">
        <v>4</v>
      </c>
      <c r="L1073">
        <v>171</v>
      </c>
      <c r="M1073">
        <v>70</v>
      </c>
      <c r="N1073">
        <v>1</v>
      </c>
      <c r="O1073">
        <v>1.5</v>
      </c>
      <c r="P1073">
        <v>16</v>
      </c>
      <c r="Q1073">
        <v>0.5</v>
      </c>
      <c r="R1073">
        <v>14</v>
      </c>
      <c r="S1073">
        <v>0.875</v>
      </c>
      <c r="T1073">
        <v>3</v>
      </c>
      <c r="U1073">
        <v>10.1</v>
      </c>
      <c r="V1073">
        <v>1880.2614379084969</v>
      </c>
      <c r="W1073">
        <v>1</v>
      </c>
    </row>
    <row r="1074" spans="1:23" x14ac:dyDescent="0.2">
      <c r="A1074">
        <v>2022</v>
      </c>
      <c r="B1074" t="s">
        <v>23</v>
      </c>
      <c r="C1074" t="s">
        <v>24</v>
      </c>
      <c r="D1074">
        <v>63</v>
      </c>
      <c r="E1074">
        <v>1</v>
      </c>
      <c r="F1074">
        <v>6</v>
      </c>
      <c r="G1074" t="s">
        <v>87</v>
      </c>
      <c r="H1074" s="1">
        <v>14</v>
      </c>
      <c r="I1074" s="1">
        <v>60</v>
      </c>
      <c r="J1074" s="1">
        <v>65</v>
      </c>
      <c r="K1074" s="1">
        <f>J1074-I1074</f>
        <v>5</v>
      </c>
      <c r="L1074" s="1">
        <v>178</v>
      </c>
      <c r="M1074" s="1">
        <v>107</v>
      </c>
      <c r="N1074" s="1">
        <v>2</v>
      </c>
      <c r="O1074" s="1">
        <v>2</v>
      </c>
      <c r="P1074" s="1">
        <v>12</v>
      </c>
      <c r="Q1074" s="2">
        <v>0.62160000000000004</v>
      </c>
      <c r="R1074" s="1">
        <v>12</v>
      </c>
      <c r="S1074" s="1">
        <f>R1074/P1074</f>
        <v>1</v>
      </c>
      <c r="T1074" s="1">
        <v>3</v>
      </c>
      <c r="U1074" s="1">
        <v>12.5</v>
      </c>
      <c r="V1074" s="1">
        <v>2275.1372549019607</v>
      </c>
      <c r="W1074" s="1">
        <v>4</v>
      </c>
    </row>
    <row r="1075" spans="1:23" x14ac:dyDescent="0.2">
      <c r="A1075">
        <v>2022</v>
      </c>
      <c r="B1075" t="s">
        <v>23</v>
      </c>
      <c r="C1075" t="s">
        <v>24</v>
      </c>
      <c r="D1075">
        <v>63</v>
      </c>
      <c r="E1075">
        <v>2</v>
      </c>
      <c r="F1075">
        <v>3</v>
      </c>
      <c r="G1075" t="s">
        <v>87</v>
      </c>
      <c r="H1075" s="1">
        <v>14</v>
      </c>
      <c r="I1075" s="1">
        <v>66</v>
      </c>
      <c r="J1075" s="1">
        <v>70</v>
      </c>
      <c r="K1075" s="1">
        <f>J1075-I1075</f>
        <v>4</v>
      </c>
      <c r="L1075" s="1">
        <v>103</v>
      </c>
      <c r="M1075" s="1">
        <v>53</v>
      </c>
      <c r="N1075" s="1">
        <v>2</v>
      </c>
      <c r="O1075" s="1">
        <v>3.5</v>
      </c>
      <c r="P1075" s="1">
        <v>11</v>
      </c>
      <c r="Q1075" s="2">
        <v>9.4125E-2</v>
      </c>
      <c r="R1075" s="1">
        <v>4</v>
      </c>
      <c r="S1075" s="1">
        <f>R1075/P1075</f>
        <v>0.36363636363636365</v>
      </c>
      <c r="T1075" s="1">
        <v>5</v>
      </c>
      <c r="U1075" s="1">
        <v>12.5</v>
      </c>
      <c r="V1075" s="1">
        <v>344.50980392156862</v>
      </c>
      <c r="W1075" s="1">
        <v>5</v>
      </c>
    </row>
    <row r="1076" spans="1:23" x14ac:dyDescent="0.2">
      <c r="A1076">
        <v>2022</v>
      </c>
      <c r="B1076" t="s">
        <v>23</v>
      </c>
      <c r="C1076" t="s">
        <v>24</v>
      </c>
      <c r="D1076">
        <v>64</v>
      </c>
      <c r="E1076">
        <v>1</v>
      </c>
      <c r="F1076">
        <v>2</v>
      </c>
      <c r="G1076" t="s">
        <v>88</v>
      </c>
      <c r="H1076">
        <v>13</v>
      </c>
      <c r="I1076">
        <v>63</v>
      </c>
      <c r="J1076">
        <v>67</v>
      </c>
      <c r="K1076">
        <v>4</v>
      </c>
      <c r="L1076">
        <v>127</v>
      </c>
      <c r="M1076">
        <v>50</v>
      </c>
      <c r="N1076">
        <v>2</v>
      </c>
      <c r="O1076">
        <v>3</v>
      </c>
      <c r="P1076">
        <v>13</v>
      </c>
      <c r="Q1076">
        <v>1.4</v>
      </c>
      <c r="R1076">
        <v>15</v>
      </c>
      <c r="S1076">
        <v>1.1538461538461537</v>
      </c>
      <c r="T1076">
        <v>2</v>
      </c>
      <c r="U1076">
        <v>12.5</v>
      </c>
      <c r="V1076">
        <v>5124.1830065359472</v>
      </c>
      <c r="W1076">
        <v>2</v>
      </c>
    </row>
    <row r="1077" spans="1:23" x14ac:dyDescent="0.2">
      <c r="A1077">
        <v>2022</v>
      </c>
      <c r="B1077" t="s">
        <v>23</v>
      </c>
      <c r="C1077" t="s">
        <v>24</v>
      </c>
      <c r="D1077">
        <v>64</v>
      </c>
      <c r="E1077">
        <v>2</v>
      </c>
      <c r="F1077">
        <v>6</v>
      </c>
      <c r="G1077" t="s">
        <v>88</v>
      </c>
      <c r="H1077" s="1">
        <v>10</v>
      </c>
      <c r="I1077" s="1">
        <v>57</v>
      </c>
      <c r="J1077" s="1">
        <v>61</v>
      </c>
      <c r="K1077" s="1">
        <f>J1077-I1077</f>
        <v>4</v>
      </c>
      <c r="L1077" s="1">
        <v>203</v>
      </c>
      <c r="M1077" s="1">
        <v>92</v>
      </c>
      <c r="N1077" s="1">
        <v>2</v>
      </c>
      <c r="O1077" s="1">
        <v>3</v>
      </c>
      <c r="P1077" s="1">
        <v>10</v>
      </c>
      <c r="Q1077" s="2">
        <v>9.5199999999999993E-2</v>
      </c>
      <c r="R1077" s="1">
        <v>5</v>
      </c>
      <c r="S1077" s="1">
        <f>R1077/P1077</f>
        <v>0.5</v>
      </c>
      <c r="T1077" s="1">
        <v>3</v>
      </c>
      <c r="U1077" s="1">
        <v>10.5</v>
      </c>
      <c r="V1077" s="1">
        <v>356.4088888888889</v>
      </c>
      <c r="W1077" s="1">
        <v>3</v>
      </c>
    </row>
    <row r="1078" spans="1:23" x14ac:dyDescent="0.2">
      <c r="A1078">
        <v>2022</v>
      </c>
      <c r="B1078" t="s">
        <v>23</v>
      </c>
      <c r="C1078" t="s">
        <v>24</v>
      </c>
      <c r="D1078">
        <v>65</v>
      </c>
      <c r="E1078">
        <v>1</v>
      </c>
      <c r="F1078">
        <v>4</v>
      </c>
      <c r="G1078" t="s">
        <v>89</v>
      </c>
      <c r="H1078" s="1">
        <v>4</v>
      </c>
      <c r="I1078" s="1">
        <v>59</v>
      </c>
      <c r="J1078" s="1">
        <v>63</v>
      </c>
      <c r="K1078" s="1">
        <f>J1078-I1078</f>
        <v>4</v>
      </c>
      <c r="L1078" s="1">
        <v>80</v>
      </c>
      <c r="M1078" s="1">
        <v>41</v>
      </c>
      <c r="N1078" s="1">
        <v>1.5</v>
      </c>
      <c r="O1078" s="1">
        <v>4.5</v>
      </c>
      <c r="P1078" s="1">
        <v>3</v>
      </c>
      <c r="Q1078" s="2">
        <v>3.9600000000000003E-2</v>
      </c>
      <c r="R1078" s="1">
        <v>3</v>
      </c>
      <c r="S1078" s="1">
        <f>R1078/P1078</f>
        <v>1</v>
      </c>
      <c r="T1078" s="1">
        <v>5</v>
      </c>
      <c r="U1078" s="1">
        <v>12.5</v>
      </c>
      <c r="V1078" s="1">
        <v>144.94117647058823</v>
      </c>
      <c r="W1078" s="1">
        <v>5</v>
      </c>
    </row>
    <row r="1079" spans="1:23" x14ac:dyDescent="0.2">
      <c r="A1079">
        <v>2022</v>
      </c>
      <c r="B1079" t="s">
        <v>23</v>
      </c>
      <c r="C1079" t="s">
        <v>24</v>
      </c>
      <c r="D1079">
        <v>65</v>
      </c>
      <c r="E1079">
        <v>2</v>
      </c>
      <c r="F1079">
        <v>2</v>
      </c>
      <c r="G1079" t="s">
        <v>89</v>
      </c>
      <c r="H1079" s="1">
        <v>8</v>
      </c>
      <c r="I1079" s="1">
        <v>67</v>
      </c>
      <c r="J1079" s="1">
        <v>70</v>
      </c>
      <c r="K1079" s="1">
        <f>J1079-I1079</f>
        <v>3</v>
      </c>
      <c r="L1079" s="1">
        <v>161</v>
      </c>
      <c r="M1079" s="1">
        <v>92</v>
      </c>
      <c r="N1079" s="1">
        <v>2</v>
      </c>
      <c r="O1079" s="1">
        <v>3.5</v>
      </c>
      <c r="P1079" s="1">
        <v>8</v>
      </c>
      <c r="Q1079" s="2">
        <v>0.253</v>
      </c>
      <c r="R1079" s="1">
        <v>7</v>
      </c>
      <c r="S1079" s="1">
        <f>R1079/P1079</f>
        <v>0.875</v>
      </c>
      <c r="T1079" s="1">
        <v>5</v>
      </c>
      <c r="U1079" s="1">
        <v>12.5</v>
      </c>
      <c r="V1079" s="1">
        <v>926.01307189542479</v>
      </c>
      <c r="W1079" s="1">
        <v>5</v>
      </c>
    </row>
    <row r="1080" spans="1:23" x14ac:dyDescent="0.2">
      <c r="A1080">
        <v>2022</v>
      </c>
      <c r="B1080" t="s">
        <v>23</v>
      </c>
      <c r="C1080" t="s">
        <v>24</v>
      </c>
      <c r="D1080">
        <v>66</v>
      </c>
      <c r="E1080">
        <v>1</v>
      </c>
      <c r="F1080">
        <v>4</v>
      </c>
      <c r="G1080" t="s">
        <v>90</v>
      </c>
      <c r="H1080" s="1">
        <v>6</v>
      </c>
      <c r="I1080" s="1">
        <v>67</v>
      </c>
      <c r="J1080" s="1">
        <v>72</v>
      </c>
      <c r="K1080" s="1">
        <f>J1080-I1080</f>
        <v>5</v>
      </c>
      <c r="L1080" s="1">
        <v>101</v>
      </c>
      <c r="M1080" s="1">
        <v>26</v>
      </c>
      <c r="N1080" s="1">
        <v>2</v>
      </c>
      <c r="O1080" s="1">
        <v>4.5</v>
      </c>
      <c r="P1080" s="1">
        <v>6</v>
      </c>
      <c r="Q1080" s="2">
        <v>0.08</v>
      </c>
      <c r="R1080" s="1">
        <v>5</v>
      </c>
      <c r="S1080" s="1">
        <f>R1080/P1080</f>
        <v>0.83333333333333337</v>
      </c>
      <c r="T1080" s="1">
        <v>5</v>
      </c>
      <c r="U1080" s="1">
        <v>12.5</v>
      </c>
      <c r="V1080" s="1">
        <v>292.81045751633991</v>
      </c>
      <c r="W1080" s="1">
        <v>6</v>
      </c>
    </row>
    <row r="1081" spans="1:23" x14ac:dyDescent="0.2">
      <c r="A1081">
        <v>2022</v>
      </c>
      <c r="B1081" t="s">
        <v>23</v>
      </c>
      <c r="C1081" t="s">
        <v>24</v>
      </c>
      <c r="D1081">
        <v>66</v>
      </c>
      <c r="E1081">
        <v>2</v>
      </c>
      <c r="F1081">
        <v>6</v>
      </c>
      <c r="G1081" t="s">
        <v>90</v>
      </c>
      <c r="H1081">
        <v>1</v>
      </c>
      <c r="I1081">
        <v>55</v>
      </c>
      <c r="J1081">
        <v>57</v>
      </c>
      <c r="K1081">
        <v>2</v>
      </c>
      <c r="L1081">
        <v>125</v>
      </c>
      <c r="M1081">
        <v>31</v>
      </c>
      <c r="N1081">
        <v>2</v>
      </c>
      <c r="O1081">
        <v>3</v>
      </c>
      <c r="P1081">
        <v>1</v>
      </c>
      <c r="Q1081">
        <v>0.15</v>
      </c>
      <c r="R1081">
        <v>2</v>
      </c>
      <c r="S1081">
        <v>2</v>
      </c>
      <c r="T1081">
        <v>2</v>
      </c>
      <c r="U1081">
        <v>12.5</v>
      </c>
      <c r="V1081">
        <v>549.01960784313724</v>
      </c>
      <c r="W1081">
        <v>2</v>
      </c>
    </row>
    <row r="1082" spans="1:23" x14ac:dyDescent="0.2">
      <c r="A1082">
        <v>2022</v>
      </c>
      <c r="B1082" t="s">
        <v>23</v>
      </c>
      <c r="C1082" t="s">
        <v>24</v>
      </c>
      <c r="D1082">
        <v>67</v>
      </c>
      <c r="E1082">
        <v>1</v>
      </c>
      <c r="F1082">
        <v>2</v>
      </c>
      <c r="G1082" t="s">
        <v>91</v>
      </c>
      <c r="H1082" s="3">
        <v>9</v>
      </c>
      <c r="I1082" s="3">
        <v>67</v>
      </c>
      <c r="J1082" s="3">
        <v>69</v>
      </c>
      <c r="K1082" s="3">
        <f>J1082-I1082</f>
        <v>2</v>
      </c>
      <c r="L1082" s="3">
        <v>187</v>
      </c>
      <c r="M1082" s="3">
        <v>105</v>
      </c>
      <c r="N1082" s="3">
        <v>2</v>
      </c>
      <c r="O1082" s="3">
        <v>2.5</v>
      </c>
      <c r="P1082" s="3">
        <v>8</v>
      </c>
      <c r="Q1082" s="4">
        <v>0.85260000000000002</v>
      </c>
      <c r="R1082" s="3">
        <v>8</v>
      </c>
      <c r="S1082" s="3">
        <f>R1082/P1082</f>
        <v>1</v>
      </c>
      <c r="T1082" s="3">
        <v>3</v>
      </c>
      <c r="U1082" s="3">
        <v>10.4</v>
      </c>
      <c r="V1082" s="3">
        <v>3195.5225098039218</v>
      </c>
      <c r="W1082" s="3">
        <v>5</v>
      </c>
    </row>
    <row r="1083" spans="1:23" x14ac:dyDescent="0.2">
      <c r="A1083">
        <v>2022</v>
      </c>
      <c r="B1083" t="s">
        <v>23</v>
      </c>
      <c r="C1083" t="s">
        <v>24</v>
      </c>
      <c r="D1083">
        <v>67</v>
      </c>
      <c r="E1083">
        <v>2</v>
      </c>
      <c r="F1083">
        <v>14</v>
      </c>
      <c r="G1083" t="s">
        <v>91</v>
      </c>
      <c r="H1083" s="1">
        <v>2</v>
      </c>
      <c r="I1083" s="1">
        <v>67</v>
      </c>
      <c r="J1083" s="1">
        <v>71</v>
      </c>
      <c r="K1083" s="1">
        <f>J1083-I1083</f>
        <v>4</v>
      </c>
      <c r="L1083" s="1">
        <v>157</v>
      </c>
      <c r="M1083" s="1">
        <v>95</v>
      </c>
      <c r="N1083" s="1">
        <v>2</v>
      </c>
      <c r="O1083" s="1">
        <v>2.5</v>
      </c>
      <c r="P1083" s="1">
        <f>H1083</f>
        <v>2</v>
      </c>
      <c r="Q1083" s="2">
        <v>9.4500000000000001E-2</v>
      </c>
      <c r="R1083" s="1">
        <v>2</v>
      </c>
      <c r="S1083" s="1">
        <f>R1083/P1083</f>
        <v>1</v>
      </c>
      <c r="T1083" s="1">
        <v>5</v>
      </c>
      <c r="U1083" s="1">
        <v>12.5</v>
      </c>
      <c r="V1083" s="1">
        <v>345.88235294117646</v>
      </c>
      <c r="W1083" s="1">
        <v>6</v>
      </c>
    </row>
    <row r="1084" spans="1:23" x14ac:dyDescent="0.2">
      <c r="A1084">
        <v>2022</v>
      </c>
      <c r="B1084" t="s">
        <v>23</v>
      </c>
      <c r="C1084" t="s">
        <v>24</v>
      </c>
      <c r="D1084">
        <v>68</v>
      </c>
      <c r="E1084">
        <v>1</v>
      </c>
      <c r="F1084">
        <v>7</v>
      </c>
      <c r="G1084" t="s">
        <v>92</v>
      </c>
      <c r="H1084" s="1">
        <v>6</v>
      </c>
      <c r="I1084" s="1">
        <v>64</v>
      </c>
      <c r="J1084" s="1">
        <v>68</v>
      </c>
      <c r="K1084" s="1">
        <f>J1084-I1084</f>
        <v>4</v>
      </c>
      <c r="L1084" s="1">
        <v>113</v>
      </c>
      <c r="M1084" s="1">
        <v>30</v>
      </c>
      <c r="N1084" s="1">
        <v>2</v>
      </c>
      <c r="O1084" s="1">
        <v>5</v>
      </c>
      <c r="P1084" s="1">
        <v>1</v>
      </c>
      <c r="Q1084" s="2">
        <v>4.3400000000000001E-2</v>
      </c>
      <c r="R1084" s="1">
        <v>1</v>
      </c>
      <c r="S1084" s="1">
        <f>R1084/P1084</f>
        <v>1</v>
      </c>
      <c r="T1084" s="1">
        <v>5</v>
      </c>
      <c r="U1084" s="1">
        <v>12.5</v>
      </c>
      <c r="V1084" s="1">
        <v>158.84967320261438</v>
      </c>
      <c r="W1084" s="1">
        <v>7</v>
      </c>
    </row>
    <row r="1085" spans="1:23" x14ac:dyDescent="0.2">
      <c r="A1085">
        <v>2022</v>
      </c>
      <c r="B1085" t="s">
        <v>23</v>
      </c>
      <c r="C1085" t="s">
        <v>24</v>
      </c>
      <c r="D1085">
        <v>68</v>
      </c>
      <c r="E1085">
        <v>2</v>
      </c>
      <c r="F1085">
        <v>13</v>
      </c>
      <c r="G1085" t="s">
        <v>92</v>
      </c>
      <c r="H1085" s="1">
        <v>14</v>
      </c>
      <c r="I1085" s="1">
        <v>62</v>
      </c>
      <c r="J1085" s="1">
        <v>67</v>
      </c>
      <c r="K1085" s="1">
        <f>J1085-I1085</f>
        <v>5</v>
      </c>
      <c r="L1085" s="1">
        <v>90</v>
      </c>
      <c r="M1085" s="1">
        <v>68</v>
      </c>
      <c r="N1085" s="1">
        <v>2</v>
      </c>
      <c r="O1085" s="1">
        <v>2.5</v>
      </c>
      <c r="P1085" s="1">
        <f>H1085-2</f>
        <v>12</v>
      </c>
      <c r="Q1085" s="2">
        <v>0.17399999999999999</v>
      </c>
      <c r="R1085" s="1">
        <v>12</v>
      </c>
      <c r="S1085" s="1">
        <f>R1085/P1085</f>
        <v>1</v>
      </c>
      <c r="T1085" s="1">
        <v>4</v>
      </c>
      <c r="U1085" s="1">
        <v>12.5</v>
      </c>
      <c r="V1085" s="1">
        <v>636.86274509803923</v>
      </c>
      <c r="W1085" s="1">
        <v>3</v>
      </c>
    </row>
    <row r="1086" spans="1:23" x14ac:dyDescent="0.2">
      <c r="A1086">
        <v>2022</v>
      </c>
      <c r="B1086" t="s">
        <v>23</v>
      </c>
      <c r="C1086" t="s">
        <v>24</v>
      </c>
      <c r="D1086">
        <v>69</v>
      </c>
      <c r="E1086">
        <v>1</v>
      </c>
      <c r="F1086">
        <v>14</v>
      </c>
      <c r="G1086" t="s">
        <v>93</v>
      </c>
      <c r="H1086" s="1">
        <v>12</v>
      </c>
      <c r="I1086" s="1">
        <v>57</v>
      </c>
      <c r="J1086" s="1">
        <v>62</v>
      </c>
      <c r="K1086" s="1">
        <f>J1086-I1086</f>
        <v>5</v>
      </c>
      <c r="L1086" s="1">
        <v>157</v>
      </c>
      <c r="M1086" s="1">
        <v>67</v>
      </c>
      <c r="N1086" s="1">
        <v>2</v>
      </c>
      <c r="O1086" s="1">
        <v>4</v>
      </c>
      <c r="P1086" s="1">
        <v>8</v>
      </c>
      <c r="Q1086" s="2">
        <v>0.34499999999999997</v>
      </c>
      <c r="R1086" s="1">
        <v>8</v>
      </c>
      <c r="S1086" s="1">
        <f>R1086/P1086</f>
        <v>1</v>
      </c>
      <c r="T1086" s="1">
        <v>3.5</v>
      </c>
      <c r="U1086" s="1">
        <v>12.5</v>
      </c>
      <c r="V1086" s="1">
        <v>1262.7450980392157</v>
      </c>
      <c r="W1086" s="1">
        <v>5</v>
      </c>
    </row>
    <row r="1087" spans="1:23" x14ac:dyDescent="0.2">
      <c r="A1087">
        <v>2022</v>
      </c>
      <c r="B1087" t="s">
        <v>23</v>
      </c>
      <c r="C1087" t="s">
        <v>24</v>
      </c>
      <c r="D1087">
        <v>69</v>
      </c>
      <c r="E1087">
        <v>2</v>
      </c>
      <c r="F1087">
        <v>15</v>
      </c>
      <c r="G1087" t="s">
        <v>93</v>
      </c>
      <c r="H1087">
        <v>8</v>
      </c>
      <c r="I1087">
        <v>60</v>
      </c>
      <c r="J1087">
        <v>63</v>
      </c>
      <c r="K1087">
        <v>3</v>
      </c>
      <c r="L1087">
        <v>135</v>
      </c>
      <c r="M1087">
        <v>80</v>
      </c>
      <c r="N1087">
        <v>1.5</v>
      </c>
      <c r="O1087">
        <v>2</v>
      </c>
      <c r="P1087">
        <v>8</v>
      </c>
      <c r="Q1087">
        <v>0.65</v>
      </c>
      <c r="R1087">
        <v>8</v>
      </c>
      <c r="S1087">
        <v>1</v>
      </c>
      <c r="T1087">
        <v>2.5</v>
      </c>
      <c r="U1087">
        <v>12.5</v>
      </c>
      <c r="V1087">
        <v>2379.0849673202615</v>
      </c>
      <c r="W1087">
        <v>1</v>
      </c>
    </row>
    <row r="1088" spans="1:23" x14ac:dyDescent="0.2">
      <c r="A1088">
        <v>2022</v>
      </c>
      <c r="B1088" t="s">
        <v>23</v>
      </c>
      <c r="C1088" t="s">
        <v>24</v>
      </c>
      <c r="D1088">
        <v>70</v>
      </c>
      <c r="E1088">
        <v>1</v>
      </c>
      <c r="F1088">
        <v>14</v>
      </c>
      <c r="G1088" t="s">
        <v>94</v>
      </c>
      <c r="H1088" s="1">
        <v>7</v>
      </c>
      <c r="I1088" s="1">
        <v>57</v>
      </c>
      <c r="J1088" s="1">
        <v>62</v>
      </c>
      <c r="K1088" s="1">
        <f>J1088-I1088</f>
        <v>5</v>
      </c>
      <c r="L1088" s="1">
        <v>83</v>
      </c>
      <c r="M1088" s="1">
        <v>50</v>
      </c>
      <c r="N1088" s="1">
        <v>3</v>
      </c>
      <c r="O1088" s="1">
        <v>4.5</v>
      </c>
      <c r="P1088" s="1">
        <v>6</v>
      </c>
      <c r="Q1088" s="2">
        <v>0.28199999999999997</v>
      </c>
      <c r="R1088" s="1">
        <v>6</v>
      </c>
      <c r="S1088" s="1">
        <f>R1088/P1088</f>
        <v>1</v>
      </c>
      <c r="T1088" s="1">
        <v>3</v>
      </c>
      <c r="U1088" s="1">
        <v>12.5</v>
      </c>
      <c r="V1088" s="1">
        <v>1032.1568627450981</v>
      </c>
      <c r="W1088" s="1">
        <v>5</v>
      </c>
    </row>
    <row r="1089" spans="1:23" x14ac:dyDescent="0.2">
      <c r="A1089">
        <v>2022</v>
      </c>
      <c r="B1089" t="s">
        <v>23</v>
      </c>
      <c r="C1089" t="s">
        <v>24</v>
      </c>
      <c r="D1089">
        <v>70</v>
      </c>
      <c r="E1089">
        <v>2</v>
      </c>
      <c r="F1089">
        <v>4</v>
      </c>
      <c r="G1089" t="s">
        <v>94</v>
      </c>
      <c r="H1089" s="1">
        <v>1</v>
      </c>
      <c r="I1089" s="1">
        <v>66</v>
      </c>
      <c r="J1089" s="1">
        <v>69</v>
      </c>
      <c r="K1089" s="1">
        <f>J1089-I1089</f>
        <v>3</v>
      </c>
      <c r="L1089" s="1">
        <v>102</v>
      </c>
      <c r="M1089" s="1">
        <v>56</v>
      </c>
      <c r="N1089" s="1">
        <v>2</v>
      </c>
      <c r="O1089" s="1">
        <v>3</v>
      </c>
      <c r="P1089" s="1">
        <f>H1089</f>
        <v>1</v>
      </c>
      <c r="Q1089" s="2">
        <v>1.575E-2</v>
      </c>
      <c r="R1089" s="1">
        <v>1</v>
      </c>
      <c r="S1089" s="1">
        <f>R1089/P1089</f>
        <v>1</v>
      </c>
      <c r="T1089" s="1">
        <v>4</v>
      </c>
      <c r="U1089" s="1">
        <v>12.5</v>
      </c>
      <c r="V1089" s="1">
        <v>57.64705882352942</v>
      </c>
      <c r="W1089" s="1">
        <v>4</v>
      </c>
    </row>
    <row r="1090" spans="1:23" x14ac:dyDescent="0.2">
      <c r="A1090">
        <v>2022</v>
      </c>
      <c r="B1090" t="s">
        <v>23</v>
      </c>
      <c r="C1090" t="s">
        <v>24</v>
      </c>
      <c r="D1090">
        <v>71</v>
      </c>
      <c r="E1090">
        <v>1</v>
      </c>
      <c r="F1090">
        <v>7</v>
      </c>
      <c r="G1090" t="s">
        <v>95</v>
      </c>
      <c r="H1090" s="1">
        <v>16</v>
      </c>
      <c r="I1090" s="1">
        <v>70</v>
      </c>
      <c r="J1090" s="1">
        <v>74</v>
      </c>
      <c r="K1090" s="1">
        <f>J1090-I1090</f>
        <v>4</v>
      </c>
      <c r="L1090" s="1">
        <v>123</v>
      </c>
      <c r="M1090" s="1">
        <v>41</v>
      </c>
      <c r="N1090" s="1">
        <v>2</v>
      </c>
      <c r="O1090" s="1">
        <v>4</v>
      </c>
      <c r="P1090" s="1">
        <v>15</v>
      </c>
      <c r="Q1090" s="2">
        <v>0.64519999999999988</v>
      </c>
      <c r="R1090" s="1">
        <v>16</v>
      </c>
      <c r="S1090" s="1">
        <f>R1090/P1090</f>
        <v>1.0666666666666667</v>
      </c>
      <c r="T1090" s="1">
        <v>3</v>
      </c>
      <c r="U1090" s="1">
        <v>12.5</v>
      </c>
      <c r="V1090" s="1">
        <v>2361.5163398692807</v>
      </c>
      <c r="W1090" s="1">
        <v>6</v>
      </c>
    </row>
    <row r="1091" spans="1:23" x14ac:dyDescent="0.2">
      <c r="A1091">
        <v>2022</v>
      </c>
      <c r="B1091" t="s">
        <v>23</v>
      </c>
      <c r="C1091" t="s">
        <v>24</v>
      </c>
      <c r="D1091">
        <v>71</v>
      </c>
      <c r="E1091">
        <v>2</v>
      </c>
      <c r="F1091">
        <v>13</v>
      </c>
      <c r="G1091" t="s">
        <v>95</v>
      </c>
      <c r="H1091">
        <v>6</v>
      </c>
      <c r="I1091">
        <v>55</v>
      </c>
      <c r="J1091">
        <v>57</v>
      </c>
      <c r="K1091">
        <v>2</v>
      </c>
      <c r="L1091">
        <v>154</v>
      </c>
      <c r="M1091">
        <v>67</v>
      </c>
      <c r="N1091">
        <v>3</v>
      </c>
      <c r="O1091">
        <v>3</v>
      </c>
      <c r="P1091">
        <v>6</v>
      </c>
      <c r="Q1091">
        <v>0.36399999999999999</v>
      </c>
      <c r="R1091">
        <v>3</v>
      </c>
      <c r="S1091">
        <v>0.5</v>
      </c>
      <c r="T1091">
        <v>4</v>
      </c>
      <c r="U1091">
        <v>12.5</v>
      </c>
      <c r="V1091">
        <v>1332.2875816993464</v>
      </c>
      <c r="W1091">
        <v>1</v>
      </c>
    </row>
    <row r="1092" spans="1:23" x14ac:dyDescent="0.2">
      <c r="A1092">
        <v>2022</v>
      </c>
      <c r="B1092" t="s">
        <v>23</v>
      </c>
      <c r="C1092" t="s">
        <v>24</v>
      </c>
      <c r="D1092">
        <v>72</v>
      </c>
      <c r="E1092">
        <v>1</v>
      </c>
      <c r="F1092">
        <v>4</v>
      </c>
      <c r="G1092" t="s">
        <v>96</v>
      </c>
      <c r="H1092" s="1">
        <v>10</v>
      </c>
      <c r="I1092" s="1">
        <v>60</v>
      </c>
      <c r="J1092" s="1">
        <v>65</v>
      </c>
      <c r="K1092" s="1">
        <f>J1092-I1092</f>
        <v>5</v>
      </c>
      <c r="L1092" s="1">
        <v>106</v>
      </c>
      <c r="M1092" s="1">
        <v>46</v>
      </c>
      <c r="N1092" s="1">
        <v>2.5</v>
      </c>
      <c r="O1092" s="1">
        <v>4</v>
      </c>
      <c r="P1092" s="1">
        <v>8</v>
      </c>
      <c r="Q1092" s="2">
        <v>0.36499999999999999</v>
      </c>
      <c r="R1092" s="1">
        <v>8</v>
      </c>
      <c r="S1092" s="1">
        <f>R1092/P1092</f>
        <v>1</v>
      </c>
      <c r="T1092" s="1">
        <v>3</v>
      </c>
      <c r="U1092" s="1">
        <v>12.5</v>
      </c>
      <c r="V1092" s="1">
        <v>1335.9477124183006</v>
      </c>
      <c r="W1092" s="1">
        <v>4</v>
      </c>
    </row>
    <row r="1093" spans="1:23" x14ac:dyDescent="0.2">
      <c r="A1093">
        <v>2022</v>
      </c>
      <c r="B1093" t="s">
        <v>23</v>
      </c>
      <c r="C1093" t="s">
        <v>24</v>
      </c>
      <c r="D1093">
        <v>72</v>
      </c>
      <c r="E1093">
        <v>2</v>
      </c>
      <c r="F1093">
        <v>13</v>
      </c>
      <c r="G1093" t="s">
        <v>96</v>
      </c>
      <c r="H1093" s="1">
        <v>16</v>
      </c>
      <c r="I1093" s="1">
        <v>69</v>
      </c>
      <c r="J1093" s="1">
        <v>74</v>
      </c>
      <c r="K1093" s="1">
        <f>J1093-I1093</f>
        <v>5</v>
      </c>
      <c r="L1093" s="1">
        <v>167</v>
      </c>
      <c r="M1093" s="1">
        <v>67</v>
      </c>
      <c r="N1093" s="1">
        <v>2</v>
      </c>
      <c r="O1093" s="1">
        <v>3.5</v>
      </c>
      <c r="P1093" s="1">
        <v>13</v>
      </c>
      <c r="Q1093" s="2">
        <v>0.1812</v>
      </c>
      <c r="R1093" s="1">
        <v>8</v>
      </c>
      <c r="S1093" s="1">
        <f>R1093/P1093</f>
        <v>0.61538461538461542</v>
      </c>
      <c r="T1093" s="1">
        <v>4</v>
      </c>
      <c r="U1093" s="1">
        <v>12.5</v>
      </c>
      <c r="V1093" s="1">
        <v>663.21568627450984</v>
      </c>
      <c r="W1093" s="1">
        <v>4</v>
      </c>
    </row>
    <row r="1094" spans="1:23" x14ac:dyDescent="0.2">
      <c r="A1094">
        <v>2022</v>
      </c>
      <c r="B1094" t="s">
        <v>23</v>
      </c>
      <c r="C1094" t="s">
        <v>24</v>
      </c>
      <c r="D1094">
        <v>73</v>
      </c>
      <c r="E1094">
        <v>1</v>
      </c>
      <c r="F1094">
        <v>6</v>
      </c>
      <c r="G1094" t="s">
        <v>97</v>
      </c>
      <c r="H1094" s="1">
        <v>5</v>
      </c>
      <c r="I1094" s="1">
        <v>59</v>
      </c>
      <c r="J1094" s="1">
        <v>65</v>
      </c>
      <c r="K1094" s="1">
        <f>J1094-I1094</f>
        <v>6</v>
      </c>
      <c r="L1094" s="1">
        <v>168</v>
      </c>
      <c r="M1094" s="1">
        <v>65</v>
      </c>
      <c r="N1094" s="1">
        <v>3</v>
      </c>
      <c r="O1094" s="1">
        <v>4</v>
      </c>
      <c r="P1094" s="1">
        <v>5</v>
      </c>
      <c r="Q1094" s="2">
        <v>5.1999999999999998E-2</v>
      </c>
      <c r="R1094" s="1">
        <v>1</v>
      </c>
      <c r="S1094" s="1">
        <f>R1094/P1094</f>
        <v>0.2</v>
      </c>
      <c r="T1094" s="1">
        <v>5</v>
      </c>
      <c r="U1094" s="1">
        <v>12.5</v>
      </c>
      <c r="V1094" s="1">
        <v>190.32679738562092</v>
      </c>
      <c r="W1094" s="1">
        <v>5</v>
      </c>
    </row>
    <row r="1095" spans="1:23" x14ac:dyDescent="0.2">
      <c r="A1095">
        <v>2022</v>
      </c>
      <c r="B1095" t="s">
        <v>23</v>
      </c>
      <c r="C1095" t="s">
        <v>24</v>
      </c>
      <c r="D1095">
        <v>73</v>
      </c>
      <c r="E1095">
        <v>2</v>
      </c>
      <c r="F1095">
        <v>3</v>
      </c>
      <c r="G1095" t="s">
        <v>97</v>
      </c>
      <c r="H1095" s="1">
        <v>3</v>
      </c>
      <c r="I1095" s="1">
        <v>65</v>
      </c>
      <c r="J1095" s="1">
        <v>66</v>
      </c>
      <c r="K1095" s="1">
        <f>J1095-I1095</f>
        <v>1</v>
      </c>
      <c r="L1095" s="1">
        <v>87</v>
      </c>
      <c r="M1095" s="1">
        <v>45</v>
      </c>
      <c r="N1095" s="1">
        <v>1.5</v>
      </c>
      <c r="O1095" s="1">
        <v>4</v>
      </c>
      <c r="P1095" s="1">
        <v>2</v>
      </c>
      <c r="Q1095" s="2">
        <v>7.3999999999999996E-2</v>
      </c>
      <c r="R1095" s="1">
        <v>1</v>
      </c>
      <c r="S1095" s="1">
        <f>R1095/P1095</f>
        <v>0.5</v>
      </c>
      <c r="T1095" s="1">
        <v>4</v>
      </c>
      <c r="U1095" s="1">
        <v>12.5</v>
      </c>
      <c r="V1095" s="1">
        <v>270.84967320261438</v>
      </c>
      <c r="W1095" s="1">
        <v>4</v>
      </c>
    </row>
    <row r="1096" spans="1:23" x14ac:dyDescent="0.2">
      <c r="A1096">
        <v>2022</v>
      </c>
      <c r="B1096" t="s">
        <v>23</v>
      </c>
      <c r="C1096" t="s">
        <v>24</v>
      </c>
      <c r="D1096">
        <v>74</v>
      </c>
      <c r="E1096">
        <v>1</v>
      </c>
      <c r="F1096">
        <v>12</v>
      </c>
      <c r="G1096" t="s">
        <v>98</v>
      </c>
      <c r="H1096">
        <v>8</v>
      </c>
      <c r="I1096">
        <v>63</v>
      </c>
      <c r="J1096">
        <v>65</v>
      </c>
      <c r="K1096">
        <v>2</v>
      </c>
      <c r="L1096">
        <v>147</v>
      </c>
      <c r="M1096">
        <v>55</v>
      </c>
      <c r="N1096">
        <v>2</v>
      </c>
      <c r="O1096">
        <v>3</v>
      </c>
      <c r="P1096">
        <v>8</v>
      </c>
      <c r="Q1096">
        <v>0.6</v>
      </c>
      <c r="R1096">
        <v>10</v>
      </c>
      <c r="S1096">
        <v>1.25</v>
      </c>
      <c r="T1096">
        <v>3</v>
      </c>
      <c r="U1096">
        <v>12.5</v>
      </c>
      <c r="V1096">
        <v>2196.0784313725489</v>
      </c>
      <c r="W1096">
        <v>1</v>
      </c>
    </row>
    <row r="1097" spans="1:23" x14ac:dyDescent="0.2">
      <c r="A1097">
        <v>2022</v>
      </c>
      <c r="B1097" t="s">
        <v>23</v>
      </c>
      <c r="C1097" t="s">
        <v>24</v>
      </c>
      <c r="D1097">
        <v>74</v>
      </c>
      <c r="E1097">
        <v>2</v>
      </c>
      <c r="F1097">
        <v>4</v>
      </c>
      <c r="G1097" t="s">
        <v>98</v>
      </c>
      <c r="H1097" s="1">
        <v>6</v>
      </c>
      <c r="I1097" s="1">
        <v>68</v>
      </c>
      <c r="J1097" s="1">
        <v>72</v>
      </c>
      <c r="K1097" s="1">
        <f>J1097-I1097</f>
        <v>4</v>
      </c>
      <c r="L1097" s="1">
        <v>168</v>
      </c>
      <c r="M1097" s="1">
        <v>57</v>
      </c>
      <c r="N1097" s="1">
        <v>2</v>
      </c>
      <c r="O1097" s="1">
        <v>3.5</v>
      </c>
      <c r="P1097" s="1">
        <v>5</v>
      </c>
      <c r="Q1097" s="2">
        <v>0.32119999999999999</v>
      </c>
      <c r="R1097" s="1">
        <v>2</v>
      </c>
      <c r="S1097" s="1">
        <f>R1097/P1097</f>
        <v>0.4</v>
      </c>
      <c r="T1097" s="1">
        <v>5</v>
      </c>
      <c r="U1097" s="1">
        <v>9.9</v>
      </c>
      <c r="V1097" s="1">
        <v>1210.5671111111108</v>
      </c>
      <c r="W1097" s="1">
        <v>4</v>
      </c>
    </row>
    <row r="1098" spans="1:23" x14ac:dyDescent="0.2">
      <c r="A1098">
        <v>2022</v>
      </c>
      <c r="B1098" t="s">
        <v>23</v>
      </c>
      <c r="C1098" t="s">
        <v>24</v>
      </c>
      <c r="D1098">
        <v>75</v>
      </c>
      <c r="E1098">
        <v>1</v>
      </c>
      <c r="F1098">
        <v>14</v>
      </c>
      <c r="G1098" t="s">
        <v>99</v>
      </c>
      <c r="H1098" s="1">
        <v>7</v>
      </c>
      <c r="I1098" s="1">
        <v>62</v>
      </c>
      <c r="J1098" s="1">
        <v>68</v>
      </c>
      <c r="K1098" s="1">
        <f>J1098-I1098</f>
        <v>6</v>
      </c>
      <c r="L1098" s="1">
        <v>128</v>
      </c>
      <c r="M1098" s="1">
        <v>82</v>
      </c>
      <c r="N1098" s="1">
        <v>2</v>
      </c>
      <c r="O1098" s="1">
        <v>3.5</v>
      </c>
      <c r="P1098" s="1">
        <v>5</v>
      </c>
      <c r="Q1098" s="2">
        <v>0.15719999999999998</v>
      </c>
      <c r="R1098" s="1">
        <v>6</v>
      </c>
      <c r="S1098" s="1">
        <f>R1098/P1098</f>
        <v>1.2</v>
      </c>
      <c r="T1098" s="1">
        <v>5</v>
      </c>
      <c r="U1098" s="1">
        <v>12.5</v>
      </c>
      <c r="V1098" s="1">
        <v>575.37254901960785</v>
      </c>
      <c r="W1098" s="1">
        <v>4</v>
      </c>
    </row>
    <row r="1099" spans="1:23" x14ac:dyDescent="0.2">
      <c r="A1099">
        <v>2022</v>
      </c>
      <c r="B1099" t="s">
        <v>23</v>
      </c>
      <c r="C1099" t="s">
        <v>24</v>
      </c>
      <c r="D1099">
        <v>75</v>
      </c>
      <c r="E1099">
        <v>2</v>
      </c>
      <c r="F1099">
        <v>4</v>
      </c>
      <c r="G1099" t="s">
        <v>99</v>
      </c>
      <c r="H1099" s="1">
        <v>10</v>
      </c>
      <c r="I1099" s="1">
        <v>64</v>
      </c>
      <c r="J1099" s="1">
        <v>67</v>
      </c>
      <c r="K1099" s="1">
        <f>J1099-I1099</f>
        <v>3</v>
      </c>
      <c r="L1099" s="1">
        <v>165</v>
      </c>
      <c r="M1099" s="1">
        <v>80</v>
      </c>
      <c r="N1099" s="1">
        <v>2</v>
      </c>
      <c r="O1099" s="1">
        <v>2.5</v>
      </c>
      <c r="P1099" s="1">
        <v>9</v>
      </c>
      <c r="Q1099" s="2">
        <v>0.56000000000000005</v>
      </c>
      <c r="R1099" s="1">
        <v>9</v>
      </c>
      <c r="S1099" s="1">
        <f>R1099/P1099</f>
        <v>1</v>
      </c>
      <c r="T1099" s="1">
        <v>3</v>
      </c>
      <c r="U1099" s="1">
        <v>7.9</v>
      </c>
      <c r="V1099" s="1">
        <v>2157.4274509803922</v>
      </c>
      <c r="W1099" s="1">
        <v>4</v>
      </c>
    </row>
    <row r="1100" spans="1:23" x14ac:dyDescent="0.2">
      <c r="A1100">
        <v>2022</v>
      </c>
      <c r="B1100" t="s">
        <v>23</v>
      </c>
      <c r="C1100" t="s">
        <v>24</v>
      </c>
      <c r="D1100">
        <v>76</v>
      </c>
      <c r="E1100">
        <v>1</v>
      </c>
      <c r="F1100">
        <v>3</v>
      </c>
      <c r="G1100" t="s">
        <v>100</v>
      </c>
      <c r="H1100" s="1">
        <v>8</v>
      </c>
      <c r="I1100" s="1">
        <v>64</v>
      </c>
      <c r="J1100" s="1">
        <v>68</v>
      </c>
      <c r="K1100" s="1">
        <f>J1100-I1100</f>
        <v>4</v>
      </c>
      <c r="L1100" s="1">
        <v>98</v>
      </c>
      <c r="M1100" s="1">
        <v>45</v>
      </c>
      <c r="N1100" s="1">
        <v>1.5</v>
      </c>
      <c r="O1100" s="1">
        <v>4</v>
      </c>
      <c r="P1100" s="1">
        <v>6</v>
      </c>
      <c r="Q1100" s="2">
        <v>0.34</v>
      </c>
      <c r="R1100" s="1">
        <v>4</v>
      </c>
      <c r="S1100" s="1">
        <f>R1100/P1100</f>
        <v>0.66666666666666663</v>
      </c>
      <c r="T1100" s="1">
        <v>3</v>
      </c>
      <c r="U1100" s="1">
        <v>12.5</v>
      </c>
      <c r="V1100" s="1">
        <v>1244.4444444444448</v>
      </c>
      <c r="W1100" s="1">
        <v>5</v>
      </c>
    </row>
    <row r="1101" spans="1:23" x14ac:dyDescent="0.2">
      <c r="A1101">
        <v>2022</v>
      </c>
      <c r="B1101" t="s">
        <v>23</v>
      </c>
      <c r="C1101" t="s">
        <v>24</v>
      </c>
      <c r="D1101">
        <v>76</v>
      </c>
      <c r="E1101">
        <v>2</v>
      </c>
      <c r="F1101">
        <v>2</v>
      </c>
      <c r="G1101" t="s">
        <v>100</v>
      </c>
      <c r="H1101" s="1">
        <v>4</v>
      </c>
      <c r="I1101" s="1">
        <v>65</v>
      </c>
      <c r="J1101" s="1">
        <v>69</v>
      </c>
      <c r="K1101" s="1">
        <f>J1101-I1101</f>
        <v>4</v>
      </c>
      <c r="L1101" s="1">
        <v>177</v>
      </c>
      <c r="M1101" s="1">
        <v>92</v>
      </c>
      <c r="N1101" s="1">
        <v>2</v>
      </c>
      <c r="O1101" s="1">
        <v>3</v>
      </c>
      <c r="P1101" s="1">
        <v>4</v>
      </c>
      <c r="Q1101" s="2">
        <v>0.37992000000000004</v>
      </c>
      <c r="R1101" s="1">
        <v>3</v>
      </c>
      <c r="S1101" s="1">
        <f>R1101/P1101</f>
        <v>0.75</v>
      </c>
      <c r="T1101" s="1">
        <v>5</v>
      </c>
      <c r="U1101" s="1">
        <v>12.5</v>
      </c>
      <c r="V1101" s="1">
        <v>1390.5568627450982</v>
      </c>
      <c r="W1101" s="1">
        <v>4</v>
      </c>
    </row>
    <row r="1102" spans="1:23" x14ac:dyDescent="0.2">
      <c r="A1102">
        <v>2022</v>
      </c>
      <c r="B1102" t="s">
        <v>23</v>
      </c>
      <c r="C1102" t="s">
        <v>24</v>
      </c>
      <c r="D1102">
        <v>77</v>
      </c>
      <c r="E1102">
        <v>1</v>
      </c>
      <c r="F1102">
        <v>3</v>
      </c>
      <c r="G1102" t="s">
        <v>101</v>
      </c>
      <c r="H1102">
        <v>4</v>
      </c>
      <c r="I1102">
        <v>55</v>
      </c>
      <c r="J1102">
        <v>59</v>
      </c>
      <c r="K1102">
        <v>4</v>
      </c>
      <c r="L1102">
        <v>102</v>
      </c>
      <c r="M1102">
        <v>33</v>
      </c>
      <c r="N1102">
        <v>2.5</v>
      </c>
      <c r="O1102">
        <v>3</v>
      </c>
      <c r="P1102">
        <v>4</v>
      </c>
      <c r="Q1102">
        <v>0.3</v>
      </c>
      <c r="R1102">
        <v>4</v>
      </c>
      <c r="S1102">
        <v>1</v>
      </c>
      <c r="T1102">
        <v>3</v>
      </c>
      <c r="U1102">
        <v>12.5</v>
      </c>
      <c r="V1102">
        <v>1098.0392156862745</v>
      </c>
      <c r="W1102">
        <v>2</v>
      </c>
    </row>
    <row r="1103" spans="1:23" x14ac:dyDescent="0.2">
      <c r="A1103">
        <v>2022</v>
      </c>
      <c r="B1103" t="s">
        <v>23</v>
      </c>
      <c r="C1103" t="s">
        <v>24</v>
      </c>
      <c r="D1103">
        <v>77</v>
      </c>
      <c r="E1103">
        <v>2</v>
      </c>
      <c r="F1103">
        <v>12</v>
      </c>
      <c r="G1103" t="s">
        <v>101</v>
      </c>
      <c r="H1103" s="1">
        <v>6</v>
      </c>
      <c r="I1103" s="1">
        <v>60</v>
      </c>
      <c r="J1103" s="1">
        <v>65</v>
      </c>
      <c r="K1103" s="1">
        <f>J1103-I1103</f>
        <v>5</v>
      </c>
      <c r="L1103" s="1">
        <v>150</v>
      </c>
      <c r="M1103" s="1">
        <v>100</v>
      </c>
      <c r="N1103" s="1">
        <v>2</v>
      </c>
      <c r="O1103" s="1">
        <v>2.5</v>
      </c>
      <c r="P1103" s="1">
        <v>5</v>
      </c>
      <c r="Q1103" s="2">
        <v>0.1804</v>
      </c>
      <c r="R1103" s="1">
        <v>4</v>
      </c>
      <c r="S1103" s="1">
        <f>R1103/P1103</f>
        <v>0.8</v>
      </c>
      <c r="T1103" s="1">
        <v>5</v>
      </c>
      <c r="U1103" s="1">
        <v>12.5</v>
      </c>
      <c r="V1103" s="1">
        <v>660.28758169934645</v>
      </c>
      <c r="W1103" s="1">
        <v>4</v>
      </c>
    </row>
    <row r="1104" spans="1:23" x14ac:dyDescent="0.2">
      <c r="A1104">
        <v>2022</v>
      </c>
      <c r="B1104" t="s">
        <v>23</v>
      </c>
      <c r="C1104" t="s">
        <v>24</v>
      </c>
      <c r="D1104">
        <v>78</v>
      </c>
      <c r="E1104">
        <v>1</v>
      </c>
      <c r="F1104">
        <v>1</v>
      </c>
      <c r="G1104" t="s">
        <v>102</v>
      </c>
      <c r="H1104" s="1">
        <v>12</v>
      </c>
      <c r="I1104" s="1">
        <v>64</v>
      </c>
      <c r="J1104" s="1">
        <v>66</v>
      </c>
      <c r="K1104" s="1">
        <f>J1104-I1104</f>
        <v>2</v>
      </c>
      <c r="L1104" s="1">
        <v>133</v>
      </c>
      <c r="M1104" s="1">
        <v>82</v>
      </c>
      <c r="N1104" s="1">
        <v>2</v>
      </c>
      <c r="O1104" s="1">
        <v>3</v>
      </c>
      <c r="P1104" s="1">
        <v>10</v>
      </c>
      <c r="Q1104" s="2">
        <v>1.8281249999999999E-2</v>
      </c>
      <c r="R1104" s="1">
        <v>7</v>
      </c>
      <c r="S1104" s="1">
        <f>R1104/P1104</f>
        <v>0.7</v>
      </c>
      <c r="T1104" s="1">
        <v>5</v>
      </c>
      <c r="U1104" s="1">
        <v>12.5</v>
      </c>
      <c r="V1104" s="1">
        <v>66.911764705882362</v>
      </c>
      <c r="W1104" s="1">
        <v>5</v>
      </c>
    </row>
    <row r="1105" spans="1:23" x14ac:dyDescent="0.2">
      <c r="A1105">
        <v>2022</v>
      </c>
      <c r="B1105" t="s">
        <v>23</v>
      </c>
      <c r="C1105" t="s">
        <v>24</v>
      </c>
      <c r="D1105">
        <v>78</v>
      </c>
      <c r="E1105">
        <v>2</v>
      </c>
      <c r="F1105">
        <v>13</v>
      </c>
      <c r="G1105" t="s">
        <v>102</v>
      </c>
      <c r="H1105" s="1">
        <v>1</v>
      </c>
      <c r="I1105" s="1">
        <v>63</v>
      </c>
      <c r="J1105" s="1">
        <v>67</v>
      </c>
      <c r="K1105" s="1">
        <f>J1105-I1105</f>
        <v>4</v>
      </c>
      <c r="L1105" s="1">
        <v>189</v>
      </c>
      <c r="M1105" s="1">
        <v>112</v>
      </c>
      <c r="N1105" s="1">
        <v>2</v>
      </c>
      <c r="O1105" s="1">
        <v>2</v>
      </c>
      <c r="P1105" s="1">
        <f>H1105</f>
        <v>1</v>
      </c>
      <c r="Q1105" s="2">
        <v>3.3000000000000002E-2</v>
      </c>
      <c r="R1105" s="1">
        <v>1</v>
      </c>
      <c r="S1105" s="1">
        <f>R1105/P1105</f>
        <v>1</v>
      </c>
      <c r="T1105" s="1">
        <v>3</v>
      </c>
      <c r="U1105" s="1">
        <v>12.5</v>
      </c>
      <c r="V1105" s="1">
        <v>120.78431372549019</v>
      </c>
      <c r="W1105" s="1">
        <v>2</v>
      </c>
    </row>
    <row r="1106" spans="1:23" x14ac:dyDescent="0.2">
      <c r="A1106">
        <v>2022</v>
      </c>
      <c r="B1106" t="s">
        <v>23</v>
      </c>
      <c r="C1106" t="s">
        <v>24</v>
      </c>
      <c r="D1106">
        <v>79</v>
      </c>
      <c r="E1106">
        <v>1</v>
      </c>
      <c r="F1106">
        <v>10</v>
      </c>
      <c r="G1106" t="s">
        <v>103</v>
      </c>
      <c r="H1106" s="1">
        <v>7</v>
      </c>
      <c r="I1106" s="1">
        <v>63</v>
      </c>
      <c r="J1106" s="1">
        <v>67</v>
      </c>
      <c r="K1106" s="1">
        <f>J1106-I1106</f>
        <v>4</v>
      </c>
      <c r="L1106" s="1">
        <v>106</v>
      </c>
      <c r="M1106" s="1">
        <v>26</v>
      </c>
      <c r="N1106" s="1">
        <v>2</v>
      </c>
      <c r="O1106" s="1">
        <v>5</v>
      </c>
      <c r="P1106" s="1">
        <v>1</v>
      </c>
      <c r="Q1106" s="2">
        <v>3.5000000000000003E-2</v>
      </c>
      <c r="R1106" s="1">
        <v>1</v>
      </c>
      <c r="S1106" s="1">
        <f>R1106/P1106</f>
        <v>1</v>
      </c>
      <c r="T1106" s="1">
        <v>5</v>
      </c>
      <c r="U1106" s="1">
        <v>12.5</v>
      </c>
      <c r="V1106" s="1">
        <v>128.10457516339872</v>
      </c>
      <c r="W1106" s="1">
        <v>6</v>
      </c>
    </row>
    <row r="1107" spans="1:23" x14ac:dyDescent="0.2">
      <c r="A1107">
        <v>2022</v>
      </c>
      <c r="B1107" t="s">
        <v>23</v>
      </c>
      <c r="C1107" t="s">
        <v>24</v>
      </c>
      <c r="D1107">
        <v>79</v>
      </c>
      <c r="E1107">
        <v>2</v>
      </c>
      <c r="F1107">
        <v>9</v>
      </c>
      <c r="G1107" t="s">
        <v>103</v>
      </c>
      <c r="H1107">
        <v>15</v>
      </c>
      <c r="I1107">
        <v>52</v>
      </c>
      <c r="J1107">
        <v>54</v>
      </c>
      <c r="K1107">
        <v>2</v>
      </c>
      <c r="L1107">
        <v>169</v>
      </c>
      <c r="M1107">
        <v>68</v>
      </c>
      <c r="N1107">
        <v>1</v>
      </c>
      <c r="O1107">
        <v>2.5</v>
      </c>
      <c r="P1107">
        <v>12</v>
      </c>
      <c r="Q1107">
        <v>0.8</v>
      </c>
      <c r="R1107">
        <v>12</v>
      </c>
      <c r="S1107">
        <v>1</v>
      </c>
      <c r="T1107">
        <v>2</v>
      </c>
      <c r="U1107">
        <v>11.2</v>
      </c>
      <c r="V1107">
        <v>2971.6078431372557</v>
      </c>
      <c r="W1107">
        <v>2</v>
      </c>
    </row>
    <row r="1108" spans="1:23" x14ac:dyDescent="0.2">
      <c r="A1108">
        <v>2022</v>
      </c>
      <c r="B1108" t="s">
        <v>23</v>
      </c>
      <c r="C1108" t="s">
        <v>24</v>
      </c>
      <c r="D1108">
        <v>80</v>
      </c>
      <c r="E1108">
        <v>1</v>
      </c>
      <c r="F1108">
        <v>11</v>
      </c>
      <c r="G1108" t="s">
        <v>104</v>
      </c>
      <c r="H1108" s="1">
        <v>10</v>
      </c>
      <c r="I1108" s="1">
        <v>69</v>
      </c>
      <c r="J1108" s="1">
        <v>73</v>
      </c>
      <c r="K1108" s="1">
        <f t="shared" ref="K1108:K1119" si="58">J1108-I1108</f>
        <v>4</v>
      </c>
      <c r="L1108" s="1">
        <v>166</v>
      </c>
      <c r="M1108" s="1">
        <v>105</v>
      </c>
      <c r="N1108" s="1">
        <v>2</v>
      </c>
      <c r="O1108" s="1">
        <v>3.5</v>
      </c>
      <c r="P1108" s="1">
        <v>8</v>
      </c>
      <c r="Q1108" s="2">
        <v>0.25680000000000003</v>
      </c>
      <c r="R1108" s="1">
        <v>5</v>
      </c>
      <c r="S1108" s="1">
        <f t="shared" ref="S1108:S1119" si="59">R1108/P1108</f>
        <v>0.625</v>
      </c>
      <c r="T1108" s="1">
        <v>5</v>
      </c>
      <c r="U1108" s="1">
        <v>12.5</v>
      </c>
      <c r="V1108" s="1">
        <v>939.92156862745105</v>
      </c>
      <c r="W1108" s="1">
        <v>3</v>
      </c>
    </row>
    <row r="1109" spans="1:23" x14ac:dyDescent="0.2">
      <c r="A1109">
        <v>2022</v>
      </c>
      <c r="B1109" t="s">
        <v>23</v>
      </c>
      <c r="C1109" t="s">
        <v>24</v>
      </c>
      <c r="D1109">
        <v>80</v>
      </c>
      <c r="E1109">
        <v>2</v>
      </c>
      <c r="F1109">
        <v>7</v>
      </c>
      <c r="G1109" t="s">
        <v>104</v>
      </c>
      <c r="H1109" s="1">
        <v>2</v>
      </c>
      <c r="I1109" s="1">
        <v>67</v>
      </c>
      <c r="J1109" s="1">
        <v>72</v>
      </c>
      <c r="K1109" s="1">
        <f t="shared" si="58"/>
        <v>5</v>
      </c>
      <c r="L1109" s="1">
        <v>138</v>
      </c>
      <c r="M1109" s="1">
        <v>93</v>
      </c>
      <c r="N1109" s="1">
        <v>2</v>
      </c>
      <c r="O1109" s="1">
        <v>3</v>
      </c>
      <c r="P1109" s="1">
        <f>H1109</f>
        <v>2</v>
      </c>
      <c r="Q1109" s="2">
        <v>9.375E-2</v>
      </c>
      <c r="R1109" s="1">
        <v>3</v>
      </c>
      <c r="S1109" s="1">
        <f t="shared" si="59"/>
        <v>1.5</v>
      </c>
      <c r="T1109" s="1">
        <v>3</v>
      </c>
      <c r="U1109" s="1">
        <v>12.5</v>
      </c>
      <c r="V1109" s="1">
        <v>343.13725490196077</v>
      </c>
      <c r="W1109" s="1">
        <v>3</v>
      </c>
    </row>
    <row r="1110" spans="1:23" x14ac:dyDescent="0.2">
      <c r="A1110">
        <v>2022</v>
      </c>
      <c r="B1110" t="s">
        <v>23</v>
      </c>
      <c r="C1110" t="s">
        <v>24</v>
      </c>
      <c r="D1110">
        <v>81</v>
      </c>
      <c r="E1110">
        <v>1</v>
      </c>
      <c r="F1110">
        <v>15</v>
      </c>
      <c r="G1110" t="s">
        <v>105</v>
      </c>
      <c r="H1110" s="1">
        <v>10</v>
      </c>
      <c r="I1110" s="1">
        <v>68</v>
      </c>
      <c r="J1110" s="1">
        <v>71</v>
      </c>
      <c r="K1110" s="1">
        <f t="shared" si="58"/>
        <v>3</v>
      </c>
      <c r="L1110" s="1">
        <v>181</v>
      </c>
      <c r="M1110" s="1">
        <v>87</v>
      </c>
      <c r="N1110" s="1">
        <v>2</v>
      </c>
      <c r="O1110" s="1">
        <v>2.5</v>
      </c>
      <c r="P1110" s="1">
        <v>9</v>
      </c>
      <c r="Q1110" s="2">
        <v>0.78</v>
      </c>
      <c r="R1110" s="1">
        <v>9</v>
      </c>
      <c r="S1110" s="1">
        <f t="shared" si="59"/>
        <v>1</v>
      </c>
      <c r="T1110" s="1">
        <v>3</v>
      </c>
      <c r="U1110" s="1">
        <v>12.5</v>
      </c>
      <c r="V1110" s="1">
        <v>2854.9019607843138</v>
      </c>
      <c r="W1110" s="1">
        <v>5</v>
      </c>
    </row>
    <row r="1111" spans="1:23" x14ac:dyDescent="0.2">
      <c r="A1111">
        <v>2022</v>
      </c>
      <c r="B1111" t="s">
        <v>23</v>
      </c>
      <c r="C1111" t="s">
        <v>24</v>
      </c>
      <c r="D1111">
        <v>81</v>
      </c>
      <c r="E1111">
        <v>2</v>
      </c>
      <c r="F1111">
        <v>2</v>
      </c>
      <c r="G1111" t="s">
        <v>105</v>
      </c>
      <c r="H1111" s="1">
        <v>5</v>
      </c>
      <c r="I1111" s="1">
        <v>63</v>
      </c>
      <c r="J1111" s="1">
        <v>64</v>
      </c>
      <c r="K1111" s="1">
        <f t="shared" si="58"/>
        <v>1</v>
      </c>
      <c r="L1111" s="1">
        <v>106</v>
      </c>
      <c r="M1111" s="1">
        <v>39</v>
      </c>
      <c r="N1111" s="1">
        <v>1.5</v>
      </c>
      <c r="O1111" s="1">
        <v>3.5</v>
      </c>
      <c r="P1111" s="1">
        <v>5</v>
      </c>
      <c r="Q1111" s="2">
        <v>0.49249999999999999</v>
      </c>
      <c r="R1111" s="1">
        <v>6</v>
      </c>
      <c r="S1111" s="1">
        <f t="shared" si="59"/>
        <v>1.2</v>
      </c>
      <c r="T1111" s="1">
        <v>3</v>
      </c>
      <c r="U1111" s="1">
        <v>12.5</v>
      </c>
      <c r="V1111" s="1">
        <v>1802.6143790849674</v>
      </c>
      <c r="W1111" s="1">
        <v>3</v>
      </c>
    </row>
    <row r="1112" spans="1:23" x14ac:dyDescent="0.2">
      <c r="A1112">
        <v>2022</v>
      </c>
      <c r="B1112" t="s">
        <v>23</v>
      </c>
      <c r="C1112" t="s">
        <v>24</v>
      </c>
      <c r="D1112">
        <v>82</v>
      </c>
      <c r="E1112">
        <v>1</v>
      </c>
      <c r="F1112">
        <v>10</v>
      </c>
      <c r="G1112" t="s">
        <v>106</v>
      </c>
      <c r="H1112" s="1">
        <v>8</v>
      </c>
      <c r="I1112" s="1">
        <v>61</v>
      </c>
      <c r="J1112" s="1">
        <v>65</v>
      </c>
      <c r="K1112" s="1">
        <f t="shared" si="58"/>
        <v>4</v>
      </c>
      <c r="L1112" s="1">
        <v>141</v>
      </c>
      <c r="M1112" s="1">
        <v>52</v>
      </c>
      <c r="N1112" s="1">
        <v>2</v>
      </c>
      <c r="O1112" s="1">
        <v>3.5</v>
      </c>
      <c r="P1112" s="1">
        <v>7</v>
      </c>
      <c r="Q1112" s="2">
        <v>0.04</v>
      </c>
      <c r="R1112" s="1">
        <v>5</v>
      </c>
      <c r="S1112" s="1">
        <f t="shared" si="59"/>
        <v>0.7142857142857143</v>
      </c>
      <c r="T1112" s="1">
        <v>5</v>
      </c>
      <c r="U1112" s="1">
        <v>12.5</v>
      </c>
      <c r="V1112" s="1">
        <v>146.40522875816995</v>
      </c>
      <c r="W1112" s="1">
        <v>4</v>
      </c>
    </row>
    <row r="1113" spans="1:23" x14ac:dyDescent="0.2">
      <c r="A1113">
        <v>2022</v>
      </c>
      <c r="B1113" t="s">
        <v>23</v>
      </c>
      <c r="C1113" t="s">
        <v>24</v>
      </c>
      <c r="D1113">
        <v>82</v>
      </c>
      <c r="E1113">
        <v>2</v>
      </c>
      <c r="F1113">
        <v>1</v>
      </c>
      <c r="G1113" t="s">
        <v>106</v>
      </c>
      <c r="H1113" s="1">
        <v>9</v>
      </c>
      <c r="I1113" s="1">
        <v>58</v>
      </c>
      <c r="J1113" s="1">
        <v>63</v>
      </c>
      <c r="K1113" s="1">
        <f t="shared" si="58"/>
        <v>5</v>
      </c>
      <c r="L1113" s="1">
        <v>157</v>
      </c>
      <c r="M1113" s="1">
        <v>100</v>
      </c>
      <c r="N1113" s="1">
        <v>2</v>
      </c>
      <c r="O1113" s="1">
        <v>1.5</v>
      </c>
      <c r="P1113" s="1">
        <f>H1113-1</f>
        <v>8</v>
      </c>
      <c r="Q1113" s="2">
        <v>0.1275</v>
      </c>
      <c r="R1113" s="1">
        <v>8</v>
      </c>
      <c r="S1113" s="1">
        <f t="shared" si="59"/>
        <v>1</v>
      </c>
      <c r="T1113" s="1">
        <v>2</v>
      </c>
      <c r="U1113" s="1">
        <v>12.5</v>
      </c>
      <c r="V1113" s="1">
        <v>466.66666666666669</v>
      </c>
      <c r="W1113" s="1">
        <v>3</v>
      </c>
    </row>
    <row r="1114" spans="1:23" x14ac:dyDescent="0.2">
      <c r="A1114">
        <v>2022</v>
      </c>
      <c r="B1114" t="s">
        <v>23</v>
      </c>
      <c r="C1114" t="s">
        <v>24</v>
      </c>
      <c r="D1114">
        <v>83</v>
      </c>
      <c r="E1114">
        <v>1</v>
      </c>
      <c r="F1114">
        <v>9</v>
      </c>
      <c r="G1114" t="s">
        <v>107</v>
      </c>
      <c r="H1114" s="1">
        <v>8</v>
      </c>
      <c r="I1114" s="1">
        <v>69</v>
      </c>
      <c r="J1114" s="1">
        <v>70</v>
      </c>
      <c r="K1114" s="1">
        <f t="shared" si="58"/>
        <v>1</v>
      </c>
      <c r="L1114" s="1">
        <v>153</v>
      </c>
      <c r="M1114" s="1">
        <v>84</v>
      </c>
      <c r="N1114" s="1">
        <v>2</v>
      </c>
      <c r="O1114" s="1">
        <v>3.5</v>
      </c>
      <c r="P1114" s="1">
        <f>H1114-2</f>
        <v>6</v>
      </c>
      <c r="Q1114" s="2">
        <v>0.255</v>
      </c>
      <c r="R1114" s="1">
        <v>4</v>
      </c>
      <c r="S1114" s="1">
        <f t="shared" si="59"/>
        <v>0.66666666666666663</v>
      </c>
      <c r="T1114" s="1">
        <v>4</v>
      </c>
      <c r="U1114" s="1">
        <v>12.5</v>
      </c>
      <c r="V1114" s="1">
        <v>933.33333333333337</v>
      </c>
      <c r="W1114" s="1">
        <v>3</v>
      </c>
    </row>
    <row r="1115" spans="1:23" x14ac:dyDescent="0.2">
      <c r="A1115">
        <v>2022</v>
      </c>
      <c r="B1115" t="s">
        <v>23</v>
      </c>
      <c r="C1115" t="s">
        <v>24</v>
      </c>
      <c r="D1115">
        <v>83</v>
      </c>
      <c r="E1115">
        <v>2</v>
      </c>
      <c r="F1115">
        <v>3</v>
      </c>
      <c r="G1115" t="s">
        <v>107</v>
      </c>
      <c r="H1115" s="1">
        <v>12</v>
      </c>
      <c r="I1115" s="1">
        <v>66</v>
      </c>
      <c r="J1115" s="1">
        <v>70</v>
      </c>
      <c r="K1115" s="1">
        <f t="shared" si="58"/>
        <v>4</v>
      </c>
      <c r="L1115" s="1">
        <v>170</v>
      </c>
      <c r="M1115" s="1">
        <v>75</v>
      </c>
      <c r="N1115" s="1">
        <v>2</v>
      </c>
      <c r="O1115" s="1">
        <v>3</v>
      </c>
      <c r="P1115" s="1">
        <v>11</v>
      </c>
      <c r="Q1115" s="2">
        <v>0.5696</v>
      </c>
      <c r="R1115" s="1">
        <v>11</v>
      </c>
      <c r="S1115" s="1">
        <f t="shared" si="59"/>
        <v>1</v>
      </c>
      <c r="T1115" s="1">
        <v>2.5</v>
      </c>
      <c r="U1115" s="1">
        <v>12.5</v>
      </c>
      <c r="V1115" s="1">
        <v>2084.8104575163397</v>
      </c>
      <c r="W1115" s="1">
        <v>3</v>
      </c>
    </row>
    <row r="1116" spans="1:23" x14ac:dyDescent="0.2">
      <c r="A1116">
        <v>2022</v>
      </c>
      <c r="B1116" t="s">
        <v>23</v>
      </c>
      <c r="C1116" t="s">
        <v>24</v>
      </c>
      <c r="D1116">
        <v>84</v>
      </c>
      <c r="E1116">
        <v>1</v>
      </c>
      <c r="F1116">
        <v>12</v>
      </c>
      <c r="G1116" t="s">
        <v>108</v>
      </c>
      <c r="H1116" s="3">
        <v>9</v>
      </c>
      <c r="I1116" s="3">
        <v>67</v>
      </c>
      <c r="J1116" s="3">
        <v>69</v>
      </c>
      <c r="K1116" s="3">
        <f t="shared" si="58"/>
        <v>2</v>
      </c>
      <c r="L1116" s="3">
        <v>187</v>
      </c>
      <c r="M1116" s="3">
        <v>105</v>
      </c>
      <c r="N1116" s="3">
        <v>2</v>
      </c>
      <c r="O1116" s="3">
        <v>2.5</v>
      </c>
      <c r="P1116" s="3">
        <v>8</v>
      </c>
      <c r="Q1116" s="4">
        <v>0.85260000000000002</v>
      </c>
      <c r="R1116" s="3">
        <v>8</v>
      </c>
      <c r="S1116" s="3">
        <f t="shared" si="59"/>
        <v>1</v>
      </c>
      <c r="T1116" s="3">
        <v>3</v>
      </c>
      <c r="U1116" s="3">
        <v>10.4</v>
      </c>
      <c r="V1116" s="3">
        <v>3195.5225098039218</v>
      </c>
      <c r="W1116" s="3">
        <v>5</v>
      </c>
    </row>
    <row r="1117" spans="1:23" x14ac:dyDescent="0.2">
      <c r="A1117">
        <v>2022</v>
      </c>
      <c r="B1117" t="s">
        <v>23</v>
      </c>
      <c r="C1117" t="s">
        <v>24</v>
      </c>
      <c r="D1117">
        <v>84</v>
      </c>
      <c r="E1117">
        <v>2</v>
      </c>
      <c r="F1117">
        <v>4</v>
      </c>
      <c r="G1117" t="s">
        <v>108</v>
      </c>
      <c r="H1117" s="1">
        <v>4</v>
      </c>
      <c r="I1117" s="1">
        <v>70</v>
      </c>
      <c r="J1117" s="1">
        <v>74</v>
      </c>
      <c r="K1117" s="1">
        <f t="shared" si="58"/>
        <v>4</v>
      </c>
      <c r="L1117" s="1">
        <v>63</v>
      </c>
      <c r="M1117" s="1">
        <v>63</v>
      </c>
      <c r="N1117" s="1">
        <v>2</v>
      </c>
      <c r="O1117" s="1">
        <v>3</v>
      </c>
      <c r="P1117" s="1">
        <f>H1117</f>
        <v>4</v>
      </c>
      <c r="Q1117" s="2">
        <v>7.8299999999999995E-2</v>
      </c>
      <c r="R1117" s="1">
        <v>2</v>
      </c>
      <c r="S1117" s="1">
        <f t="shared" si="59"/>
        <v>0.5</v>
      </c>
      <c r="T1117" s="1">
        <v>4</v>
      </c>
      <c r="U1117" s="1">
        <v>12.5</v>
      </c>
      <c r="V1117" s="1">
        <v>286.58823529411768</v>
      </c>
      <c r="W1117" s="1">
        <v>3</v>
      </c>
    </row>
    <row r="1118" spans="1:23" x14ac:dyDescent="0.2">
      <c r="A1118">
        <v>2022</v>
      </c>
      <c r="B1118" t="s">
        <v>23</v>
      </c>
      <c r="C1118" t="s">
        <v>24</v>
      </c>
      <c r="D1118">
        <v>85</v>
      </c>
      <c r="E1118">
        <v>1</v>
      </c>
      <c r="F1118">
        <v>5</v>
      </c>
      <c r="G1118" t="s">
        <v>109</v>
      </c>
      <c r="H1118" s="1">
        <v>12</v>
      </c>
      <c r="I1118" s="1">
        <v>67</v>
      </c>
      <c r="J1118" s="1">
        <v>70</v>
      </c>
      <c r="K1118" s="1">
        <f t="shared" si="58"/>
        <v>3</v>
      </c>
      <c r="L1118" s="1">
        <v>157</v>
      </c>
      <c r="M1118" s="1">
        <v>80</v>
      </c>
      <c r="N1118" s="1">
        <v>2</v>
      </c>
      <c r="O1118" s="1">
        <v>3.5</v>
      </c>
      <c r="P1118" s="1">
        <v>9</v>
      </c>
      <c r="Q1118" s="2">
        <v>0.52600000000000002</v>
      </c>
      <c r="R1118" s="1">
        <v>4</v>
      </c>
      <c r="S1118" s="1">
        <f t="shared" si="59"/>
        <v>0.44444444444444442</v>
      </c>
      <c r="T1118" s="1">
        <v>5</v>
      </c>
      <c r="U1118" s="1">
        <v>12.5</v>
      </c>
      <c r="V1118" s="1">
        <v>1925.2287581699347</v>
      </c>
      <c r="W1118" s="1">
        <v>3</v>
      </c>
    </row>
    <row r="1119" spans="1:23" x14ac:dyDescent="0.2">
      <c r="A1119">
        <v>2022</v>
      </c>
      <c r="B1119" t="s">
        <v>23</v>
      </c>
      <c r="C1119" t="s">
        <v>24</v>
      </c>
      <c r="D1119">
        <v>85</v>
      </c>
      <c r="E1119">
        <v>2</v>
      </c>
      <c r="F1119">
        <v>11</v>
      </c>
      <c r="G1119" t="s">
        <v>109</v>
      </c>
      <c r="H1119" s="1">
        <v>5</v>
      </c>
      <c r="I1119" s="1">
        <v>62</v>
      </c>
      <c r="J1119" s="1">
        <v>65</v>
      </c>
      <c r="K1119" s="1">
        <f t="shared" si="58"/>
        <v>3</v>
      </c>
      <c r="L1119" s="1">
        <v>82</v>
      </c>
      <c r="M1119" s="1">
        <v>31</v>
      </c>
      <c r="N1119" s="1">
        <v>2</v>
      </c>
      <c r="O1119" s="1">
        <v>4.5</v>
      </c>
      <c r="P1119" s="1">
        <v>4</v>
      </c>
      <c r="Q1119" s="2">
        <v>0.10199999999999999</v>
      </c>
      <c r="R1119" s="1">
        <v>3</v>
      </c>
      <c r="S1119" s="1">
        <f t="shared" si="59"/>
        <v>0.75</v>
      </c>
      <c r="T1119" s="1">
        <v>5</v>
      </c>
      <c r="U1119" s="1">
        <v>12.5</v>
      </c>
      <c r="V1119" s="1">
        <v>373.33333333333326</v>
      </c>
      <c r="W1119" s="1">
        <v>6</v>
      </c>
    </row>
    <row r="1120" spans="1:23" x14ac:dyDescent="0.2">
      <c r="A1120">
        <v>2022</v>
      </c>
      <c r="B1120" t="s">
        <v>23</v>
      </c>
      <c r="C1120" t="s">
        <v>24</v>
      </c>
      <c r="D1120">
        <v>86</v>
      </c>
      <c r="E1120">
        <v>1</v>
      </c>
      <c r="F1120">
        <v>6</v>
      </c>
      <c r="G1120" t="s">
        <v>110</v>
      </c>
      <c r="H1120">
        <v>7</v>
      </c>
      <c r="I1120">
        <v>55</v>
      </c>
      <c r="J1120">
        <v>60</v>
      </c>
      <c r="K1120">
        <v>5</v>
      </c>
      <c r="L1120">
        <v>181</v>
      </c>
      <c r="M1120">
        <v>34</v>
      </c>
      <c r="N1120">
        <v>2</v>
      </c>
      <c r="O1120">
        <v>1.5</v>
      </c>
      <c r="P1120">
        <v>7</v>
      </c>
      <c r="Q1120">
        <v>0.3</v>
      </c>
      <c r="R1120">
        <v>8</v>
      </c>
      <c r="S1120">
        <v>1.1428571428571428</v>
      </c>
      <c r="T1120">
        <v>3</v>
      </c>
      <c r="U1120">
        <v>14.4</v>
      </c>
      <c r="V1120">
        <v>1074.1960784313726</v>
      </c>
      <c r="W1120">
        <v>2</v>
      </c>
    </row>
    <row r="1121" spans="1:23" x14ac:dyDescent="0.2">
      <c r="A1121">
        <v>2022</v>
      </c>
      <c r="B1121" t="s">
        <v>23</v>
      </c>
      <c r="C1121" t="s">
        <v>24</v>
      </c>
      <c r="D1121">
        <v>86</v>
      </c>
      <c r="E1121">
        <v>2</v>
      </c>
      <c r="F1121">
        <v>15</v>
      </c>
      <c r="G1121" t="s">
        <v>110</v>
      </c>
      <c r="H1121">
        <v>9</v>
      </c>
      <c r="I1121">
        <v>55</v>
      </c>
      <c r="J1121">
        <v>57</v>
      </c>
      <c r="K1121">
        <v>2</v>
      </c>
      <c r="L1121">
        <v>175</v>
      </c>
      <c r="M1121">
        <v>53</v>
      </c>
      <c r="N1121">
        <v>4</v>
      </c>
      <c r="O1121">
        <v>4</v>
      </c>
      <c r="P1121">
        <v>8</v>
      </c>
      <c r="Q1121">
        <v>1.2509999999999999</v>
      </c>
      <c r="R1121">
        <v>6</v>
      </c>
      <c r="S1121">
        <v>0.75</v>
      </c>
      <c r="T1121">
        <v>4</v>
      </c>
      <c r="U1121">
        <v>12.5</v>
      </c>
      <c r="V1121">
        <v>4578.8235294117649</v>
      </c>
      <c r="W1121">
        <v>1</v>
      </c>
    </row>
    <row r="1122" spans="1:23" x14ac:dyDescent="0.2">
      <c r="A1122">
        <v>2022</v>
      </c>
      <c r="B1122" t="s">
        <v>23</v>
      </c>
      <c r="C1122" t="s">
        <v>24</v>
      </c>
      <c r="D1122">
        <v>87</v>
      </c>
      <c r="E1122">
        <v>1</v>
      </c>
      <c r="F1122">
        <v>13</v>
      </c>
      <c r="G1122" t="s">
        <v>111</v>
      </c>
      <c r="H1122" s="1">
        <v>7</v>
      </c>
      <c r="I1122" s="1">
        <v>66</v>
      </c>
      <c r="J1122" s="1">
        <v>71</v>
      </c>
      <c r="K1122" s="1">
        <f>J1122-I1122</f>
        <v>5</v>
      </c>
      <c r="L1122" s="1">
        <v>155</v>
      </c>
      <c r="M1122" s="1">
        <v>79</v>
      </c>
      <c r="N1122" s="1">
        <v>2</v>
      </c>
      <c r="O1122" s="1">
        <v>3.5</v>
      </c>
      <c r="P1122" s="1">
        <v>6</v>
      </c>
      <c r="Q1122" s="2">
        <v>8.2949999999999982E-2</v>
      </c>
      <c r="R1122" s="1">
        <v>4</v>
      </c>
      <c r="S1122" s="1">
        <f>R1122/P1122</f>
        <v>0.66666666666666663</v>
      </c>
      <c r="T1122" s="1">
        <v>5</v>
      </c>
      <c r="U1122" s="1">
        <v>12.5</v>
      </c>
      <c r="V1122" s="1">
        <v>303.60784313725486</v>
      </c>
      <c r="W1122" s="1">
        <v>5</v>
      </c>
    </row>
    <row r="1123" spans="1:23" x14ac:dyDescent="0.2">
      <c r="A1123">
        <v>2022</v>
      </c>
      <c r="B1123" t="s">
        <v>23</v>
      </c>
      <c r="C1123" t="s">
        <v>24</v>
      </c>
      <c r="D1123">
        <v>87</v>
      </c>
      <c r="E1123">
        <v>2</v>
      </c>
      <c r="F1123">
        <v>8</v>
      </c>
      <c r="G1123" t="s">
        <v>111</v>
      </c>
      <c r="H1123" s="1">
        <v>12</v>
      </c>
      <c r="I1123" s="1">
        <v>61</v>
      </c>
      <c r="J1123" s="1">
        <v>63</v>
      </c>
      <c r="K1123" s="1">
        <f>J1123-I1123</f>
        <v>2</v>
      </c>
      <c r="L1123" s="1">
        <v>133</v>
      </c>
      <c r="M1123" s="1">
        <v>77</v>
      </c>
      <c r="N1123" s="1">
        <v>2</v>
      </c>
      <c r="O1123" s="1">
        <v>2.5</v>
      </c>
      <c r="P1123" s="1">
        <v>10</v>
      </c>
      <c r="Q1123" s="2">
        <v>0.16228124999999999</v>
      </c>
      <c r="R1123" s="1">
        <v>7</v>
      </c>
      <c r="S1123" s="1">
        <f>R1123/P1123</f>
        <v>0.7</v>
      </c>
      <c r="T1123" s="1">
        <v>5</v>
      </c>
      <c r="U1123" s="1">
        <v>12.5</v>
      </c>
      <c r="V1123" s="1">
        <v>593.97058823529414</v>
      </c>
      <c r="W1123" s="1">
        <v>4</v>
      </c>
    </row>
    <row r="1124" spans="1:23" x14ac:dyDescent="0.2">
      <c r="A1124">
        <v>2022</v>
      </c>
      <c r="B1124" t="s">
        <v>23</v>
      </c>
      <c r="C1124" t="s">
        <v>24</v>
      </c>
      <c r="D1124">
        <v>88</v>
      </c>
      <c r="E1124">
        <v>1</v>
      </c>
      <c r="F1124">
        <v>13</v>
      </c>
      <c r="G1124" t="s">
        <v>112</v>
      </c>
      <c r="H1124" s="1">
        <v>1</v>
      </c>
      <c r="I1124" s="1">
        <v>64</v>
      </c>
      <c r="J1124" s="1">
        <v>69</v>
      </c>
      <c r="K1124" s="1">
        <f>J1124-I1124</f>
        <v>5</v>
      </c>
      <c r="L1124" s="1">
        <v>32</v>
      </c>
      <c r="M1124" s="1">
        <v>70</v>
      </c>
      <c r="N1124" s="1">
        <v>1</v>
      </c>
      <c r="O1124" s="1">
        <v>2.5</v>
      </c>
      <c r="P1124" s="1">
        <v>1</v>
      </c>
      <c r="Q1124" s="2">
        <v>4.9500000000000002E-2</v>
      </c>
      <c r="R1124" s="1">
        <v>1</v>
      </c>
      <c r="S1124" s="1">
        <f>R1124/P1124</f>
        <v>1</v>
      </c>
      <c r="T1124" s="1">
        <v>2</v>
      </c>
      <c r="U1124" s="1">
        <v>12.5</v>
      </c>
      <c r="V1124" s="1">
        <v>181.17647058823528</v>
      </c>
      <c r="W1124" s="1">
        <v>3</v>
      </c>
    </row>
    <row r="1125" spans="1:23" x14ac:dyDescent="0.2">
      <c r="A1125">
        <v>2022</v>
      </c>
      <c r="B1125" t="s">
        <v>23</v>
      </c>
      <c r="C1125" t="s">
        <v>24</v>
      </c>
      <c r="D1125">
        <v>88</v>
      </c>
      <c r="E1125">
        <v>2</v>
      </c>
      <c r="F1125">
        <v>2</v>
      </c>
      <c r="G1125" t="s">
        <v>112</v>
      </c>
      <c r="H1125" s="1">
        <v>8</v>
      </c>
      <c r="I1125" s="1">
        <v>61</v>
      </c>
      <c r="J1125" s="1">
        <v>66</v>
      </c>
      <c r="K1125" s="1">
        <f>J1125-I1125</f>
        <v>5</v>
      </c>
      <c r="L1125" s="1">
        <v>68</v>
      </c>
      <c r="M1125" s="1">
        <v>25</v>
      </c>
      <c r="N1125" s="1">
        <v>3.5</v>
      </c>
      <c r="O1125" s="1">
        <v>4.5</v>
      </c>
      <c r="P1125" s="1">
        <v>6</v>
      </c>
      <c r="Q1125" s="2">
        <v>0.17799999999999999</v>
      </c>
      <c r="R1125" s="1">
        <v>5</v>
      </c>
      <c r="S1125" s="1">
        <f>R1125/P1125</f>
        <v>0.83333333333333337</v>
      </c>
      <c r="T1125" s="1">
        <v>3.5</v>
      </c>
      <c r="U1125" s="1">
        <v>12.5</v>
      </c>
      <c r="V1125" s="1">
        <v>651.50326797385628</v>
      </c>
      <c r="W1125" s="1">
        <v>6</v>
      </c>
    </row>
    <row r="1126" spans="1:23" x14ac:dyDescent="0.2">
      <c r="A1126">
        <v>2022</v>
      </c>
      <c r="B1126" t="s">
        <v>23</v>
      </c>
      <c r="C1126" t="s">
        <v>24</v>
      </c>
      <c r="D1126">
        <v>89</v>
      </c>
      <c r="E1126">
        <v>1</v>
      </c>
      <c r="F1126">
        <v>3</v>
      </c>
      <c r="G1126" t="s">
        <v>113</v>
      </c>
      <c r="H1126">
        <v>15</v>
      </c>
      <c r="I1126">
        <v>63</v>
      </c>
      <c r="J1126">
        <v>65</v>
      </c>
      <c r="K1126">
        <v>2</v>
      </c>
      <c r="L1126">
        <v>137</v>
      </c>
      <c r="M1126">
        <v>67</v>
      </c>
      <c r="N1126">
        <v>1.5</v>
      </c>
      <c r="O1126">
        <v>3.5</v>
      </c>
      <c r="P1126">
        <v>15</v>
      </c>
      <c r="Q1126">
        <v>0.9</v>
      </c>
      <c r="R1126">
        <v>11</v>
      </c>
      <c r="S1126">
        <v>0.73333333333333328</v>
      </c>
      <c r="T1126">
        <v>2.5</v>
      </c>
      <c r="U1126">
        <v>12.5</v>
      </c>
      <c r="V1126">
        <v>3294.1176470588234</v>
      </c>
      <c r="W1126">
        <v>1</v>
      </c>
    </row>
    <row r="1127" spans="1:23" x14ac:dyDescent="0.2">
      <c r="A1127">
        <v>2022</v>
      </c>
      <c r="B1127" t="s">
        <v>23</v>
      </c>
      <c r="C1127" t="s">
        <v>24</v>
      </c>
      <c r="D1127">
        <v>89</v>
      </c>
      <c r="E1127">
        <v>2</v>
      </c>
      <c r="F1127">
        <v>6</v>
      </c>
      <c r="G1127" t="s">
        <v>113</v>
      </c>
      <c r="H1127">
        <v>8</v>
      </c>
      <c r="I1127">
        <v>65</v>
      </c>
      <c r="J1127">
        <v>69</v>
      </c>
      <c r="K1127">
        <v>4</v>
      </c>
      <c r="L1127">
        <v>75</v>
      </c>
      <c r="M1127">
        <v>30</v>
      </c>
      <c r="N1127">
        <v>1.5</v>
      </c>
      <c r="O1127">
        <v>2</v>
      </c>
      <c r="P1127">
        <v>8</v>
      </c>
      <c r="Q1127">
        <v>0.3</v>
      </c>
      <c r="R1127">
        <v>8</v>
      </c>
      <c r="S1127">
        <v>1</v>
      </c>
      <c r="T1127">
        <v>2.5</v>
      </c>
      <c r="U1127">
        <v>12.5</v>
      </c>
      <c r="V1127">
        <v>1098.0392156862745</v>
      </c>
      <c r="W1127">
        <v>1</v>
      </c>
    </row>
    <row r="1128" spans="1:23" x14ac:dyDescent="0.2">
      <c r="A1128">
        <v>2022</v>
      </c>
      <c r="B1128" t="s">
        <v>23</v>
      </c>
      <c r="C1128" t="s">
        <v>24</v>
      </c>
      <c r="D1128">
        <v>90</v>
      </c>
      <c r="E1128">
        <v>1</v>
      </c>
      <c r="F1128">
        <v>15</v>
      </c>
      <c r="G1128" t="s">
        <v>114</v>
      </c>
      <c r="H1128" s="1">
        <v>10</v>
      </c>
      <c r="I1128" s="1">
        <v>63</v>
      </c>
      <c r="J1128" s="1">
        <v>66</v>
      </c>
      <c r="K1128" s="1">
        <f>J1128-I1128</f>
        <v>3</v>
      </c>
      <c r="L1128" s="1">
        <v>138</v>
      </c>
      <c r="M1128" s="1">
        <v>62</v>
      </c>
      <c r="N1128" s="1">
        <v>1.5</v>
      </c>
      <c r="O1128" s="1">
        <v>4.5</v>
      </c>
      <c r="P1128" s="1">
        <v>8</v>
      </c>
      <c r="Q1128" s="2">
        <v>0.17199999999999999</v>
      </c>
      <c r="R1128" s="1">
        <v>7</v>
      </c>
      <c r="S1128" s="1">
        <f>R1128/P1128</f>
        <v>0.875</v>
      </c>
      <c r="T1128" s="1">
        <v>5</v>
      </c>
      <c r="U1128" s="1">
        <v>12.5</v>
      </c>
      <c r="V1128" s="1">
        <v>629.54248366013076</v>
      </c>
      <c r="W1128" s="1">
        <v>4</v>
      </c>
    </row>
    <row r="1129" spans="1:23" x14ac:dyDescent="0.2">
      <c r="A1129">
        <v>2022</v>
      </c>
      <c r="B1129" t="s">
        <v>23</v>
      </c>
      <c r="C1129" t="s">
        <v>24</v>
      </c>
      <c r="D1129">
        <v>90</v>
      </c>
      <c r="E1129">
        <v>2</v>
      </c>
      <c r="F1129">
        <v>3</v>
      </c>
      <c r="G1129" t="s">
        <v>114</v>
      </c>
      <c r="H1129">
        <v>16</v>
      </c>
      <c r="I1129">
        <v>53</v>
      </c>
      <c r="J1129">
        <v>54</v>
      </c>
      <c r="K1129">
        <v>1</v>
      </c>
      <c r="L1129">
        <v>153</v>
      </c>
      <c r="M1129">
        <v>76</v>
      </c>
      <c r="N1129">
        <v>2</v>
      </c>
      <c r="O1129">
        <v>2.5</v>
      </c>
      <c r="P1129">
        <v>11</v>
      </c>
      <c r="Q1129">
        <v>1</v>
      </c>
      <c r="R1129">
        <v>11</v>
      </c>
      <c r="S1129">
        <v>1</v>
      </c>
      <c r="T1129">
        <v>2</v>
      </c>
      <c r="U1129">
        <v>9.1</v>
      </c>
      <c r="V1129">
        <v>3802.3529411764707</v>
      </c>
      <c r="W1129">
        <v>1</v>
      </c>
    </row>
    <row r="1130" spans="1:23" x14ac:dyDescent="0.2">
      <c r="A1130">
        <v>2022</v>
      </c>
      <c r="B1130" t="s">
        <v>23</v>
      </c>
      <c r="C1130" t="s">
        <v>24</v>
      </c>
      <c r="D1130">
        <v>91</v>
      </c>
      <c r="E1130">
        <v>1</v>
      </c>
      <c r="F1130">
        <v>1</v>
      </c>
      <c r="G1130" t="s">
        <v>115</v>
      </c>
      <c r="H1130" s="1">
        <v>12</v>
      </c>
      <c r="I1130" s="1">
        <v>72</v>
      </c>
      <c r="J1130" s="1">
        <v>76</v>
      </c>
      <c r="K1130" s="1">
        <f>J1130-I1130</f>
        <v>4</v>
      </c>
      <c r="L1130" s="1">
        <v>146</v>
      </c>
      <c r="M1130" s="1">
        <v>83</v>
      </c>
      <c r="N1130" s="1">
        <v>2</v>
      </c>
      <c r="O1130" s="1">
        <v>3.5</v>
      </c>
      <c r="P1130" s="1">
        <f>H1130-2</f>
        <v>10</v>
      </c>
      <c r="Q1130" s="2">
        <v>0.11339999999999999</v>
      </c>
      <c r="R1130" s="1">
        <v>7</v>
      </c>
      <c r="S1130" s="1">
        <f>R1130/P1130</f>
        <v>0.7</v>
      </c>
      <c r="T1130" s="1">
        <v>5</v>
      </c>
      <c r="U1130" s="1">
        <v>12.5</v>
      </c>
      <c r="V1130" s="1">
        <v>415.05882352941177</v>
      </c>
      <c r="W1130" s="1">
        <v>7</v>
      </c>
    </row>
    <row r="1131" spans="1:23" x14ac:dyDescent="0.2">
      <c r="A1131">
        <v>2022</v>
      </c>
      <c r="B1131" t="s">
        <v>23</v>
      </c>
      <c r="C1131" t="s">
        <v>24</v>
      </c>
      <c r="D1131">
        <v>91</v>
      </c>
      <c r="E1131">
        <v>2</v>
      </c>
      <c r="F1131">
        <v>8</v>
      </c>
      <c r="G1131" t="s">
        <v>115</v>
      </c>
      <c r="H1131">
        <v>7</v>
      </c>
      <c r="I1131">
        <v>63</v>
      </c>
      <c r="J1131">
        <v>66</v>
      </c>
      <c r="K1131">
        <v>3</v>
      </c>
      <c r="L1131">
        <v>65</v>
      </c>
      <c r="M1131">
        <v>40</v>
      </c>
      <c r="N1131">
        <v>1.5</v>
      </c>
      <c r="O1131">
        <v>2</v>
      </c>
      <c r="P1131">
        <v>7</v>
      </c>
      <c r="Q1131">
        <v>0.4</v>
      </c>
      <c r="R1131">
        <v>8</v>
      </c>
      <c r="S1131">
        <v>1.1428571428571428</v>
      </c>
      <c r="T1131">
        <v>2.5</v>
      </c>
      <c r="U1131">
        <v>12.5</v>
      </c>
      <c r="V1131">
        <v>1464.0522875816994</v>
      </c>
      <c r="W1131">
        <v>1</v>
      </c>
    </row>
    <row r="1132" spans="1:23" x14ac:dyDescent="0.2">
      <c r="A1132">
        <v>2022</v>
      </c>
      <c r="B1132" t="s">
        <v>23</v>
      </c>
      <c r="C1132" t="s">
        <v>24</v>
      </c>
      <c r="D1132">
        <v>92</v>
      </c>
      <c r="E1132">
        <v>1</v>
      </c>
      <c r="F1132">
        <v>4</v>
      </c>
      <c r="G1132" t="s">
        <v>116</v>
      </c>
      <c r="H1132" s="1">
        <v>10</v>
      </c>
      <c r="I1132" s="1">
        <v>58</v>
      </c>
      <c r="J1132" s="1">
        <v>61</v>
      </c>
      <c r="K1132" s="1">
        <f>J1132-I1132</f>
        <v>3</v>
      </c>
      <c r="L1132" s="1">
        <v>129</v>
      </c>
      <c r="M1132" s="1">
        <v>30</v>
      </c>
      <c r="N1132" s="1">
        <v>3</v>
      </c>
      <c r="O1132" s="1">
        <v>4</v>
      </c>
      <c r="P1132" s="1">
        <v>6</v>
      </c>
      <c r="Q1132" s="2">
        <v>0.14899999999999999</v>
      </c>
      <c r="R1132" s="1">
        <v>6</v>
      </c>
      <c r="S1132" s="1">
        <f>R1132/P1132</f>
        <v>1</v>
      </c>
      <c r="T1132" s="1">
        <v>3.5</v>
      </c>
      <c r="U1132" s="1">
        <v>12.5</v>
      </c>
      <c r="V1132" s="1">
        <v>545.35947712418294</v>
      </c>
      <c r="W1132" s="1">
        <v>5</v>
      </c>
    </row>
    <row r="1133" spans="1:23" x14ac:dyDescent="0.2">
      <c r="A1133">
        <v>2022</v>
      </c>
      <c r="B1133" t="s">
        <v>23</v>
      </c>
      <c r="C1133" t="s">
        <v>24</v>
      </c>
      <c r="D1133">
        <v>92</v>
      </c>
      <c r="E1133">
        <v>2</v>
      </c>
      <c r="F1133">
        <v>15</v>
      </c>
      <c r="G1133" t="s">
        <v>116</v>
      </c>
      <c r="H1133">
        <v>6</v>
      </c>
      <c r="I1133">
        <v>55</v>
      </c>
      <c r="J1133">
        <v>57</v>
      </c>
      <c r="K1133">
        <v>2</v>
      </c>
      <c r="L1133">
        <v>94</v>
      </c>
      <c r="M1133">
        <v>20</v>
      </c>
      <c r="N1133">
        <v>3</v>
      </c>
      <c r="O1133">
        <v>3</v>
      </c>
      <c r="P1133">
        <v>6</v>
      </c>
      <c r="Q1133">
        <v>0.152</v>
      </c>
      <c r="R1133">
        <v>2</v>
      </c>
      <c r="S1133">
        <v>0.33333333333333331</v>
      </c>
      <c r="T1133">
        <v>4</v>
      </c>
      <c r="U1133">
        <v>12.5</v>
      </c>
      <c r="V1133">
        <v>556.33986928104571</v>
      </c>
      <c r="W1133">
        <v>1</v>
      </c>
    </row>
    <row r="1134" spans="1:23" x14ac:dyDescent="0.2">
      <c r="A1134">
        <v>2022</v>
      </c>
      <c r="B1134" t="s">
        <v>23</v>
      </c>
      <c r="C1134" t="s">
        <v>24</v>
      </c>
      <c r="D1134">
        <v>93</v>
      </c>
      <c r="E1134">
        <v>1</v>
      </c>
      <c r="F1134">
        <v>9</v>
      </c>
      <c r="G1134" t="s">
        <v>117</v>
      </c>
      <c r="H1134">
        <v>15</v>
      </c>
      <c r="I1134">
        <v>57</v>
      </c>
      <c r="J1134">
        <v>60</v>
      </c>
      <c r="K1134">
        <v>3</v>
      </c>
      <c r="L1134">
        <v>158</v>
      </c>
      <c r="M1134">
        <v>90</v>
      </c>
      <c r="N1134">
        <v>1</v>
      </c>
      <c r="O1134">
        <v>1.5</v>
      </c>
      <c r="P1134">
        <v>14</v>
      </c>
      <c r="Q1134">
        <v>0.7</v>
      </c>
      <c r="R1134">
        <v>14</v>
      </c>
      <c r="S1134">
        <v>1</v>
      </c>
      <c r="T1134">
        <v>2</v>
      </c>
      <c r="U1134">
        <v>8</v>
      </c>
      <c r="V1134">
        <v>2693.8562091503263</v>
      </c>
      <c r="W1134">
        <v>1</v>
      </c>
    </row>
    <row r="1135" spans="1:23" x14ac:dyDescent="0.2">
      <c r="A1135">
        <v>2022</v>
      </c>
      <c r="B1135" t="s">
        <v>23</v>
      </c>
      <c r="C1135" t="s">
        <v>24</v>
      </c>
      <c r="D1135">
        <v>93</v>
      </c>
      <c r="E1135">
        <v>2</v>
      </c>
      <c r="F1135">
        <v>7</v>
      </c>
      <c r="G1135" t="s">
        <v>117</v>
      </c>
      <c r="H1135">
        <v>1</v>
      </c>
      <c r="I1135">
        <v>55</v>
      </c>
      <c r="J1135">
        <v>58</v>
      </c>
      <c r="K1135">
        <v>3</v>
      </c>
      <c r="L1135">
        <v>100</v>
      </c>
      <c r="M1135">
        <v>15</v>
      </c>
      <c r="N1135">
        <v>3</v>
      </c>
      <c r="O1135">
        <v>3</v>
      </c>
      <c r="P1135">
        <v>1</v>
      </c>
      <c r="Q1135">
        <v>0.126</v>
      </c>
      <c r="R1135">
        <v>2</v>
      </c>
      <c r="S1135">
        <v>2</v>
      </c>
      <c r="T1135">
        <v>4</v>
      </c>
      <c r="U1135">
        <v>12.5</v>
      </c>
      <c r="V1135">
        <v>461.17647058823536</v>
      </c>
      <c r="W1135">
        <v>2</v>
      </c>
    </row>
    <row r="1136" spans="1:23" x14ac:dyDescent="0.2">
      <c r="A1136">
        <v>2022</v>
      </c>
      <c r="B1136" t="s">
        <v>23</v>
      </c>
      <c r="C1136" t="s">
        <v>24</v>
      </c>
      <c r="D1136">
        <v>94</v>
      </c>
      <c r="E1136">
        <v>1</v>
      </c>
      <c r="F1136">
        <v>6</v>
      </c>
      <c r="G1136" t="s">
        <v>118</v>
      </c>
      <c r="H1136" s="1">
        <v>10</v>
      </c>
      <c r="I1136" s="1">
        <v>63</v>
      </c>
      <c r="J1136" s="1">
        <v>67</v>
      </c>
      <c r="K1136" s="1">
        <f>J1136-I1136</f>
        <v>4</v>
      </c>
      <c r="L1136" s="1">
        <v>103</v>
      </c>
      <c r="M1136" s="1">
        <v>40</v>
      </c>
      <c r="N1136" s="1">
        <v>2</v>
      </c>
      <c r="O1136" s="1">
        <v>4.5</v>
      </c>
      <c r="P1136" s="1">
        <v>6</v>
      </c>
      <c r="Q1136" s="2">
        <v>8.3599999999999994E-2</v>
      </c>
      <c r="R1136" s="1">
        <v>5</v>
      </c>
      <c r="S1136" s="1">
        <f>R1136/P1136</f>
        <v>0.83333333333333337</v>
      </c>
      <c r="T1136" s="1">
        <v>5</v>
      </c>
      <c r="U1136" s="1">
        <v>12.5</v>
      </c>
      <c r="V1136" s="1">
        <v>305.98692810457516</v>
      </c>
      <c r="W1136" s="1">
        <v>5</v>
      </c>
    </row>
    <row r="1137" spans="1:23" x14ac:dyDescent="0.2">
      <c r="A1137">
        <v>2022</v>
      </c>
      <c r="B1137" t="s">
        <v>23</v>
      </c>
      <c r="C1137" t="s">
        <v>24</v>
      </c>
      <c r="D1137">
        <v>94</v>
      </c>
      <c r="E1137">
        <v>2</v>
      </c>
      <c r="F1137">
        <v>10</v>
      </c>
      <c r="G1137" t="s">
        <v>118</v>
      </c>
      <c r="H1137" s="1">
        <v>11</v>
      </c>
      <c r="I1137" s="1">
        <v>65</v>
      </c>
      <c r="J1137" s="1">
        <v>69</v>
      </c>
      <c r="K1137" s="1">
        <f>J1137-I1137</f>
        <v>4</v>
      </c>
      <c r="L1137" s="1">
        <v>192</v>
      </c>
      <c r="M1137" s="1">
        <v>77</v>
      </c>
      <c r="N1137" s="1">
        <v>3</v>
      </c>
      <c r="O1137" s="1">
        <v>3.5</v>
      </c>
      <c r="P1137" s="1">
        <v>11</v>
      </c>
      <c r="Q1137" s="2">
        <v>0.35599999999999998</v>
      </c>
      <c r="R1137" s="1">
        <v>6</v>
      </c>
      <c r="S1137" s="1">
        <f>R1137/P1137</f>
        <v>0.54545454545454541</v>
      </c>
      <c r="T1137" s="1">
        <v>5</v>
      </c>
      <c r="U1137" s="1">
        <v>12.5</v>
      </c>
      <c r="V1137" s="1">
        <v>1303.0065359477126</v>
      </c>
      <c r="W1137" s="1">
        <v>4</v>
      </c>
    </row>
    <row r="1138" spans="1:23" x14ac:dyDescent="0.2">
      <c r="A1138">
        <v>2022</v>
      </c>
      <c r="B1138" t="s">
        <v>23</v>
      </c>
      <c r="C1138" t="s">
        <v>24</v>
      </c>
      <c r="D1138">
        <v>95</v>
      </c>
      <c r="E1138">
        <v>1</v>
      </c>
      <c r="F1138">
        <v>7</v>
      </c>
      <c r="G1138" t="s">
        <v>119</v>
      </c>
      <c r="H1138" s="1">
        <v>14</v>
      </c>
      <c r="I1138" s="1">
        <v>64</v>
      </c>
      <c r="J1138" s="1">
        <v>68</v>
      </c>
      <c r="K1138" s="1">
        <f>J1138-I1138</f>
        <v>4</v>
      </c>
      <c r="L1138" s="1">
        <v>105</v>
      </c>
      <c r="M1138" s="1">
        <v>62</v>
      </c>
      <c r="N1138" s="1">
        <v>2</v>
      </c>
      <c r="O1138" s="1">
        <v>4.5</v>
      </c>
      <c r="P1138" s="1">
        <v>12</v>
      </c>
      <c r="Q1138" s="2">
        <v>0.64200000000000002</v>
      </c>
      <c r="R1138" s="1">
        <v>10</v>
      </c>
      <c r="S1138" s="1">
        <f>R1138/P1138</f>
        <v>0.83333333333333337</v>
      </c>
      <c r="T1138" s="1">
        <v>4</v>
      </c>
      <c r="U1138" s="1">
        <v>12.5</v>
      </c>
      <c r="V1138" s="1">
        <v>2349.8039215686276</v>
      </c>
      <c r="W1138" s="1">
        <v>5</v>
      </c>
    </row>
    <row r="1139" spans="1:23" x14ac:dyDescent="0.2">
      <c r="A1139">
        <v>2022</v>
      </c>
      <c r="B1139" t="s">
        <v>23</v>
      </c>
      <c r="C1139" t="s">
        <v>24</v>
      </c>
      <c r="D1139">
        <v>95</v>
      </c>
      <c r="E1139">
        <v>2</v>
      </c>
      <c r="F1139">
        <v>12</v>
      </c>
      <c r="G1139" t="s">
        <v>119</v>
      </c>
      <c r="H1139">
        <v>9</v>
      </c>
      <c r="I1139">
        <v>63</v>
      </c>
      <c r="J1139">
        <v>65</v>
      </c>
      <c r="K1139">
        <v>2</v>
      </c>
      <c r="L1139">
        <v>152</v>
      </c>
      <c r="M1139">
        <v>45</v>
      </c>
      <c r="N1139">
        <v>2</v>
      </c>
      <c r="O1139">
        <v>3</v>
      </c>
      <c r="P1139">
        <v>9</v>
      </c>
      <c r="Q1139">
        <v>0.7</v>
      </c>
      <c r="R1139">
        <v>9</v>
      </c>
      <c r="S1139">
        <v>1</v>
      </c>
      <c r="T1139">
        <v>2.5</v>
      </c>
      <c r="U1139">
        <v>12.5</v>
      </c>
      <c r="V1139">
        <v>2562.0915032679736</v>
      </c>
      <c r="W1139">
        <v>1</v>
      </c>
    </row>
    <row r="1140" spans="1:23" x14ac:dyDescent="0.2">
      <c r="A1140">
        <v>2022</v>
      </c>
      <c r="B1140" t="s">
        <v>23</v>
      </c>
      <c r="C1140" t="s">
        <v>24</v>
      </c>
      <c r="D1140">
        <v>96</v>
      </c>
      <c r="E1140">
        <v>1</v>
      </c>
      <c r="F1140">
        <v>4</v>
      </c>
      <c r="G1140" t="s">
        <v>120</v>
      </c>
      <c r="H1140" s="1">
        <v>10</v>
      </c>
      <c r="I1140" s="1">
        <v>60</v>
      </c>
      <c r="J1140" s="1">
        <v>64</v>
      </c>
      <c r="K1140" s="1">
        <f>J1140-I1140</f>
        <v>4</v>
      </c>
      <c r="L1140" s="1">
        <v>113</v>
      </c>
      <c r="M1140" s="1">
        <v>50</v>
      </c>
      <c r="N1140" s="1">
        <v>2</v>
      </c>
      <c r="O1140" s="1">
        <v>4</v>
      </c>
      <c r="P1140" s="1">
        <v>5</v>
      </c>
      <c r="Q1140" s="2">
        <v>0.32119999999999999</v>
      </c>
      <c r="R1140" s="1">
        <v>5</v>
      </c>
      <c r="S1140" s="1">
        <f>R1140/P1140</f>
        <v>1</v>
      </c>
      <c r="T1140" s="1">
        <v>5</v>
      </c>
      <c r="U1140" s="1">
        <v>12.5</v>
      </c>
      <c r="V1140" s="1">
        <v>1175.6339869281046</v>
      </c>
      <c r="W1140" s="1">
        <v>7</v>
      </c>
    </row>
    <row r="1141" spans="1:23" x14ac:dyDescent="0.2">
      <c r="A1141">
        <v>2022</v>
      </c>
      <c r="B1141" t="s">
        <v>23</v>
      </c>
      <c r="C1141" t="s">
        <v>24</v>
      </c>
      <c r="D1141">
        <v>96</v>
      </c>
      <c r="E1141">
        <v>2</v>
      </c>
      <c r="F1141">
        <v>12</v>
      </c>
      <c r="G1141" t="s">
        <v>120</v>
      </c>
      <c r="H1141" s="3">
        <v>1</v>
      </c>
      <c r="I1141" s="3">
        <v>65</v>
      </c>
      <c r="J1141" s="3">
        <v>68</v>
      </c>
      <c r="K1141" s="3">
        <f>J1141-I1141</f>
        <v>3</v>
      </c>
      <c r="L1141" s="3">
        <v>66</v>
      </c>
      <c r="M1141" s="3">
        <v>40</v>
      </c>
      <c r="N1141" s="3">
        <v>1.5</v>
      </c>
      <c r="O1141" s="3">
        <v>4</v>
      </c>
      <c r="P1141" s="3">
        <v>1</v>
      </c>
      <c r="Q1141" s="4">
        <v>6.2E-2</v>
      </c>
      <c r="R1141" s="3">
        <v>1</v>
      </c>
      <c r="S1141" s="3">
        <f>R1141/P1141</f>
        <v>1</v>
      </c>
      <c r="T1141" s="3">
        <v>4</v>
      </c>
      <c r="U1141" s="3">
        <v>12.5</v>
      </c>
      <c r="V1141" s="3">
        <v>226.92810457516339</v>
      </c>
      <c r="W1141" s="3">
        <v>3</v>
      </c>
    </row>
    <row r="1142" spans="1:23" x14ac:dyDescent="0.2">
      <c r="A1142">
        <v>2022</v>
      </c>
      <c r="B1142" t="s">
        <v>23</v>
      </c>
      <c r="C1142" t="s">
        <v>24</v>
      </c>
      <c r="D1142">
        <v>97</v>
      </c>
      <c r="E1142">
        <v>1</v>
      </c>
      <c r="F1142">
        <v>12</v>
      </c>
      <c r="G1142" t="s">
        <v>121</v>
      </c>
      <c r="H1142">
        <v>2</v>
      </c>
      <c r="I1142">
        <v>55</v>
      </c>
      <c r="J1142">
        <v>58</v>
      </c>
      <c r="K1142">
        <v>3</v>
      </c>
      <c r="L1142">
        <v>146</v>
      </c>
      <c r="M1142">
        <v>66</v>
      </c>
      <c r="N1142">
        <v>1</v>
      </c>
      <c r="O1142">
        <v>2</v>
      </c>
      <c r="P1142">
        <v>2</v>
      </c>
      <c r="Q1142">
        <v>0.15</v>
      </c>
      <c r="R1142">
        <v>2</v>
      </c>
      <c r="S1142">
        <v>1</v>
      </c>
      <c r="T1142">
        <v>3</v>
      </c>
      <c r="U1142">
        <v>12.5</v>
      </c>
      <c r="V1142">
        <v>549.01960784313724</v>
      </c>
      <c r="W1142">
        <v>1</v>
      </c>
    </row>
    <row r="1143" spans="1:23" x14ac:dyDescent="0.2">
      <c r="A1143">
        <v>2022</v>
      </c>
      <c r="B1143" t="s">
        <v>23</v>
      </c>
      <c r="C1143" t="s">
        <v>24</v>
      </c>
      <c r="D1143">
        <v>97</v>
      </c>
      <c r="E1143">
        <v>2</v>
      </c>
      <c r="F1143">
        <v>7</v>
      </c>
      <c r="G1143" t="s">
        <v>121</v>
      </c>
      <c r="H1143" s="1">
        <v>12</v>
      </c>
      <c r="I1143" s="1">
        <v>68</v>
      </c>
      <c r="J1143" s="1">
        <v>70</v>
      </c>
      <c r="K1143" s="1">
        <f>J1143-I1143</f>
        <v>2</v>
      </c>
      <c r="L1143" s="1">
        <v>163</v>
      </c>
      <c r="M1143" s="1">
        <v>61</v>
      </c>
      <c r="N1143" s="1">
        <v>3</v>
      </c>
      <c r="O1143" s="1">
        <v>3.5</v>
      </c>
      <c r="P1143" s="1">
        <v>9</v>
      </c>
      <c r="Q1143" s="2">
        <v>0.34560000000000002</v>
      </c>
      <c r="R1143" s="1">
        <v>6</v>
      </c>
      <c r="S1143" s="1">
        <f>R1143/P1143</f>
        <v>0.66666666666666663</v>
      </c>
      <c r="T1143" s="1">
        <v>5</v>
      </c>
      <c r="U1143" s="1">
        <v>12.5</v>
      </c>
      <c r="V1143" s="1">
        <v>1264.9411764705883</v>
      </c>
      <c r="W1143" s="1">
        <v>6</v>
      </c>
    </row>
    <row r="1144" spans="1:23" x14ac:dyDescent="0.2">
      <c r="A1144">
        <v>2022</v>
      </c>
      <c r="B1144" t="s">
        <v>23</v>
      </c>
      <c r="C1144" t="s">
        <v>24</v>
      </c>
      <c r="D1144">
        <v>98</v>
      </c>
      <c r="E1144">
        <v>1</v>
      </c>
      <c r="F1144">
        <v>15</v>
      </c>
      <c r="G1144" t="s">
        <v>122</v>
      </c>
      <c r="H1144" s="1">
        <v>6</v>
      </c>
      <c r="I1144" s="1">
        <v>57</v>
      </c>
      <c r="J1144" s="1">
        <v>61</v>
      </c>
      <c r="K1144" s="1">
        <f>J1144-I1144</f>
        <v>4</v>
      </c>
      <c r="L1144" s="1">
        <v>188</v>
      </c>
      <c r="M1144" s="1">
        <v>110</v>
      </c>
      <c r="N1144" s="1">
        <v>2</v>
      </c>
      <c r="O1144" s="1">
        <v>3</v>
      </c>
      <c r="P1144" s="1">
        <v>6</v>
      </c>
      <c r="Q1144" s="2">
        <v>0.183</v>
      </c>
      <c r="R1144" s="1">
        <v>6</v>
      </c>
      <c r="S1144" s="1">
        <f>R1144/P1144</f>
        <v>1</v>
      </c>
      <c r="T1144" s="1">
        <v>5</v>
      </c>
      <c r="U1144" s="1">
        <v>6.8</v>
      </c>
      <c r="V1144" s="1">
        <v>713.4368627450981</v>
      </c>
      <c r="W1144" s="1">
        <v>6</v>
      </c>
    </row>
    <row r="1145" spans="1:23" x14ac:dyDescent="0.2">
      <c r="A1145">
        <v>2022</v>
      </c>
      <c r="B1145" t="s">
        <v>23</v>
      </c>
      <c r="C1145" t="s">
        <v>24</v>
      </c>
      <c r="D1145">
        <v>98</v>
      </c>
      <c r="E1145">
        <v>2</v>
      </c>
      <c r="F1145">
        <v>1</v>
      </c>
      <c r="G1145" t="s">
        <v>122</v>
      </c>
      <c r="H1145" s="1">
        <v>12</v>
      </c>
      <c r="I1145" s="1">
        <v>67</v>
      </c>
      <c r="J1145" s="1">
        <v>72</v>
      </c>
      <c r="K1145" s="1">
        <f>J1145-I1145</f>
        <v>5</v>
      </c>
      <c r="L1145" s="1">
        <v>132</v>
      </c>
      <c r="M1145" s="1">
        <v>46</v>
      </c>
      <c r="N1145" s="1">
        <v>3</v>
      </c>
      <c r="O1145" s="1">
        <v>4</v>
      </c>
      <c r="P1145" s="1">
        <v>6</v>
      </c>
      <c r="Q1145" s="2">
        <v>0.22800000000000001</v>
      </c>
      <c r="R1145" s="1">
        <v>6</v>
      </c>
      <c r="S1145" s="1">
        <f>R1145/P1145</f>
        <v>1</v>
      </c>
      <c r="T1145" s="1">
        <v>4.5</v>
      </c>
      <c r="U1145" s="1">
        <v>12.5</v>
      </c>
      <c r="V1145" s="1">
        <v>834.50980392156862</v>
      </c>
      <c r="W1145" s="1">
        <v>6</v>
      </c>
    </row>
    <row r="1146" spans="1:23" x14ac:dyDescent="0.2">
      <c r="A1146">
        <v>2022</v>
      </c>
      <c r="B1146" t="s">
        <v>23</v>
      </c>
      <c r="C1146" t="s">
        <v>24</v>
      </c>
      <c r="D1146">
        <v>99</v>
      </c>
      <c r="E1146">
        <v>1</v>
      </c>
      <c r="F1146">
        <v>1</v>
      </c>
      <c r="G1146" t="s">
        <v>123</v>
      </c>
      <c r="H1146" s="1">
        <v>14</v>
      </c>
      <c r="I1146" s="1">
        <v>69</v>
      </c>
      <c r="J1146" s="1">
        <v>73</v>
      </c>
      <c r="K1146" s="1">
        <f>J1146-I1146</f>
        <v>4</v>
      </c>
      <c r="L1146" s="1">
        <v>131</v>
      </c>
      <c r="M1146" s="1">
        <v>46</v>
      </c>
      <c r="N1146" s="1">
        <v>2</v>
      </c>
      <c r="O1146" s="1">
        <v>4.5</v>
      </c>
      <c r="P1146" s="1">
        <v>8</v>
      </c>
      <c r="Q1146" s="2">
        <v>0.34079999999999999</v>
      </c>
      <c r="R1146" s="1">
        <v>7</v>
      </c>
      <c r="S1146" s="1">
        <f>R1146/P1146</f>
        <v>0.875</v>
      </c>
      <c r="T1146" s="1">
        <v>3</v>
      </c>
      <c r="U1146" s="1">
        <v>12.5</v>
      </c>
      <c r="V1146" s="1">
        <v>1247.3725490196077</v>
      </c>
      <c r="W1146" s="1">
        <v>4</v>
      </c>
    </row>
    <row r="1147" spans="1:23" x14ac:dyDescent="0.2">
      <c r="A1147">
        <v>2022</v>
      </c>
      <c r="B1147" t="s">
        <v>23</v>
      </c>
      <c r="C1147" t="s">
        <v>24</v>
      </c>
      <c r="D1147">
        <v>99</v>
      </c>
      <c r="E1147">
        <v>2</v>
      </c>
      <c r="F1147">
        <v>12</v>
      </c>
      <c r="G1147" t="s">
        <v>123</v>
      </c>
      <c r="H1147">
        <v>3</v>
      </c>
      <c r="I1147">
        <v>56</v>
      </c>
      <c r="J1147">
        <v>58</v>
      </c>
      <c r="K1147">
        <v>2</v>
      </c>
      <c r="L1147">
        <v>120</v>
      </c>
      <c r="M1147">
        <v>22</v>
      </c>
      <c r="N1147">
        <v>1</v>
      </c>
      <c r="O1147">
        <v>2</v>
      </c>
      <c r="P1147">
        <v>3</v>
      </c>
      <c r="Q1147">
        <v>0.113</v>
      </c>
      <c r="R1147">
        <v>3</v>
      </c>
      <c r="S1147">
        <v>1</v>
      </c>
      <c r="T1147">
        <v>3</v>
      </c>
      <c r="U1147">
        <v>12.5</v>
      </c>
      <c r="V1147">
        <v>413.59477124183013</v>
      </c>
      <c r="W1147">
        <v>1</v>
      </c>
    </row>
    <row r="1148" spans="1:23" x14ac:dyDescent="0.2">
      <c r="A1148">
        <v>2022</v>
      </c>
      <c r="B1148" t="s">
        <v>23</v>
      </c>
      <c r="C1148" t="s">
        <v>24</v>
      </c>
      <c r="D1148">
        <v>100</v>
      </c>
      <c r="E1148">
        <v>1</v>
      </c>
      <c r="F1148">
        <v>9</v>
      </c>
      <c r="G1148" t="s">
        <v>124</v>
      </c>
      <c r="H1148" s="1">
        <v>10</v>
      </c>
      <c r="I1148" s="1">
        <v>60</v>
      </c>
      <c r="J1148" s="1">
        <v>65</v>
      </c>
      <c r="K1148" s="1">
        <f>J1148-I1148</f>
        <v>5</v>
      </c>
      <c r="L1148" s="1">
        <v>110</v>
      </c>
      <c r="M1148" s="1">
        <v>36</v>
      </c>
      <c r="N1148" s="1">
        <v>3</v>
      </c>
      <c r="O1148" s="1">
        <v>4</v>
      </c>
      <c r="P1148" s="1">
        <v>8</v>
      </c>
      <c r="Q1148" s="2">
        <v>0.84799999999999998</v>
      </c>
      <c r="R1148" s="1">
        <v>8</v>
      </c>
      <c r="S1148" s="1">
        <f>R1148/P1148</f>
        <v>1</v>
      </c>
      <c r="T1148" s="1">
        <v>3</v>
      </c>
      <c r="U1148" s="1">
        <v>12.5</v>
      </c>
      <c r="V1148" s="1">
        <v>3103.790849673203</v>
      </c>
      <c r="W1148" s="1">
        <v>4</v>
      </c>
    </row>
    <row r="1149" spans="1:23" x14ac:dyDescent="0.2">
      <c r="A1149">
        <v>2022</v>
      </c>
      <c r="B1149" t="s">
        <v>23</v>
      </c>
      <c r="C1149" t="s">
        <v>24</v>
      </c>
      <c r="D1149">
        <v>100</v>
      </c>
      <c r="E1149">
        <v>2</v>
      </c>
      <c r="F1149">
        <v>6</v>
      </c>
      <c r="G1149" t="s">
        <v>124</v>
      </c>
      <c r="H1149" s="1">
        <v>7</v>
      </c>
      <c r="I1149" s="1">
        <v>64</v>
      </c>
      <c r="J1149" s="1">
        <v>69</v>
      </c>
      <c r="K1149" s="1">
        <f>J1149-I1149</f>
        <v>5</v>
      </c>
      <c r="L1149" s="1">
        <v>131</v>
      </c>
      <c r="M1149" s="1">
        <v>51</v>
      </c>
      <c r="N1149" s="1">
        <v>2</v>
      </c>
      <c r="O1149" s="1">
        <v>4</v>
      </c>
      <c r="P1149" s="1">
        <v>6</v>
      </c>
      <c r="Q1149" s="2">
        <v>0.21</v>
      </c>
      <c r="R1149" s="1">
        <v>8</v>
      </c>
      <c r="S1149" s="1">
        <f>R1149/P1149</f>
        <v>1.3333333333333333</v>
      </c>
      <c r="T1149" s="1">
        <v>3.5</v>
      </c>
      <c r="U1149" s="1">
        <v>12.5</v>
      </c>
      <c r="V1149" s="1">
        <v>768.62745098039215</v>
      </c>
      <c r="W1149" s="1">
        <v>4</v>
      </c>
    </row>
    <row r="1150" spans="1:23" x14ac:dyDescent="0.2">
      <c r="A1150">
        <v>2022</v>
      </c>
      <c r="B1150" t="s">
        <v>23</v>
      </c>
      <c r="C1150" t="s">
        <v>24</v>
      </c>
      <c r="D1150">
        <v>101</v>
      </c>
      <c r="E1150">
        <v>1</v>
      </c>
      <c r="F1150">
        <v>5</v>
      </c>
      <c r="G1150" t="s">
        <v>125</v>
      </c>
      <c r="H1150">
        <v>13</v>
      </c>
      <c r="I1150">
        <v>63</v>
      </c>
      <c r="J1150">
        <v>65</v>
      </c>
      <c r="K1150">
        <v>2</v>
      </c>
      <c r="L1150">
        <v>160</v>
      </c>
      <c r="M1150">
        <v>80</v>
      </c>
      <c r="N1150">
        <v>1.5</v>
      </c>
      <c r="O1150">
        <v>4</v>
      </c>
      <c r="P1150">
        <v>13</v>
      </c>
      <c r="Q1150">
        <v>1</v>
      </c>
      <c r="R1150">
        <v>14</v>
      </c>
      <c r="S1150">
        <v>1.0769230769230769</v>
      </c>
      <c r="T1150">
        <v>2</v>
      </c>
      <c r="U1150">
        <v>12.5</v>
      </c>
      <c r="V1150">
        <v>3660.1307189542486</v>
      </c>
      <c r="W1150">
        <v>1</v>
      </c>
    </row>
    <row r="1151" spans="1:23" x14ac:dyDescent="0.2">
      <c r="A1151">
        <v>2022</v>
      </c>
      <c r="B1151" t="s">
        <v>23</v>
      </c>
      <c r="C1151" t="s">
        <v>24</v>
      </c>
      <c r="D1151">
        <v>101</v>
      </c>
      <c r="E1151">
        <v>2</v>
      </c>
      <c r="F1151">
        <v>14</v>
      </c>
      <c r="G1151" t="s">
        <v>125</v>
      </c>
      <c r="H1151" s="1">
        <v>7</v>
      </c>
      <c r="I1151" s="1">
        <v>66</v>
      </c>
      <c r="J1151" s="1">
        <v>69</v>
      </c>
      <c r="K1151" s="1">
        <f>J1151-I1151</f>
        <v>3</v>
      </c>
      <c r="L1151" s="1">
        <v>163</v>
      </c>
      <c r="M1151" s="1">
        <v>65</v>
      </c>
      <c r="N1151" s="1">
        <v>1.5</v>
      </c>
      <c r="O1151" s="1">
        <v>4</v>
      </c>
      <c r="P1151" s="1">
        <v>6</v>
      </c>
      <c r="Q1151" s="2">
        <v>0.50900000000000001</v>
      </c>
      <c r="R1151" s="1">
        <v>4</v>
      </c>
      <c r="S1151" s="1">
        <f>R1151/P1151</f>
        <v>0.66666666666666663</v>
      </c>
      <c r="T1151" s="1">
        <v>2</v>
      </c>
      <c r="U1151" s="1">
        <v>12.5</v>
      </c>
      <c r="V1151" s="1">
        <v>1863.0065359477126</v>
      </c>
      <c r="W1151" s="1">
        <v>6</v>
      </c>
    </row>
    <row r="1152" spans="1:23" x14ac:dyDescent="0.2">
      <c r="A1152">
        <v>2022</v>
      </c>
      <c r="B1152" t="s">
        <v>23</v>
      </c>
      <c r="C1152" t="s">
        <v>24</v>
      </c>
      <c r="D1152">
        <v>102</v>
      </c>
      <c r="E1152">
        <v>1</v>
      </c>
      <c r="F1152">
        <v>2</v>
      </c>
      <c r="G1152" t="s">
        <v>126</v>
      </c>
      <c r="H1152" s="1">
        <v>5</v>
      </c>
      <c r="I1152" s="1">
        <v>69</v>
      </c>
      <c r="J1152" s="1">
        <v>74</v>
      </c>
      <c r="K1152" s="1">
        <f>J1152-I1152</f>
        <v>5</v>
      </c>
      <c r="L1152" s="1">
        <v>129</v>
      </c>
      <c r="M1152" s="1">
        <v>51</v>
      </c>
      <c r="N1152" s="1">
        <v>2</v>
      </c>
      <c r="O1152" s="1">
        <v>3.5</v>
      </c>
      <c r="P1152" s="1">
        <v>3</v>
      </c>
      <c r="Q1152" s="2">
        <v>0.17799999999999999</v>
      </c>
      <c r="R1152" s="1">
        <v>2</v>
      </c>
      <c r="S1152" s="1">
        <f>R1152/P1152</f>
        <v>0.66666666666666663</v>
      </c>
      <c r="T1152" s="1">
        <v>2</v>
      </c>
      <c r="U1152" s="1">
        <v>12.5</v>
      </c>
      <c r="V1152" s="1">
        <v>651.50326797385628</v>
      </c>
      <c r="W1152" s="1">
        <v>4</v>
      </c>
    </row>
    <row r="1153" spans="1:23" x14ac:dyDescent="0.2">
      <c r="A1153">
        <v>2022</v>
      </c>
      <c r="B1153" t="s">
        <v>23</v>
      </c>
      <c r="C1153" t="s">
        <v>24</v>
      </c>
      <c r="D1153">
        <v>102</v>
      </c>
      <c r="E1153">
        <v>2</v>
      </c>
      <c r="F1153">
        <v>1</v>
      </c>
      <c r="G1153" t="s">
        <v>126</v>
      </c>
      <c r="H1153" s="1">
        <v>7</v>
      </c>
      <c r="I1153" s="1">
        <v>70</v>
      </c>
      <c r="J1153" s="1">
        <v>74</v>
      </c>
      <c r="K1153" s="1">
        <f>J1153-I1153</f>
        <v>4</v>
      </c>
      <c r="L1153" s="1">
        <v>137</v>
      </c>
      <c r="M1153" s="1">
        <v>55</v>
      </c>
      <c r="N1153" s="1">
        <v>2.5</v>
      </c>
      <c r="O1153" s="1">
        <v>3.5</v>
      </c>
      <c r="P1153" s="1">
        <v>6</v>
      </c>
      <c r="Q1153" s="2">
        <v>0.26479999999999998</v>
      </c>
      <c r="R1153" s="1">
        <v>6</v>
      </c>
      <c r="S1153" s="1">
        <f>R1153/P1153</f>
        <v>1</v>
      </c>
      <c r="T1153" s="1">
        <v>3.5</v>
      </c>
      <c r="U1153" s="1">
        <v>12.5</v>
      </c>
      <c r="V1153" s="1">
        <v>969.20261437908493</v>
      </c>
      <c r="W1153" s="1">
        <v>5</v>
      </c>
    </row>
    <row r="1154" spans="1:23" x14ac:dyDescent="0.2">
      <c r="A1154">
        <v>2022</v>
      </c>
      <c r="B1154" t="s">
        <v>23</v>
      </c>
      <c r="C1154" t="s">
        <v>24</v>
      </c>
      <c r="D1154">
        <v>103</v>
      </c>
      <c r="E1154">
        <v>1</v>
      </c>
      <c r="F1154">
        <v>7</v>
      </c>
      <c r="G1154" t="s">
        <v>127</v>
      </c>
      <c r="H1154">
        <v>14</v>
      </c>
      <c r="I1154">
        <v>58</v>
      </c>
      <c r="J1154">
        <v>62</v>
      </c>
      <c r="K1154">
        <v>4</v>
      </c>
      <c r="L1154">
        <v>192</v>
      </c>
      <c r="M1154">
        <v>71</v>
      </c>
      <c r="N1154">
        <v>1</v>
      </c>
      <c r="O1154">
        <v>2</v>
      </c>
      <c r="P1154">
        <v>13</v>
      </c>
      <c r="Q1154">
        <v>1.3</v>
      </c>
      <c r="R1154">
        <v>9</v>
      </c>
      <c r="S1154">
        <v>0.69230769230769229</v>
      </c>
      <c r="T1154">
        <v>2</v>
      </c>
      <c r="U1154">
        <v>13.3</v>
      </c>
      <c r="V1154">
        <v>4714.666666666667</v>
      </c>
      <c r="W1154">
        <v>2</v>
      </c>
    </row>
    <row r="1155" spans="1:23" x14ac:dyDescent="0.2">
      <c r="A1155">
        <v>2022</v>
      </c>
      <c r="B1155" t="s">
        <v>23</v>
      </c>
      <c r="C1155" t="s">
        <v>24</v>
      </c>
      <c r="D1155">
        <v>103</v>
      </c>
      <c r="E1155">
        <v>2</v>
      </c>
      <c r="F1155">
        <v>8</v>
      </c>
      <c r="G1155" t="s">
        <v>127</v>
      </c>
      <c r="H1155" s="1">
        <v>13</v>
      </c>
      <c r="I1155" s="1">
        <v>65</v>
      </c>
      <c r="J1155" s="1">
        <v>70</v>
      </c>
      <c r="K1155" s="1">
        <f>J1155-I1155</f>
        <v>5</v>
      </c>
      <c r="L1155" s="1">
        <v>138</v>
      </c>
      <c r="M1155" s="1">
        <v>77</v>
      </c>
      <c r="N1155" s="1">
        <v>2</v>
      </c>
      <c r="O1155" s="1">
        <v>3.5</v>
      </c>
      <c r="P1155" s="1">
        <v>8</v>
      </c>
      <c r="Q1155" s="2">
        <v>0.75</v>
      </c>
      <c r="R1155" s="1">
        <v>1</v>
      </c>
      <c r="S1155" s="1">
        <f>R1155/P1155</f>
        <v>0.125</v>
      </c>
      <c r="T1155" s="1">
        <v>5</v>
      </c>
      <c r="U1155" s="1">
        <v>12.5</v>
      </c>
      <c r="V1155" s="1">
        <v>2745.0980392156862</v>
      </c>
      <c r="W1155" s="1">
        <v>5</v>
      </c>
    </row>
    <row r="1156" spans="1:23" x14ac:dyDescent="0.2">
      <c r="A1156">
        <v>2022</v>
      </c>
      <c r="B1156" t="s">
        <v>23</v>
      </c>
      <c r="C1156" t="s">
        <v>24</v>
      </c>
      <c r="D1156">
        <v>104</v>
      </c>
      <c r="E1156">
        <v>1</v>
      </c>
      <c r="F1156">
        <v>7</v>
      </c>
      <c r="G1156" t="s">
        <v>128</v>
      </c>
      <c r="H1156" s="1">
        <v>13</v>
      </c>
      <c r="I1156" s="1">
        <v>57</v>
      </c>
      <c r="J1156" s="1">
        <v>62</v>
      </c>
      <c r="K1156" s="1">
        <f>J1156-I1156</f>
        <v>5</v>
      </c>
      <c r="L1156" s="1">
        <v>148</v>
      </c>
      <c r="M1156" s="1">
        <v>78</v>
      </c>
      <c r="N1156" s="1">
        <v>2</v>
      </c>
      <c r="O1156" s="1">
        <v>2.5</v>
      </c>
      <c r="P1156" s="1">
        <v>10</v>
      </c>
      <c r="Q1156" s="2">
        <v>0.48</v>
      </c>
      <c r="R1156" s="1">
        <v>9</v>
      </c>
      <c r="S1156" s="1">
        <f>R1156/P1156</f>
        <v>0.9</v>
      </c>
      <c r="T1156" s="1">
        <v>5</v>
      </c>
      <c r="U1156" s="1">
        <v>10.6</v>
      </c>
      <c r="V1156" s="1">
        <v>1795.0117647058823</v>
      </c>
      <c r="W1156" s="1">
        <v>4</v>
      </c>
    </row>
    <row r="1157" spans="1:23" x14ac:dyDescent="0.2">
      <c r="A1157">
        <v>2022</v>
      </c>
      <c r="B1157" t="s">
        <v>23</v>
      </c>
      <c r="C1157" t="s">
        <v>24</v>
      </c>
      <c r="D1157">
        <v>104</v>
      </c>
      <c r="E1157">
        <v>2</v>
      </c>
      <c r="F1157">
        <v>14</v>
      </c>
      <c r="G1157" t="s">
        <v>128</v>
      </c>
      <c r="H1157">
        <v>12</v>
      </c>
      <c r="I1157">
        <v>59</v>
      </c>
      <c r="J1157">
        <v>62</v>
      </c>
      <c r="K1157">
        <v>3</v>
      </c>
      <c r="L1157">
        <v>115</v>
      </c>
      <c r="M1157">
        <v>48</v>
      </c>
      <c r="N1157">
        <v>1.5</v>
      </c>
      <c r="O1157">
        <v>2</v>
      </c>
      <c r="P1157">
        <v>12</v>
      </c>
      <c r="Q1157">
        <v>1.4</v>
      </c>
      <c r="R1157">
        <v>14</v>
      </c>
      <c r="S1157">
        <v>1.1666666666666667</v>
      </c>
      <c r="T1157">
        <v>3</v>
      </c>
      <c r="U1157">
        <v>12.5</v>
      </c>
      <c r="V1157">
        <v>5124.1830065359472</v>
      </c>
      <c r="W1157">
        <v>1</v>
      </c>
    </row>
    <row r="1158" spans="1:23" x14ac:dyDescent="0.2">
      <c r="A1158">
        <v>2022</v>
      </c>
      <c r="B1158" t="s">
        <v>23</v>
      </c>
      <c r="C1158" t="s">
        <v>24</v>
      </c>
      <c r="D1158">
        <v>105</v>
      </c>
      <c r="E1158">
        <v>1</v>
      </c>
      <c r="F1158">
        <v>10</v>
      </c>
      <c r="G1158" t="s">
        <v>129</v>
      </c>
      <c r="H1158" s="1">
        <v>10</v>
      </c>
      <c r="I1158" s="1">
        <v>57</v>
      </c>
      <c r="J1158" s="1">
        <v>61</v>
      </c>
      <c r="K1158" s="1">
        <f>J1158-I1158</f>
        <v>4</v>
      </c>
      <c r="L1158" s="1">
        <v>180</v>
      </c>
      <c r="M1158" s="1">
        <v>83</v>
      </c>
      <c r="N1158" s="1">
        <v>2</v>
      </c>
      <c r="O1158" s="1">
        <v>2.5</v>
      </c>
      <c r="P1158" s="1">
        <v>10</v>
      </c>
      <c r="Q1158" s="2">
        <v>0.58799999999999997</v>
      </c>
      <c r="R1158" s="1">
        <v>10</v>
      </c>
      <c r="S1158" s="1">
        <f>R1158/P1158</f>
        <v>1</v>
      </c>
      <c r="T1158" s="1">
        <v>5</v>
      </c>
      <c r="U1158" s="1">
        <v>12.5</v>
      </c>
      <c r="V1158" s="1">
        <v>2152.1568627450979</v>
      </c>
      <c r="W1158" s="1">
        <v>2</v>
      </c>
    </row>
    <row r="1159" spans="1:23" x14ac:dyDescent="0.2">
      <c r="A1159">
        <v>2022</v>
      </c>
      <c r="B1159" t="s">
        <v>23</v>
      </c>
      <c r="C1159" t="s">
        <v>24</v>
      </c>
      <c r="D1159">
        <v>105</v>
      </c>
      <c r="E1159">
        <v>2</v>
      </c>
      <c r="F1159">
        <v>7</v>
      </c>
      <c r="G1159" t="s">
        <v>129</v>
      </c>
      <c r="H1159" s="1">
        <v>8</v>
      </c>
      <c r="I1159" s="1">
        <v>69</v>
      </c>
      <c r="J1159" s="1">
        <v>74</v>
      </c>
      <c r="K1159" s="1">
        <f>J1159-I1159</f>
        <v>5</v>
      </c>
      <c r="L1159" s="1">
        <v>120</v>
      </c>
      <c r="M1159" s="1">
        <v>59</v>
      </c>
      <c r="N1159" s="1">
        <v>1.5</v>
      </c>
      <c r="O1159" s="1">
        <v>4.5</v>
      </c>
      <c r="P1159" s="1">
        <v>6</v>
      </c>
      <c r="Q1159" s="2">
        <v>3.9E-2</v>
      </c>
      <c r="R1159" s="1">
        <v>4</v>
      </c>
      <c r="S1159" s="1">
        <f>R1159/P1159</f>
        <v>0.66666666666666663</v>
      </c>
      <c r="T1159" s="1">
        <v>5</v>
      </c>
      <c r="U1159" s="1">
        <v>12.5</v>
      </c>
      <c r="V1159" s="1">
        <v>142.74509803921569</v>
      </c>
      <c r="W1159" s="1">
        <v>6</v>
      </c>
    </row>
    <row r="1160" spans="1:23" x14ac:dyDescent="0.2">
      <c r="A1160">
        <v>2022</v>
      </c>
      <c r="B1160" t="s">
        <v>23</v>
      </c>
      <c r="C1160" t="s">
        <v>24</v>
      </c>
      <c r="D1160">
        <v>106</v>
      </c>
      <c r="E1160">
        <v>1</v>
      </c>
      <c r="F1160">
        <v>12</v>
      </c>
      <c r="G1160" t="s">
        <v>130</v>
      </c>
      <c r="H1160">
        <v>13</v>
      </c>
      <c r="I1160">
        <v>54</v>
      </c>
      <c r="J1160">
        <v>57</v>
      </c>
      <c r="K1160">
        <v>3</v>
      </c>
      <c r="L1160">
        <v>124</v>
      </c>
      <c r="M1160">
        <v>55</v>
      </c>
      <c r="N1160">
        <v>2</v>
      </c>
      <c r="O1160">
        <v>1.5</v>
      </c>
      <c r="P1160">
        <v>13</v>
      </c>
      <c r="Q1160">
        <v>1.5</v>
      </c>
      <c r="R1160">
        <v>11</v>
      </c>
      <c r="S1160">
        <v>0.84615384615384615</v>
      </c>
      <c r="T1160">
        <v>3</v>
      </c>
      <c r="U1160">
        <v>11</v>
      </c>
      <c r="V1160">
        <v>5584.3137254901958</v>
      </c>
      <c r="W1160">
        <v>2</v>
      </c>
    </row>
    <row r="1161" spans="1:23" x14ac:dyDescent="0.2">
      <c r="A1161">
        <v>2022</v>
      </c>
      <c r="B1161" t="s">
        <v>23</v>
      </c>
      <c r="C1161" t="s">
        <v>24</v>
      </c>
      <c r="D1161">
        <v>106</v>
      </c>
      <c r="E1161">
        <v>2</v>
      </c>
      <c r="F1161">
        <v>2</v>
      </c>
      <c r="G1161" t="s">
        <v>130</v>
      </c>
      <c r="H1161" s="1">
        <v>1</v>
      </c>
      <c r="I1161" s="1">
        <v>65</v>
      </c>
      <c r="J1161" s="1">
        <v>69</v>
      </c>
      <c r="K1161" s="1">
        <f>J1161-I1161</f>
        <v>4</v>
      </c>
      <c r="L1161" s="1">
        <v>158</v>
      </c>
      <c r="M1161" s="1">
        <v>87</v>
      </c>
      <c r="N1161" s="1">
        <v>3</v>
      </c>
      <c r="O1161" s="1">
        <v>4</v>
      </c>
      <c r="P1161" s="1">
        <v>1</v>
      </c>
      <c r="Q1161" s="2">
        <v>4.2000000000000003E-2</v>
      </c>
      <c r="R1161" s="1">
        <v>1</v>
      </c>
      <c r="S1161" s="1">
        <f>R1161/P1161</f>
        <v>1</v>
      </c>
      <c r="T1161" s="1">
        <v>5</v>
      </c>
      <c r="U1161" s="1">
        <v>12.5</v>
      </c>
      <c r="V1161" s="1">
        <v>153.72549019607843</v>
      </c>
      <c r="W1161" s="1">
        <v>5</v>
      </c>
    </row>
    <row r="1162" spans="1:23" x14ac:dyDescent="0.2">
      <c r="A1162">
        <v>2022</v>
      </c>
      <c r="B1162" t="s">
        <v>23</v>
      </c>
      <c r="C1162" t="s">
        <v>24</v>
      </c>
      <c r="D1162">
        <v>107</v>
      </c>
      <c r="E1162">
        <v>1</v>
      </c>
      <c r="F1162">
        <v>7</v>
      </c>
      <c r="G1162" t="s">
        <v>131</v>
      </c>
      <c r="H1162" s="1">
        <v>8</v>
      </c>
      <c r="I1162" s="1">
        <v>63</v>
      </c>
      <c r="J1162" s="1">
        <v>67</v>
      </c>
      <c r="K1162" s="1">
        <f>J1162-I1162</f>
        <v>4</v>
      </c>
      <c r="L1162" s="1">
        <v>182</v>
      </c>
      <c r="M1162" s="1">
        <v>85</v>
      </c>
      <c r="N1162" s="1">
        <v>2</v>
      </c>
      <c r="O1162" s="1">
        <v>3.5</v>
      </c>
      <c r="P1162" s="1">
        <v>7</v>
      </c>
      <c r="Q1162" s="2">
        <v>0.1812</v>
      </c>
      <c r="R1162" s="1">
        <v>5</v>
      </c>
      <c r="S1162" s="1">
        <f>R1162/P1162</f>
        <v>0.7142857142857143</v>
      </c>
      <c r="T1162" s="1">
        <v>5</v>
      </c>
      <c r="U1162" s="1">
        <v>12.5</v>
      </c>
      <c r="V1162" s="1">
        <v>663.21568627450984</v>
      </c>
      <c r="W1162" s="1">
        <v>5</v>
      </c>
    </row>
    <row r="1163" spans="1:23" x14ac:dyDescent="0.2">
      <c r="A1163">
        <v>2022</v>
      </c>
      <c r="B1163" t="s">
        <v>23</v>
      </c>
      <c r="C1163" t="s">
        <v>24</v>
      </c>
      <c r="D1163">
        <v>107</v>
      </c>
      <c r="E1163">
        <v>2</v>
      </c>
      <c r="F1163">
        <v>1</v>
      </c>
      <c r="G1163" t="s">
        <v>131</v>
      </c>
      <c r="H1163">
        <v>2</v>
      </c>
      <c r="I1163">
        <v>63</v>
      </c>
      <c r="J1163">
        <v>65</v>
      </c>
      <c r="K1163">
        <v>2</v>
      </c>
      <c r="L1163">
        <v>140</v>
      </c>
      <c r="M1163">
        <v>56</v>
      </c>
      <c r="N1163">
        <v>1.5</v>
      </c>
      <c r="O1163">
        <v>2.5</v>
      </c>
      <c r="P1163">
        <v>2</v>
      </c>
      <c r="Q1163">
        <v>0.1</v>
      </c>
      <c r="R1163">
        <v>1</v>
      </c>
      <c r="S1163">
        <v>0.5</v>
      </c>
      <c r="T1163" t="s">
        <v>273</v>
      </c>
      <c r="U1163">
        <v>12.5</v>
      </c>
      <c r="V1163">
        <v>366.01307189542484</v>
      </c>
      <c r="W1163">
        <v>2</v>
      </c>
    </row>
    <row r="1164" spans="1:23" x14ac:dyDescent="0.2">
      <c r="A1164">
        <v>2022</v>
      </c>
      <c r="B1164" t="s">
        <v>23</v>
      </c>
      <c r="C1164" t="s">
        <v>24</v>
      </c>
      <c r="D1164">
        <v>108</v>
      </c>
      <c r="E1164">
        <v>1</v>
      </c>
      <c r="F1164">
        <v>13</v>
      </c>
      <c r="G1164" t="s">
        <v>132</v>
      </c>
      <c r="H1164" s="1">
        <v>6</v>
      </c>
      <c r="I1164" s="1">
        <v>68</v>
      </c>
      <c r="J1164" s="1">
        <v>71</v>
      </c>
      <c r="K1164" s="1">
        <f>J1164-I1164</f>
        <v>3</v>
      </c>
      <c r="L1164" s="1">
        <v>137</v>
      </c>
      <c r="M1164" s="1">
        <v>45</v>
      </c>
      <c r="N1164" s="1">
        <v>1.5</v>
      </c>
      <c r="O1164" s="1">
        <v>4.5</v>
      </c>
      <c r="P1164" s="1">
        <v>4</v>
      </c>
      <c r="Q1164" s="2">
        <v>0.254</v>
      </c>
      <c r="R1164" s="1">
        <v>3</v>
      </c>
      <c r="S1164" s="1">
        <f>R1164/P1164</f>
        <v>0.75</v>
      </c>
      <c r="T1164" s="1">
        <v>4</v>
      </c>
      <c r="U1164" s="1">
        <v>12.5</v>
      </c>
      <c r="V1164" s="1">
        <v>929.67320261437919</v>
      </c>
      <c r="W1164" s="1">
        <v>5</v>
      </c>
    </row>
    <row r="1165" spans="1:23" x14ac:dyDescent="0.2">
      <c r="A1165">
        <v>2022</v>
      </c>
      <c r="B1165" t="s">
        <v>23</v>
      </c>
      <c r="C1165" t="s">
        <v>24</v>
      </c>
      <c r="D1165">
        <v>108</v>
      </c>
      <c r="E1165">
        <v>2</v>
      </c>
      <c r="F1165">
        <v>14</v>
      </c>
      <c r="G1165" t="s">
        <v>132</v>
      </c>
      <c r="H1165">
        <v>16</v>
      </c>
      <c r="I1165">
        <v>54</v>
      </c>
      <c r="J1165">
        <v>58</v>
      </c>
      <c r="K1165">
        <v>4</v>
      </c>
      <c r="L1165">
        <v>152</v>
      </c>
      <c r="M1165">
        <v>47</v>
      </c>
      <c r="N1165">
        <v>2</v>
      </c>
      <c r="O1165">
        <v>1.5</v>
      </c>
      <c r="P1165">
        <v>15</v>
      </c>
      <c r="Q1165">
        <v>1</v>
      </c>
      <c r="R1165">
        <v>14</v>
      </c>
      <c r="S1165">
        <v>0.93333333333333335</v>
      </c>
      <c r="T1165">
        <v>2</v>
      </c>
      <c r="U1165">
        <v>9</v>
      </c>
      <c r="V1165">
        <v>3806.535947712418</v>
      </c>
      <c r="W1165">
        <v>1</v>
      </c>
    </row>
    <row r="1166" spans="1:23" x14ac:dyDescent="0.2">
      <c r="A1166">
        <v>2022</v>
      </c>
      <c r="B1166" t="s">
        <v>23</v>
      </c>
      <c r="C1166" t="s">
        <v>24</v>
      </c>
      <c r="D1166">
        <v>109</v>
      </c>
      <c r="E1166">
        <v>1</v>
      </c>
      <c r="F1166">
        <v>12</v>
      </c>
      <c r="G1166" t="s">
        <v>133</v>
      </c>
      <c r="H1166">
        <v>14</v>
      </c>
      <c r="I1166">
        <v>63</v>
      </c>
      <c r="J1166">
        <v>66</v>
      </c>
      <c r="K1166">
        <v>3</v>
      </c>
      <c r="L1166">
        <v>75</v>
      </c>
      <c r="M1166">
        <v>36</v>
      </c>
      <c r="N1166">
        <v>1.5</v>
      </c>
      <c r="O1166">
        <v>2</v>
      </c>
      <c r="P1166">
        <v>14</v>
      </c>
      <c r="Q1166">
        <v>0.4</v>
      </c>
      <c r="R1166">
        <v>15</v>
      </c>
      <c r="S1166">
        <v>1.0714285714285714</v>
      </c>
      <c r="T1166">
        <v>2.5</v>
      </c>
      <c r="U1166">
        <v>12.5</v>
      </c>
      <c r="V1166">
        <v>1464.0522875816994</v>
      </c>
      <c r="W1166">
        <v>1</v>
      </c>
    </row>
    <row r="1167" spans="1:23" x14ac:dyDescent="0.2">
      <c r="A1167">
        <v>2022</v>
      </c>
      <c r="B1167" t="s">
        <v>23</v>
      </c>
      <c r="C1167" t="s">
        <v>24</v>
      </c>
      <c r="D1167">
        <v>109</v>
      </c>
      <c r="E1167">
        <v>2</v>
      </c>
      <c r="F1167">
        <v>1</v>
      </c>
      <c r="G1167" t="s">
        <v>133</v>
      </c>
      <c r="H1167" s="1">
        <v>15</v>
      </c>
      <c r="I1167" s="1">
        <v>62</v>
      </c>
      <c r="J1167" s="1">
        <v>66</v>
      </c>
      <c r="K1167" s="1">
        <f>J1167-I1167</f>
        <v>4</v>
      </c>
      <c r="L1167" s="1">
        <v>107</v>
      </c>
      <c r="M1167" s="1">
        <v>66</v>
      </c>
      <c r="N1167" s="1">
        <v>2</v>
      </c>
      <c r="O1167" s="1">
        <v>3.5</v>
      </c>
      <c r="P1167" s="1">
        <f>H1167</f>
        <v>15</v>
      </c>
      <c r="Q1167" s="2">
        <v>0.23489999999999997</v>
      </c>
      <c r="R1167" s="1">
        <v>11</v>
      </c>
      <c r="S1167" s="1">
        <f>R1167/P1167</f>
        <v>0.73333333333333328</v>
      </c>
      <c r="T1167" s="1">
        <v>5</v>
      </c>
      <c r="U1167" s="1">
        <v>12.5</v>
      </c>
      <c r="V1167" s="1">
        <v>859.76470588235293</v>
      </c>
      <c r="W1167" s="1">
        <v>5</v>
      </c>
    </row>
    <row r="1168" spans="1:23" x14ac:dyDescent="0.2">
      <c r="A1168">
        <v>2022</v>
      </c>
      <c r="B1168" t="s">
        <v>23</v>
      </c>
      <c r="C1168" t="s">
        <v>24</v>
      </c>
      <c r="D1168">
        <v>110</v>
      </c>
      <c r="E1168">
        <v>1</v>
      </c>
      <c r="F1168">
        <v>15</v>
      </c>
      <c r="G1168" t="s">
        <v>134</v>
      </c>
      <c r="H1168">
        <v>16</v>
      </c>
      <c r="I1168">
        <v>50</v>
      </c>
      <c r="J1168">
        <v>53</v>
      </c>
      <c r="K1168">
        <v>3</v>
      </c>
      <c r="L1168">
        <v>197</v>
      </c>
      <c r="M1168">
        <v>69</v>
      </c>
      <c r="N1168">
        <v>2</v>
      </c>
      <c r="O1168">
        <v>2</v>
      </c>
      <c r="P1168">
        <v>9</v>
      </c>
      <c r="Q1168">
        <v>1.3</v>
      </c>
      <c r="R1168">
        <v>13</v>
      </c>
      <c r="S1168">
        <v>1.4444444444444444</v>
      </c>
      <c r="T1168">
        <v>2</v>
      </c>
      <c r="U1168">
        <v>9.5</v>
      </c>
      <c r="V1168">
        <v>4921.30718954248</v>
      </c>
      <c r="W1168">
        <v>1</v>
      </c>
    </row>
    <row r="1169" spans="1:23" x14ac:dyDescent="0.2">
      <c r="A1169">
        <v>2022</v>
      </c>
      <c r="B1169" t="s">
        <v>23</v>
      </c>
      <c r="C1169" t="s">
        <v>24</v>
      </c>
      <c r="D1169">
        <v>110</v>
      </c>
      <c r="E1169">
        <v>2</v>
      </c>
      <c r="F1169">
        <v>10</v>
      </c>
      <c r="G1169" t="s">
        <v>134</v>
      </c>
      <c r="H1169" s="1">
        <v>8</v>
      </c>
      <c r="I1169" s="1">
        <v>66</v>
      </c>
      <c r="J1169" s="1">
        <v>70</v>
      </c>
      <c r="K1169" s="1">
        <f>J1169-I1169</f>
        <v>4</v>
      </c>
      <c r="L1169" s="1">
        <v>153</v>
      </c>
      <c r="M1169" s="1">
        <v>77</v>
      </c>
      <c r="N1169" s="1">
        <v>2</v>
      </c>
      <c r="O1169" s="1">
        <v>4</v>
      </c>
      <c r="P1169" s="1">
        <v>5</v>
      </c>
      <c r="Q1169" s="2">
        <v>0.24029999999999999</v>
      </c>
      <c r="R1169" s="1">
        <v>5</v>
      </c>
      <c r="S1169" s="1">
        <f>R1169/P1169</f>
        <v>1</v>
      </c>
      <c r="T1169" s="1">
        <v>5</v>
      </c>
      <c r="U1169" s="1">
        <v>7.8</v>
      </c>
      <c r="V1169" s="1">
        <v>926.77270588235319</v>
      </c>
      <c r="W1169" s="1">
        <v>4</v>
      </c>
    </row>
    <row r="1170" spans="1:23" x14ac:dyDescent="0.2">
      <c r="A1170">
        <v>2022</v>
      </c>
      <c r="B1170" t="s">
        <v>23</v>
      </c>
      <c r="C1170" t="s">
        <v>24</v>
      </c>
      <c r="D1170">
        <v>111</v>
      </c>
      <c r="E1170">
        <v>1</v>
      </c>
      <c r="F1170">
        <v>5</v>
      </c>
      <c r="G1170" t="s">
        <v>135</v>
      </c>
      <c r="H1170" s="1">
        <v>7</v>
      </c>
      <c r="I1170" s="1">
        <v>62</v>
      </c>
      <c r="J1170" s="1">
        <v>67</v>
      </c>
      <c r="K1170" s="1">
        <f>J1170-I1170</f>
        <v>5</v>
      </c>
      <c r="L1170" s="1">
        <v>100</v>
      </c>
      <c r="M1170" s="1">
        <v>65</v>
      </c>
      <c r="N1170" s="1">
        <v>2</v>
      </c>
      <c r="O1170" s="1">
        <v>4</v>
      </c>
      <c r="P1170" s="1">
        <v>7</v>
      </c>
      <c r="Q1170" s="2">
        <v>0.36254999999999993</v>
      </c>
      <c r="R1170" s="1">
        <v>5</v>
      </c>
      <c r="S1170" s="1">
        <f>R1170/P1170</f>
        <v>0.7142857142857143</v>
      </c>
      <c r="T1170" s="1">
        <v>5</v>
      </c>
      <c r="U1170" s="1">
        <v>12.5</v>
      </c>
      <c r="V1170" s="1">
        <v>1326.9803921568628</v>
      </c>
      <c r="W1170" s="1">
        <v>6</v>
      </c>
    </row>
    <row r="1171" spans="1:23" x14ac:dyDescent="0.2">
      <c r="A1171">
        <v>2022</v>
      </c>
      <c r="B1171" t="s">
        <v>23</v>
      </c>
      <c r="C1171" t="s">
        <v>24</v>
      </c>
      <c r="D1171">
        <v>111</v>
      </c>
      <c r="E1171">
        <v>2</v>
      </c>
      <c r="F1171">
        <v>5</v>
      </c>
      <c r="G1171" t="s">
        <v>135</v>
      </c>
      <c r="H1171" s="1">
        <v>3</v>
      </c>
      <c r="I1171" s="1">
        <v>62</v>
      </c>
      <c r="J1171" s="1">
        <v>66</v>
      </c>
      <c r="K1171" s="1">
        <f>J1171-I1171</f>
        <v>4</v>
      </c>
      <c r="L1171" s="1">
        <v>154</v>
      </c>
      <c r="M1171" s="1">
        <v>55</v>
      </c>
      <c r="N1171" s="1">
        <v>1.5</v>
      </c>
      <c r="O1171" s="1">
        <v>4.5</v>
      </c>
      <c r="P1171" s="1">
        <v>2</v>
      </c>
      <c r="Q1171" s="2">
        <v>3.7399999999999996E-2</v>
      </c>
      <c r="R1171" s="1">
        <v>1</v>
      </c>
      <c r="S1171" s="1">
        <f>R1171/P1171</f>
        <v>0.5</v>
      </c>
      <c r="T1171" s="1">
        <v>5</v>
      </c>
      <c r="U1171" s="1">
        <v>12.5</v>
      </c>
      <c r="V1171" s="1">
        <v>136.88888888888889</v>
      </c>
      <c r="W1171" s="1">
        <v>3</v>
      </c>
    </row>
    <row r="1172" spans="1:23" x14ac:dyDescent="0.2">
      <c r="A1172">
        <v>2022</v>
      </c>
      <c r="B1172" t="s">
        <v>23</v>
      </c>
      <c r="C1172" t="s">
        <v>24</v>
      </c>
      <c r="D1172">
        <v>112</v>
      </c>
      <c r="E1172">
        <v>1</v>
      </c>
      <c r="F1172">
        <v>3</v>
      </c>
      <c r="G1172" t="s">
        <v>136</v>
      </c>
      <c r="H1172">
        <v>3</v>
      </c>
      <c r="I1172">
        <v>63</v>
      </c>
      <c r="J1172">
        <v>67</v>
      </c>
      <c r="K1172">
        <v>4</v>
      </c>
      <c r="L1172">
        <v>115</v>
      </c>
      <c r="M1172">
        <v>61</v>
      </c>
      <c r="N1172">
        <v>2</v>
      </c>
      <c r="O1172">
        <v>3</v>
      </c>
      <c r="P1172">
        <v>3</v>
      </c>
      <c r="Q1172">
        <v>0.5</v>
      </c>
      <c r="R1172">
        <v>4</v>
      </c>
      <c r="S1172">
        <v>1.3333333333333333</v>
      </c>
      <c r="T1172">
        <v>3</v>
      </c>
      <c r="U1172">
        <v>12.5</v>
      </c>
      <c r="V1172">
        <v>1830.0653594771243</v>
      </c>
      <c r="W1172">
        <v>1</v>
      </c>
    </row>
    <row r="1173" spans="1:23" x14ac:dyDescent="0.2">
      <c r="A1173">
        <v>2022</v>
      </c>
      <c r="B1173" t="s">
        <v>23</v>
      </c>
      <c r="C1173" t="s">
        <v>24</v>
      </c>
      <c r="D1173">
        <v>112</v>
      </c>
      <c r="E1173">
        <v>2</v>
      </c>
      <c r="F1173">
        <v>1</v>
      </c>
      <c r="G1173" t="s">
        <v>136</v>
      </c>
      <c r="H1173" s="1">
        <v>11</v>
      </c>
      <c r="I1173" s="1">
        <v>70</v>
      </c>
      <c r="J1173" s="1">
        <v>74</v>
      </c>
      <c r="K1173" s="1">
        <f>J1173-I1173</f>
        <v>4</v>
      </c>
      <c r="L1173" s="1">
        <v>158</v>
      </c>
      <c r="M1173" s="1">
        <v>75</v>
      </c>
      <c r="N1173" s="1">
        <v>2</v>
      </c>
      <c r="O1173" s="1">
        <v>3</v>
      </c>
      <c r="P1173" s="1">
        <v>10</v>
      </c>
      <c r="Q1173" s="2">
        <v>0.73199999999999998</v>
      </c>
      <c r="R1173" s="1">
        <v>8</v>
      </c>
      <c r="S1173" s="1">
        <f>R1173/P1173</f>
        <v>0.8</v>
      </c>
      <c r="T1173" s="1">
        <v>5</v>
      </c>
      <c r="U1173" s="1">
        <v>12.5</v>
      </c>
      <c r="V1173" s="1">
        <v>2679.2156862745096</v>
      </c>
      <c r="W1173" s="1">
        <v>5</v>
      </c>
    </row>
    <row r="1174" spans="1:23" x14ac:dyDescent="0.2">
      <c r="A1174">
        <v>2022</v>
      </c>
      <c r="B1174" t="s">
        <v>23</v>
      </c>
      <c r="C1174" t="s">
        <v>24</v>
      </c>
      <c r="D1174">
        <v>113</v>
      </c>
      <c r="E1174">
        <v>1</v>
      </c>
      <c r="F1174">
        <v>5</v>
      </c>
      <c r="G1174" t="s">
        <v>137</v>
      </c>
      <c r="H1174" s="1">
        <v>5</v>
      </c>
      <c r="I1174" s="1">
        <v>63</v>
      </c>
      <c r="J1174" s="1">
        <v>68</v>
      </c>
      <c r="K1174" s="1">
        <f>J1174-I1174</f>
        <v>5</v>
      </c>
      <c r="L1174" s="1">
        <v>91</v>
      </c>
      <c r="M1174" s="1">
        <v>13</v>
      </c>
      <c r="N1174" s="1">
        <v>2</v>
      </c>
      <c r="O1174" s="1">
        <v>4.5</v>
      </c>
      <c r="P1174" s="1">
        <v>4</v>
      </c>
      <c r="Q1174" s="2">
        <v>0.1</v>
      </c>
      <c r="R1174" s="1">
        <v>4</v>
      </c>
      <c r="S1174" s="1">
        <f>R1174/P1174</f>
        <v>1</v>
      </c>
      <c r="T1174" s="1">
        <v>4</v>
      </c>
      <c r="U1174" s="1">
        <v>12.5</v>
      </c>
      <c r="V1174" s="1">
        <v>366.01307189542484</v>
      </c>
      <c r="W1174" s="1">
        <v>6</v>
      </c>
    </row>
    <row r="1175" spans="1:23" x14ac:dyDescent="0.2">
      <c r="A1175">
        <v>2022</v>
      </c>
      <c r="B1175" t="s">
        <v>23</v>
      </c>
      <c r="C1175" t="s">
        <v>24</v>
      </c>
      <c r="D1175">
        <v>113</v>
      </c>
      <c r="E1175">
        <v>2</v>
      </c>
      <c r="F1175">
        <v>10</v>
      </c>
      <c r="G1175" t="s">
        <v>137</v>
      </c>
      <c r="H1175" s="1">
        <v>10</v>
      </c>
      <c r="I1175" s="1">
        <v>66</v>
      </c>
      <c r="J1175" s="1">
        <v>71</v>
      </c>
      <c r="K1175" s="1">
        <f>J1175-I1175</f>
        <v>5</v>
      </c>
      <c r="L1175" s="1">
        <v>108</v>
      </c>
      <c r="M1175" s="1">
        <v>41</v>
      </c>
      <c r="N1175" s="1">
        <v>2</v>
      </c>
      <c r="O1175" s="1">
        <v>4</v>
      </c>
      <c r="P1175" s="1">
        <v>8</v>
      </c>
      <c r="Q1175" s="2">
        <v>0.46400000000000002</v>
      </c>
      <c r="R1175" s="1">
        <v>8</v>
      </c>
      <c r="S1175" s="1">
        <f>R1175/P1175</f>
        <v>1</v>
      </c>
      <c r="T1175" s="1">
        <v>3.5</v>
      </c>
      <c r="U1175" s="1">
        <v>12.5</v>
      </c>
      <c r="V1175" s="1">
        <v>1698.3006535947711</v>
      </c>
      <c r="W1175" s="1">
        <v>3</v>
      </c>
    </row>
    <row r="1176" spans="1:23" x14ac:dyDescent="0.2">
      <c r="A1176">
        <v>2022</v>
      </c>
      <c r="B1176" t="s">
        <v>23</v>
      </c>
      <c r="C1176" t="s">
        <v>24</v>
      </c>
      <c r="D1176">
        <v>114</v>
      </c>
      <c r="E1176">
        <v>1</v>
      </c>
      <c r="F1176">
        <v>4</v>
      </c>
      <c r="G1176" t="s">
        <v>138</v>
      </c>
      <c r="H1176">
        <v>2</v>
      </c>
      <c r="I1176">
        <v>55</v>
      </c>
      <c r="J1176">
        <v>57</v>
      </c>
      <c r="K1176">
        <v>2</v>
      </c>
      <c r="L1176">
        <v>146</v>
      </c>
      <c r="M1176">
        <v>36</v>
      </c>
      <c r="N1176">
        <v>3</v>
      </c>
      <c r="O1176">
        <v>3</v>
      </c>
      <c r="P1176">
        <v>2</v>
      </c>
      <c r="Q1176">
        <v>0.159</v>
      </c>
      <c r="R1176">
        <v>2</v>
      </c>
      <c r="S1176">
        <v>1</v>
      </c>
      <c r="T1176">
        <v>3</v>
      </c>
      <c r="U1176">
        <v>12.5</v>
      </c>
      <c r="V1176">
        <v>581.96078431372553</v>
      </c>
      <c r="W1176">
        <v>2</v>
      </c>
    </row>
    <row r="1177" spans="1:23" x14ac:dyDescent="0.2">
      <c r="A1177">
        <v>2022</v>
      </c>
      <c r="B1177" t="s">
        <v>23</v>
      </c>
      <c r="C1177" t="s">
        <v>24</v>
      </c>
      <c r="D1177">
        <v>114</v>
      </c>
      <c r="E1177">
        <v>2</v>
      </c>
      <c r="F1177">
        <v>7</v>
      </c>
      <c r="G1177" t="s">
        <v>138</v>
      </c>
      <c r="H1177">
        <v>6</v>
      </c>
      <c r="I1177">
        <v>55</v>
      </c>
      <c r="J1177">
        <v>57</v>
      </c>
      <c r="K1177">
        <v>2</v>
      </c>
      <c r="L1177">
        <v>134</v>
      </c>
      <c r="M1177">
        <v>26</v>
      </c>
      <c r="N1177">
        <v>4</v>
      </c>
      <c r="O1177">
        <v>5</v>
      </c>
      <c r="P1177">
        <v>6</v>
      </c>
      <c r="Q1177">
        <v>0.375</v>
      </c>
      <c r="R1177">
        <v>1</v>
      </c>
      <c r="S1177">
        <v>0.16666666666666666</v>
      </c>
      <c r="T1177">
        <v>4</v>
      </c>
      <c r="U1177">
        <v>12.5</v>
      </c>
      <c r="V1177">
        <v>1372.5490196078431</v>
      </c>
      <c r="W1177">
        <v>1</v>
      </c>
    </row>
    <row r="1178" spans="1:23" x14ac:dyDescent="0.2">
      <c r="A1178">
        <v>2022</v>
      </c>
      <c r="B1178" t="s">
        <v>23</v>
      </c>
      <c r="C1178" t="s">
        <v>24</v>
      </c>
      <c r="D1178">
        <v>115</v>
      </c>
      <c r="E1178">
        <v>1</v>
      </c>
      <c r="F1178">
        <v>4</v>
      </c>
      <c r="G1178" t="s">
        <v>139</v>
      </c>
      <c r="H1178" s="1">
        <v>6</v>
      </c>
      <c r="I1178" s="1">
        <v>61</v>
      </c>
      <c r="J1178" s="1">
        <v>66</v>
      </c>
      <c r="K1178" s="1">
        <f>J1178-I1178</f>
        <v>5</v>
      </c>
      <c r="L1178" s="1">
        <v>153</v>
      </c>
      <c r="M1178" s="1">
        <v>90</v>
      </c>
      <c r="N1178" s="1">
        <v>2</v>
      </c>
      <c r="O1178" s="1">
        <v>2</v>
      </c>
      <c r="P1178" s="1">
        <v>5</v>
      </c>
      <c r="Q1178" s="2">
        <v>0.92400000000000004</v>
      </c>
      <c r="R1178" s="1">
        <v>5</v>
      </c>
      <c r="S1178" s="1">
        <f>R1178/P1178</f>
        <v>1</v>
      </c>
      <c r="T1178" s="1">
        <v>2</v>
      </c>
      <c r="U1178" s="1">
        <v>10.5</v>
      </c>
      <c r="V1178" s="1">
        <v>3459.2627450980399</v>
      </c>
      <c r="W1178" s="1">
        <v>3</v>
      </c>
    </row>
    <row r="1179" spans="1:23" x14ac:dyDescent="0.2">
      <c r="A1179">
        <v>2022</v>
      </c>
      <c r="B1179" t="s">
        <v>23</v>
      </c>
      <c r="C1179" t="s">
        <v>24</v>
      </c>
      <c r="D1179">
        <v>115</v>
      </c>
      <c r="E1179">
        <v>2</v>
      </c>
      <c r="F1179">
        <v>6</v>
      </c>
      <c r="G1179" t="s">
        <v>139</v>
      </c>
      <c r="H1179">
        <v>5</v>
      </c>
      <c r="I1179">
        <v>58</v>
      </c>
      <c r="J1179">
        <v>62</v>
      </c>
      <c r="K1179">
        <v>4</v>
      </c>
      <c r="L1179">
        <v>154</v>
      </c>
      <c r="M1179">
        <v>54</v>
      </c>
      <c r="N1179">
        <v>1</v>
      </c>
      <c r="O1179">
        <v>5</v>
      </c>
      <c r="P1179">
        <v>5</v>
      </c>
      <c r="Q1179">
        <v>0.47299999999999998</v>
      </c>
      <c r="R1179">
        <v>2</v>
      </c>
      <c r="S1179">
        <v>0.4</v>
      </c>
      <c r="T1179">
        <v>4</v>
      </c>
      <c r="U1179">
        <v>12.5</v>
      </c>
      <c r="V1179">
        <v>1731.2418300653596</v>
      </c>
      <c r="W1179">
        <v>1</v>
      </c>
    </row>
    <row r="1180" spans="1:23" x14ac:dyDescent="0.2">
      <c r="A1180">
        <v>2022</v>
      </c>
      <c r="B1180" t="s">
        <v>23</v>
      </c>
      <c r="C1180" t="s">
        <v>24</v>
      </c>
      <c r="D1180">
        <v>116</v>
      </c>
      <c r="E1180">
        <v>1</v>
      </c>
      <c r="F1180">
        <v>15</v>
      </c>
      <c r="G1180" t="s">
        <v>140</v>
      </c>
      <c r="H1180">
        <v>11</v>
      </c>
      <c r="I1180">
        <v>56</v>
      </c>
      <c r="J1180">
        <v>62</v>
      </c>
      <c r="K1180">
        <v>6</v>
      </c>
      <c r="L1180">
        <v>171</v>
      </c>
      <c r="M1180">
        <v>51</v>
      </c>
      <c r="N1180">
        <v>1</v>
      </c>
      <c r="O1180">
        <v>5</v>
      </c>
      <c r="P1180">
        <v>11</v>
      </c>
      <c r="Q1180">
        <v>0.3609</v>
      </c>
      <c r="R1180">
        <v>6</v>
      </c>
      <c r="S1180">
        <v>0.54545454545454541</v>
      </c>
      <c r="T1180">
        <v>3</v>
      </c>
      <c r="U1180">
        <v>12.5</v>
      </c>
      <c r="V1180">
        <v>1320.9411764705883</v>
      </c>
      <c r="W1180">
        <v>1</v>
      </c>
    </row>
    <row r="1181" spans="1:23" x14ac:dyDescent="0.2">
      <c r="A1181">
        <v>2022</v>
      </c>
      <c r="B1181" t="s">
        <v>23</v>
      </c>
      <c r="C1181" t="s">
        <v>24</v>
      </c>
      <c r="D1181">
        <v>116</v>
      </c>
      <c r="E1181">
        <v>2</v>
      </c>
      <c r="F1181">
        <v>12</v>
      </c>
      <c r="G1181" t="s">
        <v>140</v>
      </c>
      <c r="H1181">
        <v>5</v>
      </c>
      <c r="I1181">
        <v>60</v>
      </c>
      <c r="J1181">
        <v>63</v>
      </c>
      <c r="K1181">
        <v>3</v>
      </c>
      <c r="L1181">
        <v>90</v>
      </c>
      <c r="M1181">
        <v>22</v>
      </c>
      <c r="N1181">
        <v>2</v>
      </c>
      <c r="O1181">
        <v>3</v>
      </c>
      <c r="P1181">
        <v>5</v>
      </c>
      <c r="Q1181">
        <v>0.5</v>
      </c>
      <c r="R1181">
        <v>6</v>
      </c>
      <c r="S1181">
        <v>1.2</v>
      </c>
      <c r="T1181">
        <v>3</v>
      </c>
      <c r="U1181">
        <v>12.5</v>
      </c>
      <c r="V1181">
        <v>1830.0653594771243</v>
      </c>
      <c r="W1181">
        <v>2</v>
      </c>
    </row>
    <row r="1182" spans="1:23" x14ac:dyDescent="0.2">
      <c r="A1182">
        <v>2022</v>
      </c>
      <c r="B1182" t="s">
        <v>23</v>
      </c>
      <c r="C1182" t="s">
        <v>24</v>
      </c>
      <c r="D1182">
        <v>117</v>
      </c>
      <c r="E1182">
        <v>1</v>
      </c>
      <c r="F1182">
        <v>11</v>
      </c>
      <c r="G1182" t="s">
        <v>141</v>
      </c>
      <c r="H1182">
        <v>16</v>
      </c>
      <c r="I1182">
        <v>54</v>
      </c>
      <c r="J1182">
        <v>55</v>
      </c>
      <c r="K1182">
        <v>1</v>
      </c>
      <c r="L1182">
        <v>153</v>
      </c>
      <c r="M1182">
        <v>90</v>
      </c>
      <c r="N1182">
        <v>2</v>
      </c>
      <c r="O1182">
        <v>2</v>
      </c>
      <c r="P1182">
        <v>13</v>
      </c>
      <c r="Q1182">
        <v>0.3</v>
      </c>
      <c r="R1182">
        <v>11</v>
      </c>
      <c r="S1182">
        <v>0.84615384615384615</v>
      </c>
      <c r="T1182">
        <v>4</v>
      </c>
      <c r="U1182">
        <v>7.9</v>
      </c>
      <c r="V1182">
        <v>1155.7647058823529</v>
      </c>
      <c r="W1182">
        <v>1</v>
      </c>
    </row>
    <row r="1183" spans="1:23" x14ac:dyDescent="0.2">
      <c r="A1183">
        <v>2022</v>
      </c>
      <c r="B1183" t="s">
        <v>23</v>
      </c>
      <c r="C1183" t="s">
        <v>24</v>
      </c>
      <c r="D1183">
        <v>117</v>
      </c>
      <c r="E1183">
        <v>2</v>
      </c>
      <c r="F1183">
        <v>12</v>
      </c>
      <c r="G1183" t="s">
        <v>141</v>
      </c>
      <c r="H1183" s="1">
        <v>12</v>
      </c>
      <c r="I1183" s="1">
        <v>54</v>
      </c>
      <c r="J1183" s="1">
        <v>58</v>
      </c>
      <c r="K1183" s="1">
        <f>J1183-I1183</f>
        <v>4</v>
      </c>
      <c r="L1183" s="1">
        <v>133</v>
      </c>
      <c r="M1183" s="1">
        <v>73</v>
      </c>
      <c r="N1183" s="1">
        <v>2</v>
      </c>
      <c r="O1183" s="1">
        <v>3.5</v>
      </c>
      <c r="P1183" s="1">
        <f>H1183-2</f>
        <v>10</v>
      </c>
      <c r="Q1183" s="2">
        <v>0.14580000000000001</v>
      </c>
      <c r="R1183" s="1">
        <v>10</v>
      </c>
      <c r="S1183" s="1">
        <f>R1183/P1183</f>
        <v>1</v>
      </c>
      <c r="T1183" s="1">
        <v>3</v>
      </c>
      <c r="U1183" s="1">
        <v>12.5</v>
      </c>
      <c r="V1183" s="1">
        <v>533.64705882352939</v>
      </c>
      <c r="W1183" s="1">
        <v>5</v>
      </c>
    </row>
    <row r="1184" spans="1:23" x14ac:dyDescent="0.2">
      <c r="A1184">
        <v>2022</v>
      </c>
      <c r="B1184" t="s">
        <v>23</v>
      </c>
      <c r="C1184" t="s">
        <v>24</v>
      </c>
      <c r="D1184">
        <v>118</v>
      </c>
      <c r="E1184">
        <v>1</v>
      </c>
      <c r="F1184">
        <v>13</v>
      </c>
      <c r="G1184" t="s">
        <v>142</v>
      </c>
      <c r="H1184" s="1">
        <v>9</v>
      </c>
      <c r="I1184" s="1">
        <v>58</v>
      </c>
      <c r="J1184" s="1">
        <v>63</v>
      </c>
      <c r="K1184" s="1">
        <f>J1184-I1184</f>
        <v>5</v>
      </c>
      <c r="L1184" s="1">
        <v>115</v>
      </c>
      <c r="M1184" s="1">
        <v>73</v>
      </c>
      <c r="N1184" s="1">
        <v>3</v>
      </c>
      <c r="O1184" s="1">
        <v>4</v>
      </c>
      <c r="P1184" s="1">
        <f>H1184</f>
        <v>9</v>
      </c>
      <c r="Q1184" s="2">
        <v>0.219</v>
      </c>
      <c r="R1184" s="1">
        <v>9</v>
      </c>
      <c r="S1184" s="1">
        <f>R1184/P1184</f>
        <v>1</v>
      </c>
      <c r="T1184" s="1">
        <v>5</v>
      </c>
      <c r="U1184" s="1">
        <v>12.5</v>
      </c>
      <c r="V1184" s="1">
        <v>801.56862745098033</v>
      </c>
      <c r="W1184" s="1">
        <v>5</v>
      </c>
    </row>
    <row r="1185" spans="1:23" x14ac:dyDescent="0.2">
      <c r="A1185">
        <v>2022</v>
      </c>
      <c r="B1185" t="s">
        <v>23</v>
      </c>
      <c r="C1185" t="s">
        <v>24</v>
      </c>
      <c r="D1185">
        <v>118</v>
      </c>
      <c r="E1185">
        <v>2</v>
      </c>
      <c r="F1185">
        <v>15</v>
      </c>
      <c r="G1185" t="s">
        <v>142</v>
      </c>
      <c r="H1185">
        <v>10</v>
      </c>
      <c r="I1185">
        <v>56</v>
      </c>
      <c r="J1185">
        <v>58</v>
      </c>
      <c r="K1185">
        <v>2</v>
      </c>
      <c r="L1185">
        <v>185</v>
      </c>
      <c r="M1185">
        <v>83</v>
      </c>
      <c r="N1185">
        <v>1.5</v>
      </c>
      <c r="O1185">
        <v>3</v>
      </c>
      <c r="P1185">
        <v>9</v>
      </c>
      <c r="Q1185">
        <v>1.2</v>
      </c>
      <c r="R1185">
        <v>8</v>
      </c>
      <c r="S1185">
        <v>0.88888888888888884</v>
      </c>
      <c r="T1185">
        <v>3</v>
      </c>
      <c r="U1185">
        <v>12.5</v>
      </c>
      <c r="V1185">
        <v>4392.1568627450979</v>
      </c>
      <c r="W1185">
        <v>2</v>
      </c>
    </row>
    <row r="1186" spans="1:23" x14ac:dyDescent="0.2">
      <c r="A1186">
        <v>2022</v>
      </c>
      <c r="B1186" t="s">
        <v>23</v>
      </c>
      <c r="C1186" t="s">
        <v>24</v>
      </c>
      <c r="D1186">
        <v>119</v>
      </c>
      <c r="E1186">
        <v>1</v>
      </c>
      <c r="F1186">
        <v>10</v>
      </c>
      <c r="G1186" t="s">
        <v>143</v>
      </c>
      <c r="H1186" s="1">
        <v>1</v>
      </c>
      <c r="I1186" s="1">
        <v>68</v>
      </c>
      <c r="J1186" s="1">
        <v>71</v>
      </c>
      <c r="K1186" s="1">
        <f>J1186-I1186</f>
        <v>3</v>
      </c>
      <c r="L1186" s="1">
        <v>225</v>
      </c>
      <c r="M1186" s="1">
        <v>82</v>
      </c>
      <c r="N1186" s="1">
        <v>2</v>
      </c>
      <c r="O1186" s="1">
        <v>3.5</v>
      </c>
      <c r="P1186" s="1">
        <v>1</v>
      </c>
      <c r="Q1186" s="2">
        <v>0.05</v>
      </c>
      <c r="R1186" s="1">
        <v>1</v>
      </c>
      <c r="S1186" s="1">
        <f>R1186/P1186</f>
        <v>1</v>
      </c>
      <c r="T1186" s="1">
        <v>5</v>
      </c>
      <c r="U1186" s="1">
        <v>12.5</v>
      </c>
      <c r="V1186" s="1">
        <v>183.00653594771242</v>
      </c>
      <c r="W1186" s="1">
        <v>5</v>
      </c>
    </row>
    <row r="1187" spans="1:23" x14ac:dyDescent="0.2">
      <c r="A1187">
        <v>2022</v>
      </c>
      <c r="B1187" t="s">
        <v>23</v>
      </c>
      <c r="C1187" t="s">
        <v>24</v>
      </c>
      <c r="D1187">
        <v>119</v>
      </c>
      <c r="E1187">
        <v>2</v>
      </c>
      <c r="F1187">
        <v>9</v>
      </c>
      <c r="G1187" t="s">
        <v>143</v>
      </c>
      <c r="H1187" s="1">
        <v>13</v>
      </c>
      <c r="I1187" s="1">
        <v>67</v>
      </c>
      <c r="J1187" s="1">
        <v>72</v>
      </c>
      <c r="K1187" s="1">
        <f>J1187-I1187</f>
        <v>5</v>
      </c>
      <c r="L1187" s="1">
        <v>185</v>
      </c>
      <c r="M1187" s="1">
        <v>133</v>
      </c>
      <c r="N1187" s="1">
        <v>3</v>
      </c>
      <c r="O1187" s="1">
        <v>4</v>
      </c>
      <c r="P1187" s="1">
        <v>9</v>
      </c>
      <c r="Q1187" s="2">
        <v>0.68700000000000006</v>
      </c>
      <c r="R1187" s="1">
        <v>5</v>
      </c>
      <c r="S1187" s="1">
        <f>R1187/P1187</f>
        <v>0.55555555555555558</v>
      </c>
      <c r="T1187" s="1">
        <v>4</v>
      </c>
      <c r="U1187" s="1">
        <v>12.5</v>
      </c>
      <c r="V1187" s="1">
        <v>2514.5098039215686</v>
      </c>
      <c r="W1187" s="1">
        <v>2</v>
      </c>
    </row>
    <row r="1188" spans="1:23" x14ac:dyDescent="0.2">
      <c r="A1188">
        <v>2022</v>
      </c>
      <c r="B1188" t="s">
        <v>23</v>
      </c>
      <c r="C1188" t="s">
        <v>24</v>
      </c>
      <c r="D1188">
        <v>120</v>
      </c>
      <c r="E1188">
        <v>1</v>
      </c>
      <c r="F1188">
        <v>13</v>
      </c>
      <c r="G1188" t="s">
        <v>144</v>
      </c>
      <c r="H1188">
        <v>15</v>
      </c>
      <c r="I1188">
        <v>55</v>
      </c>
      <c r="J1188">
        <v>56</v>
      </c>
      <c r="K1188">
        <v>1</v>
      </c>
      <c r="L1188">
        <v>166</v>
      </c>
      <c r="M1188">
        <v>42</v>
      </c>
      <c r="N1188">
        <v>2</v>
      </c>
      <c r="O1188">
        <v>2</v>
      </c>
      <c r="P1188">
        <v>12</v>
      </c>
      <c r="Q1188">
        <v>0.5</v>
      </c>
      <c r="R1188">
        <v>9</v>
      </c>
      <c r="S1188">
        <v>0.75</v>
      </c>
      <c r="T1188">
        <v>3</v>
      </c>
      <c r="U1188">
        <v>13</v>
      </c>
      <c r="V1188">
        <v>1819.6078431372548</v>
      </c>
      <c r="W1188">
        <v>1</v>
      </c>
    </row>
    <row r="1189" spans="1:23" x14ac:dyDescent="0.2">
      <c r="A1189">
        <v>2022</v>
      </c>
      <c r="B1189" t="s">
        <v>23</v>
      </c>
      <c r="C1189" t="s">
        <v>24</v>
      </c>
      <c r="D1189">
        <v>120</v>
      </c>
      <c r="E1189">
        <v>2</v>
      </c>
      <c r="F1189">
        <v>11</v>
      </c>
      <c r="G1189" t="s">
        <v>144</v>
      </c>
      <c r="H1189">
        <v>3</v>
      </c>
      <c r="I1189">
        <v>56</v>
      </c>
      <c r="J1189">
        <v>62</v>
      </c>
      <c r="K1189">
        <v>6</v>
      </c>
      <c r="L1189">
        <v>149</v>
      </c>
      <c r="M1189">
        <v>53</v>
      </c>
      <c r="N1189">
        <v>3</v>
      </c>
      <c r="O1189">
        <v>3</v>
      </c>
      <c r="P1189">
        <v>3</v>
      </c>
      <c r="Q1189">
        <v>0.13100000000000001</v>
      </c>
      <c r="R1189">
        <v>3</v>
      </c>
      <c r="S1189">
        <v>1</v>
      </c>
      <c r="T1189">
        <v>4</v>
      </c>
      <c r="U1189">
        <v>12.5</v>
      </c>
      <c r="V1189">
        <v>479.47712418300648</v>
      </c>
      <c r="W1189">
        <v>2</v>
      </c>
    </row>
    <row r="1190" spans="1:23" x14ac:dyDescent="0.2">
      <c r="A1190">
        <v>2022</v>
      </c>
      <c r="B1190" t="s">
        <v>23</v>
      </c>
      <c r="C1190" t="s">
        <v>24</v>
      </c>
      <c r="D1190">
        <v>121</v>
      </c>
      <c r="E1190">
        <v>1</v>
      </c>
      <c r="F1190">
        <v>6</v>
      </c>
      <c r="G1190" t="s">
        <v>145</v>
      </c>
      <c r="H1190" s="1">
        <v>7</v>
      </c>
      <c r="I1190" s="1">
        <v>66</v>
      </c>
      <c r="J1190" s="1">
        <v>71</v>
      </c>
      <c r="K1190" s="1">
        <f>J1190-I1190</f>
        <v>5</v>
      </c>
      <c r="L1190" s="1">
        <v>143</v>
      </c>
      <c r="M1190" s="1">
        <v>73</v>
      </c>
      <c r="N1190" s="1">
        <v>2</v>
      </c>
      <c r="O1190" s="1">
        <v>2.5</v>
      </c>
      <c r="P1190" s="1">
        <v>4</v>
      </c>
      <c r="Q1190" s="2">
        <v>0.21480000000000002</v>
      </c>
      <c r="R1190" s="1">
        <v>5</v>
      </c>
      <c r="S1190" s="1">
        <f>R1190/P1190</f>
        <v>1.25</v>
      </c>
      <c r="T1190" s="1">
        <v>3</v>
      </c>
      <c r="U1190" s="1">
        <v>12.5</v>
      </c>
      <c r="V1190" s="1">
        <v>786.19607843137271</v>
      </c>
      <c r="W1190" s="1">
        <v>5</v>
      </c>
    </row>
    <row r="1191" spans="1:23" x14ac:dyDescent="0.2">
      <c r="A1191">
        <v>2022</v>
      </c>
      <c r="B1191" t="s">
        <v>23</v>
      </c>
      <c r="C1191" t="s">
        <v>24</v>
      </c>
      <c r="D1191">
        <v>121</v>
      </c>
      <c r="E1191">
        <v>2</v>
      </c>
      <c r="F1191">
        <v>6</v>
      </c>
      <c r="G1191" t="s">
        <v>145</v>
      </c>
      <c r="H1191">
        <v>12</v>
      </c>
      <c r="I1191">
        <v>63</v>
      </c>
      <c r="J1191">
        <v>65</v>
      </c>
      <c r="K1191">
        <v>2</v>
      </c>
      <c r="L1191">
        <v>165</v>
      </c>
      <c r="M1191">
        <v>71</v>
      </c>
      <c r="N1191">
        <v>2.5</v>
      </c>
      <c r="O1191">
        <v>3</v>
      </c>
      <c r="P1191">
        <v>12</v>
      </c>
      <c r="Q1191">
        <v>1.4</v>
      </c>
      <c r="R1191">
        <v>12</v>
      </c>
      <c r="S1191">
        <v>1</v>
      </c>
      <c r="T1191">
        <v>3</v>
      </c>
      <c r="U1191">
        <v>12.5</v>
      </c>
      <c r="V1191">
        <v>5124.1830065359472</v>
      </c>
      <c r="W1191">
        <v>1</v>
      </c>
    </row>
    <row r="1192" spans="1:23" x14ac:dyDescent="0.2">
      <c r="A1192">
        <v>2022</v>
      </c>
      <c r="B1192" t="s">
        <v>23</v>
      </c>
      <c r="C1192" t="s">
        <v>24</v>
      </c>
      <c r="D1192">
        <v>122</v>
      </c>
      <c r="E1192">
        <v>1</v>
      </c>
      <c r="F1192">
        <v>3</v>
      </c>
      <c r="G1192" t="s">
        <v>146</v>
      </c>
      <c r="H1192" s="1">
        <v>3</v>
      </c>
      <c r="I1192" s="1">
        <v>68</v>
      </c>
      <c r="J1192" s="1">
        <v>71</v>
      </c>
      <c r="K1192" s="1">
        <f>J1192-I1192</f>
        <v>3</v>
      </c>
      <c r="L1192" s="1">
        <v>210</v>
      </c>
      <c r="M1192" s="1">
        <v>123</v>
      </c>
      <c r="N1192" s="1">
        <v>3</v>
      </c>
      <c r="O1192" s="1">
        <v>4</v>
      </c>
      <c r="P1192" s="1">
        <v>2</v>
      </c>
      <c r="Q1192" s="2">
        <v>0.20880000000000001</v>
      </c>
      <c r="R1192" s="1">
        <v>3</v>
      </c>
      <c r="S1192" s="1">
        <f>R1192/P1192</f>
        <v>1.5</v>
      </c>
      <c r="T1192" s="1">
        <v>4</v>
      </c>
      <c r="U1192" s="1">
        <v>12.5</v>
      </c>
      <c r="V1192" s="1">
        <v>764.23529411764707</v>
      </c>
      <c r="W1192" s="1">
        <v>2</v>
      </c>
    </row>
    <row r="1193" spans="1:23" x14ac:dyDescent="0.2">
      <c r="A1193">
        <v>2022</v>
      </c>
      <c r="B1193" t="s">
        <v>23</v>
      </c>
      <c r="C1193" t="s">
        <v>24</v>
      </c>
      <c r="D1193">
        <v>122</v>
      </c>
      <c r="E1193">
        <v>2</v>
      </c>
      <c r="F1193">
        <v>2</v>
      </c>
      <c r="G1193" t="s">
        <v>146</v>
      </c>
      <c r="H1193" s="1">
        <v>8</v>
      </c>
      <c r="I1193" s="1">
        <v>66</v>
      </c>
      <c r="J1193" s="1">
        <v>69</v>
      </c>
      <c r="K1193" s="1">
        <f>J1193-I1193</f>
        <v>3</v>
      </c>
      <c r="L1193" s="1">
        <v>87</v>
      </c>
      <c r="M1193" s="1">
        <v>29</v>
      </c>
      <c r="N1193" s="1">
        <v>2</v>
      </c>
      <c r="O1193" s="1">
        <v>3</v>
      </c>
      <c r="P1193" s="1">
        <v>5</v>
      </c>
      <c r="Q1193" s="2">
        <v>9.7250000000000003E-2</v>
      </c>
      <c r="R1193" s="1">
        <v>3</v>
      </c>
      <c r="S1193" s="1">
        <f>R1193/P1193</f>
        <v>0.6</v>
      </c>
      <c r="T1193" s="1">
        <v>4</v>
      </c>
      <c r="U1193" s="1">
        <v>12.5</v>
      </c>
      <c r="V1193" s="1">
        <v>355.94771241830063</v>
      </c>
      <c r="W1193" s="1">
        <v>4</v>
      </c>
    </row>
    <row r="1194" spans="1:23" x14ac:dyDescent="0.2">
      <c r="A1194">
        <v>2022</v>
      </c>
      <c r="B1194" t="s">
        <v>23</v>
      </c>
      <c r="C1194" t="s">
        <v>24</v>
      </c>
      <c r="D1194">
        <v>123</v>
      </c>
      <c r="E1194">
        <v>1</v>
      </c>
      <c r="F1194">
        <v>1</v>
      </c>
      <c r="G1194" t="s">
        <v>147</v>
      </c>
      <c r="H1194" s="1">
        <v>10</v>
      </c>
      <c r="I1194" s="1">
        <v>66</v>
      </c>
      <c r="J1194" s="1">
        <v>70</v>
      </c>
      <c r="K1194" s="1">
        <f>J1194-I1194</f>
        <v>4</v>
      </c>
      <c r="L1194" s="1">
        <v>121</v>
      </c>
      <c r="M1194" s="1">
        <v>46</v>
      </c>
      <c r="N1194" s="1">
        <v>1.5</v>
      </c>
      <c r="O1194" s="1">
        <v>4</v>
      </c>
      <c r="P1194" s="1">
        <v>8</v>
      </c>
      <c r="Q1194" s="2">
        <v>0.48079999999999995</v>
      </c>
      <c r="R1194" s="1">
        <v>7</v>
      </c>
      <c r="S1194" s="1">
        <f>R1194/P1194</f>
        <v>0.875</v>
      </c>
      <c r="T1194" s="1">
        <v>2.5</v>
      </c>
      <c r="U1194" s="1">
        <v>12.5</v>
      </c>
      <c r="V1194" s="1">
        <v>1759.7908496732025</v>
      </c>
      <c r="W1194" s="1">
        <v>5</v>
      </c>
    </row>
    <row r="1195" spans="1:23" x14ac:dyDescent="0.2">
      <c r="A1195">
        <v>2022</v>
      </c>
      <c r="B1195" t="s">
        <v>23</v>
      </c>
      <c r="C1195" t="s">
        <v>24</v>
      </c>
      <c r="D1195">
        <v>123</v>
      </c>
      <c r="E1195">
        <v>2</v>
      </c>
      <c r="F1195">
        <v>6</v>
      </c>
      <c r="G1195" t="s">
        <v>147</v>
      </c>
      <c r="H1195" s="1">
        <v>4</v>
      </c>
      <c r="I1195" s="1">
        <v>66</v>
      </c>
      <c r="J1195" s="1">
        <v>70</v>
      </c>
      <c r="K1195" s="1">
        <f>J1195-I1195</f>
        <v>4</v>
      </c>
      <c r="L1195" s="1">
        <v>152</v>
      </c>
      <c r="M1195" s="1">
        <v>42</v>
      </c>
      <c r="N1195" s="1">
        <v>2</v>
      </c>
      <c r="O1195" s="1">
        <v>3</v>
      </c>
      <c r="P1195" s="1">
        <v>4</v>
      </c>
      <c r="Q1195" s="2">
        <v>0.23599999999999999</v>
      </c>
      <c r="R1195" s="1">
        <v>5</v>
      </c>
      <c r="S1195" s="1">
        <f>R1195/P1195</f>
        <v>1.25</v>
      </c>
      <c r="T1195" s="1">
        <v>3</v>
      </c>
      <c r="U1195" s="1">
        <v>12.5</v>
      </c>
      <c r="V1195" s="1">
        <v>863.79084967320262</v>
      </c>
      <c r="W1195" s="1">
        <v>4</v>
      </c>
    </row>
    <row r="1196" spans="1:23" x14ac:dyDescent="0.2">
      <c r="A1196">
        <v>2022</v>
      </c>
      <c r="B1196" t="s">
        <v>23</v>
      </c>
      <c r="C1196" t="s">
        <v>24</v>
      </c>
      <c r="D1196">
        <v>124</v>
      </c>
      <c r="E1196">
        <v>1</v>
      </c>
      <c r="F1196">
        <v>4</v>
      </c>
      <c r="G1196" t="s">
        <v>148</v>
      </c>
      <c r="H1196">
        <v>5</v>
      </c>
      <c r="I1196">
        <v>64</v>
      </c>
      <c r="J1196">
        <v>67</v>
      </c>
      <c r="K1196">
        <v>3</v>
      </c>
      <c r="L1196">
        <v>93</v>
      </c>
      <c r="M1196">
        <v>31</v>
      </c>
      <c r="N1196">
        <v>1.5</v>
      </c>
      <c r="O1196">
        <v>2</v>
      </c>
      <c r="P1196">
        <v>5</v>
      </c>
      <c r="Q1196">
        <v>0.7</v>
      </c>
      <c r="R1196">
        <v>6</v>
      </c>
      <c r="S1196">
        <v>1.2</v>
      </c>
      <c r="T1196">
        <v>2.5</v>
      </c>
      <c r="U1196">
        <v>12.5</v>
      </c>
      <c r="V1196">
        <v>2562.0915032679736</v>
      </c>
      <c r="W1196">
        <v>1</v>
      </c>
    </row>
    <row r="1197" spans="1:23" x14ac:dyDescent="0.2">
      <c r="A1197">
        <v>2022</v>
      </c>
      <c r="B1197" t="s">
        <v>23</v>
      </c>
      <c r="C1197" t="s">
        <v>24</v>
      </c>
      <c r="D1197">
        <v>124</v>
      </c>
      <c r="E1197">
        <v>2</v>
      </c>
      <c r="F1197">
        <v>6</v>
      </c>
      <c r="G1197" t="s">
        <v>148</v>
      </c>
      <c r="H1197">
        <v>16</v>
      </c>
      <c r="I1197">
        <v>55</v>
      </c>
      <c r="J1197">
        <v>56</v>
      </c>
      <c r="K1197">
        <v>1</v>
      </c>
      <c r="L1197">
        <v>139</v>
      </c>
      <c r="M1197">
        <v>72</v>
      </c>
      <c r="N1197">
        <v>2</v>
      </c>
      <c r="O1197">
        <v>2.5</v>
      </c>
      <c r="P1197">
        <v>12</v>
      </c>
      <c r="Q1197">
        <v>0.6</v>
      </c>
      <c r="R1197">
        <v>13</v>
      </c>
      <c r="S1197">
        <v>1.0833333333333333</v>
      </c>
      <c r="T1197">
        <v>4</v>
      </c>
      <c r="U1197">
        <v>12.2</v>
      </c>
      <c r="V1197">
        <v>2203.6078431372548</v>
      </c>
      <c r="W1197">
        <v>2</v>
      </c>
    </row>
    <row r="1198" spans="1:23" x14ac:dyDescent="0.2">
      <c r="A1198">
        <v>2022</v>
      </c>
      <c r="B1198" t="s">
        <v>23</v>
      </c>
      <c r="C1198" t="s">
        <v>24</v>
      </c>
      <c r="D1198">
        <v>125</v>
      </c>
      <c r="E1198">
        <v>1</v>
      </c>
      <c r="F1198">
        <v>11</v>
      </c>
      <c r="G1198" t="s">
        <v>149</v>
      </c>
      <c r="H1198" s="1">
        <v>5</v>
      </c>
      <c r="I1198" s="1">
        <v>61</v>
      </c>
      <c r="J1198" s="1">
        <v>65</v>
      </c>
      <c r="K1198" s="1">
        <f>J1198-I1198</f>
        <v>4</v>
      </c>
      <c r="L1198" s="1">
        <v>188</v>
      </c>
      <c r="M1198" s="1">
        <v>82</v>
      </c>
      <c r="N1198" s="1">
        <v>2</v>
      </c>
      <c r="O1198" s="1">
        <v>2.5</v>
      </c>
      <c r="P1198" s="1">
        <v>5</v>
      </c>
      <c r="Q1198" s="2">
        <v>0.6167999999999999</v>
      </c>
      <c r="R1198" s="1">
        <v>3</v>
      </c>
      <c r="S1198" s="1">
        <f>R1198/P1198</f>
        <v>0.6</v>
      </c>
      <c r="T1198" s="1">
        <v>2</v>
      </c>
      <c r="U1198" s="1">
        <v>8.1</v>
      </c>
      <c r="V1198" s="1">
        <v>2371.0920784313726</v>
      </c>
      <c r="W1198" s="1">
        <v>3</v>
      </c>
    </row>
    <row r="1199" spans="1:23" x14ac:dyDescent="0.2">
      <c r="A1199">
        <v>2022</v>
      </c>
      <c r="B1199" t="s">
        <v>23</v>
      </c>
      <c r="C1199" t="s">
        <v>24</v>
      </c>
      <c r="D1199">
        <v>125</v>
      </c>
      <c r="E1199">
        <v>2</v>
      </c>
      <c r="F1199">
        <v>13</v>
      </c>
      <c r="G1199" t="s">
        <v>149</v>
      </c>
      <c r="H1199" s="1">
        <v>10</v>
      </c>
      <c r="I1199" s="1">
        <v>68</v>
      </c>
      <c r="J1199" s="1">
        <v>71</v>
      </c>
      <c r="K1199" s="1">
        <f>J1199-I1199</f>
        <v>3</v>
      </c>
      <c r="L1199" s="1">
        <v>147</v>
      </c>
      <c r="M1199" s="1">
        <v>58</v>
      </c>
      <c r="N1199" s="1">
        <v>2</v>
      </c>
      <c r="O1199" s="1">
        <v>3</v>
      </c>
      <c r="P1199" s="1">
        <v>10</v>
      </c>
      <c r="Q1199" s="2">
        <v>0.14699999999999999</v>
      </c>
      <c r="R1199" s="1">
        <v>3</v>
      </c>
      <c r="S1199" s="1">
        <f>R1199/P1199</f>
        <v>0.3</v>
      </c>
      <c r="T1199" s="1">
        <v>5</v>
      </c>
      <c r="U1199" s="1">
        <v>12.5</v>
      </c>
      <c r="V1199" s="1">
        <v>538.03921568627447</v>
      </c>
      <c r="W1199" s="1">
        <v>6</v>
      </c>
    </row>
    <row r="1200" spans="1:23" x14ac:dyDescent="0.2">
      <c r="A1200">
        <v>2022</v>
      </c>
      <c r="B1200" t="s">
        <v>23</v>
      </c>
      <c r="C1200" t="s">
        <v>24</v>
      </c>
      <c r="D1200">
        <v>126</v>
      </c>
      <c r="E1200">
        <v>1</v>
      </c>
      <c r="F1200">
        <v>9</v>
      </c>
      <c r="G1200" t="s">
        <v>150</v>
      </c>
      <c r="H1200" s="1">
        <v>10</v>
      </c>
      <c r="I1200" s="1">
        <v>69</v>
      </c>
      <c r="J1200" s="1">
        <v>71</v>
      </c>
      <c r="K1200" s="1">
        <f>J1200-I1200</f>
        <v>2</v>
      </c>
      <c r="L1200" s="1">
        <v>116</v>
      </c>
      <c r="M1200" s="1">
        <v>45</v>
      </c>
      <c r="N1200" s="1">
        <v>2</v>
      </c>
      <c r="O1200" s="1">
        <v>4.5</v>
      </c>
      <c r="P1200" s="1">
        <v>6</v>
      </c>
      <c r="Q1200" s="2">
        <v>0.19080000000000003</v>
      </c>
      <c r="R1200" s="1">
        <v>5</v>
      </c>
      <c r="S1200" s="1">
        <f>R1200/P1200</f>
        <v>0.83333333333333337</v>
      </c>
      <c r="T1200" s="1">
        <v>5</v>
      </c>
      <c r="U1200" s="1">
        <v>12.5</v>
      </c>
      <c r="V1200" s="1">
        <v>698.35294117647072</v>
      </c>
      <c r="W1200" s="1">
        <v>5</v>
      </c>
    </row>
    <row r="1201" spans="1:23" x14ac:dyDescent="0.2">
      <c r="A1201">
        <v>2022</v>
      </c>
      <c r="B1201" t="s">
        <v>23</v>
      </c>
      <c r="C1201" t="s">
        <v>24</v>
      </c>
      <c r="D1201">
        <v>126</v>
      </c>
      <c r="E1201">
        <v>2</v>
      </c>
      <c r="F1201">
        <v>5</v>
      </c>
      <c r="G1201" t="s">
        <v>150</v>
      </c>
      <c r="H1201" s="1">
        <v>5</v>
      </c>
      <c r="I1201" s="1">
        <v>63</v>
      </c>
      <c r="J1201" s="1">
        <v>69</v>
      </c>
      <c r="K1201" s="1">
        <f>J1201-I1201</f>
        <v>6</v>
      </c>
      <c r="L1201" s="1">
        <v>102</v>
      </c>
      <c r="M1201" s="1">
        <v>45</v>
      </c>
      <c r="N1201" s="1">
        <v>3</v>
      </c>
      <c r="O1201" s="1">
        <v>4</v>
      </c>
      <c r="P1201" s="1">
        <v>3</v>
      </c>
      <c r="Q1201" s="2">
        <v>9.3600000000000003E-2</v>
      </c>
      <c r="R1201" s="1">
        <v>1</v>
      </c>
      <c r="S1201" s="1">
        <f>R1201/P1201</f>
        <v>0.33333333333333331</v>
      </c>
      <c r="T1201" s="1">
        <v>4</v>
      </c>
      <c r="U1201" s="1">
        <v>12.5</v>
      </c>
      <c r="V1201" s="1">
        <v>342.58823529411768</v>
      </c>
      <c r="W1201" s="1">
        <v>6</v>
      </c>
    </row>
    <row r="1202" spans="1:23" x14ac:dyDescent="0.2">
      <c r="A1202">
        <v>2022</v>
      </c>
      <c r="B1202" t="s">
        <v>23</v>
      </c>
      <c r="C1202" t="s">
        <v>24</v>
      </c>
      <c r="D1202">
        <v>127</v>
      </c>
      <c r="E1202">
        <v>1</v>
      </c>
      <c r="F1202">
        <v>14</v>
      </c>
      <c r="G1202" t="s">
        <v>151</v>
      </c>
      <c r="H1202" s="1">
        <v>10</v>
      </c>
      <c r="I1202" s="1">
        <v>58</v>
      </c>
      <c r="J1202" s="1">
        <v>61</v>
      </c>
      <c r="K1202" s="1">
        <f>J1202-I1202</f>
        <v>3</v>
      </c>
      <c r="L1202" s="1">
        <v>100</v>
      </c>
      <c r="M1202" s="1">
        <v>36</v>
      </c>
      <c r="N1202" s="1">
        <v>2</v>
      </c>
      <c r="O1202" s="1">
        <v>4.5</v>
      </c>
      <c r="P1202" s="1">
        <v>5</v>
      </c>
      <c r="Q1202" s="2">
        <v>6.8250000000000005E-2</v>
      </c>
      <c r="R1202" s="1">
        <v>2</v>
      </c>
      <c r="S1202" s="1">
        <f>R1202/P1202</f>
        <v>0.4</v>
      </c>
      <c r="T1202" s="1">
        <v>4</v>
      </c>
      <c r="U1202" s="1">
        <v>12.5</v>
      </c>
      <c r="V1202" s="1">
        <v>249.80392156862749</v>
      </c>
      <c r="W1202" s="1">
        <v>4</v>
      </c>
    </row>
    <row r="1203" spans="1:23" x14ac:dyDescent="0.2">
      <c r="A1203">
        <v>2022</v>
      </c>
      <c r="B1203" t="s">
        <v>23</v>
      </c>
      <c r="C1203" t="s">
        <v>24</v>
      </c>
      <c r="D1203">
        <v>127</v>
      </c>
      <c r="E1203">
        <v>2</v>
      </c>
      <c r="F1203">
        <v>3</v>
      </c>
      <c r="G1203" t="s">
        <v>151</v>
      </c>
      <c r="H1203">
        <v>2</v>
      </c>
      <c r="I1203">
        <v>64</v>
      </c>
      <c r="J1203">
        <v>67</v>
      </c>
      <c r="K1203">
        <v>3</v>
      </c>
      <c r="L1203">
        <v>150</v>
      </c>
      <c r="M1203">
        <v>60</v>
      </c>
      <c r="N1203">
        <v>1.5</v>
      </c>
      <c r="O1203">
        <v>3.5</v>
      </c>
      <c r="P1203">
        <v>2</v>
      </c>
      <c r="Q1203">
        <v>0.2</v>
      </c>
      <c r="R1203">
        <v>2</v>
      </c>
      <c r="S1203">
        <v>1</v>
      </c>
      <c r="T1203">
        <v>3.5</v>
      </c>
      <c r="U1203">
        <v>12.5</v>
      </c>
      <c r="V1203">
        <v>732.02614379084969</v>
      </c>
      <c r="W1203">
        <v>2</v>
      </c>
    </row>
    <row r="1204" spans="1:23" x14ac:dyDescent="0.2">
      <c r="A1204">
        <v>2022</v>
      </c>
      <c r="B1204" t="s">
        <v>23</v>
      </c>
      <c r="C1204" t="s">
        <v>24</v>
      </c>
      <c r="D1204">
        <v>128</v>
      </c>
      <c r="E1204">
        <v>1</v>
      </c>
      <c r="F1204">
        <v>10</v>
      </c>
      <c r="G1204" t="s">
        <v>152</v>
      </c>
      <c r="H1204" s="3">
        <v>3</v>
      </c>
      <c r="I1204" s="3">
        <v>67</v>
      </c>
      <c r="J1204" s="3">
        <v>69</v>
      </c>
      <c r="K1204" s="3">
        <f>J1204-I1204</f>
        <v>2</v>
      </c>
      <c r="L1204" s="3">
        <v>130</v>
      </c>
      <c r="M1204" s="3">
        <v>77</v>
      </c>
      <c r="N1204" s="3">
        <v>2</v>
      </c>
      <c r="O1204" s="3">
        <v>2.5</v>
      </c>
      <c r="P1204" s="3">
        <v>3</v>
      </c>
      <c r="Q1204" s="4">
        <v>7.5600000000000001E-2</v>
      </c>
      <c r="R1204" s="3">
        <v>1</v>
      </c>
      <c r="S1204" s="3">
        <f>R1204/P1204</f>
        <v>0.33333333333333331</v>
      </c>
      <c r="T1204" s="3">
        <v>4</v>
      </c>
      <c r="U1204" s="3">
        <v>12.5</v>
      </c>
      <c r="V1204" s="3">
        <v>276.70588235294122</v>
      </c>
      <c r="W1204" s="3">
        <v>4</v>
      </c>
    </row>
    <row r="1205" spans="1:23" x14ac:dyDescent="0.2">
      <c r="A1205">
        <v>2022</v>
      </c>
      <c r="B1205" t="s">
        <v>23</v>
      </c>
      <c r="C1205" t="s">
        <v>24</v>
      </c>
      <c r="D1205">
        <v>128</v>
      </c>
      <c r="E1205">
        <v>2</v>
      </c>
      <c r="F1205">
        <v>15</v>
      </c>
      <c r="G1205" t="s">
        <v>152</v>
      </c>
      <c r="H1205" s="1">
        <v>7</v>
      </c>
      <c r="I1205" s="1">
        <v>62</v>
      </c>
      <c r="J1205" s="1">
        <v>66</v>
      </c>
      <c r="K1205" s="1">
        <f>J1205-I1205</f>
        <v>4</v>
      </c>
      <c r="L1205" s="1">
        <v>180</v>
      </c>
      <c r="M1205" s="1">
        <v>85</v>
      </c>
      <c r="N1205" s="1">
        <v>2</v>
      </c>
      <c r="O1205" s="1">
        <v>3.5</v>
      </c>
      <c r="P1205" s="1">
        <v>6</v>
      </c>
      <c r="Q1205" s="2">
        <v>0.5222</v>
      </c>
      <c r="R1205" s="1">
        <v>6</v>
      </c>
      <c r="S1205" s="1">
        <f>R1205/P1205</f>
        <v>1</v>
      </c>
      <c r="T1205" s="1">
        <v>5</v>
      </c>
      <c r="U1205" s="1">
        <v>12.5</v>
      </c>
      <c r="V1205" s="1">
        <v>1911.3202614379084</v>
      </c>
      <c r="W1205" s="1">
        <v>4</v>
      </c>
    </row>
    <row r="1206" spans="1:23" x14ac:dyDescent="0.2">
      <c r="A1206">
        <v>2022</v>
      </c>
      <c r="B1206" t="s">
        <v>23</v>
      </c>
      <c r="C1206" t="s">
        <v>24</v>
      </c>
      <c r="D1206">
        <v>129</v>
      </c>
      <c r="E1206">
        <v>1</v>
      </c>
      <c r="F1206">
        <v>12</v>
      </c>
      <c r="G1206" t="s">
        <v>153</v>
      </c>
      <c r="H1206" s="3">
        <v>7</v>
      </c>
      <c r="I1206" s="3">
        <v>66</v>
      </c>
      <c r="J1206" s="3">
        <v>68</v>
      </c>
      <c r="K1206" s="3">
        <f>J1206-I1206</f>
        <v>2</v>
      </c>
      <c r="L1206" s="3">
        <v>187</v>
      </c>
      <c r="M1206" s="3">
        <v>92</v>
      </c>
      <c r="N1206" s="3">
        <v>2</v>
      </c>
      <c r="O1206" s="3">
        <v>2.5</v>
      </c>
      <c r="P1206" s="3">
        <v>6</v>
      </c>
      <c r="Q1206" s="4">
        <v>0.41599999999999998</v>
      </c>
      <c r="R1206" s="3">
        <v>6</v>
      </c>
      <c r="S1206" s="3">
        <f>R1206/P1206</f>
        <v>1</v>
      </c>
      <c r="T1206" s="3">
        <v>4</v>
      </c>
      <c r="U1206" s="3">
        <v>11.1</v>
      </c>
      <c r="V1206" s="3">
        <v>1546.9762091503269</v>
      </c>
      <c r="W1206" s="3">
        <v>5</v>
      </c>
    </row>
    <row r="1207" spans="1:23" x14ac:dyDescent="0.2">
      <c r="A1207">
        <v>2022</v>
      </c>
      <c r="B1207" t="s">
        <v>23</v>
      </c>
      <c r="C1207" t="s">
        <v>24</v>
      </c>
      <c r="D1207">
        <v>129</v>
      </c>
      <c r="E1207">
        <v>2</v>
      </c>
      <c r="F1207">
        <v>5</v>
      </c>
      <c r="G1207" t="s">
        <v>153</v>
      </c>
      <c r="H1207" s="1">
        <v>12</v>
      </c>
      <c r="I1207" s="1">
        <v>67</v>
      </c>
      <c r="J1207" s="1">
        <v>69</v>
      </c>
      <c r="K1207" s="1">
        <f>J1207-I1207</f>
        <v>2</v>
      </c>
      <c r="L1207" s="1">
        <v>160</v>
      </c>
      <c r="M1207" s="1">
        <v>55</v>
      </c>
      <c r="N1207" s="1">
        <v>2.5</v>
      </c>
      <c r="O1207" s="1">
        <v>4</v>
      </c>
      <c r="P1207" s="1">
        <v>12</v>
      </c>
      <c r="Q1207" s="2">
        <v>1.1639999999999999</v>
      </c>
      <c r="R1207" s="1">
        <v>12</v>
      </c>
      <c r="S1207" s="1">
        <f>R1207/P1207</f>
        <v>1</v>
      </c>
      <c r="T1207" s="1">
        <v>2.5</v>
      </c>
      <c r="U1207" s="1">
        <v>12.5</v>
      </c>
      <c r="V1207" s="1">
        <v>4260.3921568627447</v>
      </c>
      <c r="W1207" s="1">
        <v>3</v>
      </c>
    </row>
    <row r="1208" spans="1:23" x14ac:dyDescent="0.2">
      <c r="A1208">
        <v>2022</v>
      </c>
      <c r="B1208" t="s">
        <v>23</v>
      </c>
      <c r="C1208" t="s">
        <v>24</v>
      </c>
      <c r="D1208">
        <v>130</v>
      </c>
      <c r="E1208">
        <v>1</v>
      </c>
      <c r="F1208">
        <v>1</v>
      </c>
      <c r="G1208" t="s">
        <v>154</v>
      </c>
      <c r="H1208" s="1">
        <v>5</v>
      </c>
      <c r="I1208" s="1">
        <v>69</v>
      </c>
      <c r="J1208" s="1">
        <v>70</v>
      </c>
      <c r="K1208" s="1">
        <f>J1208-I1208</f>
        <v>1</v>
      </c>
      <c r="L1208" s="1">
        <v>135</v>
      </c>
      <c r="M1208" s="1">
        <v>57</v>
      </c>
      <c r="N1208" s="1">
        <v>1.5</v>
      </c>
      <c r="O1208" s="1">
        <v>4</v>
      </c>
      <c r="P1208" s="1">
        <v>5</v>
      </c>
      <c r="Q1208" s="2">
        <v>0.48079999999999995</v>
      </c>
      <c r="R1208" s="1">
        <v>6</v>
      </c>
      <c r="S1208" s="1">
        <f>R1208/P1208</f>
        <v>1.2</v>
      </c>
      <c r="T1208" s="1">
        <v>2</v>
      </c>
      <c r="U1208" s="1">
        <v>12.5</v>
      </c>
      <c r="V1208" s="1">
        <v>1759.7908496732025</v>
      </c>
      <c r="W1208" s="1">
        <v>3</v>
      </c>
    </row>
    <row r="1209" spans="1:23" x14ac:dyDescent="0.2">
      <c r="A1209">
        <v>2022</v>
      </c>
      <c r="B1209" t="s">
        <v>23</v>
      </c>
      <c r="C1209" t="s">
        <v>24</v>
      </c>
      <c r="D1209">
        <v>130</v>
      </c>
      <c r="E1209">
        <v>2</v>
      </c>
      <c r="F1209">
        <v>10</v>
      </c>
      <c r="G1209" t="s">
        <v>154</v>
      </c>
      <c r="H1209">
        <v>6</v>
      </c>
      <c r="I1209">
        <v>63</v>
      </c>
      <c r="J1209">
        <v>65</v>
      </c>
      <c r="K1209">
        <v>2</v>
      </c>
      <c r="L1209">
        <v>150</v>
      </c>
      <c r="M1209">
        <v>70</v>
      </c>
      <c r="N1209">
        <v>1.5</v>
      </c>
      <c r="O1209">
        <v>3.5</v>
      </c>
      <c r="P1209">
        <v>6</v>
      </c>
      <c r="Q1209">
        <v>0.3</v>
      </c>
      <c r="R1209">
        <v>4</v>
      </c>
      <c r="S1209">
        <v>0.66666666666666663</v>
      </c>
      <c r="T1209">
        <v>3.5</v>
      </c>
      <c r="U1209">
        <v>12.5</v>
      </c>
      <c r="V1209">
        <v>1098.0392156862745</v>
      </c>
      <c r="W1209">
        <v>1</v>
      </c>
    </row>
    <row r="1210" spans="1:23" x14ac:dyDescent="0.2">
      <c r="A1210">
        <v>2022</v>
      </c>
      <c r="B1210" t="s">
        <v>23</v>
      </c>
      <c r="C1210" t="s">
        <v>24</v>
      </c>
      <c r="D1210">
        <v>131</v>
      </c>
      <c r="E1210">
        <v>1</v>
      </c>
      <c r="F1210">
        <v>13</v>
      </c>
      <c r="G1210" t="s">
        <v>155</v>
      </c>
      <c r="H1210" s="1">
        <v>9</v>
      </c>
      <c r="I1210" s="1">
        <v>68</v>
      </c>
      <c r="J1210" s="1">
        <v>71</v>
      </c>
      <c r="K1210" s="1">
        <f>J1210-I1210</f>
        <v>3</v>
      </c>
      <c r="L1210" s="1">
        <v>123</v>
      </c>
      <c r="M1210" s="1">
        <v>56</v>
      </c>
      <c r="N1210" s="1">
        <v>2</v>
      </c>
      <c r="O1210" s="1">
        <v>3.5</v>
      </c>
      <c r="P1210" s="1">
        <v>9</v>
      </c>
      <c r="Q1210" s="2">
        <v>0.54300000000000004</v>
      </c>
      <c r="R1210" s="1">
        <v>9</v>
      </c>
      <c r="S1210" s="1">
        <f>R1210/P1210</f>
        <v>1</v>
      </c>
      <c r="T1210" s="1">
        <v>3</v>
      </c>
      <c r="U1210" s="1">
        <v>12.5</v>
      </c>
      <c r="V1210" s="1">
        <v>1987.4509803921569</v>
      </c>
      <c r="W1210" s="1">
        <v>5</v>
      </c>
    </row>
    <row r="1211" spans="1:23" x14ac:dyDescent="0.2">
      <c r="A1211">
        <v>2022</v>
      </c>
      <c r="B1211" t="s">
        <v>23</v>
      </c>
      <c r="C1211" t="s">
        <v>24</v>
      </c>
      <c r="D1211">
        <v>131</v>
      </c>
      <c r="E1211">
        <v>2</v>
      </c>
      <c r="F1211">
        <v>4</v>
      </c>
      <c r="G1211" t="s">
        <v>155</v>
      </c>
      <c r="H1211">
        <v>12</v>
      </c>
      <c r="I1211">
        <v>53</v>
      </c>
      <c r="J1211">
        <v>56</v>
      </c>
      <c r="K1211">
        <v>3</v>
      </c>
      <c r="L1211">
        <v>159</v>
      </c>
      <c r="M1211">
        <v>75</v>
      </c>
      <c r="N1211">
        <v>2</v>
      </c>
      <c r="O1211">
        <v>2</v>
      </c>
      <c r="P1211">
        <v>11</v>
      </c>
      <c r="Q1211">
        <v>1.5</v>
      </c>
      <c r="R1211">
        <v>8</v>
      </c>
      <c r="S1211">
        <v>0.72727272727272729</v>
      </c>
      <c r="T1211">
        <v>2</v>
      </c>
      <c r="U1211">
        <v>8.1999999999999993</v>
      </c>
      <c r="V1211">
        <v>5760</v>
      </c>
      <c r="W1211">
        <v>2</v>
      </c>
    </row>
    <row r="1212" spans="1:23" x14ac:dyDescent="0.2">
      <c r="A1212">
        <v>2022</v>
      </c>
      <c r="B1212" t="s">
        <v>23</v>
      </c>
      <c r="C1212" t="s">
        <v>24</v>
      </c>
      <c r="D1212">
        <v>132</v>
      </c>
      <c r="E1212">
        <v>1</v>
      </c>
      <c r="F1212">
        <v>8</v>
      </c>
      <c r="G1212" t="s">
        <v>156</v>
      </c>
      <c r="H1212" s="1">
        <v>10</v>
      </c>
      <c r="I1212" s="1">
        <v>64</v>
      </c>
      <c r="J1212" s="1">
        <v>66</v>
      </c>
      <c r="K1212" s="1">
        <f>J1212-I1212</f>
        <v>2</v>
      </c>
      <c r="L1212" s="1">
        <v>202</v>
      </c>
      <c r="M1212" s="1">
        <v>108</v>
      </c>
      <c r="N1212" s="1">
        <v>2</v>
      </c>
      <c r="O1212" s="1">
        <v>2.5</v>
      </c>
      <c r="P1212" s="1">
        <v>10</v>
      </c>
      <c r="Q1212" s="2">
        <v>0.75</v>
      </c>
      <c r="R1212" s="1">
        <v>11</v>
      </c>
      <c r="S1212" s="1">
        <f>R1212/P1212</f>
        <v>1.1000000000000001</v>
      </c>
      <c r="T1212" s="1">
        <v>5</v>
      </c>
      <c r="U1212" s="1">
        <v>12.5</v>
      </c>
      <c r="V1212" s="1">
        <v>2745.0980392156862</v>
      </c>
      <c r="W1212" s="1">
        <v>5</v>
      </c>
    </row>
    <row r="1213" spans="1:23" x14ac:dyDescent="0.2">
      <c r="A1213">
        <v>2022</v>
      </c>
      <c r="B1213" t="s">
        <v>23</v>
      </c>
      <c r="C1213" t="s">
        <v>24</v>
      </c>
      <c r="D1213">
        <v>132</v>
      </c>
      <c r="E1213">
        <v>2</v>
      </c>
      <c r="F1213">
        <v>14</v>
      </c>
      <c r="G1213" t="s">
        <v>156</v>
      </c>
      <c r="H1213">
        <v>15</v>
      </c>
      <c r="I1213">
        <v>53</v>
      </c>
      <c r="J1213">
        <v>57</v>
      </c>
      <c r="K1213">
        <v>4</v>
      </c>
      <c r="L1213">
        <v>159</v>
      </c>
      <c r="M1213">
        <v>68</v>
      </c>
      <c r="N1213">
        <v>2</v>
      </c>
      <c r="O1213">
        <v>2</v>
      </c>
      <c r="P1213">
        <v>12</v>
      </c>
      <c r="Q1213">
        <v>1.2</v>
      </c>
      <c r="R1213">
        <v>12</v>
      </c>
      <c r="S1213">
        <v>1</v>
      </c>
      <c r="T1213">
        <v>1</v>
      </c>
      <c r="U1213">
        <v>11.6</v>
      </c>
      <c r="V1213">
        <v>4437.333333333333</v>
      </c>
      <c r="W1213">
        <v>2</v>
      </c>
    </row>
    <row r="1214" spans="1:23" x14ac:dyDescent="0.2">
      <c r="A1214">
        <v>2022</v>
      </c>
      <c r="B1214" t="s">
        <v>23</v>
      </c>
      <c r="C1214" t="s">
        <v>24</v>
      </c>
      <c r="D1214">
        <v>133</v>
      </c>
      <c r="E1214">
        <v>1</v>
      </c>
      <c r="F1214">
        <v>6</v>
      </c>
      <c r="G1214" t="s">
        <v>266</v>
      </c>
      <c r="H1214" s="1">
        <v>10</v>
      </c>
      <c r="I1214" s="1">
        <v>64</v>
      </c>
      <c r="J1214" s="1">
        <v>68</v>
      </c>
      <c r="K1214" s="1">
        <f>J1214-I1214</f>
        <v>4</v>
      </c>
      <c r="L1214" s="1">
        <v>124</v>
      </c>
      <c r="M1214" s="1">
        <v>51</v>
      </c>
      <c r="N1214" s="1">
        <v>2</v>
      </c>
      <c r="O1214" s="1">
        <v>4</v>
      </c>
      <c r="P1214" s="1">
        <v>6</v>
      </c>
      <c r="Q1214" s="2">
        <v>0.32200000000000001</v>
      </c>
      <c r="R1214" s="1">
        <v>5</v>
      </c>
      <c r="S1214" s="1">
        <f>R1214/P1214</f>
        <v>0.83333333333333337</v>
      </c>
      <c r="T1214" s="1">
        <v>5</v>
      </c>
      <c r="U1214" s="1">
        <v>12.5</v>
      </c>
      <c r="V1214" s="1">
        <v>1178.562091503268</v>
      </c>
      <c r="W1214" s="1">
        <v>6</v>
      </c>
    </row>
    <row r="1215" spans="1:23" x14ac:dyDescent="0.2">
      <c r="A1215">
        <v>2022</v>
      </c>
      <c r="B1215" t="s">
        <v>23</v>
      </c>
      <c r="C1215" t="s">
        <v>24</v>
      </c>
      <c r="D1215">
        <v>133</v>
      </c>
      <c r="E1215">
        <v>2</v>
      </c>
      <c r="F1215">
        <v>9</v>
      </c>
      <c r="G1215" t="s">
        <v>266</v>
      </c>
      <c r="H1215" s="1">
        <v>7</v>
      </c>
      <c r="I1215" s="1">
        <v>66</v>
      </c>
      <c r="J1215" s="1">
        <v>71</v>
      </c>
      <c r="K1215" s="1">
        <f>J1215-I1215</f>
        <v>5</v>
      </c>
      <c r="L1215" s="1">
        <v>100</v>
      </c>
      <c r="M1215" s="1">
        <v>41</v>
      </c>
      <c r="N1215" s="1">
        <v>1.5</v>
      </c>
      <c r="O1215" s="1">
        <v>4</v>
      </c>
      <c r="P1215" s="1">
        <v>6</v>
      </c>
      <c r="Q1215" s="2">
        <v>0.14799999999999999</v>
      </c>
      <c r="R1215" s="1">
        <v>6</v>
      </c>
      <c r="S1215" s="1">
        <f>R1215/P1215</f>
        <v>1</v>
      </c>
      <c r="T1215" s="1">
        <v>4</v>
      </c>
      <c r="U1215" s="1">
        <v>12.5</v>
      </c>
      <c r="V1215" s="1">
        <v>541.69934640522877</v>
      </c>
      <c r="W1215" s="1">
        <v>4</v>
      </c>
    </row>
    <row r="1216" spans="1:23" x14ac:dyDescent="0.2">
      <c r="A1216">
        <v>2022</v>
      </c>
      <c r="B1216" t="s">
        <v>23</v>
      </c>
      <c r="C1216" t="s">
        <v>24</v>
      </c>
      <c r="D1216">
        <v>134</v>
      </c>
      <c r="E1216">
        <v>1</v>
      </c>
      <c r="F1216">
        <v>8</v>
      </c>
      <c r="G1216" t="s">
        <v>159</v>
      </c>
      <c r="H1216" s="1">
        <v>9</v>
      </c>
      <c r="I1216" s="1">
        <v>64</v>
      </c>
      <c r="J1216" s="1">
        <v>68</v>
      </c>
      <c r="K1216" s="1">
        <f>J1216-I1216</f>
        <v>4</v>
      </c>
      <c r="L1216" s="1">
        <v>81</v>
      </c>
      <c r="M1216" s="1">
        <v>30</v>
      </c>
      <c r="N1216" s="1">
        <v>2</v>
      </c>
      <c r="O1216" s="1">
        <v>4.5</v>
      </c>
      <c r="P1216" s="1">
        <v>6</v>
      </c>
      <c r="Q1216" s="2">
        <v>0.21199999999999999</v>
      </c>
      <c r="R1216" s="1">
        <v>5</v>
      </c>
      <c r="S1216" s="1">
        <f>R1216/P1216</f>
        <v>0.83333333333333337</v>
      </c>
      <c r="T1216" s="1">
        <v>3.5</v>
      </c>
      <c r="U1216" s="1">
        <v>12.5</v>
      </c>
      <c r="V1216" s="1">
        <v>775.94771241830074</v>
      </c>
      <c r="W1216" s="1">
        <v>4</v>
      </c>
    </row>
    <row r="1217" spans="1:23" x14ac:dyDescent="0.2">
      <c r="A1217">
        <v>2022</v>
      </c>
      <c r="B1217" t="s">
        <v>23</v>
      </c>
      <c r="C1217" t="s">
        <v>24</v>
      </c>
      <c r="D1217">
        <v>134</v>
      </c>
      <c r="E1217">
        <v>2</v>
      </c>
      <c r="F1217">
        <v>7</v>
      </c>
      <c r="G1217" t="s">
        <v>159</v>
      </c>
      <c r="H1217" s="1">
        <v>10</v>
      </c>
      <c r="I1217" s="1">
        <v>63</v>
      </c>
      <c r="J1217" s="1">
        <v>68</v>
      </c>
      <c r="K1217" s="1">
        <f>J1217-I1217</f>
        <v>5</v>
      </c>
      <c r="L1217" s="1">
        <v>174</v>
      </c>
      <c r="M1217" s="1">
        <v>69</v>
      </c>
      <c r="N1217" s="1">
        <v>2</v>
      </c>
      <c r="O1217" s="1">
        <v>3.5</v>
      </c>
      <c r="P1217" s="1">
        <v>5</v>
      </c>
      <c r="Q1217" s="2">
        <v>8.2000000000000003E-2</v>
      </c>
      <c r="R1217" s="1">
        <v>1</v>
      </c>
      <c r="S1217" s="1">
        <f>R1217/P1217</f>
        <v>0.2</v>
      </c>
      <c r="T1217" s="1">
        <v>2</v>
      </c>
      <c r="U1217" s="1">
        <v>12.5</v>
      </c>
      <c r="V1217" s="1">
        <v>300.13071895424832</v>
      </c>
      <c r="W1217" s="1">
        <v>4</v>
      </c>
    </row>
    <row r="1218" spans="1:23" x14ac:dyDescent="0.2">
      <c r="A1218">
        <v>2022</v>
      </c>
      <c r="B1218" t="s">
        <v>23</v>
      </c>
      <c r="C1218" t="s">
        <v>24</v>
      </c>
      <c r="D1218">
        <v>135</v>
      </c>
      <c r="E1218">
        <v>1</v>
      </c>
      <c r="F1218">
        <v>7</v>
      </c>
      <c r="G1218" t="s">
        <v>267</v>
      </c>
      <c r="H1218">
        <v>11</v>
      </c>
      <c r="I1218">
        <v>55</v>
      </c>
      <c r="J1218">
        <v>57</v>
      </c>
      <c r="K1218">
        <v>2</v>
      </c>
      <c r="L1218">
        <v>131</v>
      </c>
      <c r="M1218">
        <v>32</v>
      </c>
      <c r="N1218">
        <v>2</v>
      </c>
      <c r="O1218">
        <v>2.5</v>
      </c>
      <c r="P1218">
        <v>8</v>
      </c>
      <c r="Q1218">
        <v>0.6</v>
      </c>
      <c r="R1218">
        <v>6</v>
      </c>
      <c r="S1218">
        <v>0.75</v>
      </c>
      <c r="T1218">
        <v>3</v>
      </c>
      <c r="U1218">
        <v>10.4</v>
      </c>
      <c r="V1218">
        <v>2248.7843137254904</v>
      </c>
      <c r="W1218">
        <v>2</v>
      </c>
    </row>
    <row r="1219" spans="1:23" x14ac:dyDescent="0.2">
      <c r="A1219">
        <v>2022</v>
      </c>
      <c r="B1219" t="s">
        <v>23</v>
      </c>
      <c r="C1219" t="s">
        <v>24</v>
      </c>
      <c r="D1219">
        <v>135</v>
      </c>
      <c r="E1219">
        <v>2</v>
      </c>
      <c r="F1219">
        <v>15</v>
      </c>
      <c r="G1219" t="s">
        <v>267</v>
      </c>
      <c r="H1219">
        <v>9</v>
      </c>
      <c r="I1219">
        <v>55</v>
      </c>
      <c r="J1219">
        <v>57</v>
      </c>
      <c r="K1219">
        <v>2</v>
      </c>
      <c r="L1219">
        <v>146</v>
      </c>
      <c r="M1219">
        <v>67</v>
      </c>
      <c r="N1219">
        <v>1</v>
      </c>
      <c r="O1219">
        <v>2</v>
      </c>
      <c r="P1219">
        <v>9</v>
      </c>
      <c r="Q1219">
        <v>0.245</v>
      </c>
      <c r="R1219">
        <v>9</v>
      </c>
      <c r="S1219">
        <v>1</v>
      </c>
      <c r="T1219">
        <v>3</v>
      </c>
      <c r="U1219">
        <v>12.5</v>
      </c>
      <c r="V1219">
        <v>896.7320261437909</v>
      </c>
      <c r="W1219">
        <v>2</v>
      </c>
    </row>
    <row r="1220" spans="1:23" x14ac:dyDescent="0.2">
      <c r="A1220">
        <v>2022</v>
      </c>
      <c r="B1220" t="s">
        <v>23</v>
      </c>
      <c r="C1220" t="s">
        <v>24</v>
      </c>
      <c r="D1220">
        <v>136</v>
      </c>
      <c r="E1220">
        <v>1</v>
      </c>
      <c r="F1220">
        <v>4</v>
      </c>
      <c r="G1220" t="s">
        <v>161</v>
      </c>
      <c r="H1220" s="3">
        <v>1</v>
      </c>
      <c r="I1220" s="3">
        <v>65</v>
      </c>
      <c r="J1220" s="3">
        <v>68</v>
      </c>
      <c r="K1220" s="3">
        <f>J1220-I1220</f>
        <v>3</v>
      </c>
      <c r="L1220" s="3">
        <v>66</v>
      </c>
      <c r="M1220" s="3">
        <v>40</v>
      </c>
      <c r="N1220" s="3">
        <v>1.5</v>
      </c>
      <c r="O1220" s="3">
        <v>4</v>
      </c>
      <c r="P1220" s="3">
        <v>1</v>
      </c>
      <c r="Q1220" s="4">
        <v>6.2E-2</v>
      </c>
      <c r="R1220" s="3">
        <v>1</v>
      </c>
      <c r="S1220" s="3">
        <f>R1220/P1220</f>
        <v>1</v>
      </c>
      <c r="T1220" s="3">
        <v>4</v>
      </c>
      <c r="U1220" s="3">
        <v>12.5</v>
      </c>
      <c r="V1220" s="3">
        <v>226.92810457516339</v>
      </c>
      <c r="W1220" s="3">
        <v>3</v>
      </c>
    </row>
    <row r="1221" spans="1:23" x14ac:dyDescent="0.2">
      <c r="A1221">
        <v>2022</v>
      </c>
      <c r="B1221" t="s">
        <v>23</v>
      </c>
      <c r="C1221" t="s">
        <v>24</v>
      </c>
      <c r="D1221">
        <v>136</v>
      </c>
      <c r="E1221">
        <v>2</v>
      </c>
      <c r="F1221">
        <v>12</v>
      </c>
      <c r="G1221" t="s">
        <v>161</v>
      </c>
      <c r="H1221" s="1">
        <v>12</v>
      </c>
      <c r="I1221" s="1">
        <v>67</v>
      </c>
      <c r="J1221" s="1">
        <v>69</v>
      </c>
      <c r="K1221" s="1">
        <f>J1221-I1221</f>
        <v>2</v>
      </c>
      <c r="L1221" s="1">
        <v>160</v>
      </c>
      <c r="M1221" s="1">
        <v>55</v>
      </c>
      <c r="N1221" s="1">
        <v>2.5</v>
      </c>
      <c r="O1221" s="1">
        <v>4</v>
      </c>
      <c r="P1221" s="1">
        <v>12</v>
      </c>
      <c r="Q1221" s="2">
        <v>1.1639999999999999</v>
      </c>
      <c r="R1221" s="1">
        <v>12</v>
      </c>
      <c r="S1221" s="1">
        <f>R1221/P1221</f>
        <v>1</v>
      </c>
      <c r="T1221" s="1">
        <v>2.5</v>
      </c>
      <c r="U1221" s="1">
        <v>12.5</v>
      </c>
      <c r="V1221" s="1">
        <v>4260.3921568627447</v>
      </c>
      <c r="W1221" s="1">
        <v>3</v>
      </c>
    </row>
    <row r="1222" spans="1:23" x14ac:dyDescent="0.2">
      <c r="A1222">
        <v>2022</v>
      </c>
      <c r="B1222" t="s">
        <v>23</v>
      </c>
      <c r="C1222" t="s">
        <v>24</v>
      </c>
      <c r="D1222">
        <v>137</v>
      </c>
      <c r="E1222">
        <v>1</v>
      </c>
      <c r="F1222">
        <v>15</v>
      </c>
      <c r="G1222" t="s">
        <v>162</v>
      </c>
      <c r="H1222" s="1">
        <v>7</v>
      </c>
      <c r="I1222" s="1">
        <v>69</v>
      </c>
      <c r="J1222" s="1">
        <v>74</v>
      </c>
      <c r="K1222" s="1">
        <f>J1222-I1222</f>
        <v>5</v>
      </c>
      <c r="L1222" s="1">
        <v>76</v>
      </c>
      <c r="M1222" s="1">
        <v>26</v>
      </c>
      <c r="N1222" s="1">
        <v>1.5</v>
      </c>
      <c r="O1222" s="1">
        <v>5</v>
      </c>
      <c r="P1222" s="1">
        <v>2</v>
      </c>
      <c r="Q1222" s="2">
        <v>4.2000000000000003E-2</v>
      </c>
      <c r="R1222" s="1">
        <v>1</v>
      </c>
      <c r="S1222" s="1">
        <f>R1222/P1222</f>
        <v>0.5</v>
      </c>
      <c r="T1222" s="1">
        <v>5</v>
      </c>
      <c r="U1222" s="1">
        <v>12.5</v>
      </c>
      <c r="V1222" s="1">
        <v>153.72549019607843</v>
      </c>
      <c r="W1222" s="1">
        <v>5</v>
      </c>
    </row>
    <row r="1223" spans="1:23" x14ac:dyDescent="0.2">
      <c r="A1223">
        <v>2022</v>
      </c>
      <c r="B1223" t="s">
        <v>23</v>
      </c>
      <c r="C1223" t="s">
        <v>24</v>
      </c>
      <c r="D1223">
        <v>137</v>
      </c>
      <c r="E1223">
        <v>2</v>
      </c>
      <c r="F1223">
        <v>5</v>
      </c>
      <c r="G1223" t="s">
        <v>162</v>
      </c>
      <c r="H1223">
        <v>11</v>
      </c>
      <c r="I1223">
        <v>54</v>
      </c>
      <c r="J1223">
        <v>55</v>
      </c>
      <c r="K1223">
        <v>1</v>
      </c>
      <c r="L1223">
        <v>176</v>
      </c>
      <c r="M1223">
        <v>91</v>
      </c>
      <c r="N1223">
        <v>2</v>
      </c>
      <c r="O1223">
        <v>2</v>
      </c>
      <c r="P1223">
        <v>10</v>
      </c>
      <c r="Q1223">
        <v>1.4</v>
      </c>
      <c r="R1223">
        <v>9</v>
      </c>
      <c r="S1223">
        <v>0.9</v>
      </c>
      <c r="T1223">
        <v>2</v>
      </c>
      <c r="U1223">
        <v>9.9</v>
      </c>
      <c r="V1223">
        <v>5276.4444444444434</v>
      </c>
      <c r="W1223">
        <v>1</v>
      </c>
    </row>
    <row r="1224" spans="1:23" x14ac:dyDescent="0.2">
      <c r="A1224">
        <v>2022</v>
      </c>
      <c r="B1224" t="s">
        <v>23</v>
      </c>
      <c r="C1224" t="s">
        <v>24</v>
      </c>
      <c r="D1224">
        <v>138</v>
      </c>
      <c r="E1224">
        <v>1</v>
      </c>
      <c r="F1224">
        <v>4</v>
      </c>
      <c r="G1224" t="s">
        <v>163</v>
      </c>
      <c r="H1224" s="1">
        <v>2</v>
      </c>
      <c r="I1224" s="1">
        <v>62</v>
      </c>
      <c r="J1224" s="1">
        <v>65</v>
      </c>
      <c r="K1224" s="1">
        <f>J1224-I1224</f>
        <v>3</v>
      </c>
      <c r="L1224" s="1">
        <v>124</v>
      </c>
      <c r="M1224" s="1">
        <v>40</v>
      </c>
      <c r="N1224" s="1">
        <v>3</v>
      </c>
      <c r="O1224" s="1">
        <v>5</v>
      </c>
      <c r="P1224" s="1">
        <v>1</v>
      </c>
      <c r="Q1224" s="2">
        <v>5.0999999999999997E-2</v>
      </c>
      <c r="R1224" s="1">
        <v>1</v>
      </c>
      <c r="S1224" s="1">
        <f>R1224/P1224</f>
        <v>1</v>
      </c>
      <c r="T1224" s="1">
        <v>5</v>
      </c>
      <c r="U1224" s="1">
        <v>12.5</v>
      </c>
      <c r="V1224" s="1">
        <v>186.66666666666663</v>
      </c>
      <c r="W1224" s="1">
        <v>4</v>
      </c>
    </row>
    <row r="1225" spans="1:23" x14ac:dyDescent="0.2">
      <c r="A1225">
        <v>2022</v>
      </c>
      <c r="B1225" t="s">
        <v>23</v>
      </c>
      <c r="C1225" t="s">
        <v>24</v>
      </c>
      <c r="D1225">
        <v>138</v>
      </c>
      <c r="E1225">
        <v>2</v>
      </c>
      <c r="F1225">
        <v>7</v>
      </c>
      <c r="G1225" t="s">
        <v>163</v>
      </c>
      <c r="H1225" s="1">
        <v>15</v>
      </c>
      <c r="I1225" s="1">
        <v>65</v>
      </c>
      <c r="J1225" s="1">
        <v>66</v>
      </c>
      <c r="K1225" s="1">
        <f>J1225-I1225</f>
        <v>1</v>
      </c>
      <c r="L1225" s="1">
        <v>178</v>
      </c>
      <c r="M1225" s="1">
        <v>95</v>
      </c>
      <c r="N1225" s="1">
        <v>3</v>
      </c>
      <c r="O1225" s="1">
        <v>4</v>
      </c>
      <c r="P1225" s="1">
        <v>10</v>
      </c>
      <c r="Q1225" s="2">
        <v>0.46639999999999998</v>
      </c>
      <c r="R1225" s="1">
        <v>4</v>
      </c>
      <c r="S1225" s="1">
        <f>R1225/P1225</f>
        <v>0.4</v>
      </c>
      <c r="T1225" s="1">
        <v>5</v>
      </c>
      <c r="U1225" s="1">
        <v>7.9</v>
      </c>
      <c r="V1225" s="1">
        <v>1796.8288627450981</v>
      </c>
      <c r="W1225" s="1">
        <v>6</v>
      </c>
    </row>
    <row r="1226" spans="1:23" x14ac:dyDescent="0.2">
      <c r="A1226">
        <v>2022</v>
      </c>
      <c r="B1226" t="s">
        <v>23</v>
      </c>
      <c r="C1226" t="s">
        <v>24</v>
      </c>
      <c r="D1226">
        <v>139</v>
      </c>
      <c r="E1226">
        <v>1</v>
      </c>
      <c r="F1226">
        <v>13</v>
      </c>
      <c r="G1226" t="s">
        <v>164</v>
      </c>
      <c r="H1226">
        <v>8</v>
      </c>
      <c r="I1226">
        <v>60</v>
      </c>
      <c r="J1226">
        <v>66</v>
      </c>
      <c r="K1226">
        <v>6</v>
      </c>
      <c r="L1226">
        <v>105</v>
      </c>
      <c r="M1226">
        <v>50</v>
      </c>
      <c r="N1226">
        <v>2</v>
      </c>
      <c r="O1226">
        <v>4</v>
      </c>
      <c r="P1226">
        <v>3</v>
      </c>
      <c r="Q1226">
        <v>7.640000000000001E-2</v>
      </c>
      <c r="R1226">
        <v>1</v>
      </c>
      <c r="S1226">
        <v>0.33333333333333331</v>
      </c>
      <c r="T1226">
        <v>2</v>
      </c>
      <c r="U1226">
        <v>12.5</v>
      </c>
      <c r="V1226">
        <v>279.63398692810455</v>
      </c>
      <c r="W1226">
        <v>2</v>
      </c>
    </row>
    <row r="1227" spans="1:23" x14ac:dyDescent="0.2">
      <c r="A1227">
        <v>2022</v>
      </c>
      <c r="B1227" t="s">
        <v>23</v>
      </c>
      <c r="C1227" t="s">
        <v>24</v>
      </c>
      <c r="D1227">
        <v>139</v>
      </c>
      <c r="E1227">
        <v>2</v>
      </c>
      <c r="F1227">
        <v>10</v>
      </c>
      <c r="G1227" t="s">
        <v>164</v>
      </c>
      <c r="H1227" s="1">
        <v>4</v>
      </c>
      <c r="I1227" s="1">
        <v>67</v>
      </c>
      <c r="J1227" s="1">
        <v>71</v>
      </c>
      <c r="K1227" s="1">
        <f>J1227-I1227</f>
        <v>4</v>
      </c>
      <c r="L1227" s="1">
        <v>176</v>
      </c>
      <c r="M1227" s="1">
        <v>56</v>
      </c>
      <c r="N1227" s="1">
        <v>2</v>
      </c>
      <c r="O1227" s="1">
        <v>3</v>
      </c>
      <c r="P1227" s="1">
        <v>3</v>
      </c>
      <c r="Q1227" s="2">
        <v>0.21199999999999999</v>
      </c>
      <c r="R1227" s="1">
        <v>3</v>
      </c>
      <c r="S1227" s="1">
        <f>R1227/P1227</f>
        <v>1</v>
      </c>
      <c r="T1227" s="1">
        <v>2</v>
      </c>
      <c r="U1227" s="1">
        <v>12.5</v>
      </c>
      <c r="V1227" s="1">
        <v>775.94771241830074</v>
      </c>
      <c r="W1227" s="1">
        <v>3</v>
      </c>
    </row>
    <row r="1228" spans="1:23" x14ac:dyDescent="0.2">
      <c r="A1228">
        <v>2022</v>
      </c>
      <c r="B1228" t="s">
        <v>23</v>
      </c>
      <c r="C1228" t="s">
        <v>24</v>
      </c>
      <c r="D1228">
        <v>140</v>
      </c>
      <c r="E1228">
        <v>1</v>
      </c>
      <c r="F1228">
        <v>14</v>
      </c>
      <c r="G1228" t="s">
        <v>165</v>
      </c>
      <c r="H1228">
        <v>4</v>
      </c>
      <c r="I1228">
        <v>60</v>
      </c>
      <c r="J1228">
        <v>63</v>
      </c>
      <c r="K1228">
        <v>3</v>
      </c>
      <c r="L1228">
        <v>103</v>
      </c>
      <c r="M1228">
        <v>22</v>
      </c>
      <c r="N1228">
        <v>2</v>
      </c>
      <c r="O1228">
        <v>3</v>
      </c>
      <c r="P1228">
        <v>4</v>
      </c>
      <c r="Q1228">
        <v>0.4</v>
      </c>
      <c r="R1228">
        <v>5</v>
      </c>
      <c r="S1228">
        <v>1.25</v>
      </c>
      <c r="T1228">
        <v>2</v>
      </c>
      <c r="U1228">
        <v>12.5</v>
      </c>
      <c r="V1228">
        <v>1464.0522875816994</v>
      </c>
      <c r="W1228">
        <v>1</v>
      </c>
    </row>
    <row r="1229" spans="1:23" x14ac:dyDescent="0.2">
      <c r="A1229">
        <v>2022</v>
      </c>
      <c r="B1229" t="s">
        <v>23</v>
      </c>
      <c r="C1229" t="s">
        <v>24</v>
      </c>
      <c r="D1229">
        <v>140</v>
      </c>
      <c r="E1229">
        <v>2</v>
      </c>
      <c r="F1229">
        <v>11</v>
      </c>
      <c r="G1229" t="s">
        <v>165</v>
      </c>
      <c r="H1229" s="1">
        <v>10</v>
      </c>
      <c r="I1229" s="1">
        <v>66</v>
      </c>
      <c r="J1229" s="1">
        <v>70</v>
      </c>
      <c r="K1229" s="1">
        <f t="shared" ref="K1229:K1235" si="60">J1229-I1229</f>
        <v>4</v>
      </c>
      <c r="L1229" s="1">
        <v>113</v>
      </c>
      <c r="M1229" s="1">
        <v>30</v>
      </c>
      <c r="N1229" s="1">
        <v>1.5</v>
      </c>
      <c r="O1229" s="1">
        <v>4.5</v>
      </c>
      <c r="P1229" s="1">
        <v>5</v>
      </c>
      <c r="Q1229" s="2">
        <v>0.10199999999999999</v>
      </c>
      <c r="R1229" s="1">
        <v>4</v>
      </c>
      <c r="S1229" s="1">
        <f t="shared" ref="S1229:S1235" si="61">R1229/P1229</f>
        <v>0.8</v>
      </c>
      <c r="T1229" s="1">
        <v>5</v>
      </c>
      <c r="U1229" s="1">
        <v>12.5</v>
      </c>
      <c r="V1229" s="1">
        <v>373.33333333333326</v>
      </c>
      <c r="W1229" s="1">
        <v>6</v>
      </c>
    </row>
    <row r="1230" spans="1:23" x14ac:dyDescent="0.2">
      <c r="A1230">
        <v>2022</v>
      </c>
      <c r="B1230" t="s">
        <v>23</v>
      </c>
      <c r="C1230" t="s">
        <v>24</v>
      </c>
      <c r="D1230">
        <v>141</v>
      </c>
      <c r="E1230">
        <v>1</v>
      </c>
      <c r="F1230">
        <v>14</v>
      </c>
      <c r="G1230" t="s">
        <v>166</v>
      </c>
      <c r="H1230" s="1">
        <v>9</v>
      </c>
      <c r="I1230" s="1">
        <v>67</v>
      </c>
      <c r="J1230" s="1">
        <v>70</v>
      </c>
      <c r="K1230" s="1">
        <f t="shared" si="60"/>
        <v>3</v>
      </c>
      <c r="L1230" s="1">
        <v>47</v>
      </c>
      <c r="M1230" s="1">
        <v>45</v>
      </c>
      <c r="N1230" s="1">
        <v>2</v>
      </c>
      <c r="O1230" s="1">
        <v>2.5</v>
      </c>
      <c r="P1230" s="1">
        <f>H1230</f>
        <v>9</v>
      </c>
      <c r="Q1230" s="2">
        <v>0.12</v>
      </c>
      <c r="R1230" s="1">
        <v>9</v>
      </c>
      <c r="S1230" s="1">
        <f t="shared" si="61"/>
        <v>1</v>
      </c>
      <c r="T1230" s="1">
        <v>3</v>
      </c>
      <c r="U1230" s="1">
        <v>12.5</v>
      </c>
      <c r="V1230" s="1">
        <v>439.21568627450984</v>
      </c>
      <c r="W1230" s="1">
        <v>3</v>
      </c>
    </row>
    <row r="1231" spans="1:23" x14ac:dyDescent="0.2">
      <c r="A1231">
        <v>2022</v>
      </c>
      <c r="B1231" t="s">
        <v>23</v>
      </c>
      <c r="C1231" t="s">
        <v>24</v>
      </c>
      <c r="D1231">
        <v>141</v>
      </c>
      <c r="E1231">
        <v>2</v>
      </c>
      <c r="F1231">
        <v>14</v>
      </c>
      <c r="G1231" t="s">
        <v>166</v>
      </c>
      <c r="H1231" s="1">
        <v>16</v>
      </c>
      <c r="I1231" s="1">
        <v>65</v>
      </c>
      <c r="J1231" s="1">
        <v>70</v>
      </c>
      <c r="K1231" s="1">
        <f t="shared" si="60"/>
        <v>5</v>
      </c>
      <c r="L1231" s="1">
        <v>144</v>
      </c>
      <c r="M1231" s="1">
        <v>58</v>
      </c>
      <c r="N1231" s="1">
        <v>2</v>
      </c>
      <c r="O1231" s="1">
        <v>2.5</v>
      </c>
      <c r="P1231" s="1">
        <f>H1231-2</f>
        <v>14</v>
      </c>
      <c r="Q1231" s="2">
        <v>0.17549999999999999</v>
      </c>
      <c r="R1231" s="1">
        <v>12</v>
      </c>
      <c r="S1231" s="1">
        <f t="shared" si="61"/>
        <v>0.8571428571428571</v>
      </c>
      <c r="T1231" s="1">
        <v>3</v>
      </c>
      <c r="U1231" s="1">
        <v>12.5</v>
      </c>
      <c r="V1231" s="1">
        <v>642.35294117647061</v>
      </c>
      <c r="W1231" s="1">
        <v>4</v>
      </c>
    </row>
    <row r="1232" spans="1:23" x14ac:dyDescent="0.2">
      <c r="A1232">
        <v>2022</v>
      </c>
      <c r="B1232" t="s">
        <v>23</v>
      </c>
      <c r="C1232" t="s">
        <v>24</v>
      </c>
      <c r="D1232">
        <v>142</v>
      </c>
      <c r="E1232">
        <v>1</v>
      </c>
      <c r="F1232">
        <v>8</v>
      </c>
      <c r="G1232" t="s">
        <v>167</v>
      </c>
      <c r="H1232" s="1">
        <v>8</v>
      </c>
      <c r="I1232" s="1">
        <v>61</v>
      </c>
      <c r="J1232" s="1">
        <v>66</v>
      </c>
      <c r="K1232" s="1">
        <f t="shared" si="60"/>
        <v>5</v>
      </c>
      <c r="L1232" s="1">
        <v>75</v>
      </c>
      <c r="M1232" s="1">
        <v>25</v>
      </c>
      <c r="N1232" s="1">
        <v>2.5</v>
      </c>
      <c r="O1232" s="1">
        <v>4.5</v>
      </c>
      <c r="P1232" s="1">
        <v>4</v>
      </c>
      <c r="Q1232" s="2">
        <v>0.158</v>
      </c>
      <c r="R1232" s="1">
        <v>4</v>
      </c>
      <c r="S1232" s="1">
        <f t="shared" si="61"/>
        <v>1</v>
      </c>
      <c r="T1232" s="1">
        <v>5</v>
      </c>
      <c r="U1232" s="1">
        <v>12.5</v>
      </c>
      <c r="V1232" s="1">
        <v>578.30065359477123</v>
      </c>
      <c r="W1232" s="1">
        <v>5</v>
      </c>
    </row>
    <row r="1233" spans="1:23" x14ac:dyDescent="0.2">
      <c r="A1233">
        <v>2022</v>
      </c>
      <c r="B1233" t="s">
        <v>23</v>
      </c>
      <c r="C1233" t="s">
        <v>24</v>
      </c>
      <c r="D1233">
        <v>142</v>
      </c>
      <c r="E1233">
        <v>2</v>
      </c>
      <c r="F1233">
        <v>1</v>
      </c>
      <c r="G1233" t="s">
        <v>167</v>
      </c>
      <c r="H1233" s="3">
        <v>8</v>
      </c>
      <c r="I1233" s="3">
        <v>70</v>
      </c>
      <c r="J1233" s="3">
        <v>72</v>
      </c>
      <c r="K1233" s="3">
        <f t="shared" si="60"/>
        <v>2</v>
      </c>
      <c r="L1233" s="3">
        <v>137</v>
      </c>
      <c r="M1233" s="3">
        <v>73</v>
      </c>
      <c r="N1233" s="3">
        <v>2</v>
      </c>
      <c r="O1233" s="3">
        <v>1.5</v>
      </c>
      <c r="P1233" s="3">
        <v>5</v>
      </c>
      <c r="Q1233" s="4">
        <v>0.12</v>
      </c>
      <c r="R1233" s="3">
        <v>4</v>
      </c>
      <c r="S1233" s="3">
        <f t="shared" si="61"/>
        <v>0.8</v>
      </c>
      <c r="T1233" s="3">
        <v>5</v>
      </c>
      <c r="U1233" s="3">
        <v>12.5</v>
      </c>
      <c r="V1233" s="3">
        <v>439.21568627450984</v>
      </c>
      <c r="W1233" s="3">
        <v>4</v>
      </c>
    </row>
    <row r="1234" spans="1:23" x14ac:dyDescent="0.2">
      <c r="A1234">
        <v>2022</v>
      </c>
      <c r="B1234" t="s">
        <v>23</v>
      </c>
      <c r="C1234" t="s">
        <v>24</v>
      </c>
      <c r="D1234">
        <v>143</v>
      </c>
      <c r="E1234">
        <v>1</v>
      </c>
      <c r="F1234">
        <v>5</v>
      </c>
      <c r="G1234" t="s">
        <v>168</v>
      </c>
      <c r="H1234" s="1">
        <v>5</v>
      </c>
      <c r="I1234" s="1">
        <v>58</v>
      </c>
      <c r="J1234" s="1">
        <v>63</v>
      </c>
      <c r="K1234" s="1">
        <f t="shared" si="60"/>
        <v>5</v>
      </c>
      <c r="L1234" s="1">
        <v>60</v>
      </c>
      <c r="M1234" s="1">
        <v>11</v>
      </c>
      <c r="N1234" s="1">
        <v>1.5</v>
      </c>
      <c r="O1234" s="1">
        <v>4.5</v>
      </c>
      <c r="P1234" s="1">
        <v>4</v>
      </c>
      <c r="Q1234" s="2">
        <v>3.5000000000000003E-2</v>
      </c>
      <c r="R1234" s="1">
        <v>1</v>
      </c>
      <c r="S1234" s="1">
        <f t="shared" si="61"/>
        <v>0.25</v>
      </c>
      <c r="T1234" s="1">
        <v>5</v>
      </c>
      <c r="U1234" s="1">
        <v>12.5</v>
      </c>
      <c r="V1234" s="1">
        <v>128.10457516339872</v>
      </c>
      <c r="W1234" s="1">
        <v>6</v>
      </c>
    </row>
    <row r="1235" spans="1:23" x14ac:dyDescent="0.2">
      <c r="A1235">
        <v>2022</v>
      </c>
      <c r="B1235" t="s">
        <v>23</v>
      </c>
      <c r="C1235" t="s">
        <v>24</v>
      </c>
      <c r="D1235">
        <v>143</v>
      </c>
      <c r="E1235">
        <v>2</v>
      </c>
      <c r="F1235">
        <v>13</v>
      </c>
      <c r="G1235" t="s">
        <v>168</v>
      </c>
      <c r="H1235" s="1">
        <v>2</v>
      </c>
      <c r="I1235" s="1">
        <v>70</v>
      </c>
      <c r="J1235" s="1">
        <v>74</v>
      </c>
      <c r="K1235" s="1">
        <f t="shared" si="60"/>
        <v>4</v>
      </c>
      <c r="L1235" s="1">
        <v>101</v>
      </c>
      <c r="M1235" s="1">
        <v>35</v>
      </c>
      <c r="N1235" s="1">
        <v>3</v>
      </c>
      <c r="O1235" s="1">
        <v>4.5</v>
      </c>
      <c r="P1235" s="1">
        <v>2</v>
      </c>
      <c r="Q1235" s="2">
        <v>0.1052</v>
      </c>
      <c r="R1235" s="1">
        <v>2</v>
      </c>
      <c r="S1235" s="1">
        <f t="shared" si="61"/>
        <v>1</v>
      </c>
      <c r="T1235" s="1">
        <v>5</v>
      </c>
      <c r="U1235" s="1">
        <v>12.5</v>
      </c>
      <c r="V1235" s="1">
        <v>385.04575163398692</v>
      </c>
      <c r="W1235" s="1">
        <v>6</v>
      </c>
    </row>
    <row r="1236" spans="1:23" x14ac:dyDescent="0.2">
      <c r="A1236">
        <v>2022</v>
      </c>
      <c r="B1236" t="s">
        <v>23</v>
      </c>
      <c r="C1236" t="s">
        <v>24</v>
      </c>
      <c r="D1236">
        <v>144</v>
      </c>
      <c r="E1236">
        <v>1</v>
      </c>
      <c r="F1236">
        <v>8</v>
      </c>
      <c r="G1236" t="s">
        <v>169</v>
      </c>
      <c r="H1236">
        <v>7</v>
      </c>
      <c r="I1236">
        <v>60</v>
      </c>
      <c r="J1236">
        <v>63</v>
      </c>
      <c r="K1236">
        <v>3</v>
      </c>
      <c r="L1236">
        <v>88</v>
      </c>
      <c r="M1236">
        <v>27</v>
      </c>
      <c r="N1236">
        <v>2</v>
      </c>
      <c r="O1236">
        <v>3</v>
      </c>
      <c r="P1236">
        <v>7</v>
      </c>
      <c r="Q1236">
        <v>0.5</v>
      </c>
      <c r="R1236">
        <v>7</v>
      </c>
      <c r="S1236">
        <v>1</v>
      </c>
      <c r="T1236">
        <v>2</v>
      </c>
      <c r="U1236">
        <v>12.5</v>
      </c>
      <c r="V1236">
        <v>1830.0653594771243</v>
      </c>
      <c r="W1236">
        <v>1</v>
      </c>
    </row>
    <row r="1237" spans="1:23" x14ac:dyDescent="0.2">
      <c r="A1237">
        <v>2022</v>
      </c>
      <c r="B1237" t="s">
        <v>23</v>
      </c>
      <c r="C1237" t="s">
        <v>24</v>
      </c>
      <c r="D1237">
        <v>144</v>
      </c>
      <c r="E1237">
        <v>2</v>
      </c>
      <c r="F1237">
        <v>8</v>
      </c>
      <c r="G1237" t="s">
        <v>169</v>
      </c>
      <c r="H1237" s="1">
        <v>2</v>
      </c>
      <c r="I1237" s="1">
        <v>66</v>
      </c>
      <c r="J1237" s="1">
        <v>70</v>
      </c>
      <c r="K1237" s="1">
        <f>J1237-I1237</f>
        <v>4</v>
      </c>
      <c r="L1237" s="1">
        <v>71</v>
      </c>
      <c r="M1237" s="1">
        <v>11</v>
      </c>
      <c r="N1237" s="1">
        <v>1.5</v>
      </c>
      <c r="O1237" s="1">
        <v>5</v>
      </c>
      <c r="P1237" s="1">
        <v>2</v>
      </c>
      <c r="Q1237" s="2">
        <v>2.4E-2</v>
      </c>
      <c r="R1237" s="1">
        <v>1</v>
      </c>
      <c r="S1237" s="1">
        <f>R1237/P1237</f>
        <v>0.5</v>
      </c>
      <c r="T1237" s="1">
        <v>5</v>
      </c>
      <c r="U1237" s="1">
        <v>12.5</v>
      </c>
      <c r="V1237" s="1">
        <v>87.843137254901961</v>
      </c>
      <c r="W1237" s="1">
        <v>6</v>
      </c>
    </row>
    <row r="1238" spans="1:23" x14ac:dyDescent="0.2">
      <c r="A1238">
        <v>2022</v>
      </c>
      <c r="B1238" t="s">
        <v>23</v>
      </c>
      <c r="C1238" t="s">
        <v>24</v>
      </c>
      <c r="D1238">
        <v>145</v>
      </c>
      <c r="E1238">
        <v>1</v>
      </c>
      <c r="F1238">
        <v>3</v>
      </c>
      <c r="G1238" t="s">
        <v>170</v>
      </c>
      <c r="H1238" s="1">
        <v>4</v>
      </c>
      <c r="I1238" s="1">
        <v>63</v>
      </c>
      <c r="J1238" s="1">
        <v>67</v>
      </c>
      <c r="K1238" s="1">
        <f>J1238-I1238</f>
        <v>4</v>
      </c>
      <c r="L1238" s="1">
        <v>146</v>
      </c>
      <c r="M1238" s="1">
        <v>44</v>
      </c>
      <c r="N1238" s="1">
        <v>1.5</v>
      </c>
      <c r="O1238" s="1">
        <v>3</v>
      </c>
      <c r="P1238" s="1">
        <v>4</v>
      </c>
      <c r="Q1238" s="2">
        <v>0.246</v>
      </c>
      <c r="R1238" s="1">
        <v>4</v>
      </c>
      <c r="S1238" s="1">
        <f>R1238/P1238</f>
        <v>1</v>
      </c>
      <c r="T1238" s="1">
        <v>1.5</v>
      </c>
      <c r="U1238" s="1">
        <v>12.5</v>
      </c>
      <c r="V1238" s="1">
        <v>900.3921568627452</v>
      </c>
      <c r="W1238" s="1">
        <v>3</v>
      </c>
    </row>
    <row r="1239" spans="1:23" x14ac:dyDescent="0.2">
      <c r="A1239">
        <v>2022</v>
      </c>
      <c r="B1239" t="s">
        <v>23</v>
      </c>
      <c r="C1239" t="s">
        <v>24</v>
      </c>
      <c r="D1239">
        <v>145</v>
      </c>
      <c r="E1239">
        <v>2</v>
      </c>
      <c r="F1239">
        <v>11</v>
      </c>
      <c r="G1239" t="s">
        <v>170</v>
      </c>
      <c r="H1239" s="1">
        <v>10</v>
      </c>
      <c r="I1239" s="1">
        <v>68</v>
      </c>
      <c r="J1239" s="1">
        <v>71</v>
      </c>
      <c r="K1239" s="1">
        <f>J1239-I1239</f>
        <v>3</v>
      </c>
      <c r="L1239" s="1">
        <v>181</v>
      </c>
      <c r="M1239" s="1">
        <v>87</v>
      </c>
      <c r="N1239" s="1">
        <v>2</v>
      </c>
      <c r="O1239" s="1">
        <v>2.5</v>
      </c>
      <c r="P1239" s="1">
        <v>9</v>
      </c>
      <c r="Q1239" s="2">
        <v>0.78</v>
      </c>
      <c r="R1239" s="1">
        <v>9</v>
      </c>
      <c r="S1239" s="1">
        <f>R1239/P1239</f>
        <v>1</v>
      </c>
      <c r="T1239" s="1">
        <v>3</v>
      </c>
      <c r="U1239" s="1">
        <v>12.5</v>
      </c>
      <c r="V1239" s="1">
        <v>2854.9019607843138</v>
      </c>
      <c r="W1239" s="1">
        <v>5</v>
      </c>
    </row>
    <row r="1240" spans="1:23" x14ac:dyDescent="0.2">
      <c r="A1240">
        <v>2022</v>
      </c>
      <c r="B1240" t="s">
        <v>23</v>
      </c>
      <c r="C1240" t="s">
        <v>24</v>
      </c>
      <c r="D1240">
        <v>146</v>
      </c>
      <c r="E1240">
        <v>1</v>
      </c>
      <c r="F1240">
        <v>5</v>
      </c>
      <c r="G1240" t="s">
        <v>171</v>
      </c>
      <c r="H1240" s="3">
        <v>7</v>
      </c>
      <c r="I1240" s="3">
        <v>68</v>
      </c>
      <c r="J1240" s="3">
        <v>72</v>
      </c>
      <c r="K1240" s="3">
        <f>J1240-I1240</f>
        <v>4</v>
      </c>
      <c r="L1240" s="3">
        <v>71</v>
      </c>
      <c r="M1240" s="3">
        <v>25</v>
      </c>
      <c r="N1240" s="3">
        <v>2</v>
      </c>
      <c r="O1240" s="3">
        <v>5</v>
      </c>
      <c r="P1240" s="3">
        <v>1</v>
      </c>
      <c r="Q1240" s="4">
        <v>4.4999999999999998E-2</v>
      </c>
      <c r="R1240" s="3">
        <v>1</v>
      </c>
      <c r="S1240" s="3">
        <f>R1240/P1240</f>
        <v>1</v>
      </c>
      <c r="T1240" s="3">
        <v>5</v>
      </c>
      <c r="U1240" s="3">
        <v>12.5</v>
      </c>
      <c r="V1240" s="3">
        <v>164.70588235294116</v>
      </c>
      <c r="W1240" s="3">
        <v>6</v>
      </c>
    </row>
    <row r="1241" spans="1:23" x14ac:dyDescent="0.2">
      <c r="A1241">
        <v>2022</v>
      </c>
      <c r="B1241" t="s">
        <v>23</v>
      </c>
      <c r="C1241" t="s">
        <v>24</v>
      </c>
      <c r="D1241">
        <v>146</v>
      </c>
      <c r="E1241">
        <v>2</v>
      </c>
      <c r="F1241">
        <v>5</v>
      </c>
      <c r="G1241" t="s">
        <v>171</v>
      </c>
      <c r="H1241" s="1">
        <v>7</v>
      </c>
      <c r="I1241" s="1">
        <v>60</v>
      </c>
      <c r="J1241" s="1">
        <v>65</v>
      </c>
      <c r="K1241" s="1">
        <f>J1241-I1241</f>
        <v>5</v>
      </c>
      <c r="L1241" s="1">
        <v>136</v>
      </c>
      <c r="M1241" s="1">
        <v>57</v>
      </c>
      <c r="N1241" s="1">
        <v>3</v>
      </c>
      <c r="O1241" s="1">
        <v>3.5</v>
      </c>
      <c r="P1241" s="1">
        <v>6</v>
      </c>
      <c r="Q1241" s="2">
        <v>0.1066875</v>
      </c>
      <c r="R1241" s="1">
        <v>4</v>
      </c>
      <c r="S1241" s="1">
        <f>R1241/P1241</f>
        <v>0.66666666666666663</v>
      </c>
      <c r="T1241" s="1">
        <v>5</v>
      </c>
      <c r="U1241" s="1">
        <v>12.5</v>
      </c>
      <c r="V1241" s="1">
        <v>390.49019607843138</v>
      </c>
      <c r="W1241" s="1">
        <v>5</v>
      </c>
    </row>
    <row r="1242" spans="1:23" x14ac:dyDescent="0.2">
      <c r="A1242">
        <v>2022</v>
      </c>
      <c r="B1242" t="s">
        <v>23</v>
      </c>
      <c r="C1242" t="s">
        <v>24</v>
      </c>
      <c r="D1242">
        <v>147</v>
      </c>
      <c r="E1242">
        <v>1</v>
      </c>
      <c r="F1242">
        <v>9</v>
      </c>
      <c r="G1242" t="s">
        <v>172</v>
      </c>
      <c r="H1242">
        <v>12</v>
      </c>
      <c r="I1242">
        <v>55</v>
      </c>
      <c r="J1242">
        <v>56</v>
      </c>
      <c r="K1242">
        <v>1</v>
      </c>
      <c r="L1242">
        <v>160</v>
      </c>
      <c r="M1242">
        <v>60</v>
      </c>
      <c r="N1242">
        <v>2</v>
      </c>
      <c r="O1242">
        <v>3</v>
      </c>
      <c r="P1242">
        <v>12</v>
      </c>
      <c r="Q1242">
        <v>1</v>
      </c>
      <c r="R1242">
        <v>14</v>
      </c>
      <c r="S1242">
        <v>1.1666666666666667</v>
      </c>
      <c r="T1242">
        <v>3</v>
      </c>
      <c r="U1242">
        <v>12.5</v>
      </c>
      <c r="V1242">
        <v>3660.1307189542486</v>
      </c>
      <c r="W1242">
        <v>1</v>
      </c>
    </row>
    <row r="1243" spans="1:23" x14ac:dyDescent="0.2">
      <c r="A1243">
        <v>2022</v>
      </c>
      <c r="B1243" t="s">
        <v>23</v>
      </c>
      <c r="C1243" t="s">
        <v>24</v>
      </c>
      <c r="D1243">
        <v>147</v>
      </c>
      <c r="E1243">
        <v>2</v>
      </c>
      <c r="F1243">
        <v>7</v>
      </c>
      <c r="G1243" t="s">
        <v>172</v>
      </c>
      <c r="H1243" s="1">
        <v>10</v>
      </c>
      <c r="I1243" s="1">
        <v>67</v>
      </c>
      <c r="J1243" s="1">
        <v>73</v>
      </c>
      <c r="K1243" s="1">
        <f>J1243-I1243</f>
        <v>6</v>
      </c>
      <c r="L1243" s="1">
        <v>125</v>
      </c>
      <c r="M1243" s="1">
        <v>35</v>
      </c>
      <c r="N1243" s="1">
        <v>2</v>
      </c>
      <c r="O1243" s="1">
        <v>4.5</v>
      </c>
      <c r="P1243" s="1">
        <v>6</v>
      </c>
      <c r="Q1243" s="2">
        <v>0.124</v>
      </c>
      <c r="R1243" s="1">
        <v>4</v>
      </c>
      <c r="S1243" s="1">
        <f>R1243/P1243</f>
        <v>0.66666666666666663</v>
      </c>
      <c r="T1243" s="1">
        <v>5</v>
      </c>
      <c r="U1243" s="1">
        <v>12.5</v>
      </c>
      <c r="V1243" s="1">
        <v>453.85620915032678</v>
      </c>
      <c r="W1243" s="1">
        <v>4</v>
      </c>
    </row>
    <row r="1244" spans="1:23" x14ac:dyDescent="0.2">
      <c r="A1244">
        <v>2022</v>
      </c>
      <c r="B1244" t="s">
        <v>23</v>
      </c>
      <c r="C1244" t="s">
        <v>24</v>
      </c>
      <c r="D1244">
        <v>148</v>
      </c>
      <c r="E1244">
        <v>1</v>
      </c>
      <c r="F1244">
        <v>12</v>
      </c>
      <c r="G1244" t="s">
        <v>173</v>
      </c>
      <c r="H1244" s="1">
        <v>4</v>
      </c>
      <c r="I1244" s="1">
        <v>59</v>
      </c>
      <c r="J1244" s="1">
        <v>64</v>
      </c>
      <c r="K1244" s="1">
        <f>J1244-I1244</f>
        <v>5</v>
      </c>
      <c r="L1244" s="1">
        <v>83</v>
      </c>
      <c r="M1244" s="1">
        <v>26</v>
      </c>
      <c r="N1244" s="1">
        <v>2</v>
      </c>
      <c r="O1244" s="1">
        <v>4.5</v>
      </c>
      <c r="P1244" s="1">
        <v>3</v>
      </c>
      <c r="Q1244" s="2">
        <v>4.5999999999999999E-2</v>
      </c>
      <c r="R1244" s="1">
        <v>3</v>
      </c>
      <c r="S1244" s="1">
        <f>R1244/P1244</f>
        <v>1</v>
      </c>
      <c r="T1244" s="1">
        <v>5</v>
      </c>
      <c r="U1244" s="1">
        <v>12.5</v>
      </c>
      <c r="V1244" s="1">
        <v>168.36601307189542</v>
      </c>
      <c r="W1244" s="1">
        <v>5</v>
      </c>
    </row>
    <row r="1245" spans="1:23" x14ac:dyDescent="0.2">
      <c r="A1245">
        <v>2022</v>
      </c>
      <c r="B1245" t="s">
        <v>23</v>
      </c>
      <c r="C1245" t="s">
        <v>24</v>
      </c>
      <c r="D1245">
        <v>148</v>
      </c>
      <c r="E1245">
        <v>2</v>
      </c>
      <c r="F1245">
        <v>10</v>
      </c>
      <c r="G1245" t="s">
        <v>173</v>
      </c>
      <c r="H1245">
        <v>10</v>
      </c>
      <c r="I1245">
        <v>59</v>
      </c>
      <c r="J1245">
        <v>62</v>
      </c>
      <c r="K1245">
        <v>3</v>
      </c>
      <c r="L1245">
        <v>165</v>
      </c>
      <c r="M1245">
        <v>45</v>
      </c>
      <c r="N1245">
        <v>1.5</v>
      </c>
      <c r="O1245">
        <v>2.5</v>
      </c>
      <c r="P1245">
        <v>10</v>
      </c>
      <c r="Q1245">
        <v>0.5</v>
      </c>
      <c r="R1245">
        <v>10</v>
      </c>
      <c r="S1245">
        <v>1</v>
      </c>
      <c r="T1245" t="s">
        <v>273</v>
      </c>
      <c r="U1245">
        <v>12.5</v>
      </c>
      <c r="V1245">
        <v>1830.0653594771243</v>
      </c>
      <c r="W1245">
        <v>2</v>
      </c>
    </row>
    <row r="1246" spans="1:23" x14ac:dyDescent="0.2">
      <c r="A1246">
        <v>2022</v>
      </c>
      <c r="B1246" t="s">
        <v>23</v>
      </c>
      <c r="C1246" t="s">
        <v>24</v>
      </c>
      <c r="D1246">
        <v>149</v>
      </c>
      <c r="E1246">
        <v>1</v>
      </c>
      <c r="F1246">
        <v>6</v>
      </c>
      <c r="G1246" t="s">
        <v>174</v>
      </c>
      <c r="H1246">
        <v>6</v>
      </c>
      <c r="I1246">
        <v>63</v>
      </c>
      <c r="J1246">
        <v>67</v>
      </c>
      <c r="K1246">
        <v>4</v>
      </c>
      <c r="L1246">
        <v>127</v>
      </c>
      <c r="M1246">
        <v>50</v>
      </c>
      <c r="N1246">
        <v>1.5</v>
      </c>
      <c r="O1246">
        <v>4</v>
      </c>
      <c r="P1246">
        <v>6</v>
      </c>
      <c r="Q1246">
        <v>0.45</v>
      </c>
      <c r="R1246">
        <v>7</v>
      </c>
      <c r="S1246">
        <v>1.1666666666666667</v>
      </c>
      <c r="T1246">
        <v>2.5</v>
      </c>
      <c r="U1246">
        <v>12.5</v>
      </c>
      <c r="V1246">
        <v>1647.0588235294117</v>
      </c>
      <c r="W1246">
        <v>1</v>
      </c>
    </row>
    <row r="1247" spans="1:23" x14ac:dyDescent="0.2">
      <c r="A1247">
        <v>2022</v>
      </c>
      <c r="B1247" t="s">
        <v>23</v>
      </c>
      <c r="C1247" t="s">
        <v>24</v>
      </c>
      <c r="D1247">
        <v>149</v>
      </c>
      <c r="E1247">
        <v>2</v>
      </c>
      <c r="F1247">
        <v>6</v>
      </c>
      <c r="G1247" t="s">
        <v>174</v>
      </c>
      <c r="H1247" s="1">
        <v>5</v>
      </c>
      <c r="I1247" s="1">
        <v>57</v>
      </c>
      <c r="J1247" s="1">
        <v>61</v>
      </c>
      <c r="K1247" s="1">
        <f>J1247-I1247</f>
        <v>4</v>
      </c>
      <c r="L1247" s="1">
        <v>107</v>
      </c>
      <c r="M1247" s="1">
        <v>67</v>
      </c>
      <c r="N1247" s="1">
        <v>2</v>
      </c>
      <c r="O1247" s="1">
        <v>3.5</v>
      </c>
      <c r="P1247" s="1">
        <v>5</v>
      </c>
      <c r="Q1247" s="2">
        <v>2.1360000000000001E-2</v>
      </c>
      <c r="R1247" s="1">
        <v>3</v>
      </c>
      <c r="S1247" s="1">
        <f>R1247/P1247</f>
        <v>0.6</v>
      </c>
      <c r="T1247" s="1">
        <v>5</v>
      </c>
      <c r="U1247" s="1">
        <v>12.5</v>
      </c>
      <c r="V1247" s="1">
        <v>78.180392156862752</v>
      </c>
      <c r="W1247" s="1">
        <v>5</v>
      </c>
    </row>
    <row r="1248" spans="1:23" x14ac:dyDescent="0.2">
      <c r="A1248">
        <v>2022</v>
      </c>
      <c r="B1248" t="s">
        <v>23</v>
      </c>
      <c r="C1248" t="s">
        <v>24</v>
      </c>
      <c r="D1248">
        <v>150</v>
      </c>
      <c r="E1248">
        <v>1</v>
      </c>
      <c r="F1248">
        <v>2</v>
      </c>
      <c r="G1248" t="s">
        <v>175</v>
      </c>
      <c r="H1248" s="1">
        <v>9</v>
      </c>
      <c r="I1248" s="1">
        <v>59</v>
      </c>
      <c r="J1248" s="1">
        <v>64</v>
      </c>
      <c r="K1248" s="1">
        <f>J1248-I1248</f>
        <v>5</v>
      </c>
      <c r="L1248" s="1">
        <v>147</v>
      </c>
      <c r="M1248" s="1">
        <v>70</v>
      </c>
      <c r="N1248" s="1">
        <v>2</v>
      </c>
      <c r="O1248" s="1">
        <v>3</v>
      </c>
      <c r="P1248" s="1">
        <v>9</v>
      </c>
      <c r="Q1248" s="2">
        <v>0.44950000000000001</v>
      </c>
      <c r="R1248" s="1">
        <v>5</v>
      </c>
      <c r="S1248" s="1">
        <f>R1248/P1248</f>
        <v>0.55555555555555558</v>
      </c>
      <c r="T1248" s="1">
        <v>5</v>
      </c>
      <c r="U1248" s="1">
        <v>12.5</v>
      </c>
      <c r="V1248" s="1">
        <v>1645.228758169935</v>
      </c>
      <c r="W1248" s="1">
        <v>2</v>
      </c>
    </row>
    <row r="1249" spans="1:23" x14ac:dyDescent="0.2">
      <c r="A1249">
        <v>2022</v>
      </c>
      <c r="B1249" t="s">
        <v>23</v>
      </c>
      <c r="C1249" t="s">
        <v>24</v>
      </c>
      <c r="D1249">
        <v>150</v>
      </c>
      <c r="E1249">
        <v>2</v>
      </c>
      <c r="F1249">
        <v>7</v>
      </c>
      <c r="G1249" t="s">
        <v>175</v>
      </c>
      <c r="H1249" s="1">
        <v>7</v>
      </c>
      <c r="I1249" s="1">
        <v>64</v>
      </c>
      <c r="J1249" s="1">
        <v>68</v>
      </c>
      <c r="K1249" s="1">
        <f>J1249-I1249</f>
        <v>4</v>
      </c>
      <c r="L1249" s="1">
        <v>63</v>
      </c>
      <c r="M1249" s="1">
        <v>32</v>
      </c>
      <c r="N1249" s="1">
        <v>1.5</v>
      </c>
      <c r="O1249" s="1">
        <v>3.5</v>
      </c>
      <c r="P1249" s="1">
        <v>5</v>
      </c>
      <c r="Q1249" s="2">
        <v>9.0999999999999998E-2</v>
      </c>
      <c r="R1249" s="1">
        <v>4</v>
      </c>
      <c r="S1249" s="1">
        <f>R1249/P1249</f>
        <v>0.8</v>
      </c>
      <c r="T1249" s="1">
        <v>5</v>
      </c>
      <c r="U1249" s="1">
        <v>12.5</v>
      </c>
      <c r="V1249" s="1">
        <v>333.07189542483661</v>
      </c>
      <c r="W1249" s="1">
        <v>5</v>
      </c>
    </row>
    <row r="1250" spans="1:23" x14ac:dyDescent="0.2">
      <c r="A1250">
        <v>2022</v>
      </c>
      <c r="B1250" t="s">
        <v>23</v>
      </c>
      <c r="C1250" t="s">
        <v>24</v>
      </c>
      <c r="D1250">
        <v>151</v>
      </c>
      <c r="E1250">
        <v>1</v>
      </c>
      <c r="F1250">
        <v>5</v>
      </c>
      <c r="G1250" t="s">
        <v>176</v>
      </c>
      <c r="H1250">
        <v>14</v>
      </c>
      <c r="I1250">
        <v>54</v>
      </c>
      <c r="J1250">
        <v>56</v>
      </c>
      <c r="K1250">
        <v>2</v>
      </c>
      <c r="L1250">
        <v>163</v>
      </c>
      <c r="M1250">
        <v>69</v>
      </c>
      <c r="N1250">
        <v>2</v>
      </c>
      <c r="O1250">
        <v>2</v>
      </c>
      <c r="P1250">
        <v>9</v>
      </c>
      <c r="Q1250">
        <v>0.5</v>
      </c>
      <c r="R1250">
        <v>6</v>
      </c>
      <c r="S1250">
        <v>0.66666666666666663</v>
      </c>
      <c r="T1250">
        <v>3</v>
      </c>
      <c r="U1250">
        <v>11.4</v>
      </c>
      <c r="V1250">
        <v>1853.0718954248364</v>
      </c>
      <c r="W1250">
        <v>1</v>
      </c>
    </row>
    <row r="1251" spans="1:23" x14ac:dyDescent="0.2">
      <c r="A1251">
        <v>2022</v>
      </c>
      <c r="B1251" t="s">
        <v>23</v>
      </c>
      <c r="C1251" t="s">
        <v>24</v>
      </c>
      <c r="D1251">
        <v>151</v>
      </c>
      <c r="E1251">
        <v>2</v>
      </c>
      <c r="F1251">
        <v>2</v>
      </c>
      <c r="G1251" t="s">
        <v>176</v>
      </c>
      <c r="H1251">
        <v>9</v>
      </c>
      <c r="I1251">
        <v>56</v>
      </c>
      <c r="J1251">
        <v>60</v>
      </c>
      <c r="K1251">
        <v>4</v>
      </c>
      <c r="L1251">
        <v>78</v>
      </c>
      <c r="M1251">
        <v>28</v>
      </c>
      <c r="N1251">
        <v>1.5</v>
      </c>
      <c r="O1251">
        <v>4</v>
      </c>
      <c r="P1251">
        <v>9</v>
      </c>
      <c r="Q1251">
        <v>0.2</v>
      </c>
      <c r="R1251">
        <v>8</v>
      </c>
      <c r="S1251">
        <v>0.88888888888888884</v>
      </c>
      <c r="T1251">
        <v>3</v>
      </c>
      <c r="U1251">
        <v>12.5</v>
      </c>
      <c r="V1251">
        <v>732.02614379084969</v>
      </c>
      <c r="W1251">
        <v>1</v>
      </c>
    </row>
    <row r="1252" spans="1:23" x14ac:dyDescent="0.2">
      <c r="A1252">
        <v>2022</v>
      </c>
      <c r="B1252" t="s">
        <v>23</v>
      </c>
      <c r="C1252" t="s">
        <v>24</v>
      </c>
      <c r="D1252">
        <v>152</v>
      </c>
      <c r="E1252">
        <v>1</v>
      </c>
      <c r="F1252">
        <v>8</v>
      </c>
      <c r="G1252" t="s">
        <v>177</v>
      </c>
      <c r="H1252" s="1">
        <v>12</v>
      </c>
      <c r="I1252" s="1">
        <v>69</v>
      </c>
      <c r="J1252" s="1">
        <v>73</v>
      </c>
      <c r="K1252" s="1">
        <f>J1252-I1252</f>
        <v>4</v>
      </c>
      <c r="L1252" s="1">
        <v>142</v>
      </c>
      <c r="M1252" s="1">
        <v>45</v>
      </c>
      <c r="N1252" s="1">
        <v>3.5</v>
      </c>
      <c r="O1252" s="1">
        <v>4.5</v>
      </c>
      <c r="P1252" s="1">
        <v>8</v>
      </c>
      <c r="Q1252" s="2">
        <v>0.2384</v>
      </c>
      <c r="R1252" s="1">
        <v>7</v>
      </c>
      <c r="S1252" s="1">
        <f>R1252/P1252</f>
        <v>0.875</v>
      </c>
      <c r="T1252" s="1">
        <v>5</v>
      </c>
      <c r="U1252" s="1">
        <v>12.5</v>
      </c>
      <c r="V1252" s="1">
        <v>872.57516339869278</v>
      </c>
      <c r="W1252" s="1">
        <v>5</v>
      </c>
    </row>
    <row r="1253" spans="1:23" x14ac:dyDescent="0.2">
      <c r="A1253">
        <v>2022</v>
      </c>
      <c r="B1253" t="s">
        <v>23</v>
      </c>
      <c r="C1253" t="s">
        <v>24</v>
      </c>
      <c r="D1253">
        <v>152</v>
      </c>
      <c r="E1253">
        <v>2</v>
      </c>
      <c r="F1253">
        <v>8</v>
      </c>
      <c r="G1253" t="s">
        <v>177</v>
      </c>
      <c r="H1253">
        <v>10</v>
      </c>
      <c r="I1253">
        <v>56</v>
      </c>
      <c r="J1253">
        <v>59</v>
      </c>
      <c r="K1253">
        <v>3</v>
      </c>
      <c r="L1253">
        <v>150</v>
      </c>
      <c r="M1253">
        <v>56</v>
      </c>
      <c r="N1253">
        <v>2</v>
      </c>
      <c r="O1253">
        <v>2.5</v>
      </c>
      <c r="P1253">
        <v>9</v>
      </c>
      <c r="Q1253">
        <v>0.1</v>
      </c>
      <c r="R1253">
        <v>9</v>
      </c>
      <c r="S1253">
        <v>1</v>
      </c>
      <c r="T1253">
        <v>4</v>
      </c>
      <c r="U1253">
        <v>8.6999999999999993</v>
      </c>
      <c r="V1253">
        <v>381.90849673202621</v>
      </c>
      <c r="W1253">
        <v>1</v>
      </c>
    </row>
    <row r="1254" spans="1:23" x14ac:dyDescent="0.2">
      <c r="A1254">
        <v>2022</v>
      </c>
      <c r="B1254" t="s">
        <v>23</v>
      </c>
      <c r="C1254" t="s">
        <v>24</v>
      </c>
      <c r="D1254">
        <v>153</v>
      </c>
      <c r="E1254">
        <v>1</v>
      </c>
      <c r="F1254">
        <v>11</v>
      </c>
      <c r="G1254" t="s">
        <v>178</v>
      </c>
      <c r="H1254" s="1">
        <v>10</v>
      </c>
      <c r="I1254" s="1">
        <v>67</v>
      </c>
      <c r="J1254" s="1">
        <v>72</v>
      </c>
      <c r="K1254" s="1">
        <f>J1254-I1254</f>
        <v>5</v>
      </c>
      <c r="L1254" s="1">
        <v>135</v>
      </c>
      <c r="M1254" s="1">
        <v>47</v>
      </c>
      <c r="N1254" s="1">
        <v>2</v>
      </c>
      <c r="O1254" s="1">
        <v>4</v>
      </c>
      <c r="P1254" s="1">
        <v>6</v>
      </c>
      <c r="Q1254" s="2">
        <v>0.192</v>
      </c>
      <c r="R1254" s="1">
        <v>6</v>
      </c>
      <c r="S1254" s="1">
        <f>R1254/P1254</f>
        <v>1</v>
      </c>
      <c r="T1254" s="1">
        <v>4</v>
      </c>
      <c r="U1254" s="1">
        <v>12.5</v>
      </c>
      <c r="V1254" s="1">
        <v>702.74509803921569</v>
      </c>
      <c r="W1254" s="1">
        <v>4</v>
      </c>
    </row>
    <row r="1255" spans="1:23" x14ac:dyDescent="0.2">
      <c r="A1255">
        <v>2022</v>
      </c>
      <c r="B1255" t="s">
        <v>23</v>
      </c>
      <c r="C1255" t="s">
        <v>24</v>
      </c>
      <c r="D1255">
        <v>153</v>
      </c>
      <c r="E1255">
        <v>2</v>
      </c>
      <c r="F1255">
        <v>5</v>
      </c>
      <c r="G1255" t="s">
        <v>178</v>
      </c>
      <c r="H1255" s="1">
        <v>2</v>
      </c>
      <c r="I1255" s="1">
        <v>67</v>
      </c>
      <c r="J1255" s="1">
        <v>72</v>
      </c>
      <c r="K1255" s="1">
        <f>J1255-I1255</f>
        <v>5</v>
      </c>
      <c r="L1255" s="1">
        <v>117</v>
      </c>
      <c r="M1255" s="1">
        <v>36</v>
      </c>
      <c r="N1255" s="1">
        <v>3</v>
      </c>
      <c r="O1255" s="1">
        <v>4.5</v>
      </c>
      <c r="P1255" s="1">
        <v>2</v>
      </c>
      <c r="Q1255" s="2">
        <v>7.0999999999999994E-2</v>
      </c>
      <c r="R1255" s="1">
        <v>2</v>
      </c>
      <c r="S1255" s="1">
        <f>R1255/P1255</f>
        <v>1</v>
      </c>
      <c r="T1255" s="1">
        <v>5</v>
      </c>
      <c r="U1255" s="1">
        <v>12.5</v>
      </c>
      <c r="V1255" s="1">
        <v>259.86928104575168</v>
      </c>
      <c r="W1255" s="1">
        <v>6</v>
      </c>
    </row>
    <row r="1256" spans="1:23" x14ac:dyDescent="0.2">
      <c r="A1256">
        <v>2022</v>
      </c>
      <c r="B1256" t="s">
        <v>23</v>
      </c>
      <c r="C1256" t="s">
        <v>24</v>
      </c>
      <c r="D1256">
        <v>154</v>
      </c>
      <c r="E1256">
        <v>1</v>
      </c>
      <c r="F1256">
        <v>2</v>
      </c>
      <c r="G1256" t="s">
        <v>179</v>
      </c>
      <c r="H1256" s="1">
        <v>11</v>
      </c>
      <c r="I1256" s="1">
        <v>68</v>
      </c>
      <c r="J1256" s="1">
        <v>71</v>
      </c>
      <c r="K1256" s="1">
        <f>J1256-I1256</f>
        <v>3</v>
      </c>
      <c r="L1256" s="1">
        <v>173</v>
      </c>
      <c r="M1256" s="1">
        <v>64</v>
      </c>
      <c r="N1256" s="1">
        <v>2</v>
      </c>
      <c r="O1256" s="1">
        <v>3</v>
      </c>
      <c r="P1256" s="1">
        <f>H1256-2</f>
        <v>9</v>
      </c>
      <c r="Q1256" s="2">
        <v>0.1215</v>
      </c>
      <c r="R1256" s="1">
        <v>6</v>
      </c>
      <c r="S1256" s="1">
        <f>R1256/P1256</f>
        <v>0.66666666666666663</v>
      </c>
      <c r="T1256" s="1">
        <v>2</v>
      </c>
      <c r="U1256" s="1">
        <v>12.5</v>
      </c>
      <c r="V1256" s="1">
        <v>444.70588235294122</v>
      </c>
      <c r="W1256" s="1">
        <v>4</v>
      </c>
    </row>
    <row r="1257" spans="1:23" x14ac:dyDescent="0.2">
      <c r="A1257">
        <v>2022</v>
      </c>
      <c r="B1257" t="s">
        <v>23</v>
      </c>
      <c r="C1257" t="s">
        <v>24</v>
      </c>
      <c r="D1257">
        <v>154</v>
      </c>
      <c r="E1257">
        <v>2</v>
      </c>
      <c r="F1257">
        <v>11</v>
      </c>
      <c r="G1257" t="s">
        <v>179</v>
      </c>
      <c r="H1257" s="1">
        <v>12</v>
      </c>
      <c r="I1257" s="1">
        <v>61</v>
      </c>
      <c r="J1257" s="1">
        <v>65</v>
      </c>
      <c r="K1257" s="1">
        <f>J1257-I1257</f>
        <v>4</v>
      </c>
      <c r="L1257" s="1">
        <v>106</v>
      </c>
      <c r="M1257" s="1">
        <v>41</v>
      </c>
      <c r="N1257" s="1">
        <v>2</v>
      </c>
      <c r="O1257" s="1">
        <v>4.5</v>
      </c>
      <c r="P1257" s="1">
        <v>5</v>
      </c>
      <c r="Q1257" s="2">
        <v>0.25600000000000001</v>
      </c>
      <c r="R1257" s="1">
        <v>5</v>
      </c>
      <c r="S1257" s="1">
        <f>R1257/P1257</f>
        <v>1</v>
      </c>
      <c r="T1257" s="1">
        <v>4</v>
      </c>
      <c r="U1257" s="1">
        <v>12.5</v>
      </c>
      <c r="V1257" s="1">
        <v>936.99346405228766</v>
      </c>
      <c r="W1257" s="1">
        <v>6</v>
      </c>
    </row>
    <row r="1258" spans="1:23" x14ac:dyDescent="0.2">
      <c r="A1258">
        <v>2022</v>
      </c>
      <c r="B1258" t="s">
        <v>23</v>
      </c>
      <c r="C1258" t="s">
        <v>24</v>
      </c>
      <c r="D1258">
        <v>155</v>
      </c>
      <c r="E1258">
        <v>1</v>
      </c>
      <c r="F1258">
        <v>2</v>
      </c>
      <c r="G1258" t="s">
        <v>180</v>
      </c>
      <c r="H1258" s="1">
        <v>12</v>
      </c>
      <c r="I1258" s="1">
        <v>54</v>
      </c>
      <c r="J1258" s="1">
        <v>58</v>
      </c>
      <c r="K1258" s="1">
        <f>J1258-I1258</f>
        <v>4</v>
      </c>
      <c r="L1258" s="1">
        <v>117</v>
      </c>
      <c r="M1258" s="1">
        <v>58</v>
      </c>
      <c r="N1258" s="1">
        <v>1</v>
      </c>
      <c r="O1258" s="1">
        <v>2.5</v>
      </c>
      <c r="P1258" s="1">
        <f>H1258-2</f>
        <v>10</v>
      </c>
      <c r="Q1258" s="2">
        <v>0.13800000000000001</v>
      </c>
      <c r="R1258" s="1">
        <v>10</v>
      </c>
      <c r="S1258" s="1">
        <f>R1258/P1258</f>
        <v>1</v>
      </c>
      <c r="T1258" s="1">
        <v>5</v>
      </c>
      <c r="U1258" s="1">
        <v>12.5</v>
      </c>
      <c r="V1258" s="1">
        <v>505.09803921568641</v>
      </c>
      <c r="W1258" s="1">
        <v>6</v>
      </c>
    </row>
    <row r="1259" spans="1:23" x14ac:dyDescent="0.2">
      <c r="A1259">
        <v>2022</v>
      </c>
      <c r="B1259" t="s">
        <v>23</v>
      </c>
      <c r="C1259" t="s">
        <v>24</v>
      </c>
      <c r="D1259">
        <v>155</v>
      </c>
      <c r="E1259">
        <v>2</v>
      </c>
      <c r="F1259">
        <v>5</v>
      </c>
      <c r="G1259" t="s">
        <v>180</v>
      </c>
      <c r="H1259">
        <v>15</v>
      </c>
      <c r="I1259">
        <v>55</v>
      </c>
      <c r="J1259">
        <v>58</v>
      </c>
      <c r="K1259">
        <v>3</v>
      </c>
      <c r="L1259">
        <v>159</v>
      </c>
      <c r="M1259">
        <v>64</v>
      </c>
      <c r="N1259">
        <v>1</v>
      </c>
      <c r="O1259">
        <v>2</v>
      </c>
      <c r="P1259">
        <v>14</v>
      </c>
      <c r="Q1259">
        <v>0.5</v>
      </c>
      <c r="R1259">
        <v>13</v>
      </c>
      <c r="S1259">
        <v>0.9285714285714286</v>
      </c>
      <c r="T1259">
        <v>2</v>
      </c>
      <c r="U1259">
        <v>7.6</v>
      </c>
      <c r="V1259">
        <v>1932.5490196078431</v>
      </c>
      <c r="W1259">
        <v>1</v>
      </c>
    </row>
    <row r="1260" spans="1:23" x14ac:dyDescent="0.2">
      <c r="A1260">
        <v>2022</v>
      </c>
      <c r="B1260" t="s">
        <v>23</v>
      </c>
      <c r="C1260" t="s">
        <v>24</v>
      </c>
      <c r="D1260">
        <v>156</v>
      </c>
      <c r="E1260">
        <v>1</v>
      </c>
      <c r="F1260">
        <v>8</v>
      </c>
      <c r="G1260" t="s">
        <v>181</v>
      </c>
      <c r="H1260">
        <v>13</v>
      </c>
      <c r="I1260">
        <v>59</v>
      </c>
      <c r="J1260">
        <v>60</v>
      </c>
      <c r="K1260">
        <v>1</v>
      </c>
      <c r="L1260">
        <v>164</v>
      </c>
      <c r="M1260">
        <v>69</v>
      </c>
      <c r="N1260">
        <v>2</v>
      </c>
      <c r="O1260">
        <v>2</v>
      </c>
      <c r="P1260">
        <v>8</v>
      </c>
      <c r="Q1260">
        <v>0.2</v>
      </c>
      <c r="R1260">
        <v>7</v>
      </c>
      <c r="S1260">
        <v>0.875</v>
      </c>
      <c r="T1260">
        <v>4</v>
      </c>
      <c r="U1260">
        <v>11.8</v>
      </c>
      <c r="V1260">
        <v>737.88235294117646</v>
      </c>
      <c r="W1260">
        <v>1</v>
      </c>
    </row>
    <row r="1261" spans="1:23" x14ac:dyDescent="0.2">
      <c r="A1261">
        <v>2022</v>
      </c>
      <c r="B1261" t="s">
        <v>23</v>
      </c>
      <c r="C1261" t="s">
        <v>24</v>
      </c>
      <c r="D1261">
        <v>156</v>
      </c>
      <c r="E1261">
        <v>2</v>
      </c>
      <c r="F1261">
        <v>3</v>
      </c>
      <c r="G1261" t="s">
        <v>181</v>
      </c>
      <c r="H1261">
        <v>12</v>
      </c>
      <c r="I1261">
        <v>55</v>
      </c>
      <c r="J1261">
        <v>57</v>
      </c>
      <c r="K1261">
        <v>2</v>
      </c>
      <c r="L1261">
        <v>90</v>
      </c>
      <c r="M1261">
        <v>31</v>
      </c>
      <c r="N1261">
        <v>2</v>
      </c>
      <c r="O1261">
        <v>2.5</v>
      </c>
      <c r="P1261">
        <v>6</v>
      </c>
      <c r="Q1261">
        <v>0.3</v>
      </c>
      <c r="R1261">
        <v>6</v>
      </c>
      <c r="S1261">
        <v>1</v>
      </c>
      <c r="T1261">
        <v>4</v>
      </c>
      <c r="U1261">
        <v>9.6</v>
      </c>
      <c r="V1261">
        <v>1134.4313725490197</v>
      </c>
      <c r="W1261">
        <v>2</v>
      </c>
    </row>
    <row r="1262" spans="1:23" x14ac:dyDescent="0.2">
      <c r="A1262">
        <v>2022</v>
      </c>
      <c r="B1262" t="s">
        <v>23</v>
      </c>
      <c r="C1262" t="s">
        <v>24</v>
      </c>
      <c r="D1262">
        <v>157</v>
      </c>
      <c r="E1262">
        <v>1</v>
      </c>
      <c r="F1262">
        <v>9</v>
      </c>
      <c r="G1262" t="s">
        <v>182</v>
      </c>
      <c r="H1262" s="1">
        <v>10</v>
      </c>
      <c r="I1262" s="1">
        <v>67</v>
      </c>
      <c r="J1262" s="1">
        <v>72</v>
      </c>
      <c r="K1262" s="1">
        <f>J1262-I1262</f>
        <v>5</v>
      </c>
      <c r="L1262" s="1">
        <v>125</v>
      </c>
      <c r="M1262" s="1">
        <v>36</v>
      </c>
      <c r="N1262" s="1">
        <v>2</v>
      </c>
      <c r="O1262" s="1">
        <v>4</v>
      </c>
      <c r="P1262" s="1">
        <v>6</v>
      </c>
      <c r="Q1262" s="2">
        <v>0.22500000000000001</v>
      </c>
      <c r="R1262" s="1">
        <v>5</v>
      </c>
      <c r="S1262" s="1">
        <f>R1262/P1262</f>
        <v>0.83333333333333337</v>
      </c>
      <c r="T1262" s="1">
        <v>3</v>
      </c>
      <c r="U1262" s="1">
        <v>12.5</v>
      </c>
      <c r="V1262" s="1">
        <v>823.52941176470586</v>
      </c>
      <c r="W1262" s="1">
        <v>5</v>
      </c>
    </row>
    <row r="1263" spans="1:23" x14ac:dyDescent="0.2">
      <c r="A1263">
        <v>2022</v>
      </c>
      <c r="B1263" t="s">
        <v>23</v>
      </c>
      <c r="C1263" t="s">
        <v>24</v>
      </c>
      <c r="D1263">
        <v>157</v>
      </c>
      <c r="E1263">
        <v>2</v>
      </c>
      <c r="F1263">
        <v>13</v>
      </c>
      <c r="G1263" t="s">
        <v>182</v>
      </c>
      <c r="H1263" s="1">
        <v>11</v>
      </c>
      <c r="I1263" s="1">
        <v>62</v>
      </c>
      <c r="J1263" s="1">
        <v>67</v>
      </c>
      <c r="K1263" s="1">
        <f>J1263-I1263</f>
        <v>5</v>
      </c>
      <c r="L1263" s="1">
        <v>120</v>
      </c>
      <c r="M1263" s="1">
        <v>65</v>
      </c>
      <c r="N1263" s="1">
        <v>2</v>
      </c>
      <c r="O1263" s="1">
        <v>2.5</v>
      </c>
      <c r="P1263" s="1">
        <v>11</v>
      </c>
      <c r="Q1263" s="2">
        <v>0.15667500000000001</v>
      </c>
      <c r="R1263" s="1">
        <v>8</v>
      </c>
      <c r="S1263" s="1">
        <f>R1263/P1263</f>
        <v>0.72727272727272729</v>
      </c>
      <c r="T1263" s="1">
        <v>5</v>
      </c>
      <c r="U1263" s="1">
        <v>12.5</v>
      </c>
      <c r="V1263" s="1">
        <v>573.45098039215691</v>
      </c>
      <c r="W1263" s="1">
        <v>5</v>
      </c>
    </row>
    <row r="1264" spans="1:23" x14ac:dyDescent="0.2">
      <c r="A1264">
        <v>2022</v>
      </c>
      <c r="B1264" t="s">
        <v>23</v>
      </c>
      <c r="C1264" t="s">
        <v>24</v>
      </c>
      <c r="D1264">
        <v>158</v>
      </c>
      <c r="E1264">
        <v>1</v>
      </c>
      <c r="F1264">
        <v>5</v>
      </c>
      <c r="G1264" t="s">
        <v>183</v>
      </c>
      <c r="H1264">
        <v>6</v>
      </c>
      <c r="I1264">
        <v>62</v>
      </c>
      <c r="J1264">
        <v>65</v>
      </c>
      <c r="K1264">
        <v>3</v>
      </c>
      <c r="L1264">
        <v>155</v>
      </c>
      <c r="M1264">
        <v>90</v>
      </c>
      <c r="N1264">
        <v>1.5</v>
      </c>
      <c r="O1264">
        <v>2.5</v>
      </c>
      <c r="P1264">
        <v>6</v>
      </c>
      <c r="Q1264">
        <v>1</v>
      </c>
      <c r="R1264">
        <v>8</v>
      </c>
      <c r="S1264">
        <v>1.3333333333333333</v>
      </c>
      <c r="T1264" t="s">
        <v>273</v>
      </c>
      <c r="U1264">
        <v>12.5</v>
      </c>
      <c r="V1264">
        <v>3660.1307189542486</v>
      </c>
      <c r="W1264">
        <v>1</v>
      </c>
    </row>
    <row r="1265" spans="1:23" x14ac:dyDescent="0.2">
      <c r="A1265">
        <v>2022</v>
      </c>
      <c r="B1265" t="s">
        <v>23</v>
      </c>
      <c r="C1265" t="s">
        <v>24</v>
      </c>
      <c r="D1265">
        <v>158</v>
      </c>
      <c r="E1265">
        <v>2</v>
      </c>
      <c r="F1265">
        <v>5</v>
      </c>
      <c r="G1265" t="s">
        <v>183</v>
      </c>
      <c r="H1265">
        <v>10</v>
      </c>
      <c r="I1265">
        <v>63</v>
      </c>
      <c r="J1265">
        <v>67</v>
      </c>
      <c r="K1265">
        <v>4</v>
      </c>
      <c r="L1265">
        <v>115</v>
      </c>
      <c r="M1265">
        <v>61</v>
      </c>
      <c r="N1265">
        <v>2.5</v>
      </c>
      <c r="O1265">
        <v>2</v>
      </c>
      <c r="P1265">
        <v>10</v>
      </c>
      <c r="Q1265">
        <v>0.7</v>
      </c>
      <c r="R1265">
        <v>10</v>
      </c>
      <c r="S1265">
        <v>1</v>
      </c>
      <c r="T1265">
        <v>3</v>
      </c>
      <c r="U1265">
        <v>12.5</v>
      </c>
      <c r="V1265">
        <v>2562.0915032679736</v>
      </c>
      <c r="W1265">
        <v>1</v>
      </c>
    </row>
    <row r="1266" spans="1:23" x14ac:dyDescent="0.2">
      <c r="A1266">
        <v>2022</v>
      </c>
      <c r="B1266" t="s">
        <v>23</v>
      </c>
      <c r="C1266" t="s">
        <v>24</v>
      </c>
      <c r="D1266">
        <v>159</v>
      </c>
      <c r="E1266">
        <v>1</v>
      </c>
      <c r="F1266">
        <v>9</v>
      </c>
      <c r="G1266" t="s">
        <v>184</v>
      </c>
      <c r="H1266" s="1">
        <v>11</v>
      </c>
      <c r="I1266" s="1">
        <v>63</v>
      </c>
      <c r="J1266" s="1">
        <v>67</v>
      </c>
      <c r="K1266" s="1">
        <f>J1266-I1266</f>
        <v>4</v>
      </c>
      <c r="L1266" s="1">
        <v>142</v>
      </c>
      <c r="M1266" s="1">
        <v>82</v>
      </c>
      <c r="N1266" s="1">
        <v>3</v>
      </c>
      <c r="O1266" s="1">
        <v>4</v>
      </c>
      <c r="P1266" s="1">
        <v>11</v>
      </c>
      <c r="Q1266" s="2">
        <v>0.1206</v>
      </c>
      <c r="R1266" s="1">
        <v>4</v>
      </c>
      <c r="S1266" s="1">
        <f>R1266/P1266</f>
        <v>0.36363636363636365</v>
      </c>
      <c r="T1266" s="1">
        <v>5</v>
      </c>
      <c r="U1266" s="1">
        <v>12.5</v>
      </c>
      <c r="V1266" s="1">
        <v>441.41176470588232</v>
      </c>
      <c r="W1266" s="1">
        <v>6</v>
      </c>
    </row>
    <row r="1267" spans="1:23" x14ac:dyDescent="0.2">
      <c r="A1267">
        <v>2022</v>
      </c>
      <c r="B1267" t="s">
        <v>23</v>
      </c>
      <c r="C1267" t="s">
        <v>24</v>
      </c>
      <c r="D1267">
        <v>159</v>
      </c>
      <c r="E1267">
        <v>2</v>
      </c>
      <c r="F1267">
        <v>12</v>
      </c>
      <c r="G1267" t="s">
        <v>184</v>
      </c>
      <c r="H1267" s="1">
        <v>5</v>
      </c>
      <c r="I1267" s="1">
        <v>61</v>
      </c>
      <c r="J1267" s="1">
        <v>66</v>
      </c>
      <c r="K1267" s="1">
        <f>J1267-I1267</f>
        <v>5</v>
      </c>
      <c r="L1267" s="1">
        <v>195</v>
      </c>
      <c r="M1267" s="1">
        <v>102</v>
      </c>
      <c r="N1267" s="1">
        <v>1</v>
      </c>
      <c r="O1267" s="1">
        <v>2</v>
      </c>
      <c r="P1267" s="1">
        <v>5</v>
      </c>
      <c r="Q1267" s="2">
        <v>1</v>
      </c>
      <c r="R1267" s="1">
        <v>5</v>
      </c>
      <c r="S1267" s="1">
        <f>R1267/P1267</f>
        <v>1</v>
      </c>
      <c r="T1267" s="1">
        <v>2</v>
      </c>
      <c r="U1267" s="1">
        <v>8</v>
      </c>
      <c r="V1267" s="1">
        <v>3848.3660130718949</v>
      </c>
      <c r="W1267" s="1">
        <v>4</v>
      </c>
    </row>
    <row r="1268" spans="1:23" x14ac:dyDescent="0.2">
      <c r="A1268">
        <v>2022</v>
      </c>
      <c r="B1268" t="s">
        <v>23</v>
      </c>
      <c r="C1268" t="s">
        <v>24</v>
      </c>
      <c r="D1268">
        <v>160</v>
      </c>
      <c r="E1268">
        <v>1</v>
      </c>
      <c r="F1268">
        <v>15</v>
      </c>
      <c r="G1268" t="s">
        <v>185</v>
      </c>
      <c r="H1268">
        <v>7</v>
      </c>
      <c r="I1268">
        <v>55</v>
      </c>
      <c r="J1268">
        <v>57</v>
      </c>
      <c r="K1268">
        <v>2</v>
      </c>
      <c r="L1268">
        <v>151</v>
      </c>
      <c r="M1268">
        <v>44</v>
      </c>
      <c r="N1268">
        <v>1</v>
      </c>
      <c r="O1268">
        <v>2</v>
      </c>
      <c r="P1268">
        <v>7</v>
      </c>
      <c r="Q1268">
        <v>0.13500000000000001</v>
      </c>
      <c r="R1268">
        <v>7</v>
      </c>
      <c r="S1268">
        <v>1</v>
      </c>
      <c r="T1268">
        <v>3</v>
      </c>
      <c r="U1268">
        <v>12.5</v>
      </c>
      <c r="V1268">
        <v>494.11764705882354</v>
      </c>
      <c r="W1268">
        <v>1</v>
      </c>
    </row>
    <row r="1269" spans="1:23" x14ac:dyDescent="0.2">
      <c r="A1269">
        <v>2022</v>
      </c>
      <c r="B1269" t="s">
        <v>23</v>
      </c>
      <c r="C1269" t="s">
        <v>24</v>
      </c>
      <c r="D1269">
        <v>160</v>
      </c>
      <c r="E1269">
        <v>2</v>
      </c>
      <c r="F1269">
        <v>4</v>
      </c>
      <c r="G1269" t="s">
        <v>185</v>
      </c>
      <c r="H1269">
        <v>13</v>
      </c>
      <c r="I1269">
        <v>63</v>
      </c>
      <c r="J1269">
        <v>65</v>
      </c>
      <c r="K1269">
        <v>2</v>
      </c>
      <c r="L1269">
        <v>135</v>
      </c>
      <c r="M1269">
        <v>80</v>
      </c>
      <c r="N1269">
        <v>1.5</v>
      </c>
      <c r="O1269">
        <v>3.5</v>
      </c>
      <c r="P1269">
        <v>13</v>
      </c>
      <c r="Q1269">
        <v>1.3</v>
      </c>
      <c r="R1269">
        <v>10</v>
      </c>
      <c r="S1269">
        <v>0.76923076923076927</v>
      </c>
      <c r="T1269">
        <v>3.5</v>
      </c>
      <c r="U1269">
        <v>12.5</v>
      </c>
      <c r="V1269">
        <v>4758.169934640523</v>
      </c>
      <c r="W1269">
        <v>1</v>
      </c>
    </row>
    <row r="1270" spans="1:23" x14ac:dyDescent="0.2">
      <c r="A1270">
        <v>2022</v>
      </c>
      <c r="B1270" t="s">
        <v>23</v>
      </c>
      <c r="C1270" t="s">
        <v>24</v>
      </c>
      <c r="D1270">
        <v>161</v>
      </c>
      <c r="E1270">
        <v>1</v>
      </c>
      <c r="F1270">
        <v>3</v>
      </c>
      <c r="G1270" t="s">
        <v>186</v>
      </c>
      <c r="H1270" s="1">
        <v>10</v>
      </c>
      <c r="I1270" s="1">
        <v>62</v>
      </c>
      <c r="J1270" s="1">
        <v>64</v>
      </c>
      <c r="K1270" s="1">
        <f>J1270-I1270</f>
        <v>2</v>
      </c>
      <c r="L1270" s="1">
        <v>136</v>
      </c>
      <c r="M1270" s="1">
        <v>37</v>
      </c>
      <c r="N1270" s="1">
        <v>1.5</v>
      </c>
      <c r="O1270" s="1">
        <v>4.5</v>
      </c>
      <c r="P1270" s="1">
        <v>6</v>
      </c>
      <c r="Q1270" s="2">
        <v>0.13200000000000001</v>
      </c>
      <c r="R1270" s="1">
        <v>6</v>
      </c>
      <c r="S1270" s="1">
        <f>R1270/P1270</f>
        <v>1</v>
      </c>
      <c r="T1270" s="1">
        <v>5</v>
      </c>
      <c r="U1270" s="1">
        <v>12.5</v>
      </c>
      <c r="V1270" s="1">
        <v>483.13725490196077</v>
      </c>
      <c r="W1270" s="1">
        <v>5</v>
      </c>
    </row>
    <row r="1271" spans="1:23" x14ac:dyDescent="0.2">
      <c r="A1271">
        <v>2022</v>
      </c>
      <c r="B1271" t="s">
        <v>23</v>
      </c>
      <c r="C1271" t="s">
        <v>24</v>
      </c>
      <c r="D1271">
        <v>161</v>
      </c>
      <c r="E1271">
        <v>2</v>
      </c>
      <c r="F1271">
        <v>13</v>
      </c>
      <c r="G1271" t="s">
        <v>186</v>
      </c>
      <c r="H1271" s="1">
        <v>5</v>
      </c>
      <c r="I1271" s="1">
        <v>63</v>
      </c>
      <c r="J1271" s="1">
        <v>67</v>
      </c>
      <c r="K1271" s="1">
        <f>J1271-I1271</f>
        <v>4</v>
      </c>
      <c r="L1271" s="1">
        <v>119</v>
      </c>
      <c r="M1271" s="1">
        <v>26</v>
      </c>
      <c r="N1271" s="1">
        <v>2</v>
      </c>
      <c r="O1271" s="1">
        <v>4.5</v>
      </c>
      <c r="P1271" s="1">
        <v>3</v>
      </c>
      <c r="Q1271" s="2">
        <v>0.05</v>
      </c>
      <c r="R1271" s="1">
        <v>3</v>
      </c>
      <c r="S1271" s="1">
        <f>R1271/P1271</f>
        <v>1</v>
      </c>
      <c r="T1271" s="1">
        <v>5</v>
      </c>
      <c r="U1271" s="1">
        <v>12.5</v>
      </c>
      <c r="V1271" s="1">
        <v>183.00653594771242</v>
      </c>
      <c r="W1271" s="1">
        <v>5</v>
      </c>
    </row>
    <row r="1272" spans="1:23" x14ac:dyDescent="0.2">
      <c r="A1272">
        <v>2022</v>
      </c>
      <c r="B1272" t="s">
        <v>23</v>
      </c>
      <c r="C1272" t="s">
        <v>24</v>
      </c>
      <c r="D1272">
        <v>162</v>
      </c>
      <c r="E1272">
        <v>1</v>
      </c>
      <c r="F1272">
        <v>10</v>
      </c>
      <c r="G1272" t="s">
        <v>187</v>
      </c>
      <c r="H1272">
        <v>10</v>
      </c>
      <c r="I1272">
        <v>63</v>
      </c>
      <c r="J1272">
        <v>66</v>
      </c>
      <c r="K1272">
        <v>3</v>
      </c>
      <c r="L1272">
        <v>65</v>
      </c>
      <c r="M1272">
        <v>35</v>
      </c>
      <c r="N1272">
        <v>1.5</v>
      </c>
      <c r="O1272">
        <v>2</v>
      </c>
      <c r="P1272">
        <v>10</v>
      </c>
      <c r="Q1272">
        <v>0.8</v>
      </c>
      <c r="R1272">
        <v>9</v>
      </c>
      <c r="S1272">
        <v>0.9</v>
      </c>
      <c r="T1272">
        <v>3</v>
      </c>
      <c r="U1272">
        <v>12.5</v>
      </c>
      <c r="V1272">
        <v>2928.1045751633987</v>
      </c>
      <c r="W1272">
        <v>1</v>
      </c>
    </row>
    <row r="1273" spans="1:23" x14ac:dyDescent="0.2">
      <c r="A1273">
        <v>2022</v>
      </c>
      <c r="B1273" t="s">
        <v>23</v>
      </c>
      <c r="C1273" t="s">
        <v>24</v>
      </c>
      <c r="D1273">
        <v>162</v>
      </c>
      <c r="E1273">
        <v>2</v>
      </c>
      <c r="F1273">
        <v>2</v>
      </c>
      <c r="G1273" t="s">
        <v>187</v>
      </c>
      <c r="H1273">
        <v>8</v>
      </c>
      <c r="I1273">
        <v>63</v>
      </c>
      <c r="J1273">
        <v>66</v>
      </c>
      <c r="K1273">
        <v>3</v>
      </c>
      <c r="L1273">
        <v>95</v>
      </c>
      <c r="M1273">
        <v>26</v>
      </c>
      <c r="N1273">
        <v>1.5</v>
      </c>
      <c r="O1273">
        <v>2</v>
      </c>
      <c r="P1273">
        <v>8</v>
      </c>
      <c r="Q1273">
        <v>0.3</v>
      </c>
      <c r="R1273">
        <v>9</v>
      </c>
      <c r="S1273">
        <v>1.125</v>
      </c>
      <c r="T1273">
        <v>2.5</v>
      </c>
      <c r="U1273">
        <v>12.5</v>
      </c>
      <c r="V1273">
        <v>1098.0392156862745</v>
      </c>
      <c r="W1273">
        <v>1</v>
      </c>
    </row>
    <row r="1274" spans="1:23" x14ac:dyDescent="0.2">
      <c r="A1274">
        <v>2022</v>
      </c>
      <c r="B1274" t="s">
        <v>23</v>
      </c>
      <c r="C1274" t="s">
        <v>24</v>
      </c>
      <c r="D1274">
        <v>163</v>
      </c>
      <c r="E1274">
        <v>1</v>
      </c>
      <c r="F1274">
        <v>15</v>
      </c>
      <c r="G1274" t="s">
        <v>188</v>
      </c>
      <c r="H1274">
        <v>6</v>
      </c>
      <c r="I1274">
        <v>56</v>
      </c>
      <c r="J1274">
        <v>58</v>
      </c>
      <c r="K1274">
        <v>2</v>
      </c>
      <c r="L1274">
        <v>174</v>
      </c>
      <c r="M1274">
        <v>66</v>
      </c>
      <c r="N1274">
        <v>2.5</v>
      </c>
      <c r="O1274">
        <v>3</v>
      </c>
      <c r="P1274">
        <v>6</v>
      </c>
      <c r="Q1274">
        <v>0.5</v>
      </c>
      <c r="R1274">
        <v>5</v>
      </c>
      <c r="S1274">
        <v>0.83333333333333337</v>
      </c>
      <c r="T1274">
        <v>2.5</v>
      </c>
      <c r="U1274">
        <v>12.5</v>
      </c>
      <c r="V1274">
        <v>1830.0653594771243</v>
      </c>
      <c r="W1274">
        <v>2</v>
      </c>
    </row>
    <row r="1275" spans="1:23" x14ac:dyDescent="0.2">
      <c r="A1275">
        <v>2022</v>
      </c>
      <c r="B1275" t="s">
        <v>23</v>
      </c>
      <c r="C1275" t="s">
        <v>24</v>
      </c>
      <c r="D1275">
        <v>163</v>
      </c>
      <c r="E1275">
        <v>2</v>
      </c>
      <c r="F1275">
        <v>8</v>
      </c>
      <c r="G1275" t="s">
        <v>188</v>
      </c>
      <c r="H1275" s="1">
        <v>8</v>
      </c>
      <c r="I1275" s="1">
        <v>62</v>
      </c>
      <c r="J1275" s="1">
        <v>65</v>
      </c>
      <c r="K1275" s="1">
        <f>J1275-I1275</f>
        <v>3</v>
      </c>
      <c r="L1275" s="1">
        <v>148</v>
      </c>
      <c r="M1275" s="1">
        <v>50</v>
      </c>
      <c r="N1275" s="1">
        <v>2</v>
      </c>
      <c r="O1275" s="1">
        <v>4</v>
      </c>
      <c r="P1275" s="1">
        <v>6</v>
      </c>
      <c r="Q1275" s="2">
        <v>0.315</v>
      </c>
      <c r="R1275" s="1">
        <v>6</v>
      </c>
      <c r="S1275" s="1">
        <f>R1275/P1275</f>
        <v>1</v>
      </c>
      <c r="T1275" s="1">
        <v>3.5</v>
      </c>
      <c r="U1275" s="1">
        <v>12.5</v>
      </c>
      <c r="V1275" s="1">
        <v>1152.9411764705883</v>
      </c>
      <c r="W1275" s="1">
        <v>4</v>
      </c>
    </row>
    <row r="1276" spans="1:23" x14ac:dyDescent="0.2">
      <c r="A1276">
        <v>2022</v>
      </c>
      <c r="B1276" t="s">
        <v>23</v>
      </c>
      <c r="C1276" t="s">
        <v>24</v>
      </c>
      <c r="D1276">
        <v>164</v>
      </c>
      <c r="E1276">
        <v>1</v>
      </c>
      <c r="F1276">
        <v>10</v>
      </c>
      <c r="G1276" t="s">
        <v>189</v>
      </c>
      <c r="H1276" s="1">
        <v>5</v>
      </c>
      <c r="I1276" s="1">
        <v>62</v>
      </c>
      <c r="J1276" s="1">
        <v>66</v>
      </c>
      <c r="K1276" s="1">
        <f>J1276-I1276</f>
        <v>4</v>
      </c>
      <c r="L1276" s="1">
        <v>155</v>
      </c>
      <c r="M1276" s="1">
        <v>61</v>
      </c>
      <c r="N1276" s="1">
        <v>1.5</v>
      </c>
      <c r="O1276" s="1">
        <v>3.5</v>
      </c>
      <c r="P1276" s="1">
        <v>4</v>
      </c>
      <c r="Q1276" s="2">
        <v>0.40400000000000003</v>
      </c>
      <c r="R1276" s="1">
        <v>3</v>
      </c>
      <c r="S1276" s="1">
        <f>R1276/P1276</f>
        <v>0.75</v>
      </c>
      <c r="T1276" s="1">
        <v>2</v>
      </c>
      <c r="U1276" s="1">
        <v>12.5</v>
      </c>
      <c r="V1276" s="1">
        <v>1478.6928104575163</v>
      </c>
      <c r="W1276" s="1">
        <v>4</v>
      </c>
    </row>
    <row r="1277" spans="1:23" x14ac:dyDescent="0.2">
      <c r="A1277">
        <v>2022</v>
      </c>
      <c r="B1277" t="s">
        <v>23</v>
      </c>
      <c r="C1277" t="s">
        <v>24</v>
      </c>
      <c r="D1277">
        <v>164</v>
      </c>
      <c r="E1277">
        <v>2</v>
      </c>
      <c r="F1277">
        <v>14</v>
      </c>
      <c r="G1277" t="s">
        <v>189</v>
      </c>
      <c r="H1277">
        <v>15</v>
      </c>
      <c r="I1277">
        <v>57</v>
      </c>
      <c r="J1277">
        <v>60</v>
      </c>
      <c r="K1277">
        <v>3</v>
      </c>
      <c r="L1277">
        <v>131</v>
      </c>
      <c r="M1277">
        <v>68</v>
      </c>
      <c r="N1277">
        <v>2</v>
      </c>
      <c r="O1277">
        <v>2.5</v>
      </c>
      <c r="P1277">
        <v>14</v>
      </c>
      <c r="Q1277">
        <v>0.8</v>
      </c>
      <c r="R1277">
        <v>10</v>
      </c>
      <c r="S1277">
        <v>0.7142857142857143</v>
      </c>
      <c r="T1277">
        <v>2</v>
      </c>
      <c r="U1277">
        <v>9.6</v>
      </c>
      <c r="V1277">
        <v>3025.1503267973862</v>
      </c>
      <c r="W1277">
        <v>2</v>
      </c>
    </row>
    <row r="1278" spans="1:23" x14ac:dyDescent="0.2">
      <c r="A1278">
        <v>2022</v>
      </c>
      <c r="B1278" t="s">
        <v>23</v>
      </c>
      <c r="C1278" t="s">
        <v>24</v>
      </c>
      <c r="D1278">
        <v>165</v>
      </c>
      <c r="E1278">
        <v>1</v>
      </c>
      <c r="F1278">
        <v>10</v>
      </c>
      <c r="G1278" t="s">
        <v>190</v>
      </c>
      <c r="H1278" s="1">
        <v>10</v>
      </c>
      <c r="I1278" s="1">
        <v>67</v>
      </c>
      <c r="J1278" s="1">
        <v>70</v>
      </c>
      <c r="K1278" s="1">
        <f>J1278-I1278</f>
        <v>3</v>
      </c>
      <c r="L1278" s="1">
        <v>160</v>
      </c>
      <c r="M1278" s="1">
        <v>77</v>
      </c>
      <c r="N1278" s="1">
        <v>3</v>
      </c>
      <c r="O1278" s="1">
        <v>3.5</v>
      </c>
      <c r="P1278" s="1">
        <v>8</v>
      </c>
      <c r="Q1278" s="2">
        <v>0.55000000000000004</v>
      </c>
      <c r="R1278" s="1">
        <v>7</v>
      </c>
      <c r="S1278" s="1">
        <f>R1278/P1278</f>
        <v>0.875</v>
      </c>
      <c r="T1278" s="1">
        <v>5</v>
      </c>
      <c r="U1278" s="1">
        <v>12.5</v>
      </c>
      <c r="V1278" s="1">
        <v>2013.0718954248368</v>
      </c>
      <c r="W1278" s="1">
        <v>4</v>
      </c>
    </row>
    <row r="1279" spans="1:23" x14ac:dyDescent="0.2">
      <c r="A1279">
        <v>2022</v>
      </c>
      <c r="B1279" t="s">
        <v>23</v>
      </c>
      <c r="C1279" t="s">
        <v>24</v>
      </c>
      <c r="D1279">
        <v>165</v>
      </c>
      <c r="E1279">
        <v>2</v>
      </c>
      <c r="F1279">
        <v>1</v>
      </c>
      <c r="G1279" t="s">
        <v>190</v>
      </c>
      <c r="H1279" s="1">
        <v>7</v>
      </c>
      <c r="I1279" s="1">
        <v>62</v>
      </c>
      <c r="J1279" s="1">
        <v>67</v>
      </c>
      <c r="K1279" s="1">
        <f>J1279-I1279</f>
        <v>5</v>
      </c>
      <c r="L1279" s="1">
        <v>173</v>
      </c>
      <c r="M1279" s="1">
        <v>85</v>
      </c>
      <c r="N1279" s="1">
        <v>2</v>
      </c>
      <c r="O1279" s="1">
        <v>3.5</v>
      </c>
      <c r="P1279" s="1">
        <v>7</v>
      </c>
      <c r="Q1279" s="2">
        <v>0.1986</v>
      </c>
      <c r="R1279" s="1">
        <v>4</v>
      </c>
      <c r="S1279" s="1">
        <f>R1279/P1279</f>
        <v>0.5714285714285714</v>
      </c>
      <c r="T1279" s="1">
        <v>5</v>
      </c>
      <c r="U1279" s="1">
        <v>12.5</v>
      </c>
      <c r="V1279" s="1">
        <v>726.9019607843137</v>
      </c>
      <c r="W1279" s="1">
        <v>5</v>
      </c>
    </row>
    <row r="1280" spans="1:23" x14ac:dyDescent="0.2">
      <c r="A1280">
        <v>2022</v>
      </c>
      <c r="B1280" t="s">
        <v>23</v>
      </c>
      <c r="C1280" t="s">
        <v>24</v>
      </c>
      <c r="D1280">
        <v>166</v>
      </c>
      <c r="E1280">
        <v>1</v>
      </c>
      <c r="F1280">
        <v>2</v>
      </c>
      <c r="G1280" t="s">
        <v>191</v>
      </c>
      <c r="H1280" s="1">
        <v>9</v>
      </c>
      <c r="I1280" s="1">
        <v>67</v>
      </c>
      <c r="J1280" s="1">
        <v>70</v>
      </c>
      <c r="K1280" s="1">
        <f>J1280-I1280</f>
        <v>3</v>
      </c>
      <c r="L1280" s="1">
        <v>120</v>
      </c>
      <c r="M1280" s="1">
        <v>73</v>
      </c>
      <c r="N1280" s="1">
        <v>1</v>
      </c>
      <c r="O1280" s="1">
        <v>3.5</v>
      </c>
      <c r="P1280" s="1">
        <v>6</v>
      </c>
      <c r="Q1280" s="2">
        <v>0.52049999999999996</v>
      </c>
      <c r="R1280" s="1">
        <v>3</v>
      </c>
      <c r="S1280" s="1">
        <f>R1280/P1280</f>
        <v>0.5</v>
      </c>
      <c r="T1280" s="1">
        <v>5</v>
      </c>
      <c r="U1280" s="1">
        <v>12.5</v>
      </c>
      <c r="V1280" s="1">
        <v>1905.0980392156862</v>
      </c>
      <c r="W1280" s="1">
        <v>4</v>
      </c>
    </row>
    <row r="1281" spans="1:23" x14ac:dyDescent="0.2">
      <c r="A1281">
        <v>2022</v>
      </c>
      <c r="B1281" t="s">
        <v>23</v>
      </c>
      <c r="C1281" t="s">
        <v>24</v>
      </c>
      <c r="D1281">
        <v>166</v>
      </c>
      <c r="E1281">
        <v>2</v>
      </c>
      <c r="F1281">
        <v>1</v>
      </c>
      <c r="G1281" t="s">
        <v>191</v>
      </c>
      <c r="H1281" s="1">
        <v>14</v>
      </c>
      <c r="I1281" s="1">
        <v>65</v>
      </c>
      <c r="J1281" s="1">
        <v>68</v>
      </c>
      <c r="K1281" s="1">
        <f>J1281-I1281</f>
        <v>3</v>
      </c>
      <c r="L1281" s="1">
        <v>121</v>
      </c>
      <c r="M1281" s="1">
        <v>52</v>
      </c>
      <c r="N1281" s="1">
        <v>3</v>
      </c>
      <c r="O1281" s="1">
        <v>4.5</v>
      </c>
      <c r="P1281" s="1">
        <v>10</v>
      </c>
      <c r="Q1281" s="2">
        <v>6.2E-2</v>
      </c>
      <c r="R1281" s="1">
        <v>2</v>
      </c>
      <c r="S1281" s="1">
        <f>R1281/P1281</f>
        <v>0.2</v>
      </c>
      <c r="T1281" s="1">
        <v>5</v>
      </c>
      <c r="U1281" s="1">
        <v>12.5</v>
      </c>
      <c r="V1281" s="1">
        <v>226.92810457516339</v>
      </c>
      <c r="W1281" s="1">
        <v>4</v>
      </c>
    </row>
    <row r="1282" spans="1:23" x14ac:dyDescent="0.2">
      <c r="A1282">
        <v>2022</v>
      </c>
      <c r="B1282" t="s">
        <v>23</v>
      </c>
      <c r="C1282" t="s">
        <v>24</v>
      </c>
      <c r="D1282">
        <v>167</v>
      </c>
      <c r="E1282">
        <v>1</v>
      </c>
      <c r="F1282">
        <v>15</v>
      </c>
      <c r="G1282" t="s">
        <v>192</v>
      </c>
      <c r="H1282">
        <v>3</v>
      </c>
      <c r="I1282">
        <v>55</v>
      </c>
      <c r="J1282">
        <v>58</v>
      </c>
      <c r="K1282">
        <v>3</v>
      </c>
      <c r="L1282">
        <v>112</v>
      </c>
      <c r="M1282">
        <v>63</v>
      </c>
      <c r="N1282">
        <v>3</v>
      </c>
      <c r="O1282">
        <v>3</v>
      </c>
      <c r="P1282">
        <v>3</v>
      </c>
      <c r="Q1282">
        <v>0.122</v>
      </c>
      <c r="R1282">
        <v>2</v>
      </c>
      <c r="S1282">
        <v>0.66666666666666663</v>
      </c>
      <c r="T1282">
        <v>4</v>
      </c>
      <c r="U1282">
        <v>12.5</v>
      </c>
      <c r="V1282">
        <v>446.53594771241831</v>
      </c>
      <c r="W1282">
        <v>1</v>
      </c>
    </row>
    <row r="1283" spans="1:23" x14ac:dyDescent="0.2">
      <c r="A1283">
        <v>2022</v>
      </c>
      <c r="B1283" t="s">
        <v>23</v>
      </c>
      <c r="C1283" t="s">
        <v>24</v>
      </c>
      <c r="D1283">
        <v>167</v>
      </c>
      <c r="E1283">
        <v>2</v>
      </c>
      <c r="F1283">
        <v>3</v>
      </c>
      <c r="G1283" t="s">
        <v>192</v>
      </c>
      <c r="H1283">
        <v>6</v>
      </c>
      <c r="I1283">
        <v>63</v>
      </c>
      <c r="J1283">
        <v>65</v>
      </c>
      <c r="K1283">
        <v>2</v>
      </c>
      <c r="L1283">
        <v>152</v>
      </c>
      <c r="M1283">
        <v>52</v>
      </c>
      <c r="N1283">
        <v>1.5</v>
      </c>
      <c r="O1283">
        <v>2.5</v>
      </c>
      <c r="P1283">
        <v>6</v>
      </c>
      <c r="Q1283">
        <v>0.5</v>
      </c>
      <c r="R1283">
        <v>5</v>
      </c>
      <c r="S1283">
        <v>0.83333333333333337</v>
      </c>
      <c r="T1283" t="s">
        <v>273</v>
      </c>
      <c r="U1283">
        <v>12.5</v>
      </c>
      <c r="V1283">
        <v>1830.0653594771243</v>
      </c>
      <c r="W1283">
        <v>2</v>
      </c>
    </row>
    <row r="1284" spans="1:23" x14ac:dyDescent="0.2">
      <c r="A1284">
        <v>2022</v>
      </c>
      <c r="B1284" t="s">
        <v>23</v>
      </c>
      <c r="C1284" t="s">
        <v>24</v>
      </c>
      <c r="D1284">
        <v>168</v>
      </c>
      <c r="E1284">
        <v>1</v>
      </c>
      <c r="F1284">
        <v>3</v>
      </c>
      <c r="G1284" t="s">
        <v>193</v>
      </c>
      <c r="H1284" s="1">
        <v>10</v>
      </c>
      <c r="I1284" s="1">
        <v>63</v>
      </c>
      <c r="J1284" s="1">
        <v>67</v>
      </c>
      <c r="K1284" s="1">
        <f>J1284-I1284</f>
        <v>4</v>
      </c>
      <c r="L1284" s="1">
        <v>103</v>
      </c>
      <c r="M1284" s="1">
        <v>40</v>
      </c>
      <c r="N1284" s="1">
        <v>2</v>
      </c>
      <c r="O1284" s="1">
        <v>4.5</v>
      </c>
      <c r="P1284" s="1">
        <v>6</v>
      </c>
      <c r="Q1284" s="2">
        <v>0.23200000000000001</v>
      </c>
      <c r="R1284" s="1">
        <v>5</v>
      </c>
      <c r="S1284" s="1">
        <f>R1284/P1284</f>
        <v>0.83333333333333337</v>
      </c>
      <c r="T1284" s="1">
        <v>5</v>
      </c>
      <c r="U1284" s="1">
        <v>12.5</v>
      </c>
      <c r="V1284" s="1">
        <v>849.15032679738556</v>
      </c>
      <c r="W1284" s="1">
        <v>5</v>
      </c>
    </row>
    <row r="1285" spans="1:23" x14ac:dyDescent="0.2">
      <c r="A1285">
        <v>2022</v>
      </c>
      <c r="B1285" t="s">
        <v>23</v>
      </c>
      <c r="C1285" t="s">
        <v>24</v>
      </c>
      <c r="D1285">
        <v>168</v>
      </c>
      <c r="E1285">
        <v>2</v>
      </c>
      <c r="F1285">
        <v>13</v>
      </c>
      <c r="G1285" t="s">
        <v>193</v>
      </c>
      <c r="H1285" s="1">
        <v>10</v>
      </c>
      <c r="I1285" s="1">
        <v>67</v>
      </c>
      <c r="J1285" s="1">
        <v>72</v>
      </c>
      <c r="K1285" s="1">
        <f>J1285-I1285</f>
        <v>5</v>
      </c>
      <c r="L1285" s="1">
        <v>95</v>
      </c>
      <c r="M1285" s="1">
        <v>35</v>
      </c>
      <c r="N1285" s="1">
        <v>1.5</v>
      </c>
      <c r="O1285" s="1">
        <v>5</v>
      </c>
      <c r="P1285" s="1">
        <v>3</v>
      </c>
      <c r="Q1285" s="2">
        <v>0.12</v>
      </c>
      <c r="R1285" s="1">
        <v>2</v>
      </c>
      <c r="S1285" s="1">
        <f>R1285/P1285</f>
        <v>0.66666666666666663</v>
      </c>
      <c r="T1285" s="1">
        <v>5</v>
      </c>
      <c r="U1285" s="1">
        <v>12.5</v>
      </c>
      <c r="V1285" s="1">
        <v>439.21568627450984</v>
      </c>
      <c r="W1285" s="1">
        <v>6</v>
      </c>
    </row>
    <row r="1286" spans="1:23" x14ac:dyDescent="0.2">
      <c r="A1286">
        <v>2022</v>
      </c>
      <c r="B1286" t="s">
        <v>23</v>
      </c>
      <c r="C1286" t="s">
        <v>24</v>
      </c>
      <c r="D1286">
        <v>169</v>
      </c>
      <c r="E1286">
        <v>1</v>
      </c>
      <c r="F1286">
        <v>15</v>
      </c>
      <c r="G1286" t="s">
        <v>194</v>
      </c>
      <c r="H1286">
        <v>5</v>
      </c>
      <c r="I1286">
        <v>59</v>
      </c>
      <c r="J1286">
        <v>62</v>
      </c>
      <c r="K1286">
        <v>3</v>
      </c>
      <c r="L1286">
        <v>145</v>
      </c>
      <c r="M1286">
        <v>55</v>
      </c>
      <c r="N1286">
        <v>1.5</v>
      </c>
      <c r="O1286">
        <v>2.5</v>
      </c>
      <c r="P1286">
        <v>5</v>
      </c>
      <c r="Q1286">
        <v>0.3</v>
      </c>
      <c r="R1286">
        <v>3</v>
      </c>
      <c r="S1286">
        <v>0.6</v>
      </c>
      <c r="T1286">
        <v>3</v>
      </c>
      <c r="U1286">
        <v>12.5</v>
      </c>
      <c r="V1286">
        <v>1098.0392156862745</v>
      </c>
      <c r="W1286">
        <v>1</v>
      </c>
    </row>
    <row r="1287" spans="1:23" x14ac:dyDescent="0.2">
      <c r="A1287">
        <v>2022</v>
      </c>
      <c r="B1287" t="s">
        <v>23</v>
      </c>
      <c r="C1287" t="s">
        <v>24</v>
      </c>
      <c r="D1287">
        <v>169</v>
      </c>
      <c r="E1287">
        <v>2</v>
      </c>
      <c r="F1287">
        <v>9</v>
      </c>
      <c r="G1287" t="s">
        <v>194</v>
      </c>
      <c r="H1287" s="1">
        <v>6</v>
      </c>
      <c r="I1287" s="1">
        <v>64</v>
      </c>
      <c r="J1287" s="1">
        <v>67</v>
      </c>
      <c r="K1287" s="1">
        <f>J1287-I1287</f>
        <v>3</v>
      </c>
      <c r="L1287" s="1">
        <v>163</v>
      </c>
      <c r="M1287" s="1">
        <v>83</v>
      </c>
      <c r="N1287" s="1">
        <v>2</v>
      </c>
      <c r="O1287" s="1">
        <v>3</v>
      </c>
      <c r="P1287" s="1">
        <v>6</v>
      </c>
      <c r="Q1287" s="2">
        <v>0.69</v>
      </c>
      <c r="R1287" s="1">
        <v>5</v>
      </c>
      <c r="S1287" s="1">
        <f>R1287/P1287</f>
        <v>0.83333333333333337</v>
      </c>
      <c r="T1287" s="1">
        <v>3</v>
      </c>
      <c r="U1287" s="1">
        <v>7.9</v>
      </c>
      <c r="V1287" s="1">
        <v>2658.2588235294115</v>
      </c>
      <c r="W1287" s="1">
        <v>3</v>
      </c>
    </row>
    <row r="1288" spans="1:23" x14ac:dyDescent="0.2">
      <c r="A1288">
        <v>2022</v>
      </c>
      <c r="B1288" t="s">
        <v>23</v>
      </c>
      <c r="C1288" t="s">
        <v>24</v>
      </c>
      <c r="D1288">
        <v>170</v>
      </c>
      <c r="E1288">
        <v>1</v>
      </c>
      <c r="F1288">
        <v>13</v>
      </c>
      <c r="G1288" t="s">
        <v>195</v>
      </c>
      <c r="H1288" s="1">
        <v>10</v>
      </c>
      <c r="I1288" s="1">
        <v>65</v>
      </c>
      <c r="J1288" s="1">
        <v>70</v>
      </c>
      <c r="K1288" s="1">
        <f>J1288-I1288</f>
        <v>5</v>
      </c>
      <c r="L1288" s="1">
        <v>120</v>
      </c>
      <c r="M1288" s="1">
        <v>82</v>
      </c>
      <c r="N1288" s="1">
        <v>2</v>
      </c>
      <c r="O1288" s="1">
        <v>3.5</v>
      </c>
      <c r="P1288" s="1">
        <v>6</v>
      </c>
      <c r="Q1288" s="2">
        <v>0.15247500000000003</v>
      </c>
      <c r="R1288" s="1">
        <v>4</v>
      </c>
      <c r="S1288" s="1">
        <f>R1288/P1288</f>
        <v>0.66666666666666663</v>
      </c>
      <c r="T1288" s="1">
        <v>5</v>
      </c>
      <c r="U1288" s="1">
        <v>12.5</v>
      </c>
      <c r="V1288" s="1">
        <v>558.07843137254918</v>
      </c>
      <c r="W1288" s="1">
        <v>4</v>
      </c>
    </row>
    <row r="1289" spans="1:23" x14ac:dyDescent="0.2">
      <c r="A1289">
        <v>2022</v>
      </c>
      <c r="B1289" t="s">
        <v>23</v>
      </c>
      <c r="C1289" t="s">
        <v>24</v>
      </c>
      <c r="D1289">
        <v>170</v>
      </c>
      <c r="E1289">
        <v>2</v>
      </c>
      <c r="F1289">
        <v>1</v>
      </c>
      <c r="G1289" t="s">
        <v>195</v>
      </c>
      <c r="H1289">
        <v>14</v>
      </c>
      <c r="I1289">
        <v>51</v>
      </c>
      <c r="J1289">
        <v>54</v>
      </c>
      <c r="K1289">
        <v>3</v>
      </c>
      <c r="L1289">
        <v>176</v>
      </c>
      <c r="M1289">
        <v>85</v>
      </c>
      <c r="N1289">
        <v>2</v>
      </c>
      <c r="O1289">
        <v>2</v>
      </c>
      <c r="P1289">
        <v>11</v>
      </c>
      <c r="Q1289">
        <v>1</v>
      </c>
      <c r="R1289">
        <v>8</v>
      </c>
      <c r="S1289">
        <v>0.72727272727272729</v>
      </c>
      <c r="T1289">
        <v>3</v>
      </c>
      <c r="U1289">
        <v>12.8</v>
      </c>
      <c r="V1289">
        <v>3647.5816993464055</v>
      </c>
      <c r="W1289">
        <v>2</v>
      </c>
    </row>
    <row r="1290" spans="1:23" x14ac:dyDescent="0.2">
      <c r="A1290">
        <v>2022</v>
      </c>
      <c r="B1290" t="s">
        <v>23</v>
      </c>
      <c r="C1290" t="s">
        <v>24</v>
      </c>
      <c r="D1290">
        <v>171</v>
      </c>
      <c r="E1290">
        <v>1</v>
      </c>
      <c r="F1290">
        <v>11</v>
      </c>
      <c r="G1290" t="s">
        <v>196</v>
      </c>
      <c r="H1290" s="1">
        <v>13</v>
      </c>
      <c r="I1290" s="1">
        <v>66</v>
      </c>
      <c r="J1290" s="1">
        <v>71</v>
      </c>
      <c r="K1290" s="1">
        <f>J1290-I1290</f>
        <v>5</v>
      </c>
      <c r="L1290" s="1">
        <v>151</v>
      </c>
      <c r="M1290" s="1">
        <v>77</v>
      </c>
      <c r="N1290" s="1">
        <v>2</v>
      </c>
      <c r="O1290" s="1">
        <v>3</v>
      </c>
      <c r="P1290" s="1">
        <v>12</v>
      </c>
      <c r="Q1290" s="2">
        <v>0.49</v>
      </c>
      <c r="R1290" s="1">
        <v>12</v>
      </c>
      <c r="S1290" s="1">
        <f>R1290/P1290</f>
        <v>1</v>
      </c>
      <c r="T1290" s="1">
        <v>5</v>
      </c>
      <c r="U1290" s="1">
        <v>9.8000000000000007</v>
      </c>
      <c r="V1290" s="1">
        <v>1848.80522875817</v>
      </c>
      <c r="W1290" s="1">
        <v>5</v>
      </c>
    </row>
    <row r="1291" spans="1:23" x14ac:dyDescent="0.2">
      <c r="A1291">
        <v>2022</v>
      </c>
      <c r="B1291" t="s">
        <v>23</v>
      </c>
      <c r="C1291" t="s">
        <v>24</v>
      </c>
      <c r="D1291">
        <v>171</v>
      </c>
      <c r="E1291">
        <v>2</v>
      </c>
      <c r="F1291">
        <v>5</v>
      </c>
      <c r="G1291" t="s">
        <v>196</v>
      </c>
      <c r="H1291" s="3">
        <v>2</v>
      </c>
      <c r="I1291" s="3">
        <v>62</v>
      </c>
      <c r="J1291" s="3">
        <v>64</v>
      </c>
      <c r="K1291" s="3">
        <f>J1291-I1291</f>
        <v>2</v>
      </c>
      <c r="L1291" s="3">
        <v>53</v>
      </c>
      <c r="M1291" s="3">
        <v>30</v>
      </c>
      <c r="N1291" s="3">
        <v>4</v>
      </c>
      <c r="O1291" s="3">
        <v>5</v>
      </c>
      <c r="P1291" s="3">
        <v>1</v>
      </c>
      <c r="Q1291" s="4">
        <v>0.02</v>
      </c>
      <c r="R1291" s="3">
        <v>1</v>
      </c>
      <c r="S1291" s="3">
        <f>R1291/P1291</f>
        <v>1</v>
      </c>
      <c r="T1291" s="3">
        <v>5</v>
      </c>
      <c r="U1291" s="3">
        <v>12.5</v>
      </c>
      <c r="V1291" s="3">
        <v>73.202614379084977</v>
      </c>
      <c r="W1291" s="3">
        <v>8</v>
      </c>
    </row>
    <row r="1292" spans="1:23" x14ac:dyDescent="0.2">
      <c r="A1292">
        <v>2022</v>
      </c>
      <c r="B1292" t="s">
        <v>23</v>
      </c>
      <c r="C1292" t="s">
        <v>24</v>
      </c>
      <c r="D1292">
        <v>172</v>
      </c>
      <c r="E1292">
        <v>1</v>
      </c>
      <c r="F1292">
        <v>10</v>
      </c>
      <c r="G1292" t="s">
        <v>197</v>
      </c>
      <c r="H1292">
        <v>11</v>
      </c>
      <c r="I1292">
        <v>50</v>
      </c>
      <c r="J1292">
        <v>52</v>
      </c>
      <c r="K1292">
        <v>2</v>
      </c>
      <c r="L1292">
        <v>145</v>
      </c>
      <c r="M1292">
        <v>65</v>
      </c>
      <c r="N1292">
        <v>2</v>
      </c>
      <c r="O1292">
        <v>2</v>
      </c>
      <c r="P1292">
        <v>11</v>
      </c>
      <c r="Q1292">
        <v>0.7</v>
      </c>
      <c r="R1292">
        <v>11</v>
      </c>
      <c r="S1292">
        <v>1</v>
      </c>
      <c r="T1292">
        <v>4</v>
      </c>
      <c r="U1292">
        <v>8.6</v>
      </c>
      <c r="V1292">
        <v>2676.2875816993464</v>
      </c>
      <c r="W1292">
        <v>1</v>
      </c>
    </row>
    <row r="1293" spans="1:23" x14ac:dyDescent="0.2">
      <c r="A1293">
        <v>2022</v>
      </c>
      <c r="B1293" t="s">
        <v>23</v>
      </c>
      <c r="C1293" t="s">
        <v>24</v>
      </c>
      <c r="D1293">
        <v>172</v>
      </c>
      <c r="E1293">
        <v>2</v>
      </c>
      <c r="F1293">
        <v>9</v>
      </c>
      <c r="G1293" t="s">
        <v>197</v>
      </c>
      <c r="H1293">
        <v>9</v>
      </c>
      <c r="I1293">
        <v>56</v>
      </c>
      <c r="J1293">
        <v>59</v>
      </c>
      <c r="K1293">
        <v>3</v>
      </c>
      <c r="L1293">
        <v>150</v>
      </c>
      <c r="M1293">
        <v>71</v>
      </c>
      <c r="N1293">
        <v>1.5</v>
      </c>
      <c r="O1293">
        <v>2</v>
      </c>
      <c r="P1293">
        <v>9</v>
      </c>
      <c r="Q1293">
        <v>0.4</v>
      </c>
      <c r="R1293">
        <v>9</v>
      </c>
      <c r="S1293">
        <v>1</v>
      </c>
      <c r="T1293">
        <v>2.5</v>
      </c>
      <c r="U1293">
        <v>12.5</v>
      </c>
      <c r="V1293">
        <v>1464.0522875816994</v>
      </c>
      <c r="W1293">
        <v>1</v>
      </c>
    </row>
    <row r="1294" spans="1:23" x14ac:dyDescent="0.2">
      <c r="A1294">
        <v>2022</v>
      </c>
      <c r="B1294" t="s">
        <v>23</v>
      </c>
      <c r="C1294" t="s">
        <v>24</v>
      </c>
      <c r="D1294">
        <v>173</v>
      </c>
      <c r="E1294">
        <v>1</v>
      </c>
      <c r="F1294">
        <v>13</v>
      </c>
      <c r="G1294" t="s">
        <v>198</v>
      </c>
      <c r="H1294" s="1">
        <v>16</v>
      </c>
      <c r="I1294" s="1">
        <v>66</v>
      </c>
      <c r="J1294" s="1">
        <v>67</v>
      </c>
      <c r="K1294" s="1">
        <f>J1294-I1294</f>
        <v>1</v>
      </c>
      <c r="L1294" s="1">
        <v>127</v>
      </c>
      <c r="M1294" s="1">
        <v>52</v>
      </c>
      <c r="N1294" s="1">
        <v>3.5</v>
      </c>
      <c r="O1294" s="1">
        <v>4.5</v>
      </c>
      <c r="P1294" s="1">
        <v>12</v>
      </c>
      <c r="Q1294" s="2">
        <v>0.1895</v>
      </c>
      <c r="R1294" s="1">
        <v>11</v>
      </c>
      <c r="S1294" s="1">
        <f>R1294/P1294</f>
        <v>0.91666666666666663</v>
      </c>
      <c r="T1294" s="1">
        <v>4</v>
      </c>
      <c r="U1294" s="1">
        <v>12.5</v>
      </c>
      <c r="V1294" s="1">
        <v>693.59477124183002</v>
      </c>
      <c r="W1294" s="1">
        <v>6</v>
      </c>
    </row>
    <row r="1295" spans="1:23" x14ac:dyDescent="0.2">
      <c r="A1295">
        <v>2022</v>
      </c>
      <c r="B1295" t="s">
        <v>23</v>
      </c>
      <c r="C1295" t="s">
        <v>24</v>
      </c>
      <c r="D1295">
        <v>173</v>
      </c>
      <c r="E1295">
        <v>2</v>
      </c>
      <c r="F1295">
        <v>10</v>
      </c>
      <c r="G1295" t="s">
        <v>198</v>
      </c>
      <c r="H1295">
        <v>16</v>
      </c>
      <c r="I1295">
        <v>50</v>
      </c>
      <c r="J1295">
        <v>53</v>
      </c>
      <c r="K1295">
        <v>3</v>
      </c>
      <c r="L1295">
        <v>197</v>
      </c>
      <c r="M1295">
        <v>69</v>
      </c>
      <c r="N1295">
        <v>2</v>
      </c>
      <c r="O1295">
        <v>2</v>
      </c>
      <c r="P1295">
        <v>9</v>
      </c>
      <c r="Q1295">
        <v>1.3</v>
      </c>
      <c r="R1295">
        <v>13</v>
      </c>
      <c r="S1295">
        <v>1.4444444444444444</v>
      </c>
      <c r="T1295">
        <v>2</v>
      </c>
      <c r="U1295">
        <v>9.5</v>
      </c>
      <c r="V1295">
        <v>4921.3071895424837</v>
      </c>
      <c r="W1295">
        <v>1</v>
      </c>
    </row>
    <row r="1296" spans="1:23" x14ac:dyDescent="0.2">
      <c r="A1296">
        <v>2022</v>
      </c>
      <c r="B1296" t="s">
        <v>23</v>
      </c>
      <c r="C1296" t="s">
        <v>24</v>
      </c>
      <c r="D1296">
        <v>174</v>
      </c>
      <c r="E1296">
        <v>1</v>
      </c>
      <c r="F1296">
        <v>10</v>
      </c>
      <c r="G1296" t="s">
        <v>199</v>
      </c>
      <c r="H1296">
        <v>4</v>
      </c>
      <c r="I1296">
        <v>59</v>
      </c>
      <c r="J1296">
        <v>62</v>
      </c>
      <c r="K1296">
        <v>3</v>
      </c>
      <c r="L1296">
        <v>195</v>
      </c>
      <c r="M1296">
        <v>86</v>
      </c>
      <c r="N1296">
        <v>1.5</v>
      </c>
      <c r="O1296">
        <v>2</v>
      </c>
      <c r="P1296">
        <v>4</v>
      </c>
      <c r="Q1296">
        <v>0.5</v>
      </c>
      <c r="R1296">
        <v>4</v>
      </c>
      <c r="S1296">
        <v>1</v>
      </c>
      <c r="T1296">
        <v>2.5</v>
      </c>
      <c r="U1296">
        <v>12.5</v>
      </c>
      <c r="V1296">
        <v>1830.0653594771243</v>
      </c>
      <c r="W1296">
        <v>1</v>
      </c>
    </row>
    <row r="1297" spans="1:23" x14ac:dyDescent="0.2">
      <c r="A1297">
        <v>2022</v>
      </c>
      <c r="B1297" t="s">
        <v>23</v>
      </c>
      <c r="C1297" t="s">
        <v>24</v>
      </c>
      <c r="D1297">
        <v>174</v>
      </c>
      <c r="E1297">
        <v>2</v>
      </c>
      <c r="F1297">
        <v>4</v>
      </c>
      <c r="G1297" t="s">
        <v>199</v>
      </c>
      <c r="H1297" s="1">
        <v>8</v>
      </c>
      <c r="I1297" s="1">
        <v>66</v>
      </c>
      <c r="J1297" s="1">
        <v>69</v>
      </c>
      <c r="K1297" s="1">
        <f>J1297-I1297</f>
        <v>3</v>
      </c>
      <c r="L1297" s="1">
        <v>127</v>
      </c>
      <c r="M1297" s="1">
        <v>48</v>
      </c>
      <c r="N1297" s="1">
        <v>1.5</v>
      </c>
      <c r="O1297" s="1">
        <v>3.5</v>
      </c>
      <c r="P1297" s="1">
        <v>5</v>
      </c>
      <c r="Q1297" s="2">
        <v>0.28549999999999998</v>
      </c>
      <c r="R1297" s="1">
        <v>3</v>
      </c>
      <c r="S1297" s="1">
        <f>R1297/P1297</f>
        <v>0.6</v>
      </c>
      <c r="T1297" s="1">
        <v>3.5</v>
      </c>
      <c r="U1297" s="1">
        <v>12.5</v>
      </c>
      <c r="V1297" s="1">
        <v>1044.9673202614379</v>
      </c>
      <c r="W1297" s="1">
        <v>4</v>
      </c>
    </row>
    <row r="1298" spans="1:23" x14ac:dyDescent="0.2">
      <c r="A1298">
        <v>2022</v>
      </c>
      <c r="B1298" t="s">
        <v>23</v>
      </c>
      <c r="C1298" t="s">
        <v>24</v>
      </c>
      <c r="D1298">
        <v>175</v>
      </c>
      <c r="E1298">
        <v>1</v>
      </c>
      <c r="F1298">
        <v>3</v>
      </c>
      <c r="G1298" t="s">
        <v>200</v>
      </c>
      <c r="H1298">
        <v>3</v>
      </c>
      <c r="I1298">
        <v>60</v>
      </c>
      <c r="J1298">
        <v>62</v>
      </c>
      <c r="K1298">
        <v>2</v>
      </c>
      <c r="L1298">
        <v>166</v>
      </c>
      <c r="M1298">
        <v>71</v>
      </c>
      <c r="N1298">
        <v>1.5</v>
      </c>
      <c r="O1298">
        <v>4</v>
      </c>
      <c r="P1298">
        <v>3</v>
      </c>
      <c r="Q1298">
        <v>0.15</v>
      </c>
      <c r="R1298">
        <v>5</v>
      </c>
      <c r="S1298">
        <v>1.6666666666666667</v>
      </c>
      <c r="T1298">
        <v>2</v>
      </c>
      <c r="U1298">
        <v>12.5</v>
      </c>
      <c r="V1298">
        <v>549.01960784313724</v>
      </c>
      <c r="W1298">
        <v>1</v>
      </c>
    </row>
    <row r="1299" spans="1:23" x14ac:dyDescent="0.2">
      <c r="A1299">
        <v>2022</v>
      </c>
      <c r="B1299" t="s">
        <v>23</v>
      </c>
      <c r="C1299" t="s">
        <v>24</v>
      </c>
      <c r="D1299">
        <v>175</v>
      </c>
      <c r="E1299">
        <v>2</v>
      </c>
      <c r="F1299">
        <v>2</v>
      </c>
      <c r="G1299" t="s">
        <v>200</v>
      </c>
      <c r="H1299" s="1">
        <v>5</v>
      </c>
      <c r="I1299" s="1">
        <v>62</v>
      </c>
      <c r="J1299" s="1">
        <v>67</v>
      </c>
      <c r="K1299" s="1">
        <f>J1299-I1299</f>
        <v>5</v>
      </c>
      <c r="L1299" s="1">
        <v>138</v>
      </c>
      <c r="M1299" s="1">
        <v>68</v>
      </c>
      <c r="N1299" s="1">
        <v>2</v>
      </c>
      <c r="O1299" s="1">
        <v>3</v>
      </c>
      <c r="P1299" s="1">
        <v>4</v>
      </c>
      <c r="Q1299" s="2">
        <v>0.24</v>
      </c>
      <c r="R1299" s="1">
        <v>6</v>
      </c>
      <c r="S1299" s="1">
        <f>R1299/P1299</f>
        <v>1.5</v>
      </c>
      <c r="T1299" s="1">
        <v>5</v>
      </c>
      <c r="U1299" s="1">
        <v>12.5</v>
      </c>
      <c r="V1299" s="1">
        <v>878.43137254901967</v>
      </c>
      <c r="W1299" s="1">
        <v>4</v>
      </c>
    </row>
    <row r="1300" spans="1:23" x14ac:dyDescent="0.2">
      <c r="A1300">
        <v>2022</v>
      </c>
      <c r="B1300" t="s">
        <v>23</v>
      </c>
      <c r="C1300" t="s">
        <v>24</v>
      </c>
      <c r="D1300">
        <v>176</v>
      </c>
      <c r="E1300">
        <v>1</v>
      </c>
      <c r="F1300">
        <v>9</v>
      </c>
      <c r="G1300" t="s">
        <v>201</v>
      </c>
      <c r="H1300" s="1">
        <v>10</v>
      </c>
      <c r="I1300" s="1">
        <v>67</v>
      </c>
      <c r="J1300" s="1">
        <v>72</v>
      </c>
      <c r="K1300" s="1">
        <f>J1300-I1300</f>
        <v>5</v>
      </c>
      <c r="L1300" s="1">
        <v>170</v>
      </c>
      <c r="M1300" s="1">
        <v>100</v>
      </c>
      <c r="N1300" s="1">
        <v>3</v>
      </c>
      <c r="O1300" s="1">
        <v>4</v>
      </c>
      <c r="P1300" s="1">
        <v>9</v>
      </c>
      <c r="Q1300" s="2">
        <v>0.71899999999999997</v>
      </c>
      <c r="R1300" s="1">
        <v>8</v>
      </c>
      <c r="S1300" s="1">
        <f>R1300/P1300</f>
        <v>0.88888888888888884</v>
      </c>
      <c r="T1300" s="1">
        <v>4</v>
      </c>
      <c r="U1300" s="1">
        <v>10.8</v>
      </c>
      <c r="V1300" s="1">
        <v>2682.762875816994</v>
      </c>
      <c r="W1300" s="1">
        <v>4</v>
      </c>
    </row>
    <row r="1301" spans="1:23" x14ac:dyDescent="0.2">
      <c r="A1301">
        <v>2022</v>
      </c>
      <c r="B1301" t="s">
        <v>23</v>
      </c>
      <c r="C1301" t="s">
        <v>24</v>
      </c>
      <c r="D1301">
        <v>176</v>
      </c>
      <c r="E1301">
        <v>2</v>
      </c>
      <c r="F1301">
        <v>14</v>
      </c>
      <c r="G1301" t="s">
        <v>201</v>
      </c>
      <c r="H1301" s="1">
        <v>3</v>
      </c>
      <c r="I1301" s="1">
        <v>68</v>
      </c>
      <c r="J1301" s="1">
        <v>73</v>
      </c>
      <c r="K1301" s="1">
        <f>J1301-I1301</f>
        <v>5</v>
      </c>
      <c r="L1301" s="1">
        <v>91</v>
      </c>
      <c r="M1301" s="1">
        <v>52</v>
      </c>
      <c r="N1301" s="1">
        <v>1.5</v>
      </c>
      <c r="O1301" s="1">
        <v>4.5</v>
      </c>
      <c r="P1301" s="1">
        <v>2</v>
      </c>
      <c r="Q1301" s="2">
        <v>0.151</v>
      </c>
      <c r="R1301" s="1">
        <v>2</v>
      </c>
      <c r="S1301" s="1">
        <f>R1301/P1301</f>
        <v>1</v>
      </c>
      <c r="T1301" s="1">
        <v>3.5</v>
      </c>
      <c r="U1301" s="1">
        <v>12.5</v>
      </c>
      <c r="V1301" s="1">
        <v>552.67973856209153</v>
      </c>
      <c r="W1301" s="1">
        <v>4</v>
      </c>
    </row>
    <row r="1302" spans="1:23" x14ac:dyDescent="0.2">
      <c r="A1302">
        <v>2022</v>
      </c>
      <c r="B1302" t="s">
        <v>23</v>
      </c>
      <c r="C1302" t="s">
        <v>24</v>
      </c>
      <c r="D1302">
        <v>177</v>
      </c>
      <c r="E1302">
        <v>1</v>
      </c>
      <c r="F1302">
        <v>15</v>
      </c>
      <c r="G1302" t="s">
        <v>202</v>
      </c>
      <c r="H1302">
        <v>16</v>
      </c>
      <c r="I1302">
        <v>51</v>
      </c>
      <c r="J1302">
        <v>53</v>
      </c>
      <c r="K1302">
        <v>2</v>
      </c>
      <c r="L1302">
        <v>184</v>
      </c>
      <c r="M1302">
        <v>80</v>
      </c>
      <c r="N1302">
        <v>2</v>
      </c>
      <c r="O1302">
        <v>1.5</v>
      </c>
      <c r="P1302">
        <v>11</v>
      </c>
      <c r="Q1302">
        <v>1.3</v>
      </c>
      <c r="R1302">
        <v>11</v>
      </c>
      <c r="S1302">
        <v>1</v>
      </c>
      <c r="T1302">
        <v>2</v>
      </c>
      <c r="U1302">
        <v>14.6</v>
      </c>
      <c r="V1302">
        <v>4643.9738562091497</v>
      </c>
      <c r="W1302">
        <v>2</v>
      </c>
    </row>
    <row r="1303" spans="1:23" x14ac:dyDescent="0.2">
      <c r="A1303">
        <v>2022</v>
      </c>
      <c r="B1303" t="s">
        <v>23</v>
      </c>
      <c r="C1303" t="s">
        <v>24</v>
      </c>
      <c r="D1303">
        <v>177</v>
      </c>
      <c r="E1303">
        <v>2</v>
      </c>
      <c r="F1303">
        <v>1</v>
      </c>
      <c r="G1303" t="s">
        <v>202</v>
      </c>
      <c r="H1303" s="1">
        <v>6</v>
      </c>
      <c r="I1303" s="1">
        <v>69</v>
      </c>
      <c r="J1303" s="1">
        <v>74</v>
      </c>
      <c r="K1303" s="1">
        <f>J1303-I1303</f>
        <v>5</v>
      </c>
      <c r="L1303" s="1">
        <v>104</v>
      </c>
      <c r="M1303" s="1">
        <v>32</v>
      </c>
      <c r="N1303" s="1">
        <v>2.5</v>
      </c>
      <c r="O1303" s="1">
        <v>4.5</v>
      </c>
      <c r="P1303" s="1">
        <v>5</v>
      </c>
      <c r="Q1303" s="2">
        <v>0.126</v>
      </c>
      <c r="R1303" s="1">
        <v>5</v>
      </c>
      <c r="S1303" s="1">
        <f>R1303/P1303</f>
        <v>1</v>
      </c>
      <c r="T1303" s="1">
        <v>5</v>
      </c>
      <c r="U1303" s="1">
        <v>12.5</v>
      </c>
      <c r="V1303" s="1">
        <v>461.17647058823536</v>
      </c>
      <c r="W1303" s="1">
        <v>5</v>
      </c>
    </row>
    <row r="1304" spans="1:23" x14ac:dyDescent="0.2">
      <c r="A1304">
        <v>2022</v>
      </c>
      <c r="B1304" t="s">
        <v>23</v>
      </c>
      <c r="C1304" t="s">
        <v>24</v>
      </c>
      <c r="D1304">
        <v>178</v>
      </c>
      <c r="E1304">
        <v>1</v>
      </c>
      <c r="F1304">
        <v>1</v>
      </c>
      <c r="G1304" t="s">
        <v>203</v>
      </c>
      <c r="H1304" s="1">
        <v>13</v>
      </c>
      <c r="I1304" s="1">
        <v>65</v>
      </c>
      <c r="J1304" s="1">
        <v>70</v>
      </c>
      <c r="K1304" s="1">
        <f>J1304-I1304</f>
        <v>5</v>
      </c>
      <c r="L1304" s="1">
        <v>191</v>
      </c>
      <c r="M1304" s="1">
        <v>108</v>
      </c>
      <c r="N1304" s="1">
        <v>3</v>
      </c>
      <c r="O1304" s="1">
        <v>4</v>
      </c>
      <c r="P1304" s="1">
        <f>H1304-2</f>
        <v>11</v>
      </c>
      <c r="Q1304" s="2">
        <v>0.90375000000000005</v>
      </c>
      <c r="R1304" s="1">
        <v>7</v>
      </c>
      <c r="S1304" s="1">
        <f>R1304/P1304</f>
        <v>0.63636363636363635</v>
      </c>
      <c r="T1304" s="1">
        <v>4</v>
      </c>
      <c r="U1304" s="1">
        <v>12.5</v>
      </c>
      <c r="V1304" s="1">
        <v>3307.8431372549021</v>
      </c>
      <c r="W1304" s="1">
        <v>2</v>
      </c>
    </row>
    <row r="1305" spans="1:23" x14ac:dyDescent="0.2">
      <c r="A1305">
        <v>2022</v>
      </c>
      <c r="B1305" t="s">
        <v>23</v>
      </c>
      <c r="C1305" t="s">
        <v>24</v>
      </c>
      <c r="D1305">
        <v>178</v>
      </c>
      <c r="E1305">
        <v>2</v>
      </c>
      <c r="F1305">
        <v>2</v>
      </c>
      <c r="G1305" t="s">
        <v>203</v>
      </c>
      <c r="H1305" s="1">
        <v>8</v>
      </c>
      <c r="I1305" s="1">
        <v>72</v>
      </c>
      <c r="J1305" s="1">
        <v>73</v>
      </c>
      <c r="K1305" s="1">
        <f>J1305-I1305</f>
        <v>1</v>
      </c>
      <c r="L1305" s="1">
        <v>155</v>
      </c>
      <c r="M1305" s="1">
        <v>51</v>
      </c>
      <c r="N1305" s="1">
        <v>2.5</v>
      </c>
      <c r="O1305" s="1">
        <v>4</v>
      </c>
      <c r="P1305" s="1">
        <v>5</v>
      </c>
      <c r="Q1305" s="2">
        <v>0.12719999999999998</v>
      </c>
      <c r="R1305" s="1">
        <v>3</v>
      </c>
      <c r="S1305" s="1">
        <f>R1305/P1305</f>
        <v>0.6</v>
      </c>
      <c r="T1305" s="1">
        <v>3</v>
      </c>
      <c r="U1305" s="1">
        <v>12.5</v>
      </c>
      <c r="V1305" s="1">
        <v>465.56862745098039</v>
      </c>
      <c r="W1305" s="1">
        <v>5</v>
      </c>
    </row>
    <row r="1306" spans="1:23" x14ac:dyDescent="0.2">
      <c r="A1306">
        <v>2022</v>
      </c>
      <c r="B1306" t="s">
        <v>23</v>
      </c>
      <c r="C1306" t="s">
        <v>24</v>
      </c>
      <c r="D1306">
        <v>179</v>
      </c>
      <c r="E1306">
        <v>1</v>
      </c>
      <c r="F1306">
        <v>8</v>
      </c>
      <c r="G1306" t="s">
        <v>204</v>
      </c>
      <c r="H1306" s="1">
        <v>1</v>
      </c>
      <c r="I1306" s="1">
        <v>64</v>
      </c>
      <c r="J1306" s="1">
        <v>68</v>
      </c>
      <c r="K1306" s="1">
        <f>J1306-I1306</f>
        <v>4</v>
      </c>
      <c r="L1306" s="1">
        <v>133</v>
      </c>
      <c r="M1306" s="1">
        <v>37</v>
      </c>
      <c r="N1306" s="1">
        <v>3</v>
      </c>
      <c r="O1306" s="1">
        <v>3.5</v>
      </c>
      <c r="P1306" s="1">
        <v>1</v>
      </c>
      <c r="Q1306" s="2">
        <v>7.7399999999999997E-2</v>
      </c>
      <c r="R1306" s="1">
        <v>1</v>
      </c>
      <c r="S1306" s="1">
        <f>R1306/P1306</f>
        <v>1</v>
      </c>
      <c r="T1306" s="1">
        <v>1</v>
      </c>
      <c r="U1306" s="1">
        <v>12.5</v>
      </c>
      <c r="V1306" s="1">
        <v>283.29411764705878</v>
      </c>
      <c r="W1306" s="1">
        <v>3</v>
      </c>
    </row>
    <row r="1307" spans="1:23" x14ac:dyDescent="0.2">
      <c r="A1307">
        <v>2022</v>
      </c>
      <c r="B1307" t="s">
        <v>23</v>
      </c>
      <c r="C1307" t="s">
        <v>24</v>
      </c>
      <c r="D1307">
        <v>179</v>
      </c>
      <c r="E1307">
        <v>2</v>
      </c>
      <c r="F1307">
        <v>13</v>
      </c>
      <c r="G1307" t="s">
        <v>204</v>
      </c>
      <c r="H1307">
        <v>3</v>
      </c>
      <c r="I1307">
        <v>63</v>
      </c>
      <c r="J1307">
        <v>65</v>
      </c>
      <c r="K1307">
        <v>2</v>
      </c>
      <c r="L1307">
        <v>135</v>
      </c>
      <c r="M1307">
        <v>80</v>
      </c>
      <c r="N1307">
        <v>2</v>
      </c>
      <c r="O1307">
        <v>3</v>
      </c>
      <c r="P1307">
        <v>3</v>
      </c>
      <c r="Q1307">
        <v>0.2</v>
      </c>
      <c r="R1307">
        <v>3</v>
      </c>
      <c r="S1307">
        <v>1</v>
      </c>
      <c r="T1307">
        <v>2.5</v>
      </c>
      <c r="U1307">
        <v>12.5</v>
      </c>
      <c r="V1307">
        <v>732.02614379084969</v>
      </c>
      <c r="W1307">
        <v>1</v>
      </c>
    </row>
    <row r="1308" spans="1:23" x14ac:dyDescent="0.2">
      <c r="A1308">
        <v>2022</v>
      </c>
      <c r="B1308" t="s">
        <v>23</v>
      </c>
      <c r="C1308" t="s">
        <v>24</v>
      </c>
      <c r="D1308">
        <v>180</v>
      </c>
      <c r="E1308">
        <v>1</v>
      </c>
      <c r="F1308">
        <v>8</v>
      </c>
      <c r="G1308" t="s">
        <v>205</v>
      </c>
      <c r="H1308" s="1">
        <v>3</v>
      </c>
      <c r="I1308" s="1">
        <v>66</v>
      </c>
      <c r="J1308" s="1">
        <v>69</v>
      </c>
      <c r="K1308" s="1">
        <f>J1308-I1308</f>
        <v>3</v>
      </c>
      <c r="L1308" s="1">
        <v>81</v>
      </c>
      <c r="M1308" s="1">
        <v>21</v>
      </c>
      <c r="N1308" s="1">
        <v>2</v>
      </c>
      <c r="O1308" s="1">
        <v>5</v>
      </c>
      <c r="P1308" s="1">
        <v>1</v>
      </c>
      <c r="Q1308" s="2">
        <v>0.06</v>
      </c>
      <c r="R1308" s="1">
        <v>1</v>
      </c>
      <c r="S1308" s="1">
        <f>R1308/P1308</f>
        <v>1</v>
      </c>
      <c r="T1308" s="1">
        <v>5</v>
      </c>
      <c r="U1308" s="1">
        <v>12.5</v>
      </c>
      <c r="V1308" s="1">
        <v>219.60784313725492</v>
      </c>
      <c r="W1308" s="1">
        <v>6</v>
      </c>
    </row>
    <row r="1309" spans="1:23" x14ac:dyDescent="0.2">
      <c r="A1309">
        <v>2022</v>
      </c>
      <c r="B1309" t="s">
        <v>23</v>
      </c>
      <c r="C1309" t="s">
        <v>24</v>
      </c>
      <c r="D1309">
        <v>180</v>
      </c>
      <c r="E1309">
        <v>2</v>
      </c>
      <c r="F1309">
        <v>8</v>
      </c>
      <c r="G1309" t="s">
        <v>205</v>
      </c>
      <c r="H1309" s="1">
        <v>3</v>
      </c>
      <c r="I1309" s="1">
        <v>65</v>
      </c>
      <c r="J1309" s="1">
        <v>68</v>
      </c>
      <c r="K1309" s="1">
        <f>J1309-I1309</f>
        <v>3</v>
      </c>
      <c r="L1309" s="1">
        <v>131</v>
      </c>
      <c r="M1309" s="1">
        <v>57</v>
      </c>
      <c r="N1309" s="1">
        <v>1.5</v>
      </c>
      <c r="O1309" s="1">
        <v>4.5</v>
      </c>
      <c r="P1309" s="1">
        <v>2</v>
      </c>
      <c r="Q1309" s="2">
        <v>0.16650000000000001</v>
      </c>
      <c r="R1309" s="1">
        <v>2</v>
      </c>
      <c r="S1309" s="1">
        <f>R1309/P1309</f>
        <v>1</v>
      </c>
      <c r="T1309" s="1">
        <v>3.5</v>
      </c>
      <c r="U1309" s="1">
        <v>12.5</v>
      </c>
      <c r="V1309" s="1">
        <v>609.41176470588243</v>
      </c>
      <c r="W1309" s="1">
        <v>4</v>
      </c>
    </row>
    <row r="1310" spans="1:23" x14ac:dyDescent="0.2">
      <c r="A1310">
        <v>2022</v>
      </c>
      <c r="B1310" t="s">
        <v>23</v>
      </c>
      <c r="C1310" t="s">
        <v>24</v>
      </c>
      <c r="D1310">
        <v>181</v>
      </c>
      <c r="E1310">
        <v>1</v>
      </c>
      <c r="F1310">
        <v>12</v>
      </c>
      <c r="G1310" t="s">
        <v>206</v>
      </c>
      <c r="H1310" s="1">
        <v>10</v>
      </c>
      <c r="I1310" s="1">
        <v>67</v>
      </c>
      <c r="J1310" s="1">
        <v>69</v>
      </c>
      <c r="K1310" s="1">
        <f>J1310-I1310</f>
        <v>2</v>
      </c>
      <c r="L1310" s="1">
        <v>196</v>
      </c>
      <c r="M1310" s="1">
        <v>71</v>
      </c>
      <c r="N1310" s="1">
        <v>2</v>
      </c>
      <c r="O1310" s="1">
        <v>2.5</v>
      </c>
      <c r="P1310" s="1">
        <v>10</v>
      </c>
      <c r="Q1310" s="2">
        <v>0.51779999999999993</v>
      </c>
      <c r="R1310" s="1">
        <v>10</v>
      </c>
      <c r="S1310" s="1">
        <f>R1310/P1310</f>
        <v>1</v>
      </c>
      <c r="T1310" s="1">
        <v>3</v>
      </c>
      <c r="U1310" s="1">
        <v>12.5</v>
      </c>
      <c r="V1310" s="1">
        <v>1895.2156862745094</v>
      </c>
      <c r="W1310" s="1">
        <v>5</v>
      </c>
    </row>
    <row r="1311" spans="1:23" x14ac:dyDescent="0.2">
      <c r="A1311">
        <v>2022</v>
      </c>
      <c r="B1311" t="s">
        <v>23</v>
      </c>
      <c r="C1311" t="s">
        <v>24</v>
      </c>
      <c r="D1311">
        <v>181</v>
      </c>
      <c r="E1311">
        <v>2</v>
      </c>
      <c r="F1311">
        <v>7</v>
      </c>
      <c r="G1311" t="s">
        <v>206</v>
      </c>
      <c r="H1311" s="1">
        <v>7</v>
      </c>
      <c r="I1311" s="1">
        <v>62</v>
      </c>
      <c r="J1311" s="1">
        <v>65</v>
      </c>
      <c r="K1311" s="1">
        <f>J1311-I1311</f>
        <v>3</v>
      </c>
      <c r="L1311" s="1">
        <v>92</v>
      </c>
      <c r="M1311" s="1">
        <v>25</v>
      </c>
      <c r="N1311" s="1">
        <v>2</v>
      </c>
      <c r="O1311" s="1">
        <v>5</v>
      </c>
      <c r="P1311" s="1">
        <v>1</v>
      </c>
      <c r="Q1311" s="2">
        <v>3.875E-2</v>
      </c>
      <c r="R1311" s="1">
        <v>1</v>
      </c>
      <c r="S1311" s="1">
        <f>R1311/P1311</f>
        <v>1</v>
      </c>
      <c r="T1311" s="1">
        <v>5</v>
      </c>
      <c r="U1311" s="1">
        <v>12.5</v>
      </c>
      <c r="V1311" s="1">
        <v>141.83006535947712</v>
      </c>
      <c r="W1311" s="1">
        <v>6</v>
      </c>
    </row>
    <row r="1312" spans="1:23" x14ac:dyDescent="0.2">
      <c r="A1312">
        <v>2022</v>
      </c>
      <c r="B1312" t="s">
        <v>23</v>
      </c>
      <c r="C1312" t="s">
        <v>24</v>
      </c>
      <c r="D1312">
        <v>182</v>
      </c>
      <c r="E1312">
        <v>1</v>
      </c>
      <c r="F1312">
        <v>6</v>
      </c>
      <c r="G1312" t="s">
        <v>207</v>
      </c>
      <c r="H1312">
        <v>8</v>
      </c>
      <c r="I1312">
        <v>55</v>
      </c>
      <c r="J1312">
        <v>57</v>
      </c>
      <c r="K1312">
        <v>2</v>
      </c>
      <c r="L1312">
        <v>156</v>
      </c>
      <c r="M1312">
        <v>81</v>
      </c>
      <c r="N1312">
        <v>2</v>
      </c>
      <c r="O1312">
        <v>3</v>
      </c>
      <c r="P1312">
        <v>8</v>
      </c>
      <c r="Q1312">
        <v>0.2</v>
      </c>
      <c r="R1312">
        <v>10</v>
      </c>
      <c r="S1312">
        <v>1.25</v>
      </c>
      <c r="T1312">
        <v>3</v>
      </c>
      <c r="U1312">
        <v>12.5</v>
      </c>
      <c r="V1312">
        <v>732.02614379084969</v>
      </c>
      <c r="W1312">
        <v>1</v>
      </c>
    </row>
    <row r="1313" spans="1:23" x14ac:dyDescent="0.2">
      <c r="A1313">
        <v>2022</v>
      </c>
      <c r="B1313" t="s">
        <v>23</v>
      </c>
      <c r="C1313" t="s">
        <v>24</v>
      </c>
      <c r="D1313">
        <v>182</v>
      </c>
      <c r="E1313">
        <v>2</v>
      </c>
      <c r="F1313">
        <v>8</v>
      </c>
      <c r="G1313" t="s">
        <v>207</v>
      </c>
      <c r="H1313">
        <v>8</v>
      </c>
      <c r="I1313">
        <v>63</v>
      </c>
      <c r="J1313">
        <v>65</v>
      </c>
      <c r="K1313">
        <v>2</v>
      </c>
      <c r="L1313">
        <v>137</v>
      </c>
      <c r="M1313">
        <v>75</v>
      </c>
      <c r="N1313">
        <v>1.5</v>
      </c>
      <c r="O1313">
        <v>3.5</v>
      </c>
      <c r="P1313">
        <v>8</v>
      </c>
      <c r="Q1313">
        <v>0.8</v>
      </c>
      <c r="R1313">
        <v>6</v>
      </c>
      <c r="S1313">
        <v>0.75</v>
      </c>
      <c r="T1313">
        <v>3</v>
      </c>
      <c r="U1313">
        <v>12.5</v>
      </c>
      <c r="V1313">
        <v>2928.1045751633987</v>
      </c>
      <c r="W1313">
        <v>1</v>
      </c>
    </row>
    <row r="1314" spans="1:23" x14ac:dyDescent="0.2">
      <c r="A1314">
        <v>2022</v>
      </c>
      <c r="B1314" t="s">
        <v>23</v>
      </c>
      <c r="C1314" t="s">
        <v>24</v>
      </c>
      <c r="D1314">
        <v>183</v>
      </c>
      <c r="E1314">
        <v>1</v>
      </c>
      <c r="F1314">
        <v>5</v>
      </c>
      <c r="G1314" t="s">
        <v>208</v>
      </c>
      <c r="H1314" s="1">
        <v>12</v>
      </c>
      <c r="I1314" s="1">
        <v>66</v>
      </c>
      <c r="J1314" s="1">
        <v>69</v>
      </c>
      <c r="K1314" s="1">
        <f>J1314-I1314</f>
        <v>3</v>
      </c>
      <c r="L1314" s="1">
        <v>155</v>
      </c>
      <c r="M1314" s="1">
        <v>85</v>
      </c>
      <c r="N1314" s="1">
        <v>2</v>
      </c>
      <c r="O1314" s="1">
        <v>3.5</v>
      </c>
      <c r="P1314" s="1">
        <f>H1314-1</f>
        <v>11</v>
      </c>
      <c r="Q1314" s="2">
        <v>0.1275</v>
      </c>
      <c r="R1314" s="1">
        <v>9</v>
      </c>
      <c r="S1314" s="1">
        <f>R1314/P1314</f>
        <v>0.81818181818181823</v>
      </c>
      <c r="T1314" s="1">
        <v>4</v>
      </c>
      <c r="U1314" s="1">
        <v>12.5</v>
      </c>
      <c r="V1314" s="1">
        <v>466.66666666666669</v>
      </c>
      <c r="W1314" s="1">
        <v>4</v>
      </c>
    </row>
    <row r="1315" spans="1:23" x14ac:dyDescent="0.2">
      <c r="A1315">
        <v>2022</v>
      </c>
      <c r="B1315" t="s">
        <v>23</v>
      </c>
      <c r="C1315" t="s">
        <v>24</v>
      </c>
      <c r="D1315">
        <v>183</v>
      </c>
      <c r="E1315">
        <v>2</v>
      </c>
      <c r="F1315">
        <v>10</v>
      </c>
      <c r="G1315" t="s">
        <v>208</v>
      </c>
      <c r="H1315" s="1">
        <v>7</v>
      </c>
      <c r="I1315" s="1">
        <v>67</v>
      </c>
      <c r="J1315" s="1">
        <v>69</v>
      </c>
      <c r="K1315" s="1">
        <f>J1315-I1315</f>
        <v>2</v>
      </c>
      <c r="L1315" s="1">
        <v>146</v>
      </c>
      <c r="M1315" s="1">
        <v>65</v>
      </c>
      <c r="N1315" s="1">
        <v>1.5</v>
      </c>
      <c r="O1315" s="1">
        <v>2.5</v>
      </c>
      <c r="P1315" s="1">
        <v>5</v>
      </c>
      <c r="Q1315" s="2">
        <v>0.60480000000000012</v>
      </c>
      <c r="R1315" s="1">
        <v>5</v>
      </c>
      <c r="S1315" s="1">
        <f>R1315/P1315</f>
        <v>1</v>
      </c>
      <c r="T1315" s="1">
        <v>2.5</v>
      </c>
      <c r="U1315" s="1">
        <v>12.5</v>
      </c>
      <c r="V1315" s="1">
        <v>2213.6470588235297</v>
      </c>
      <c r="W1315" s="1">
        <v>4</v>
      </c>
    </row>
    <row r="1316" spans="1:23" x14ac:dyDescent="0.2">
      <c r="A1316">
        <v>2022</v>
      </c>
      <c r="B1316" t="s">
        <v>23</v>
      </c>
      <c r="C1316" t="s">
        <v>24</v>
      </c>
      <c r="D1316">
        <v>184</v>
      </c>
      <c r="E1316">
        <v>1</v>
      </c>
      <c r="F1316">
        <v>9</v>
      </c>
      <c r="G1316" t="s">
        <v>209</v>
      </c>
      <c r="H1316" s="1">
        <v>2</v>
      </c>
      <c r="I1316" s="1">
        <v>62</v>
      </c>
      <c r="J1316" s="1">
        <v>65</v>
      </c>
      <c r="K1316" s="1">
        <f>J1316-I1316</f>
        <v>3</v>
      </c>
      <c r="L1316" s="1">
        <v>134</v>
      </c>
      <c r="M1316" s="1">
        <v>37</v>
      </c>
      <c r="N1316" s="1">
        <v>2</v>
      </c>
      <c r="O1316" s="1">
        <v>3.5</v>
      </c>
      <c r="P1316" s="1">
        <v>2</v>
      </c>
      <c r="Q1316" s="2">
        <v>0.15</v>
      </c>
      <c r="R1316" s="1">
        <v>2</v>
      </c>
      <c r="S1316" s="1">
        <f>R1316/P1316</f>
        <v>1</v>
      </c>
      <c r="T1316" s="1">
        <v>3</v>
      </c>
      <c r="U1316" s="1">
        <v>12.5</v>
      </c>
      <c r="V1316" s="1">
        <v>549.01960784313724</v>
      </c>
      <c r="W1316" s="1">
        <v>4</v>
      </c>
    </row>
    <row r="1317" spans="1:23" x14ac:dyDescent="0.2">
      <c r="A1317">
        <v>2022</v>
      </c>
      <c r="B1317" t="s">
        <v>23</v>
      </c>
      <c r="C1317" t="s">
        <v>24</v>
      </c>
      <c r="D1317">
        <v>184</v>
      </c>
      <c r="E1317">
        <v>2</v>
      </c>
      <c r="F1317">
        <v>11</v>
      </c>
      <c r="G1317" t="s">
        <v>209</v>
      </c>
      <c r="H1317">
        <v>2</v>
      </c>
      <c r="I1317">
        <v>54</v>
      </c>
      <c r="J1317">
        <v>56</v>
      </c>
      <c r="K1317">
        <v>2</v>
      </c>
      <c r="L1317">
        <v>129</v>
      </c>
      <c r="M1317">
        <v>25</v>
      </c>
      <c r="N1317">
        <v>4</v>
      </c>
      <c r="O1317">
        <v>5</v>
      </c>
      <c r="P1317">
        <v>2</v>
      </c>
      <c r="Q1317">
        <v>9.9000000000000005E-2</v>
      </c>
      <c r="R1317">
        <v>2</v>
      </c>
      <c r="S1317">
        <v>1</v>
      </c>
      <c r="T1317">
        <v>2</v>
      </c>
      <c r="U1317">
        <v>12.5</v>
      </c>
      <c r="V1317">
        <v>362.35294117647055</v>
      </c>
      <c r="W1317">
        <v>1</v>
      </c>
    </row>
    <row r="1318" spans="1:23" x14ac:dyDescent="0.2">
      <c r="A1318">
        <v>2022</v>
      </c>
      <c r="B1318" t="s">
        <v>23</v>
      </c>
      <c r="C1318" t="s">
        <v>24</v>
      </c>
      <c r="D1318">
        <v>185</v>
      </c>
      <c r="E1318">
        <v>1</v>
      </c>
      <c r="F1318">
        <v>2</v>
      </c>
      <c r="G1318" t="s">
        <v>210</v>
      </c>
      <c r="H1318" s="1">
        <v>11</v>
      </c>
      <c r="I1318" s="1">
        <v>66</v>
      </c>
      <c r="J1318" s="1">
        <v>71</v>
      </c>
      <c r="K1318" s="1">
        <f>J1318-I1318</f>
        <v>5</v>
      </c>
      <c r="L1318" s="1">
        <v>187</v>
      </c>
      <c r="M1318" s="1">
        <v>100</v>
      </c>
      <c r="N1318" s="1">
        <v>2</v>
      </c>
      <c r="O1318" s="1">
        <v>2</v>
      </c>
      <c r="P1318" s="1">
        <v>10</v>
      </c>
      <c r="Q1318" s="2">
        <v>0.92400000000000004</v>
      </c>
      <c r="R1318" s="1">
        <v>7</v>
      </c>
      <c r="S1318" s="1">
        <f>R1318/P1318</f>
        <v>0.7</v>
      </c>
      <c r="T1318" s="1">
        <v>3</v>
      </c>
      <c r="U1318" s="1">
        <v>12.5</v>
      </c>
      <c r="V1318" s="1">
        <v>3381.960784313726</v>
      </c>
      <c r="W1318" s="1">
        <v>5</v>
      </c>
    </row>
    <row r="1319" spans="1:23" x14ac:dyDescent="0.2">
      <c r="A1319">
        <v>2022</v>
      </c>
      <c r="B1319" t="s">
        <v>23</v>
      </c>
      <c r="C1319" t="s">
        <v>24</v>
      </c>
      <c r="D1319">
        <v>185</v>
      </c>
      <c r="E1319">
        <v>2</v>
      </c>
      <c r="F1319">
        <v>4</v>
      </c>
      <c r="G1319" t="s">
        <v>210</v>
      </c>
      <c r="H1319" s="1">
        <v>5</v>
      </c>
      <c r="I1319" s="1">
        <v>63</v>
      </c>
      <c r="J1319" s="1">
        <v>68</v>
      </c>
      <c r="K1319" s="1">
        <f>J1319-I1319</f>
        <v>5</v>
      </c>
      <c r="L1319" s="1">
        <v>152</v>
      </c>
      <c r="M1319" s="1">
        <v>36</v>
      </c>
      <c r="N1319" s="1">
        <v>1.5</v>
      </c>
      <c r="O1319" s="1">
        <v>4</v>
      </c>
      <c r="P1319" s="1">
        <v>4</v>
      </c>
      <c r="Q1319" s="2">
        <v>0.32400000000000001</v>
      </c>
      <c r="R1319" s="1">
        <v>4</v>
      </c>
      <c r="S1319" s="1">
        <f>R1319/P1319</f>
        <v>1</v>
      </c>
      <c r="T1319" s="1">
        <v>2.5</v>
      </c>
      <c r="U1319" s="1">
        <v>12.5</v>
      </c>
      <c r="V1319" s="1">
        <v>1185.8823529411764</v>
      </c>
      <c r="W1319" s="1">
        <v>5</v>
      </c>
    </row>
    <row r="1320" spans="1:23" x14ac:dyDescent="0.2">
      <c r="A1320">
        <v>2022</v>
      </c>
      <c r="B1320" t="s">
        <v>23</v>
      </c>
      <c r="C1320" t="s">
        <v>24</v>
      </c>
      <c r="D1320">
        <v>186</v>
      </c>
      <c r="E1320">
        <v>1</v>
      </c>
      <c r="F1320">
        <v>3</v>
      </c>
      <c r="G1320" t="s">
        <v>211</v>
      </c>
      <c r="H1320" s="1">
        <v>10</v>
      </c>
      <c r="I1320" s="1">
        <v>69</v>
      </c>
      <c r="J1320" s="1">
        <v>74</v>
      </c>
      <c r="K1320" s="1">
        <f>J1320-I1320</f>
        <v>5</v>
      </c>
      <c r="L1320" s="1">
        <v>105</v>
      </c>
      <c r="M1320" s="1">
        <v>41</v>
      </c>
      <c r="N1320" s="1">
        <v>1.5</v>
      </c>
      <c r="O1320" s="1">
        <v>4.5</v>
      </c>
      <c r="P1320" s="1">
        <v>8</v>
      </c>
      <c r="Q1320" s="2">
        <v>0.15</v>
      </c>
      <c r="R1320" s="1">
        <v>7</v>
      </c>
      <c r="S1320" s="1">
        <f>R1320/P1320</f>
        <v>0.875</v>
      </c>
      <c r="T1320" s="1">
        <v>5</v>
      </c>
      <c r="U1320" s="1">
        <v>12.5</v>
      </c>
      <c r="V1320" s="1">
        <v>549.01960784313724</v>
      </c>
      <c r="W1320" s="1">
        <v>6</v>
      </c>
    </row>
    <row r="1321" spans="1:23" x14ac:dyDescent="0.2">
      <c r="A1321">
        <v>2022</v>
      </c>
      <c r="B1321" t="s">
        <v>23</v>
      </c>
      <c r="C1321" t="s">
        <v>24</v>
      </c>
      <c r="D1321">
        <v>186</v>
      </c>
      <c r="E1321">
        <v>2</v>
      </c>
      <c r="F1321">
        <v>2</v>
      </c>
      <c r="G1321" t="s">
        <v>211</v>
      </c>
      <c r="H1321" s="1">
        <v>12</v>
      </c>
      <c r="I1321" s="1">
        <v>64</v>
      </c>
      <c r="J1321" s="1">
        <v>67</v>
      </c>
      <c r="K1321" s="1">
        <f>J1321-I1321</f>
        <v>3</v>
      </c>
      <c r="L1321" s="1">
        <v>185</v>
      </c>
      <c r="M1321" s="1">
        <v>80</v>
      </c>
      <c r="N1321" s="1">
        <v>2</v>
      </c>
      <c r="O1321" s="1">
        <v>3</v>
      </c>
      <c r="P1321" s="1">
        <v>11</v>
      </c>
      <c r="Q1321" s="2">
        <v>0.68700000000000006</v>
      </c>
      <c r="R1321" s="1">
        <v>11</v>
      </c>
      <c r="S1321" s="1">
        <f>R1321/P1321</f>
        <v>1</v>
      </c>
      <c r="T1321" s="1">
        <v>2.5</v>
      </c>
      <c r="U1321" s="1">
        <v>12.5</v>
      </c>
      <c r="V1321" s="1">
        <v>2514.5098039215686</v>
      </c>
      <c r="W1321" s="1">
        <v>3</v>
      </c>
    </row>
    <row r="1322" spans="1:23" x14ac:dyDescent="0.2">
      <c r="A1322">
        <v>2022</v>
      </c>
      <c r="B1322" t="s">
        <v>23</v>
      </c>
      <c r="C1322" t="s">
        <v>24</v>
      </c>
      <c r="D1322">
        <v>187</v>
      </c>
      <c r="E1322">
        <v>1</v>
      </c>
      <c r="F1322">
        <v>1</v>
      </c>
      <c r="G1322" t="s">
        <v>212</v>
      </c>
      <c r="H1322">
        <v>8</v>
      </c>
      <c r="I1322">
        <v>55</v>
      </c>
      <c r="J1322">
        <v>60</v>
      </c>
      <c r="K1322">
        <v>5</v>
      </c>
      <c r="L1322">
        <v>110</v>
      </c>
      <c r="M1322">
        <v>56</v>
      </c>
      <c r="N1322">
        <v>2</v>
      </c>
      <c r="O1322">
        <v>2</v>
      </c>
      <c r="P1322">
        <v>8</v>
      </c>
      <c r="Q1322">
        <v>0.5</v>
      </c>
      <c r="R1322">
        <v>6</v>
      </c>
      <c r="S1322">
        <v>0.75</v>
      </c>
      <c r="T1322">
        <v>4</v>
      </c>
      <c r="U1322">
        <v>10.5</v>
      </c>
      <c r="V1322">
        <v>1871.8954248366015</v>
      </c>
      <c r="W1322">
        <v>2</v>
      </c>
    </row>
    <row r="1323" spans="1:23" x14ac:dyDescent="0.2">
      <c r="A1323">
        <v>2022</v>
      </c>
      <c r="B1323" t="s">
        <v>23</v>
      </c>
      <c r="C1323" t="s">
        <v>24</v>
      </c>
      <c r="D1323">
        <v>187</v>
      </c>
      <c r="E1323">
        <v>2</v>
      </c>
      <c r="F1323">
        <v>4</v>
      </c>
      <c r="G1323" t="s">
        <v>212</v>
      </c>
      <c r="H1323" s="1">
        <v>3</v>
      </c>
      <c r="I1323" s="1">
        <v>61</v>
      </c>
      <c r="J1323" s="1">
        <v>66</v>
      </c>
      <c r="K1323" s="1">
        <f>J1323-I1323</f>
        <v>5</v>
      </c>
      <c r="L1323" s="1">
        <v>163</v>
      </c>
      <c r="M1323" s="1">
        <v>92</v>
      </c>
      <c r="N1323" s="1">
        <v>2</v>
      </c>
      <c r="O1323" s="1">
        <v>2.5</v>
      </c>
      <c r="P1323" s="1">
        <v>3</v>
      </c>
      <c r="Q1323" s="2">
        <v>0.7407999999999999</v>
      </c>
      <c r="R1323" s="1">
        <v>3</v>
      </c>
      <c r="S1323" s="1">
        <f>R1323/P1323</f>
        <v>1</v>
      </c>
      <c r="T1323" s="1">
        <v>3</v>
      </c>
      <c r="U1323" s="1">
        <v>12.5</v>
      </c>
      <c r="V1323" s="1">
        <v>2711.4248366013071</v>
      </c>
      <c r="W1323" s="1">
        <v>3</v>
      </c>
    </row>
    <row r="1324" spans="1:23" x14ac:dyDescent="0.2">
      <c r="A1324">
        <v>2022</v>
      </c>
      <c r="B1324" t="s">
        <v>23</v>
      </c>
      <c r="C1324" t="s">
        <v>24</v>
      </c>
      <c r="D1324">
        <v>188</v>
      </c>
      <c r="E1324">
        <v>1</v>
      </c>
      <c r="F1324">
        <v>8</v>
      </c>
      <c r="G1324" t="s">
        <v>213</v>
      </c>
      <c r="H1324" s="1">
        <v>12</v>
      </c>
      <c r="I1324" s="1">
        <v>67</v>
      </c>
      <c r="J1324" s="1">
        <v>72</v>
      </c>
      <c r="K1324" s="1">
        <f>J1324-I1324</f>
        <v>5</v>
      </c>
      <c r="L1324" s="1">
        <v>163</v>
      </c>
      <c r="M1324" s="1">
        <v>82</v>
      </c>
      <c r="N1324" s="1">
        <v>2</v>
      </c>
      <c r="O1324" s="1">
        <v>3.5</v>
      </c>
      <c r="P1324" s="1">
        <v>12</v>
      </c>
      <c r="Q1324" s="2">
        <v>0.82399999999999995</v>
      </c>
      <c r="R1324" s="1">
        <v>10</v>
      </c>
      <c r="S1324" s="1">
        <f>R1324/P1324</f>
        <v>0.83333333333333337</v>
      </c>
      <c r="T1324" s="1">
        <v>5</v>
      </c>
      <c r="U1324" s="1">
        <v>10.1</v>
      </c>
      <c r="V1324" s="1">
        <v>3098.6708496732031</v>
      </c>
      <c r="W1324" s="1">
        <v>5</v>
      </c>
    </row>
    <row r="1325" spans="1:23" x14ac:dyDescent="0.2">
      <c r="A1325">
        <v>2022</v>
      </c>
      <c r="B1325" t="s">
        <v>23</v>
      </c>
      <c r="C1325" t="s">
        <v>24</v>
      </c>
      <c r="D1325">
        <v>188</v>
      </c>
      <c r="E1325">
        <v>2</v>
      </c>
      <c r="F1325">
        <v>6</v>
      </c>
      <c r="G1325" t="s">
        <v>213</v>
      </c>
      <c r="H1325">
        <v>5</v>
      </c>
      <c r="I1325">
        <v>58</v>
      </c>
      <c r="J1325">
        <v>60</v>
      </c>
      <c r="K1325">
        <v>2</v>
      </c>
      <c r="L1325">
        <v>135</v>
      </c>
      <c r="M1325">
        <v>55</v>
      </c>
      <c r="N1325">
        <v>1.5</v>
      </c>
      <c r="O1325">
        <v>3.5</v>
      </c>
      <c r="P1325">
        <v>5</v>
      </c>
      <c r="Q1325">
        <v>0.1</v>
      </c>
      <c r="R1325">
        <v>1</v>
      </c>
      <c r="S1325">
        <v>0.2</v>
      </c>
      <c r="T1325">
        <v>4</v>
      </c>
      <c r="U1325">
        <v>15</v>
      </c>
      <c r="V1325">
        <v>355.55555555555554</v>
      </c>
      <c r="W1325">
        <v>1</v>
      </c>
    </row>
    <row r="1326" spans="1:23" x14ac:dyDescent="0.2">
      <c r="A1326">
        <v>2022</v>
      </c>
      <c r="B1326" t="s">
        <v>23</v>
      </c>
      <c r="C1326" t="s">
        <v>24</v>
      </c>
      <c r="D1326">
        <v>189</v>
      </c>
      <c r="E1326">
        <v>1</v>
      </c>
      <c r="F1326">
        <v>1</v>
      </c>
      <c r="G1326" t="s">
        <v>214</v>
      </c>
      <c r="H1326" s="1">
        <v>8</v>
      </c>
      <c r="I1326" s="1">
        <v>64</v>
      </c>
      <c r="J1326" s="1">
        <v>68</v>
      </c>
      <c r="K1326" s="1">
        <f>J1326-I1326</f>
        <v>4</v>
      </c>
      <c r="L1326" s="1">
        <v>140</v>
      </c>
      <c r="M1326" s="1">
        <v>88</v>
      </c>
      <c r="N1326" s="1">
        <v>2</v>
      </c>
      <c r="O1326" s="1">
        <v>2.5</v>
      </c>
      <c r="P1326" s="1">
        <f>H1326</f>
        <v>8</v>
      </c>
      <c r="Q1326" s="2">
        <v>0.17549999999999999</v>
      </c>
      <c r="R1326" s="1">
        <v>8</v>
      </c>
      <c r="S1326" s="1">
        <f>R1326/P1326</f>
        <v>1</v>
      </c>
      <c r="T1326" s="1">
        <v>5</v>
      </c>
      <c r="U1326" s="1">
        <v>12.5</v>
      </c>
      <c r="V1326" s="1">
        <v>642.35294117647061</v>
      </c>
      <c r="W1326" s="1">
        <v>5</v>
      </c>
    </row>
    <row r="1327" spans="1:23" x14ac:dyDescent="0.2">
      <c r="A1327">
        <v>2022</v>
      </c>
      <c r="B1327" t="s">
        <v>23</v>
      </c>
      <c r="C1327" t="s">
        <v>24</v>
      </c>
      <c r="D1327">
        <v>189</v>
      </c>
      <c r="E1327">
        <v>2</v>
      </c>
      <c r="F1327">
        <v>8</v>
      </c>
      <c r="G1327" t="s">
        <v>214</v>
      </c>
      <c r="H1327" s="1">
        <v>7</v>
      </c>
      <c r="I1327" s="1">
        <v>66</v>
      </c>
      <c r="J1327" s="1">
        <v>70</v>
      </c>
      <c r="K1327" s="1">
        <f>J1327-I1327</f>
        <v>4</v>
      </c>
      <c r="L1327" s="1">
        <v>103</v>
      </c>
      <c r="M1327" s="1">
        <v>87</v>
      </c>
      <c r="N1327" s="1">
        <v>3</v>
      </c>
      <c r="O1327" s="1">
        <v>4</v>
      </c>
      <c r="P1327" s="1">
        <f>H1327</f>
        <v>7</v>
      </c>
      <c r="Q1327" s="2">
        <v>6.3E-2</v>
      </c>
      <c r="R1327" s="1">
        <v>4</v>
      </c>
      <c r="S1327" s="1">
        <f>R1327/P1327</f>
        <v>0.5714285714285714</v>
      </c>
      <c r="T1327" s="1">
        <v>5</v>
      </c>
      <c r="U1327" s="1">
        <v>12.5</v>
      </c>
      <c r="V1327" s="1">
        <v>230.58823529411768</v>
      </c>
      <c r="W1327" s="1">
        <v>6</v>
      </c>
    </row>
    <row r="1328" spans="1:23" x14ac:dyDescent="0.2">
      <c r="A1328">
        <v>2022</v>
      </c>
      <c r="B1328" t="s">
        <v>23</v>
      </c>
      <c r="C1328" t="s">
        <v>24</v>
      </c>
      <c r="D1328">
        <v>190</v>
      </c>
      <c r="E1328">
        <v>1</v>
      </c>
      <c r="F1328">
        <v>9</v>
      </c>
      <c r="G1328" t="s">
        <v>215</v>
      </c>
      <c r="H1328" s="1">
        <v>6</v>
      </c>
      <c r="I1328" s="1">
        <v>57</v>
      </c>
      <c r="J1328" s="1">
        <v>61</v>
      </c>
      <c r="K1328" s="1">
        <f>J1328-I1328</f>
        <v>4</v>
      </c>
      <c r="L1328" s="1">
        <v>156</v>
      </c>
      <c r="M1328" s="1">
        <v>75</v>
      </c>
      <c r="N1328" s="1">
        <v>2</v>
      </c>
      <c r="O1328" s="1">
        <v>4</v>
      </c>
      <c r="P1328" s="1">
        <v>5</v>
      </c>
      <c r="Q1328" s="2">
        <v>8.1599999999999992E-2</v>
      </c>
      <c r="R1328" s="1">
        <v>5</v>
      </c>
      <c r="S1328" s="1">
        <f>R1328/P1328</f>
        <v>1</v>
      </c>
      <c r="T1328" s="1">
        <v>3.5</v>
      </c>
      <c r="U1328" s="1">
        <v>12.5</v>
      </c>
      <c r="V1328" s="1">
        <v>298.66666666666669</v>
      </c>
      <c r="W1328" s="1">
        <v>4</v>
      </c>
    </row>
    <row r="1329" spans="1:23" x14ac:dyDescent="0.2">
      <c r="A1329">
        <v>2022</v>
      </c>
      <c r="B1329" t="s">
        <v>23</v>
      </c>
      <c r="C1329" t="s">
        <v>24</v>
      </c>
      <c r="D1329">
        <v>190</v>
      </c>
      <c r="E1329">
        <v>2</v>
      </c>
      <c r="F1329">
        <v>6</v>
      </c>
      <c r="G1329" t="s">
        <v>215</v>
      </c>
      <c r="H1329">
        <v>2</v>
      </c>
      <c r="I1329">
        <v>58</v>
      </c>
      <c r="J1329">
        <v>60</v>
      </c>
      <c r="K1329">
        <v>2</v>
      </c>
      <c r="L1329">
        <v>83</v>
      </c>
      <c r="M1329">
        <v>26</v>
      </c>
      <c r="N1329">
        <v>3</v>
      </c>
      <c r="O1329">
        <v>4</v>
      </c>
      <c r="P1329">
        <v>2</v>
      </c>
      <c r="Q1329">
        <v>0.154</v>
      </c>
      <c r="R1329">
        <v>2</v>
      </c>
      <c r="S1329">
        <v>1</v>
      </c>
      <c r="T1329">
        <v>3</v>
      </c>
      <c r="U1329">
        <v>12.5</v>
      </c>
      <c r="V1329">
        <v>563.66013071895429</v>
      </c>
      <c r="W1329">
        <v>2</v>
      </c>
    </row>
    <row r="1330" spans="1:23" x14ac:dyDescent="0.2">
      <c r="A1330">
        <v>2022</v>
      </c>
      <c r="B1330" t="s">
        <v>23</v>
      </c>
      <c r="C1330" t="s">
        <v>24</v>
      </c>
      <c r="D1330">
        <v>191</v>
      </c>
      <c r="E1330">
        <v>1</v>
      </c>
      <c r="F1330">
        <v>3</v>
      </c>
      <c r="G1330" t="s">
        <v>216</v>
      </c>
      <c r="H1330" s="1">
        <v>9</v>
      </c>
      <c r="I1330" s="1">
        <v>67</v>
      </c>
      <c r="J1330" s="1">
        <v>72</v>
      </c>
      <c r="K1330" s="1">
        <f>J1330-I1330</f>
        <v>5</v>
      </c>
      <c r="L1330" s="1">
        <v>117</v>
      </c>
      <c r="M1330" s="1">
        <v>45</v>
      </c>
      <c r="N1330" s="1">
        <v>2</v>
      </c>
      <c r="O1330" s="1">
        <v>3.5</v>
      </c>
      <c r="P1330" s="1">
        <v>7</v>
      </c>
      <c r="Q1330" s="2">
        <v>6.5000000000000002E-2</v>
      </c>
      <c r="R1330" s="1">
        <v>2</v>
      </c>
      <c r="S1330" s="1">
        <f>R1330/P1330</f>
        <v>0.2857142857142857</v>
      </c>
      <c r="T1330" s="1">
        <v>5</v>
      </c>
      <c r="U1330" s="1">
        <v>12.5</v>
      </c>
      <c r="V1330" s="1">
        <v>237.90849673202612</v>
      </c>
      <c r="W1330" s="1">
        <v>6</v>
      </c>
    </row>
    <row r="1331" spans="1:23" x14ac:dyDescent="0.2">
      <c r="A1331">
        <v>2022</v>
      </c>
      <c r="B1331" t="s">
        <v>23</v>
      </c>
      <c r="C1331" t="s">
        <v>24</v>
      </c>
      <c r="D1331">
        <v>191</v>
      </c>
      <c r="E1331">
        <v>2</v>
      </c>
      <c r="F1331">
        <v>10</v>
      </c>
      <c r="G1331" t="s">
        <v>216</v>
      </c>
      <c r="H1331" s="3">
        <v>9</v>
      </c>
      <c r="I1331" s="3">
        <v>67</v>
      </c>
      <c r="J1331" s="3">
        <v>69</v>
      </c>
      <c r="K1331" s="3">
        <f>J1331-I1331</f>
        <v>2</v>
      </c>
      <c r="L1331" s="3">
        <v>187</v>
      </c>
      <c r="M1331" s="3">
        <v>105</v>
      </c>
      <c r="N1331" s="3">
        <v>2</v>
      </c>
      <c r="O1331" s="3">
        <v>2.5</v>
      </c>
      <c r="P1331" s="3">
        <v>8</v>
      </c>
      <c r="Q1331" s="4">
        <v>0.85260000000000002</v>
      </c>
      <c r="R1331" s="3">
        <v>8</v>
      </c>
      <c r="S1331" s="3">
        <f>R1331/P1331</f>
        <v>1</v>
      </c>
      <c r="T1331" s="3">
        <v>3</v>
      </c>
      <c r="U1331" s="3">
        <v>10.4</v>
      </c>
      <c r="V1331" s="3">
        <v>3195.5225098039218</v>
      </c>
      <c r="W1331" s="3">
        <v>5</v>
      </c>
    </row>
    <row r="1332" spans="1:23" x14ac:dyDescent="0.2">
      <c r="A1332">
        <v>2022</v>
      </c>
      <c r="B1332" t="s">
        <v>23</v>
      </c>
      <c r="C1332" t="s">
        <v>24</v>
      </c>
      <c r="D1332">
        <v>192</v>
      </c>
      <c r="E1332">
        <v>1</v>
      </c>
      <c r="F1332">
        <v>9</v>
      </c>
      <c r="G1332" t="s">
        <v>217</v>
      </c>
      <c r="H1332">
        <v>4</v>
      </c>
      <c r="I1332">
        <v>64</v>
      </c>
      <c r="J1332">
        <v>67</v>
      </c>
      <c r="K1332">
        <v>3</v>
      </c>
      <c r="L1332">
        <v>81</v>
      </c>
      <c r="M1332">
        <v>46</v>
      </c>
      <c r="N1332">
        <v>1.5</v>
      </c>
      <c r="O1332">
        <v>2</v>
      </c>
      <c r="P1332">
        <v>4</v>
      </c>
      <c r="Q1332">
        <v>0.2</v>
      </c>
      <c r="R1332">
        <v>4</v>
      </c>
      <c r="S1332">
        <v>1</v>
      </c>
      <c r="T1332">
        <v>2.5</v>
      </c>
      <c r="U1332">
        <v>12.5</v>
      </c>
      <c r="V1332">
        <v>732.02614379084969</v>
      </c>
      <c r="W1332">
        <v>1</v>
      </c>
    </row>
    <row r="1333" spans="1:23" x14ac:dyDescent="0.2">
      <c r="A1333">
        <v>2022</v>
      </c>
      <c r="B1333" t="s">
        <v>23</v>
      </c>
      <c r="C1333" t="s">
        <v>24</v>
      </c>
      <c r="D1333">
        <v>192</v>
      </c>
      <c r="E1333">
        <v>2</v>
      </c>
      <c r="F1333">
        <v>14</v>
      </c>
      <c r="G1333" t="s">
        <v>217</v>
      </c>
      <c r="H1333" s="1">
        <v>10</v>
      </c>
      <c r="I1333" s="1">
        <v>65</v>
      </c>
      <c r="J1333" s="1">
        <v>71</v>
      </c>
      <c r="K1333" s="1">
        <f>J1333-I1333</f>
        <v>6</v>
      </c>
      <c r="L1333" s="1">
        <v>99</v>
      </c>
      <c r="M1333" s="1">
        <v>67</v>
      </c>
      <c r="N1333" s="1">
        <v>2</v>
      </c>
      <c r="O1333" s="1">
        <v>3.5</v>
      </c>
      <c r="P1333" s="1">
        <v>8</v>
      </c>
      <c r="Q1333" s="2">
        <v>9.4800000000000009E-2</v>
      </c>
      <c r="R1333" s="1">
        <v>4</v>
      </c>
      <c r="S1333" s="1">
        <f>R1333/P1333</f>
        <v>0.5</v>
      </c>
      <c r="T1333" s="1">
        <v>5</v>
      </c>
      <c r="U1333" s="1">
        <v>12.5</v>
      </c>
      <c r="V1333" s="1">
        <v>346.98039215686276</v>
      </c>
      <c r="W1333" s="1">
        <v>2</v>
      </c>
    </row>
    <row r="1334" spans="1:23" x14ac:dyDescent="0.2">
      <c r="A1334">
        <v>2022</v>
      </c>
      <c r="B1334" t="s">
        <v>23</v>
      </c>
      <c r="C1334" t="s">
        <v>24</v>
      </c>
      <c r="D1334">
        <v>193</v>
      </c>
      <c r="E1334">
        <v>1</v>
      </c>
      <c r="F1334">
        <v>7</v>
      </c>
      <c r="G1334" t="s">
        <v>218</v>
      </c>
      <c r="H1334">
        <v>9</v>
      </c>
      <c r="I1334">
        <v>56</v>
      </c>
      <c r="J1334">
        <v>59</v>
      </c>
      <c r="K1334">
        <v>3</v>
      </c>
      <c r="L1334">
        <v>162</v>
      </c>
      <c r="M1334">
        <v>60</v>
      </c>
      <c r="N1334">
        <v>1.5</v>
      </c>
      <c r="O1334">
        <v>2</v>
      </c>
      <c r="P1334">
        <v>9</v>
      </c>
      <c r="Q1334">
        <v>0.4</v>
      </c>
      <c r="R1334">
        <v>9</v>
      </c>
      <c r="S1334">
        <v>1</v>
      </c>
      <c r="T1334">
        <v>2.5</v>
      </c>
      <c r="U1334">
        <v>12.5</v>
      </c>
      <c r="V1334">
        <v>1464.0522875816994</v>
      </c>
      <c r="W1334">
        <v>1</v>
      </c>
    </row>
    <row r="1335" spans="1:23" x14ac:dyDescent="0.2">
      <c r="A1335">
        <v>2022</v>
      </c>
      <c r="B1335" t="s">
        <v>23</v>
      </c>
      <c r="C1335" t="s">
        <v>24</v>
      </c>
      <c r="D1335">
        <v>193</v>
      </c>
      <c r="E1335">
        <v>2</v>
      </c>
      <c r="F1335">
        <v>9</v>
      </c>
      <c r="G1335" t="s">
        <v>218</v>
      </c>
      <c r="H1335" s="1">
        <v>12</v>
      </c>
      <c r="I1335" s="1">
        <v>63</v>
      </c>
      <c r="J1335" s="1">
        <v>68</v>
      </c>
      <c r="K1335" s="1">
        <f>J1335-I1335</f>
        <v>5</v>
      </c>
      <c r="L1335" s="1">
        <v>62</v>
      </c>
      <c r="M1335" s="1">
        <v>65</v>
      </c>
      <c r="N1335" s="1">
        <v>2</v>
      </c>
      <c r="O1335" s="1">
        <v>2.5</v>
      </c>
      <c r="P1335" s="1">
        <f>H1335</f>
        <v>12</v>
      </c>
      <c r="Q1335" s="2">
        <v>0.14025000000000001</v>
      </c>
      <c r="R1335" s="1">
        <v>12</v>
      </c>
      <c r="S1335" s="1">
        <f>R1335/P1335</f>
        <v>1</v>
      </c>
      <c r="T1335" s="1">
        <v>5</v>
      </c>
      <c r="U1335" s="1">
        <v>12.5</v>
      </c>
      <c r="V1335" s="1">
        <v>513.33333333333348</v>
      </c>
      <c r="W1335" s="1">
        <v>6</v>
      </c>
    </row>
    <row r="1336" spans="1:23" x14ac:dyDescent="0.2">
      <c r="A1336">
        <v>2022</v>
      </c>
      <c r="B1336" t="s">
        <v>23</v>
      </c>
      <c r="C1336" t="s">
        <v>24</v>
      </c>
      <c r="D1336">
        <v>194</v>
      </c>
      <c r="E1336">
        <v>1</v>
      </c>
      <c r="F1336">
        <v>1</v>
      </c>
      <c r="G1336" t="s">
        <v>219</v>
      </c>
      <c r="H1336" s="1">
        <v>12</v>
      </c>
      <c r="I1336" s="1">
        <v>64</v>
      </c>
      <c r="J1336" s="1">
        <v>69</v>
      </c>
      <c r="K1336" s="1">
        <f>J1336-I1336</f>
        <v>5</v>
      </c>
      <c r="L1336" s="1">
        <v>102</v>
      </c>
      <c r="M1336" s="1">
        <v>30</v>
      </c>
      <c r="N1336" s="1">
        <v>3</v>
      </c>
      <c r="O1336" s="1">
        <v>4.5</v>
      </c>
      <c r="P1336" s="1">
        <v>6</v>
      </c>
      <c r="Q1336" s="2">
        <v>0.28000000000000003</v>
      </c>
      <c r="R1336" s="1">
        <v>4</v>
      </c>
      <c r="S1336" s="1">
        <f>R1336/P1336</f>
        <v>0.66666666666666663</v>
      </c>
      <c r="T1336" s="1">
        <v>4</v>
      </c>
      <c r="U1336" s="1">
        <v>12.5</v>
      </c>
      <c r="V1336" s="1">
        <v>1024.8366013071898</v>
      </c>
      <c r="W1336" s="1">
        <v>4</v>
      </c>
    </row>
    <row r="1337" spans="1:23" x14ac:dyDescent="0.2">
      <c r="A1337">
        <v>2022</v>
      </c>
      <c r="B1337" t="s">
        <v>23</v>
      </c>
      <c r="C1337" t="s">
        <v>24</v>
      </c>
      <c r="D1337">
        <v>194</v>
      </c>
      <c r="E1337">
        <v>2</v>
      </c>
      <c r="F1337">
        <v>11</v>
      </c>
      <c r="G1337" t="s">
        <v>219</v>
      </c>
      <c r="H1337" s="1">
        <v>6</v>
      </c>
      <c r="I1337" s="1">
        <v>65</v>
      </c>
      <c r="J1337" s="1">
        <v>68</v>
      </c>
      <c r="K1337" s="1">
        <f>J1337-I1337</f>
        <v>3</v>
      </c>
      <c r="L1337" s="1">
        <v>67</v>
      </c>
      <c r="M1337" s="1">
        <v>10</v>
      </c>
      <c r="N1337" s="1">
        <v>3</v>
      </c>
      <c r="O1337" s="1">
        <v>5</v>
      </c>
      <c r="P1337" s="1">
        <v>1</v>
      </c>
      <c r="Q1337" s="2">
        <v>5.7500000000000002E-2</v>
      </c>
      <c r="R1337" s="1">
        <v>1</v>
      </c>
      <c r="S1337" s="1">
        <f>R1337/P1337</f>
        <v>1</v>
      </c>
      <c r="T1337" s="1">
        <v>5</v>
      </c>
      <c r="U1337" s="1">
        <v>12.5</v>
      </c>
      <c r="V1337" s="1">
        <v>210.45751633986927</v>
      </c>
      <c r="W1337" s="1">
        <v>7</v>
      </c>
    </row>
    <row r="1338" spans="1:23" x14ac:dyDescent="0.2">
      <c r="A1338">
        <v>2022</v>
      </c>
      <c r="B1338" t="s">
        <v>23</v>
      </c>
      <c r="C1338" t="s">
        <v>24</v>
      </c>
      <c r="D1338">
        <v>195</v>
      </c>
      <c r="E1338">
        <v>1</v>
      </c>
      <c r="F1338">
        <v>2</v>
      </c>
      <c r="G1338" t="s">
        <v>220</v>
      </c>
      <c r="H1338" s="1">
        <v>11</v>
      </c>
      <c r="I1338" s="1">
        <v>67</v>
      </c>
      <c r="J1338" s="1">
        <v>69</v>
      </c>
      <c r="K1338" s="1">
        <f>J1338-I1338</f>
        <v>2</v>
      </c>
      <c r="L1338" s="1">
        <v>188</v>
      </c>
      <c r="M1338" s="1">
        <v>88</v>
      </c>
      <c r="N1338" s="1">
        <v>2</v>
      </c>
      <c r="O1338" s="1">
        <v>2.5</v>
      </c>
      <c r="P1338" s="1">
        <f>H1338-1</f>
        <v>10</v>
      </c>
      <c r="Q1338" s="2">
        <v>6.1874999999999999E-2</v>
      </c>
      <c r="R1338" s="1">
        <v>9</v>
      </c>
      <c r="S1338" s="1">
        <f>R1338/P1338</f>
        <v>0.9</v>
      </c>
      <c r="T1338" s="1">
        <v>5</v>
      </c>
      <c r="U1338" s="1">
        <v>12.5</v>
      </c>
      <c r="V1338" s="1">
        <v>226.47058823529412</v>
      </c>
      <c r="W1338" s="1">
        <v>5</v>
      </c>
    </row>
    <row r="1339" spans="1:23" x14ac:dyDescent="0.2">
      <c r="A1339">
        <v>2022</v>
      </c>
      <c r="B1339" t="s">
        <v>23</v>
      </c>
      <c r="C1339" t="s">
        <v>24</v>
      </c>
      <c r="D1339">
        <v>195</v>
      </c>
      <c r="E1339">
        <v>2</v>
      </c>
      <c r="F1339">
        <v>14</v>
      </c>
      <c r="G1339" t="s">
        <v>220</v>
      </c>
      <c r="H1339" s="1">
        <v>6</v>
      </c>
      <c r="I1339" s="1">
        <v>64</v>
      </c>
      <c r="J1339" s="1">
        <v>69</v>
      </c>
      <c r="K1339" s="1">
        <f>J1339-I1339</f>
        <v>5</v>
      </c>
      <c r="L1339" s="1">
        <v>35</v>
      </c>
      <c r="M1339" s="1">
        <v>15</v>
      </c>
      <c r="N1339" s="1">
        <v>3</v>
      </c>
      <c r="O1339" s="1">
        <v>5</v>
      </c>
      <c r="P1339" s="1">
        <v>2</v>
      </c>
      <c r="Q1339" s="2">
        <v>0.03</v>
      </c>
      <c r="R1339" s="1">
        <v>2</v>
      </c>
      <c r="S1339" s="1">
        <f>R1339/P1339</f>
        <v>1</v>
      </c>
      <c r="T1339" s="1">
        <v>5</v>
      </c>
      <c r="U1339" s="1">
        <v>12.5</v>
      </c>
      <c r="V1339" s="1">
        <v>109.80392156862746</v>
      </c>
      <c r="W1339" s="1">
        <v>6</v>
      </c>
    </row>
    <row r="1340" spans="1:23" x14ac:dyDescent="0.2">
      <c r="A1340">
        <v>2022</v>
      </c>
      <c r="B1340" t="s">
        <v>23</v>
      </c>
      <c r="C1340" t="s">
        <v>24</v>
      </c>
      <c r="D1340">
        <v>196</v>
      </c>
      <c r="E1340">
        <v>1</v>
      </c>
      <c r="F1340">
        <v>5</v>
      </c>
      <c r="G1340" t="s">
        <v>221</v>
      </c>
      <c r="H1340">
        <v>15</v>
      </c>
      <c r="I1340">
        <v>52</v>
      </c>
      <c r="J1340">
        <v>55</v>
      </c>
      <c r="K1340">
        <v>3</v>
      </c>
      <c r="L1340">
        <v>166</v>
      </c>
      <c r="M1340">
        <v>77</v>
      </c>
      <c r="N1340">
        <v>1</v>
      </c>
      <c r="O1340">
        <v>2</v>
      </c>
      <c r="P1340">
        <v>11</v>
      </c>
      <c r="Q1340">
        <v>0.6</v>
      </c>
      <c r="R1340">
        <v>11</v>
      </c>
      <c r="S1340">
        <v>1</v>
      </c>
      <c r="T1340">
        <v>3</v>
      </c>
      <c r="U1340">
        <v>13.3</v>
      </c>
      <c r="V1340">
        <v>2176.0000000000005</v>
      </c>
      <c r="W1340">
        <v>2</v>
      </c>
    </row>
    <row r="1341" spans="1:23" x14ac:dyDescent="0.2">
      <c r="A1341">
        <v>2022</v>
      </c>
      <c r="B1341" t="s">
        <v>23</v>
      </c>
      <c r="C1341" t="s">
        <v>24</v>
      </c>
      <c r="D1341">
        <v>196</v>
      </c>
      <c r="E1341">
        <v>2</v>
      </c>
      <c r="F1341">
        <v>4</v>
      </c>
      <c r="G1341" t="s">
        <v>221</v>
      </c>
      <c r="H1341" s="1">
        <v>3</v>
      </c>
      <c r="I1341" s="1">
        <v>61</v>
      </c>
      <c r="J1341" s="1">
        <v>64</v>
      </c>
      <c r="K1341" s="1">
        <f t="shared" ref="K1341:K1350" si="62">J1341-I1341</f>
        <v>3</v>
      </c>
      <c r="L1341" s="1">
        <v>203</v>
      </c>
      <c r="M1341" s="1">
        <v>50</v>
      </c>
      <c r="N1341" s="1">
        <v>2</v>
      </c>
      <c r="O1341" s="1">
        <v>3</v>
      </c>
      <c r="P1341" s="1">
        <v>3</v>
      </c>
      <c r="Q1341" s="2">
        <v>0.36899999999999999</v>
      </c>
      <c r="R1341" s="1">
        <v>3</v>
      </c>
      <c r="S1341" s="1">
        <f t="shared" ref="S1341:S1350" si="63">R1341/P1341</f>
        <v>1</v>
      </c>
      <c r="T1341" s="1">
        <v>2.5</v>
      </c>
      <c r="U1341" s="1">
        <v>12.5</v>
      </c>
      <c r="V1341" s="1">
        <v>1350.5882352941178</v>
      </c>
      <c r="W1341" s="1">
        <v>2</v>
      </c>
    </row>
    <row r="1342" spans="1:23" x14ac:dyDescent="0.2">
      <c r="A1342">
        <v>2022</v>
      </c>
      <c r="B1342" t="s">
        <v>23</v>
      </c>
      <c r="C1342" t="s">
        <v>24</v>
      </c>
      <c r="D1342">
        <v>197</v>
      </c>
      <c r="E1342">
        <v>1</v>
      </c>
      <c r="F1342">
        <v>3</v>
      </c>
      <c r="G1342" t="s">
        <v>222</v>
      </c>
      <c r="H1342" s="1">
        <v>10</v>
      </c>
      <c r="I1342" s="1">
        <v>68</v>
      </c>
      <c r="J1342" s="1">
        <v>71</v>
      </c>
      <c r="K1342" s="1">
        <f t="shared" si="62"/>
        <v>3</v>
      </c>
      <c r="L1342" s="1">
        <v>115</v>
      </c>
      <c r="M1342" s="1">
        <v>45</v>
      </c>
      <c r="N1342" s="1">
        <v>2.5</v>
      </c>
      <c r="O1342" s="1">
        <v>4.5</v>
      </c>
      <c r="P1342" s="1">
        <v>7</v>
      </c>
      <c r="Q1342" s="2">
        <v>0.15120000000000003</v>
      </c>
      <c r="R1342" s="1">
        <v>5</v>
      </c>
      <c r="S1342" s="1">
        <f t="shared" si="63"/>
        <v>0.7142857142857143</v>
      </c>
      <c r="T1342" s="1">
        <v>5</v>
      </c>
      <c r="U1342" s="1">
        <v>12.5</v>
      </c>
      <c r="V1342" s="1">
        <v>553.41176470588243</v>
      </c>
      <c r="W1342" s="1">
        <v>5</v>
      </c>
    </row>
    <row r="1343" spans="1:23" x14ac:dyDescent="0.2">
      <c r="A1343">
        <v>2022</v>
      </c>
      <c r="B1343" t="s">
        <v>23</v>
      </c>
      <c r="C1343" t="s">
        <v>24</v>
      </c>
      <c r="D1343">
        <v>197</v>
      </c>
      <c r="E1343">
        <v>2</v>
      </c>
      <c r="F1343">
        <v>12</v>
      </c>
      <c r="G1343" t="s">
        <v>222</v>
      </c>
      <c r="H1343" s="1">
        <v>1</v>
      </c>
      <c r="I1343" s="1">
        <v>61</v>
      </c>
      <c r="J1343" s="1">
        <v>64</v>
      </c>
      <c r="K1343" s="1">
        <f t="shared" si="62"/>
        <v>3</v>
      </c>
      <c r="L1343" s="1">
        <v>94</v>
      </c>
      <c r="M1343" s="1">
        <v>30</v>
      </c>
      <c r="N1343" s="1">
        <v>2</v>
      </c>
      <c r="O1343" s="1">
        <v>4.5</v>
      </c>
      <c r="P1343" s="1">
        <v>1</v>
      </c>
      <c r="Q1343" s="2">
        <v>1.4999999999999999E-2</v>
      </c>
      <c r="R1343" s="1">
        <v>1</v>
      </c>
      <c r="S1343" s="1">
        <f t="shared" si="63"/>
        <v>1</v>
      </c>
      <c r="T1343" s="1">
        <v>5</v>
      </c>
      <c r="U1343" s="1">
        <v>12.5</v>
      </c>
      <c r="V1343" s="1">
        <v>54.901960784313729</v>
      </c>
      <c r="W1343" s="1">
        <v>5</v>
      </c>
    </row>
    <row r="1344" spans="1:23" x14ac:dyDescent="0.2">
      <c r="A1344">
        <v>2022</v>
      </c>
      <c r="B1344" t="s">
        <v>23</v>
      </c>
      <c r="C1344" t="s">
        <v>24</v>
      </c>
      <c r="D1344">
        <v>198</v>
      </c>
      <c r="E1344">
        <v>1</v>
      </c>
      <c r="F1344">
        <v>7</v>
      </c>
      <c r="G1344" t="s">
        <v>223</v>
      </c>
      <c r="H1344" s="3">
        <v>15</v>
      </c>
      <c r="I1344" s="3">
        <v>62</v>
      </c>
      <c r="J1344" s="3">
        <v>67</v>
      </c>
      <c r="K1344" s="3">
        <f t="shared" si="62"/>
        <v>5</v>
      </c>
      <c r="L1344" s="3">
        <v>178</v>
      </c>
      <c r="M1344" s="3">
        <v>63</v>
      </c>
      <c r="N1344" s="3">
        <v>2</v>
      </c>
      <c r="O1344" s="3">
        <v>3.5</v>
      </c>
      <c r="P1344" s="3">
        <v>12</v>
      </c>
      <c r="Q1344" s="4">
        <v>0.19725000000000001</v>
      </c>
      <c r="R1344" s="3">
        <v>8</v>
      </c>
      <c r="S1344" s="3">
        <f t="shared" si="63"/>
        <v>0.66666666666666663</v>
      </c>
      <c r="T1344" s="3">
        <v>5</v>
      </c>
      <c r="U1344" s="3">
        <v>12.5</v>
      </c>
      <c r="V1344" s="3">
        <v>721.96078431372564</v>
      </c>
      <c r="W1344" s="3">
        <v>6</v>
      </c>
    </row>
    <row r="1345" spans="1:23" x14ac:dyDescent="0.2">
      <c r="A1345">
        <v>2022</v>
      </c>
      <c r="B1345" t="s">
        <v>23</v>
      </c>
      <c r="C1345" t="s">
        <v>24</v>
      </c>
      <c r="D1345">
        <v>198</v>
      </c>
      <c r="E1345">
        <v>2</v>
      </c>
      <c r="F1345">
        <v>11</v>
      </c>
      <c r="G1345" t="s">
        <v>223</v>
      </c>
      <c r="H1345" s="1">
        <v>8</v>
      </c>
      <c r="I1345" s="1">
        <v>67</v>
      </c>
      <c r="J1345" s="1">
        <v>72</v>
      </c>
      <c r="K1345" s="1">
        <f t="shared" si="62"/>
        <v>5</v>
      </c>
      <c r="L1345" s="1">
        <v>80</v>
      </c>
      <c r="M1345" s="1">
        <v>30</v>
      </c>
      <c r="N1345" s="1">
        <v>2.5</v>
      </c>
      <c r="O1345" s="1">
        <v>4.5</v>
      </c>
      <c r="P1345" s="1">
        <v>5</v>
      </c>
      <c r="Q1345" s="2">
        <v>0.109</v>
      </c>
      <c r="R1345" s="1">
        <v>4</v>
      </c>
      <c r="S1345" s="1">
        <f t="shared" si="63"/>
        <v>0.8</v>
      </c>
      <c r="T1345" s="1">
        <v>5</v>
      </c>
      <c r="U1345" s="1">
        <v>12.5</v>
      </c>
      <c r="V1345" s="1">
        <v>398.95424836601308</v>
      </c>
      <c r="W1345" s="1">
        <v>6</v>
      </c>
    </row>
    <row r="1346" spans="1:23" x14ac:dyDescent="0.2">
      <c r="A1346">
        <v>2022</v>
      </c>
      <c r="B1346" t="s">
        <v>23</v>
      </c>
      <c r="C1346" t="s">
        <v>24</v>
      </c>
      <c r="D1346">
        <v>199</v>
      </c>
      <c r="E1346">
        <v>1</v>
      </c>
      <c r="F1346">
        <v>12</v>
      </c>
      <c r="G1346" t="s">
        <v>224</v>
      </c>
      <c r="H1346" s="1">
        <v>8</v>
      </c>
      <c r="I1346" s="1">
        <v>62</v>
      </c>
      <c r="J1346" s="1">
        <v>65</v>
      </c>
      <c r="K1346" s="1">
        <f t="shared" si="62"/>
        <v>3</v>
      </c>
      <c r="L1346" s="1">
        <v>143</v>
      </c>
      <c r="M1346" s="1">
        <v>41</v>
      </c>
      <c r="N1346" s="1">
        <v>2</v>
      </c>
      <c r="O1346" s="1">
        <v>4.5</v>
      </c>
      <c r="P1346" s="1">
        <v>6</v>
      </c>
      <c r="Q1346" s="2">
        <v>0.10625</v>
      </c>
      <c r="R1346" s="1">
        <v>5</v>
      </c>
      <c r="S1346" s="1">
        <f t="shared" si="63"/>
        <v>0.83333333333333337</v>
      </c>
      <c r="T1346" s="1">
        <v>3</v>
      </c>
      <c r="U1346" s="1">
        <v>12.5</v>
      </c>
      <c r="V1346" s="1">
        <v>388.88888888888891</v>
      </c>
      <c r="W1346" s="1">
        <v>5</v>
      </c>
    </row>
    <row r="1347" spans="1:23" x14ac:dyDescent="0.2">
      <c r="A1347">
        <v>2022</v>
      </c>
      <c r="B1347" t="s">
        <v>23</v>
      </c>
      <c r="C1347" t="s">
        <v>24</v>
      </c>
      <c r="D1347">
        <v>199</v>
      </c>
      <c r="E1347">
        <v>2</v>
      </c>
      <c r="F1347">
        <v>8</v>
      </c>
      <c r="G1347" t="s">
        <v>224</v>
      </c>
      <c r="H1347" s="1">
        <v>5</v>
      </c>
      <c r="I1347" s="1">
        <v>65</v>
      </c>
      <c r="J1347" s="1">
        <v>69</v>
      </c>
      <c r="K1347" s="1">
        <f t="shared" si="62"/>
        <v>4</v>
      </c>
      <c r="L1347" s="1">
        <v>131</v>
      </c>
      <c r="M1347" s="1">
        <v>46</v>
      </c>
      <c r="N1347" s="1">
        <v>2</v>
      </c>
      <c r="O1347" s="1">
        <v>4.5</v>
      </c>
      <c r="P1347" s="1">
        <v>4</v>
      </c>
      <c r="Q1347" s="2">
        <v>0.13400000000000001</v>
      </c>
      <c r="R1347" s="1">
        <v>4</v>
      </c>
      <c r="S1347" s="1">
        <f t="shared" si="63"/>
        <v>1</v>
      </c>
      <c r="T1347" s="1">
        <v>3.5</v>
      </c>
      <c r="U1347" s="1">
        <v>12.5</v>
      </c>
      <c r="V1347" s="1">
        <v>490.45751633986936</v>
      </c>
      <c r="W1347" s="1">
        <v>4</v>
      </c>
    </row>
    <row r="1348" spans="1:23" x14ac:dyDescent="0.2">
      <c r="A1348">
        <v>2022</v>
      </c>
      <c r="B1348" t="s">
        <v>23</v>
      </c>
      <c r="C1348" t="s">
        <v>24</v>
      </c>
      <c r="D1348">
        <v>200</v>
      </c>
      <c r="E1348">
        <v>1</v>
      </c>
      <c r="F1348">
        <v>12</v>
      </c>
      <c r="G1348" t="s">
        <v>225</v>
      </c>
      <c r="H1348" s="1">
        <v>2</v>
      </c>
      <c r="I1348" s="1">
        <v>62</v>
      </c>
      <c r="J1348" s="1">
        <v>65</v>
      </c>
      <c r="K1348" s="1">
        <f t="shared" si="62"/>
        <v>3</v>
      </c>
      <c r="L1348" s="1">
        <v>134</v>
      </c>
      <c r="M1348" s="1">
        <v>37</v>
      </c>
      <c r="N1348" s="1">
        <v>2</v>
      </c>
      <c r="O1348" s="1">
        <v>3.5</v>
      </c>
      <c r="P1348" s="1">
        <v>2</v>
      </c>
      <c r="Q1348" s="2">
        <v>0.15</v>
      </c>
      <c r="R1348" s="1">
        <v>2</v>
      </c>
      <c r="S1348" s="1">
        <f t="shared" si="63"/>
        <v>1</v>
      </c>
      <c r="T1348" s="1">
        <v>3</v>
      </c>
      <c r="U1348" s="1">
        <v>12.5</v>
      </c>
      <c r="V1348" s="1">
        <v>549.01960784313724</v>
      </c>
      <c r="W1348" s="1">
        <v>4</v>
      </c>
    </row>
    <row r="1349" spans="1:23" x14ac:dyDescent="0.2">
      <c r="A1349">
        <v>2022</v>
      </c>
      <c r="B1349" t="s">
        <v>23</v>
      </c>
      <c r="C1349" t="s">
        <v>24</v>
      </c>
      <c r="D1349">
        <v>200</v>
      </c>
      <c r="E1349">
        <v>2</v>
      </c>
      <c r="F1349">
        <v>6</v>
      </c>
      <c r="G1349" t="s">
        <v>225</v>
      </c>
      <c r="H1349" s="1">
        <v>15</v>
      </c>
      <c r="I1349" s="1">
        <v>60</v>
      </c>
      <c r="J1349" s="1">
        <v>63</v>
      </c>
      <c r="K1349" s="1">
        <f t="shared" si="62"/>
        <v>3</v>
      </c>
      <c r="L1349" s="1">
        <v>150</v>
      </c>
      <c r="M1349" s="1">
        <v>76</v>
      </c>
      <c r="N1349" s="1">
        <v>2</v>
      </c>
      <c r="O1349" s="1">
        <v>3</v>
      </c>
      <c r="P1349" s="1">
        <f>H1349</f>
        <v>15</v>
      </c>
      <c r="Q1349" s="2">
        <v>1.08</v>
      </c>
      <c r="R1349" s="1">
        <v>12</v>
      </c>
      <c r="S1349" s="1">
        <f t="shared" si="63"/>
        <v>0.8</v>
      </c>
      <c r="T1349" s="1">
        <v>5</v>
      </c>
      <c r="U1349" s="1">
        <v>12.5</v>
      </c>
      <c r="V1349" s="1">
        <v>3952.9411764705883</v>
      </c>
      <c r="W1349" s="1">
        <v>4</v>
      </c>
    </row>
    <row r="1350" spans="1:23" x14ac:dyDescent="0.2">
      <c r="A1350">
        <v>2022</v>
      </c>
      <c r="B1350" t="s">
        <v>23</v>
      </c>
      <c r="C1350" t="s">
        <v>24</v>
      </c>
      <c r="D1350">
        <v>201</v>
      </c>
      <c r="E1350">
        <v>1</v>
      </c>
      <c r="F1350">
        <v>1</v>
      </c>
      <c r="G1350" t="s">
        <v>226</v>
      </c>
      <c r="H1350" s="1">
        <v>3</v>
      </c>
      <c r="I1350" s="1">
        <v>66</v>
      </c>
      <c r="J1350" s="1">
        <v>67</v>
      </c>
      <c r="K1350" s="1">
        <f t="shared" si="62"/>
        <v>1</v>
      </c>
      <c r="L1350" s="1">
        <v>47</v>
      </c>
      <c r="M1350" s="1">
        <v>43</v>
      </c>
      <c r="N1350" s="1">
        <v>2</v>
      </c>
      <c r="O1350" s="1">
        <v>3.5</v>
      </c>
      <c r="P1350" s="1">
        <v>3</v>
      </c>
      <c r="Q1350" s="2">
        <v>0.12</v>
      </c>
      <c r="R1350" s="1">
        <v>5</v>
      </c>
      <c r="S1350" s="1">
        <f t="shared" si="63"/>
        <v>1.6666666666666667</v>
      </c>
      <c r="T1350" s="1">
        <v>4</v>
      </c>
      <c r="U1350" s="1">
        <v>12.2</v>
      </c>
      <c r="V1350" s="1">
        <v>440.72156862745101</v>
      </c>
      <c r="W1350" s="1">
        <v>5</v>
      </c>
    </row>
    <row r="1351" spans="1:23" x14ac:dyDescent="0.2">
      <c r="A1351">
        <v>2022</v>
      </c>
      <c r="B1351" t="s">
        <v>23</v>
      </c>
      <c r="C1351" t="s">
        <v>24</v>
      </c>
      <c r="D1351">
        <v>201</v>
      </c>
      <c r="E1351">
        <v>2</v>
      </c>
      <c r="F1351">
        <v>2</v>
      </c>
      <c r="G1351" t="s">
        <v>226</v>
      </c>
      <c r="H1351">
        <v>2</v>
      </c>
      <c r="I1351">
        <v>60</v>
      </c>
      <c r="J1351">
        <v>63</v>
      </c>
      <c r="K1351">
        <v>3</v>
      </c>
      <c r="L1351">
        <v>122</v>
      </c>
      <c r="M1351">
        <v>70</v>
      </c>
      <c r="N1351">
        <v>1.5</v>
      </c>
      <c r="O1351">
        <v>2</v>
      </c>
      <c r="P1351">
        <v>2</v>
      </c>
      <c r="Q1351">
        <v>0.2</v>
      </c>
      <c r="R1351">
        <v>3</v>
      </c>
      <c r="S1351">
        <v>1.5</v>
      </c>
      <c r="T1351">
        <v>2.5</v>
      </c>
      <c r="U1351">
        <v>12.5</v>
      </c>
      <c r="V1351">
        <v>732.02614379084969</v>
      </c>
      <c r="W1351">
        <v>1</v>
      </c>
    </row>
    <row r="1352" spans="1:23" x14ac:dyDescent="0.2">
      <c r="A1352">
        <v>2022</v>
      </c>
      <c r="B1352" t="s">
        <v>23</v>
      </c>
      <c r="C1352" t="s">
        <v>24</v>
      </c>
      <c r="D1352">
        <v>202</v>
      </c>
      <c r="E1352">
        <v>1</v>
      </c>
      <c r="F1352">
        <v>2</v>
      </c>
      <c r="G1352" t="s">
        <v>227</v>
      </c>
      <c r="H1352" s="1">
        <v>16</v>
      </c>
      <c r="I1352" s="1">
        <v>64</v>
      </c>
      <c r="J1352" s="1">
        <v>68</v>
      </c>
      <c r="K1352" s="1">
        <f>J1352-I1352</f>
        <v>4</v>
      </c>
      <c r="L1352" s="1">
        <v>120</v>
      </c>
      <c r="M1352" s="1">
        <v>78</v>
      </c>
      <c r="N1352" s="1">
        <v>2</v>
      </c>
      <c r="O1352" s="1">
        <v>3.5</v>
      </c>
      <c r="P1352" s="1">
        <f>H1352-2</f>
        <v>14</v>
      </c>
      <c r="Q1352" s="2">
        <v>6.9750000000000006E-2</v>
      </c>
      <c r="R1352" s="1">
        <v>10</v>
      </c>
      <c r="S1352" s="1">
        <f>R1352/P1352</f>
        <v>0.7142857142857143</v>
      </c>
      <c r="T1352" s="1">
        <v>5</v>
      </c>
      <c r="U1352" s="1">
        <v>12.5</v>
      </c>
      <c r="V1352" s="1">
        <v>255.29411764705881</v>
      </c>
      <c r="W1352" s="1">
        <v>4</v>
      </c>
    </row>
    <row r="1353" spans="1:23" x14ac:dyDescent="0.2">
      <c r="A1353">
        <v>2022</v>
      </c>
      <c r="B1353" t="s">
        <v>23</v>
      </c>
      <c r="C1353" t="s">
        <v>24</v>
      </c>
      <c r="D1353">
        <v>202</v>
      </c>
      <c r="E1353">
        <v>2</v>
      </c>
      <c r="F1353">
        <v>9</v>
      </c>
      <c r="G1353" t="s">
        <v>227</v>
      </c>
      <c r="H1353" s="1">
        <v>6</v>
      </c>
      <c r="I1353" s="1">
        <v>57</v>
      </c>
      <c r="J1353" s="1">
        <v>62</v>
      </c>
      <c r="K1353" s="1">
        <f>J1353-I1353</f>
        <v>5</v>
      </c>
      <c r="L1353" s="1">
        <v>140</v>
      </c>
      <c r="M1353" s="1">
        <v>61</v>
      </c>
      <c r="N1353" s="1">
        <v>2</v>
      </c>
      <c r="O1353" s="1">
        <v>4</v>
      </c>
      <c r="P1353" s="1">
        <v>6</v>
      </c>
      <c r="Q1353" s="2">
        <v>0.182</v>
      </c>
      <c r="R1353" s="1">
        <v>5</v>
      </c>
      <c r="S1353" s="1">
        <f>R1353/P1353</f>
        <v>0.83333333333333337</v>
      </c>
      <c r="T1353" s="1">
        <v>4.5</v>
      </c>
      <c r="U1353" s="1">
        <v>12.5</v>
      </c>
      <c r="V1353" s="1">
        <v>666.14379084967322</v>
      </c>
      <c r="W1353" s="1">
        <v>5</v>
      </c>
    </row>
    <row r="1354" spans="1:23" x14ac:dyDescent="0.2">
      <c r="A1354">
        <v>2022</v>
      </c>
      <c r="B1354" t="s">
        <v>23</v>
      </c>
      <c r="C1354" t="s">
        <v>24</v>
      </c>
      <c r="D1354">
        <v>203</v>
      </c>
      <c r="E1354">
        <v>1</v>
      </c>
      <c r="F1354">
        <v>1</v>
      </c>
      <c r="G1354" t="s">
        <v>228</v>
      </c>
      <c r="H1354" s="1">
        <v>12</v>
      </c>
      <c r="I1354" s="1">
        <v>64</v>
      </c>
      <c r="J1354" s="1">
        <v>68</v>
      </c>
      <c r="K1354" s="1">
        <f>J1354-I1354</f>
        <v>4</v>
      </c>
      <c r="L1354" s="1">
        <v>115</v>
      </c>
      <c r="M1354" s="1">
        <v>71</v>
      </c>
      <c r="N1354" s="1">
        <v>2</v>
      </c>
      <c r="O1354" s="1">
        <v>3.5</v>
      </c>
      <c r="P1354" s="1">
        <f>H1354-2</f>
        <v>10</v>
      </c>
      <c r="Q1354" s="2">
        <v>5.6699999999999993E-2</v>
      </c>
      <c r="R1354" s="1">
        <v>7</v>
      </c>
      <c r="S1354" s="1">
        <f>R1354/P1354</f>
        <v>0.7</v>
      </c>
      <c r="T1354" s="1">
        <v>5</v>
      </c>
      <c r="U1354" s="1">
        <v>12.5</v>
      </c>
      <c r="V1354" s="1">
        <v>207.52941176470588</v>
      </c>
      <c r="W1354" s="1">
        <v>7</v>
      </c>
    </row>
    <row r="1355" spans="1:23" x14ac:dyDescent="0.2">
      <c r="A1355">
        <v>2022</v>
      </c>
      <c r="B1355" t="s">
        <v>23</v>
      </c>
      <c r="C1355" t="s">
        <v>24</v>
      </c>
      <c r="D1355">
        <v>203</v>
      </c>
      <c r="E1355">
        <v>2</v>
      </c>
      <c r="F1355">
        <v>7</v>
      </c>
      <c r="G1355" t="s">
        <v>228</v>
      </c>
      <c r="H1355" s="1">
        <v>7</v>
      </c>
      <c r="I1355" s="1">
        <v>64</v>
      </c>
      <c r="J1355" s="1">
        <v>68</v>
      </c>
      <c r="K1355" s="1">
        <f>J1355-I1355</f>
        <v>4</v>
      </c>
      <c r="L1355" s="1">
        <v>138</v>
      </c>
      <c r="M1355" s="1">
        <v>56</v>
      </c>
      <c r="N1355" s="1">
        <v>2</v>
      </c>
      <c r="O1355" s="1">
        <v>3</v>
      </c>
      <c r="P1355" s="1">
        <v>6</v>
      </c>
      <c r="Q1355" s="2">
        <v>0.45239999999999997</v>
      </c>
      <c r="R1355" s="1">
        <v>6</v>
      </c>
      <c r="S1355" s="1">
        <f>R1355/P1355</f>
        <v>1</v>
      </c>
      <c r="T1355" s="1">
        <v>2.5</v>
      </c>
      <c r="U1355" s="1">
        <v>12.5</v>
      </c>
      <c r="V1355" s="1">
        <v>1655.8431372549019</v>
      </c>
      <c r="W1355" s="1">
        <v>4</v>
      </c>
    </row>
    <row r="1356" spans="1:23" x14ac:dyDescent="0.2">
      <c r="A1356">
        <v>2022</v>
      </c>
      <c r="B1356" t="s">
        <v>23</v>
      </c>
      <c r="C1356" t="s">
        <v>24</v>
      </c>
      <c r="D1356">
        <v>204</v>
      </c>
      <c r="E1356">
        <v>1</v>
      </c>
      <c r="F1356">
        <v>11</v>
      </c>
      <c r="G1356" t="s">
        <v>229</v>
      </c>
      <c r="H1356" s="1">
        <v>10</v>
      </c>
      <c r="I1356" s="1">
        <v>67</v>
      </c>
      <c r="J1356" s="1">
        <v>72</v>
      </c>
      <c r="K1356" s="1">
        <f>J1356-I1356</f>
        <v>5</v>
      </c>
      <c r="L1356" s="1">
        <v>125</v>
      </c>
      <c r="M1356" s="1">
        <v>36</v>
      </c>
      <c r="N1356" s="1">
        <v>2</v>
      </c>
      <c r="O1356" s="1">
        <v>4</v>
      </c>
      <c r="P1356" s="1">
        <v>6</v>
      </c>
      <c r="Q1356" s="2">
        <v>0.22500000000000001</v>
      </c>
      <c r="R1356" s="1">
        <v>5</v>
      </c>
      <c r="S1356" s="1">
        <f>R1356/P1356</f>
        <v>0.83333333333333337</v>
      </c>
      <c r="T1356" s="1">
        <v>3</v>
      </c>
      <c r="U1356" s="1">
        <v>12.5</v>
      </c>
      <c r="V1356" s="1">
        <v>823.52941176470586</v>
      </c>
      <c r="W1356" s="1">
        <v>5</v>
      </c>
    </row>
    <row r="1357" spans="1:23" x14ac:dyDescent="0.2">
      <c r="A1357">
        <v>2022</v>
      </c>
      <c r="B1357" t="s">
        <v>23</v>
      </c>
      <c r="C1357" t="s">
        <v>24</v>
      </c>
      <c r="D1357">
        <v>204</v>
      </c>
      <c r="E1357">
        <v>2</v>
      </c>
      <c r="F1357">
        <v>6</v>
      </c>
      <c r="G1357" t="s">
        <v>229</v>
      </c>
      <c r="H1357">
        <v>5</v>
      </c>
      <c r="I1357">
        <v>60</v>
      </c>
      <c r="J1357">
        <v>63</v>
      </c>
      <c r="K1357">
        <v>3</v>
      </c>
      <c r="L1357">
        <v>103</v>
      </c>
      <c r="M1357">
        <v>32</v>
      </c>
      <c r="N1357">
        <v>2</v>
      </c>
      <c r="O1357">
        <v>3</v>
      </c>
      <c r="P1357">
        <v>5</v>
      </c>
      <c r="Q1357">
        <v>0.45</v>
      </c>
      <c r="R1357">
        <v>5</v>
      </c>
      <c r="S1357">
        <v>1</v>
      </c>
      <c r="T1357">
        <v>3</v>
      </c>
      <c r="U1357">
        <v>12.5</v>
      </c>
      <c r="V1357">
        <v>1647.0588235294117</v>
      </c>
      <c r="W1357">
        <v>1</v>
      </c>
    </row>
    <row r="1358" spans="1:23" x14ac:dyDescent="0.2">
      <c r="A1358">
        <v>2022</v>
      </c>
      <c r="B1358" t="s">
        <v>23</v>
      </c>
      <c r="C1358" t="s">
        <v>24</v>
      </c>
      <c r="D1358">
        <v>205</v>
      </c>
      <c r="E1358">
        <v>1</v>
      </c>
      <c r="F1358">
        <v>11</v>
      </c>
      <c r="G1358" t="s">
        <v>230</v>
      </c>
      <c r="H1358">
        <v>10</v>
      </c>
      <c r="I1358">
        <v>58</v>
      </c>
      <c r="J1358">
        <v>60</v>
      </c>
      <c r="K1358">
        <v>2</v>
      </c>
      <c r="L1358">
        <v>118</v>
      </c>
      <c r="M1358">
        <v>18</v>
      </c>
      <c r="N1358">
        <v>2</v>
      </c>
      <c r="O1358">
        <v>2</v>
      </c>
      <c r="P1358">
        <v>10</v>
      </c>
      <c r="Q1358">
        <v>1.3</v>
      </c>
      <c r="R1358">
        <v>12</v>
      </c>
      <c r="S1358">
        <v>1.2</v>
      </c>
      <c r="T1358">
        <v>2</v>
      </c>
      <c r="U1358">
        <v>12.5</v>
      </c>
      <c r="V1358">
        <v>4758.169934640523</v>
      </c>
      <c r="W1358">
        <v>2</v>
      </c>
    </row>
    <row r="1359" spans="1:23" x14ac:dyDescent="0.2">
      <c r="A1359">
        <v>2022</v>
      </c>
      <c r="B1359" t="s">
        <v>23</v>
      </c>
      <c r="C1359" t="s">
        <v>24</v>
      </c>
      <c r="D1359">
        <v>205</v>
      </c>
      <c r="E1359">
        <v>2</v>
      </c>
      <c r="F1359">
        <v>6</v>
      </c>
      <c r="G1359" t="s">
        <v>230</v>
      </c>
      <c r="H1359" s="1">
        <v>4</v>
      </c>
      <c r="I1359" s="1">
        <v>63</v>
      </c>
      <c r="J1359" s="1">
        <v>66</v>
      </c>
      <c r="K1359" s="1">
        <f>J1359-I1359</f>
        <v>3</v>
      </c>
      <c r="L1359" s="1">
        <v>76</v>
      </c>
      <c r="M1359" s="1">
        <v>11</v>
      </c>
      <c r="N1359" s="1">
        <v>3</v>
      </c>
      <c r="O1359" s="1">
        <v>5</v>
      </c>
      <c r="P1359" s="1">
        <v>4</v>
      </c>
      <c r="Q1359" s="2">
        <v>4.4999999999999998E-2</v>
      </c>
      <c r="R1359" s="1">
        <v>5</v>
      </c>
      <c r="S1359" s="1">
        <f>R1359/P1359</f>
        <v>1.25</v>
      </c>
      <c r="T1359" s="1">
        <v>5</v>
      </c>
      <c r="U1359" s="1">
        <v>12.5</v>
      </c>
      <c r="V1359" s="1">
        <v>164.70588235294116</v>
      </c>
      <c r="W1359" s="1">
        <v>8</v>
      </c>
    </row>
    <row r="1360" spans="1:23" x14ac:dyDescent="0.2">
      <c r="A1360">
        <v>2022</v>
      </c>
      <c r="B1360" t="s">
        <v>23</v>
      </c>
      <c r="C1360" t="s">
        <v>24</v>
      </c>
      <c r="D1360">
        <v>206</v>
      </c>
      <c r="E1360">
        <v>1</v>
      </c>
      <c r="F1360">
        <v>15</v>
      </c>
      <c r="G1360" t="s">
        <v>231</v>
      </c>
      <c r="H1360">
        <v>11</v>
      </c>
      <c r="I1360">
        <v>58</v>
      </c>
      <c r="J1360">
        <v>60</v>
      </c>
      <c r="K1360">
        <v>2</v>
      </c>
      <c r="L1360">
        <v>116</v>
      </c>
      <c r="M1360">
        <v>22</v>
      </c>
      <c r="N1360">
        <v>2</v>
      </c>
      <c r="O1360">
        <v>3</v>
      </c>
      <c r="P1360">
        <v>11</v>
      </c>
      <c r="Q1360">
        <v>1.2</v>
      </c>
      <c r="R1360">
        <v>12</v>
      </c>
      <c r="S1360">
        <v>1.0909090909090908</v>
      </c>
      <c r="T1360">
        <v>2</v>
      </c>
      <c r="U1360">
        <v>12.5</v>
      </c>
      <c r="V1360">
        <v>4392.1568627450979</v>
      </c>
      <c r="W1360">
        <v>1</v>
      </c>
    </row>
    <row r="1361" spans="1:23" x14ac:dyDescent="0.2">
      <c r="A1361">
        <v>2022</v>
      </c>
      <c r="B1361" t="s">
        <v>23</v>
      </c>
      <c r="C1361" t="s">
        <v>24</v>
      </c>
      <c r="D1361">
        <v>206</v>
      </c>
      <c r="E1361">
        <v>2</v>
      </c>
      <c r="F1361">
        <v>15</v>
      </c>
      <c r="G1361" t="s">
        <v>231</v>
      </c>
      <c r="H1361" s="1">
        <v>6</v>
      </c>
      <c r="I1361" s="1">
        <v>67</v>
      </c>
      <c r="J1361" s="1">
        <v>72</v>
      </c>
      <c r="K1361" s="1">
        <f>J1361-I1361</f>
        <v>5</v>
      </c>
      <c r="L1361" s="1">
        <v>112</v>
      </c>
      <c r="M1361" s="1">
        <v>46</v>
      </c>
      <c r="N1361" s="1">
        <v>2</v>
      </c>
      <c r="O1361" s="1">
        <v>4.5</v>
      </c>
      <c r="P1361" s="1">
        <v>5</v>
      </c>
      <c r="Q1361" s="2">
        <v>0.26200000000000001</v>
      </c>
      <c r="R1361" s="1">
        <v>4</v>
      </c>
      <c r="S1361" s="1">
        <f>R1361/P1361</f>
        <v>0.8</v>
      </c>
      <c r="T1361" s="1">
        <v>4</v>
      </c>
      <c r="U1361" s="1">
        <v>12.5</v>
      </c>
      <c r="V1361" s="1">
        <v>958.95424836601296</v>
      </c>
      <c r="W1361" s="1">
        <v>4</v>
      </c>
    </row>
    <row r="1362" spans="1:23" x14ac:dyDescent="0.2">
      <c r="A1362">
        <v>2022</v>
      </c>
      <c r="B1362" t="s">
        <v>23</v>
      </c>
      <c r="C1362" t="s">
        <v>24</v>
      </c>
      <c r="D1362">
        <v>207</v>
      </c>
      <c r="E1362">
        <v>1</v>
      </c>
      <c r="F1362">
        <v>1</v>
      </c>
      <c r="G1362" t="s">
        <v>232</v>
      </c>
      <c r="H1362" s="1">
        <v>8</v>
      </c>
      <c r="I1362" s="1">
        <v>70</v>
      </c>
      <c r="J1362" s="1">
        <v>73</v>
      </c>
      <c r="K1362" s="1">
        <f>J1362-I1362</f>
        <v>3</v>
      </c>
      <c r="L1362" s="1">
        <v>128</v>
      </c>
      <c r="M1362" s="1">
        <v>50</v>
      </c>
      <c r="N1362" s="1">
        <v>2</v>
      </c>
      <c r="O1362" s="1">
        <v>3.5</v>
      </c>
      <c r="P1362" s="1">
        <v>5</v>
      </c>
      <c r="Q1362" s="2">
        <v>0.29149999999999998</v>
      </c>
      <c r="R1362" s="1">
        <v>5</v>
      </c>
      <c r="S1362" s="1">
        <f>R1362/P1362</f>
        <v>1</v>
      </c>
      <c r="T1362" s="1">
        <v>3.5</v>
      </c>
      <c r="U1362" s="1">
        <v>12.5</v>
      </c>
      <c r="V1362" s="1">
        <v>1066.9281045751634</v>
      </c>
      <c r="W1362" s="1">
        <v>2</v>
      </c>
    </row>
    <row r="1363" spans="1:23" x14ac:dyDescent="0.2">
      <c r="A1363">
        <v>2022</v>
      </c>
      <c r="B1363" t="s">
        <v>23</v>
      </c>
      <c r="C1363" t="s">
        <v>24</v>
      </c>
      <c r="D1363">
        <v>207</v>
      </c>
      <c r="E1363">
        <v>2</v>
      </c>
      <c r="F1363">
        <v>5</v>
      </c>
      <c r="G1363" t="s">
        <v>232</v>
      </c>
      <c r="H1363">
        <v>2</v>
      </c>
      <c r="I1363">
        <v>60</v>
      </c>
      <c r="J1363">
        <v>63</v>
      </c>
      <c r="K1363">
        <v>3</v>
      </c>
      <c r="L1363">
        <v>88</v>
      </c>
      <c r="M1363">
        <v>27</v>
      </c>
      <c r="N1363">
        <v>1.5</v>
      </c>
      <c r="O1363">
        <v>2</v>
      </c>
      <c r="P1363">
        <v>2</v>
      </c>
      <c r="Q1363">
        <v>0.2</v>
      </c>
      <c r="R1363">
        <v>3</v>
      </c>
      <c r="S1363">
        <v>1.5</v>
      </c>
      <c r="T1363">
        <v>2.5</v>
      </c>
      <c r="U1363">
        <v>12.5</v>
      </c>
      <c r="V1363">
        <v>732.02614379084969</v>
      </c>
      <c r="W1363">
        <v>1</v>
      </c>
    </row>
    <row r="1364" spans="1:23" x14ac:dyDescent="0.2">
      <c r="A1364">
        <v>2022</v>
      </c>
      <c r="B1364" t="s">
        <v>23</v>
      </c>
      <c r="C1364" t="s">
        <v>24</v>
      </c>
      <c r="D1364">
        <v>208</v>
      </c>
      <c r="E1364">
        <v>1</v>
      </c>
      <c r="F1364">
        <v>3</v>
      </c>
      <c r="G1364" t="s">
        <v>233</v>
      </c>
      <c r="H1364">
        <v>7</v>
      </c>
      <c r="I1364">
        <v>56</v>
      </c>
      <c r="J1364">
        <v>60</v>
      </c>
      <c r="K1364">
        <v>4</v>
      </c>
      <c r="L1364">
        <v>54</v>
      </c>
      <c r="M1364">
        <v>18</v>
      </c>
      <c r="N1364">
        <v>2</v>
      </c>
      <c r="O1364">
        <v>4</v>
      </c>
      <c r="P1364">
        <v>3</v>
      </c>
      <c r="Q1364">
        <v>0.25</v>
      </c>
      <c r="R1364">
        <v>3</v>
      </c>
      <c r="S1364">
        <v>1</v>
      </c>
      <c r="T1364">
        <v>2</v>
      </c>
      <c r="U1364">
        <v>12.5</v>
      </c>
      <c r="V1364">
        <v>915.03267973856214</v>
      </c>
      <c r="W1364">
        <v>1</v>
      </c>
    </row>
    <row r="1365" spans="1:23" x14ac:dyDescent="0.2">
      <c r="A1365">
        <v>2022</v>
      </c>
      <c r="B1365" t="s">
        <v>23</v>
      </c>
      <c r="C1365" t="s">
        <v>24</v>
      </c>
      <c r="D1365">
        <v>208</v>
      </c>
      <c r="E1365">
        <v>2</v>
      </c>
      <c r="F1365">
        <v>12</v>
      </c>
      <c r="G1365" t="s">
        <v>233</v>
      </c>
      <c r="H1365" s="1">
        <v>7</v>
      </c>
      <c r="I1365" s="1">
        <v>62</v>
      </c>
      <c r="J1365" s="1">
        <v>67</v>
      </c>
      <c r="K1365" s="1">
        <f>J1365-I1365</f>
        <v>5</v>
      </c>
      <c r="L1365" s="1">
        <v>80</v>
      </c>
      <c r="M1365" s="1">
        <v>21</v>
      </c>
      <c r="N1365" s="1">
        <v>2</v>
      </c>
      <c r="O1365" s="1">
        <v>5</v>
      </c>
      <c r="P1365" s="1">
        <v>4</v>
      </c>
      <c r="Q1365" s="2">
        <v>0.109</v>
      </c>
      <c r="R1365" s="1">
        <v>3</v>
      </c>
      <c r="S1365" s="1">
        <f>R1365/P1365</f>
        <v>0.75</v>
      </c>
      <c r="T1365" s="1">
        <v>4</v>
      </c>
      <c r="U1365" s="1">
        <v>12.5</v>
      </c>
      <c r="V1365" s="1">
        <v>398.95424836601308</v>
      </c>
      <c r="W1365" s="1">
        <v>7</v>
      </c>
    </row>
    <row r="1366" spans="1:23" x14ac:dyDescent="0.2">
      <c r="A1366">
        <v>2022</v>
      </c>
      <c r="B1366" t="s">
        <v>23</v>
      </c>
      <c r="C1366" t="s">
        <v>24</v>
      </c>
      <c r="D1366">
        <v>209</v>
      </c>
      <c r="E1366">
        <v>1</v>
      </c>
      <c r="F1366">
        <v>11</v>
      </c>
      <c r="G1366" t="s">
        <v>234</v>
      </c>
      <c r="H1366" s="1">
        <v>10</v>
      </c>
      <c r="I1366" s="1">
        <v>56</v>
      </c>
      <c r="J1366" s="1">
        <v>60</v>
      </c>
      <c r="K1366" s="1">
        <f>J1366-I1366</f>
        <v>4</v>
      </c>
      <c r="L1366" s="1">
        <v>158</v>
      </c>
      <c r="M1366" s="1">
        <v>51</v>
      </c>
      <c r="N1366" s="1">
        <v>3</v>
      </c>
      <c r="O1366" s="1">
        <v>4</v>
      </c>
      <c r="P1366" s="1">
        <v>10</v>
      </c>
      <c r="Q1366" s="2">
        <v>0.48199999999999998</v>
      </c>
      <c r="R1366" s="1">
        <v>10</v>
      </c>
      <c r="S1366" s="1">
        <f>R1366/P1366</f>
        <v>1</v>
      </c>
      <c r="T1366" s="1">
        <v>3</v>
      </c>
      <c r="U1366" s="1">
        <v>12.5</v>
      </c>
      <c r="V1366" s="1">
        <v>1764.1830065359477</v>
      </c>
      <c r="W1366" s="1">
        <v>2</v>
      </c>
    </row>
    <row r="1367" spans="1:23" x14ac:dyDescent="0.2">
      <c r="A1367">
        <v>2022</v>
      </c>
      <c r="B1367" t="s">
        <v>23</v>
      </c>
      <c r="C1367" t="s">
        <v>24</v>
      </c>
      <c r="D1367">
        <v>209</v>
      </c>
      <c r="E1367">
        <v>2</v>
      </c>
      <c r="F1367">
        <v>8</v>
      </c>
      <c r="G1367" t="s">
        <v>234</v>
      </c>
      <c r="H1367">
        <v>6</v>
      </c>
      <c r="I1367">
        <v>55</v>
      </c>
      <c r="J1367">
        <v>57</v>
      </c>
      <c r="K1367">
        <v>2</v>
      </c>
      <c r="L1367">
        <v>146</v>
      </c>
      <c r="M1367">
        <v>67</v>
      </c>
      <c r="N1367">
        <v>1.5</v>
      </c>
      <c r="O1367">
        <v>2</v>
      </c>
      <c r="P1367">
        <v>6</v>
      </c>
      <c r="Q1367">
        <v>0.6</v>
      </c>
      <c r="R1367">
        <v>6</v>
      </c>
      <c r="S1367">
        <v>1</v>
      </c>
      <c r="T1367">
        <v>3</v>
      </c>
      <c r="U1367">
        <v>12.5</v>
      </c>
      <c r="V1367">
        <v>2196.0784313725489</v>
      </c>
      <c r="W1367">
        <v>1</v>
      </c>
    </row>
    <row r="1368" spans="1:23" x14ac:dyDescent="0.2">
      <c r="A1368">
        <v>2022</v>
      </c>
      <c r="B1368" t="s">
        <v>23</v>
      </c>
      <c r="C1368" t="s">
        <v>24</v>
      </c>
      <c r="D1368">
        <v>210</v>
      </c>
      <c r="E1368">
        <v>1</v>
      </c>
      <c r="F1368">
        <v>15</v>
      </c>
      <c r="G1368" t="s">
        <v>235</v>
      </c>
      <c r="H1368" s="1">
        <v>11</v>
      </c>
      <c r="I1368" s="1">
        <v>63</v>
      </c>
      <c r="J1368" s="1">
        <v>66</v>
      </c>
      <c r="K1368" s="1">
        <f>J1368-I1368</f>
        <v>3</v>
      </c>
      <c r="L1368" s="1">
        <v>188</v>
      </c>
      <c r="M1368" s="1">
        <v>88</v>
      </c>
      <c r="N1368" s="1">
        <v>2</v>
      </c>
      <c r="O1368" s="1">
        <v>2.5</v>
      </c>
      <c r="P1368" s="1">
        <f>H1368-1</f>
        <v>10</v>
      </c>
      <c r="Q1368" s="2">
        <v>0.105</v>
      </c>
      <c r="R1368" s="1">
        <v>8</v>
      </c>
      <c r="S1368" s="1">
        <f>R1368/P1368</f>
        <v>0.8</v>
      </c>
      <c r="T1368" s="1">
        <v>5</v>
      </c>
      <c r="U1368" s="1">
        <v>12.5</v>
      </c>
      <c r="V1368" s="1">
        <v>384.31372549019608</v>
      </c>
      <c r="W1368" s="1">
        <v>5</v>
      </c>
    </row>
    <row r="1369" spans="1:23" x14ac:dyDescent="0.2">
      <c r="A1369">
        <v>2022</v>
      </c>
      <c r="B1369" t="s">
        <v>23</v>
      </c>
      <c r="C1369" t="s">
        <v>24</v>
      </c>
      <c r="D1369">
        <v>210</v>
      </c>
      <c r="E1369">
        <v>2</v>
      </c>
      <c r="F1369">
        <v>10</v>
      </c>
      <c r="G1369" t="s">
        <v>235</v>
      </c>
      <c r="H1369" s="1">
        <v>12</v>
      </c>
      <c r="I1369" s="1">
        <v>65</v>
      </c>
      <c r="J1369" s="1">
        <v>70</v>
      </c>
      <c r="K1369" s="1">
        <f>J1369-I1369</f>
        <v>5</v>
      </c>
      <c r="L1369" s="1">
        <v>120</v>
      </c>
      <c r="M1369" s="1">
        <v>32</v>
      </c>
      <c r="N1369" s="1">
        <v>2</v>
      </c>
      <c r="O1369" s="1">
        <v>4</v>
      </c>
      <c r="P1369" s="1">
        <v>8</v>
      </c>
      <c r="Q1369" s="2">
        <v>0.28199999999999997</v>
      </c>
      <c r="R1369" s="1">
        <v>8</v>
      </c>
      <c r="S1369" s="1">
        <f>R1369/P1369</f>
        <v>1</v>
      </c>
      <c r="T1369" s="1">
        <v>3.5</v>
      </c>
      <c r="U1369" s="1">
        <v>12.5</v>
      </c>
      <c r="V1369" s="1">
        <v>1032.1568627450981</v>
      </c>
      <c r="W1369" s="1">
        <v>5</v>
      </c>
    </row>
    <row r="1370" spans="1:23" x14ac:dyDescent="0.2">
      <c r="A1370">
        <v>2022</v>
      </c>
      <c r="B1370" t="s">
        <v>23</v>
      </c>
      <c r="C1370" t="s">
        <v>24</v>
      </c>
      <c r="D1370">
        <v>211</v>
      </c>
      <c r="E1370">
        <v>1</v>
      </c>
      <c r="F1370">
        <v>1</v>
      </c>
      <c r="G1370" t="s">
        <v>236</v>
      </c>
      <c r="H1370" s="1">
        <v>14</v>
      </c>
      <c r="I1370" s="1">
        <v>66</v>
      </c>
      <c r="J1370" s="1">
        <v>69</v>
      </c>
      <c r="K1370" s="1">
        <f>J1370-I1370</f>
        <v>3</v>
      </c>
      <c r="L1370" s="1">
        <v>183</v>
      </c>
      <c r="M1370" s="1">
        <v>66</v>
      </c>
      <c r="N1370" s="1">
        <v>2</v>
      </c>
      <c r="O1370" s="1">
        <v>3.5</v>
      </c>
      <c r="P1370" s="1">
        <f>H1370-2</f>
        <v>12</v>
      </c>
      <c r="Q1370" s="2">
        <v>0.41625000000000001</v>
      </c>
      <c r="R1370" s="1">
        <v>9</v>
      </c>
      <c r="S1370" s="1">
        <f>R1370/P1370</f>
        <v>0.75</v>
      </c>
      <c r="T1370" s="1">
        <v>5</v>
      </c>
      <c r="U1370" s="1">
        <v>12.5</v>
      </c>
      <c r="V1370" s="1">
        <v>1523.5294117647059</v>
      </c>
      <c r="W1370" s="1">
        <v>4</v>
      </c>
    </row>
    <row r="1371" spans="1:23" x14ac:dyDescent="0.2">
      <c r="A1371">
        <v>2022</v>
      </c>
      <c r="B1371" t="s">
        <v>23</v>
      </c>
      <c r="C1371" t="s">
        <v>24</v>
      </c>
      <c r="D1371">
        <v>211</v>
      </c>
      <c r="E1371">
        <v>2</v>
      </c>
      <c r="F1371">
        <v>14</v>
      </c>
      <c r="G1371" t="s">
        <v>236</v>
      </c>
      <c r="H1371" s="1">
        <v>11</v>
      </c>
      <c r="I1371" s="1">
        <v>65</v>
      </c>
      <c r="J1371" s="1">
        <v>70</v>
      </c>
      <c r="K1371" s="1">
        <f>J1371-I1371</f>
        <v>5</v>
      </c>
      <c r="L1371" s="1">
        <v>86</v>
      </c>
      <c r="M1371" s="1">
        <v>53</v>
      </c>
      <c r="N1371" s="1">
        <v>2</v>
      </c>
      <c r="O1371" s="1">
        <v>4</v>
      </c>
      <c r="P1371" s="1">
        <f>H1371</f>
        <v>11</v>
      </c>
      <c r="Q1371" s="2">
        <v>0.69225000000000003</v>
      </c>
      <c r="R1371" s="1">
        <v>9</v>
      </c>
      <c r="S1371" s="1">
        <f>R1371/P1371</f>
        <v>0.81818181818181823</v>
      </c>
      <c r="T1371" s="1">
        <v>5</v>
      </c>
      <c r="U1371" s="1">
        <v>12.5</v>
      </c>
      <c r="V1371" s="1">
        <v>2533.7254901960787</v>
      </c>
      <c r="W1371" s="1">
        <v>5</v>
      </c>
    </row>
    <row r="1372" spans="1:23" x14ac:dyDescent="0.2">
      <c r="A1372">
        <v>2022</v>
      </c>
      <c r="B1372" t="s">
        <v>23</v>
      </c>
      <c r="C1372" t="s">
        <v>24</v>
      </c>
      <c r="D1372">
        <v>212</v>
      </c>
      <c r="E1372">
        <v>1</v>
      </c>
      <c r="F1372">
        <v>13</v>
      </c>
      <c r="G1372" t="s">
        <v>237</v>
      </c>
      <c r="H1372" s="1">
        <v>10</v>
      </c>
      <c r="I1372" s="1">
        <v>62</v>
      </c>
      <c r="J1372" s="1">
        <v>65</v>
      </c>
      <c r="K1372" s="1">
        <f>J1372-I1372</f>
        <v>3</v>
      </c>
      <c r="L1372" s="1">
        <v>102</v>
      </c>
      <c r="M1372" s="1">
        <v>35</v>
      </c>
      <c r="N1372" s="1">
        <v>1.5</v>
      </c>
      <c r="O1372" s="1">
        <v>5</v>
      </c>
      <c r="P1372" s="1">
        <v>1</v>
      </c>
      <c r="Q1372" s="2">
        <v>3.5000000000000003E-2</v>
      </c>
      <c r="R1372" s="1">
        <v>1</v>
      </c>
      <c r="S1372" s="1">
        <f>R1372/P1372</f>
        <v>1</v>
      </c>
      <c r="T1372" s="1">
        <v>5</v>
      </c>
      <c r="U1372" s="1">
        <v>12.5</v>
      </c>
      <c r="V1372" s="1">
        <v>128.10457516339872</v>
      </c>
      <c r="W1372" s="1">
        <v>7</v>
      </c>
    </row>
    <row r="1373" spans="1:23" x14ac:dyDescent="0.2">
      <c r="A1373">
        <v>2022</v>
      </c>
      <c r="B1373" t="s">
        <v>23</v>
      </c>
      <c r="C1373" t="s">
        <v>24</v>
      </c>
      <c r="D1373">
        <v>212</v>
      </c>
      <c r="E1373">
        <v>2</v>
      </c>
      <c r="F1373">
        <v>5</v>
      </c>
      <c r="G1373" t="s">
        <v>237</v>
      </c>
      <c r="H1373">
        <v>10</v>
      </c>
      <c r="I1373">
        <v>57</v>
      </c>
      <c r="J1373">
        <v>59</v>
      </c>
      <c r="K1373">
        <v>2</v>
      </c>
      <c r="L1373">
        <v>171</v>
      </c>
      <c r="M1373">
        <v>45</v>
      </c>
      <c r="N1373">
        <v>3</v>
      </c>
      <c r="O1373">
        <v>3</v>
      </c>
      <c r="P1373">
        <v>10</v>
      </c>
      <c r="Q1373">
        <v>1.611</v>
      </c>
      <c r="R1373">
        <v>13</v>
      </c>
      <c r="S1373">
        <v>1.3</v>
      </c>
      <c r="T1373">
        <v>2</v>
      </c>
      <c r="U1373">
        <v>12.5</v>
      </c>
      <c r="V1373">
        <v>5896.4705882352946</v>
      </c>
      <c r="W1373">
        <v>2</v>
      </c>
    </row>
    <row r="1374" spans="1:23" x14ac:dyDescent="0.2">
      <c r="A1374">
        <v>2022</v>
      </c>
      <c r="B1374" t="s">
        <v>23</v>
      </c>
      <c r="C1374" t="s">
        <v>24</v>
      </c>
      <c r="D1374">
        <v>213</v>
      </c>
      <c r="E1374">
        <v>1</v>
      </c>
      <c r="F1374">
        <v>9</v>
      </c>
      <c r="G1374" t="s">
        <v>238</v>
      </c>
      <c r="H1374">
        <v>13</v>
      </c>
      <c r="I1374">
        <v>50</v>
      </c>
      <c r="J1374">
        <v>55</v>
      </c>
      <c r="K1374">
        <v>5</v>
      </c>
      <c r="L1374">
        <v>195</v>
      </c>
      <c r="M1374">
        <v>95</v>
      </c>
      <c r="N1374">
        <v>2</v>
      </c>
      <c r="O1374">
        <v>2</v>
      </c>
      <c r="P1374">
        <v>12</v>
      </c>
      <c r="Q1374">
        <v>0.6</v>
      </c>
      <c r="R1374">
        <v>10</v>
      </c>
      <c r="S1374">
        <v>0.83333333333333337</v>
      </c>
      <c r="T1374">
        <v>3</v>
      </c>
      <c r="U1374">
        <v>10</v>
      </c>
      <c r="V1374">
        <v>2258.8235294117644</v>
      </c>
      <c r="W1374">
        <v>2</v>
      </c>
    </row>
    <row r="1375" spans="1:23" x14ac:dyDescent="0.2">
      <c r="A1375">
        <v>2022</v>
      </c>
      <c r="B1375" t="s">
        <v>23</v>
      </c>
      <c r="C1375" t="s">
        <v>24</v>
      </c>
      <c r="D1375">
        <v>213</v>
      </c>
      <c r="E1375">
        <v>2</v>
      </c>
      <c r="F1375">
        <v>6</v>
      </c>
      <c r="G1375" t="s">
        <v>238</v>
      </c>
      <c r="H1375" s="1">
        <v>7</v>
      </c>
      <c r="I1375" s="1">
        <v>65</v>
      </c>
      <c r="J1375" s="1">
        <v>70</v>
      </c>
      <c r="K1375" s="1">
        <f t="shared" ref="K1375:K1386" si="64">J1375-I1375</f>
        <v>5</v>
      </c>
      <c r="L1375" s="1">
        <v>141</v>
      </c>
      <c r="M1375" s="1">
        <v>63</v>
      </c>
      <c r="N1375" s="1">
        <v>2</v>
      </c>
      <c r="O1375" s="1">
        <v>2</v>
      </c>
      <c r="P1375" s="1">
        <f>H1375-2</f>
        <v>5</v>
      </c>
      <c r="Q1375" s="2">
        <v>0.1095</v>
      </c>
      <c r="R1375" s="1">
        <v>3</v>
      </c>
      <c r="S1375" s="1">
        <f t="shared" ref="S1375:S1386" si="65">R1375/P1375</f>
        <v>0.6</v>
      </c>
      <c r="T1375" s="1">
        <v>3</v>
      </c>
      <c r="U1375" s="1">
        <v>12.5</v>
      </c>
      <c r="V1375" s="1">
        <v>400.78431372549016</v>
      </c>
      <c r="W1375" s="1">
        <v>5</v>
      </c>
    </row>
    <row r="1376" spans="1:23" x14ac:dyDescent="0.2">
      <c r="A1376">
        <v>2022</v>
      </c>
      <c r="B1376" t="s">
        <v>23</v>
      </c>
      <c r="C1376" t="s">
        <v>24</v>
      </c>
      <c r="D1376">
        <v>214</v>
      </c>
      <c r="E1376">
        <v>1</v>
      </c>
      <c r="F1376">
        <v>11</v>
      </c>
      <c r="G1376" t="s">
        <v>239</v>
      </c>
      <c r="H1376" s="1">
        <v>5</v>
      </c>
      <c r="I1376" s="1">
        <v>64</v>
      </c>
      <c r="J1376" s="1">
        <v>69</v>
      </c>
      <c r="K1376" s="1">
        <f t="shared" si="64"/>
        <v>5</v>
      </c>
      <c r="L1376" s="1">
        <v>95</v>
      </c>
      <c r="M1376" s="1">
        <v>31</v>
      </c>
      <c r="N1376" s="1">
        <v>2</v>
      </c>
      <c r="O1376" s="1">
        <v>4.5</v>
      </c>
      <c r="P1376" s="1">
        <v>4</v>
      </c>
      <c r="Q1376" s="2">
        <v>0.13</v>
      </c>
      <c r="R1376" s="1">
        <v>3</v>
      </c>
      <c r="S1376" s="1">
        <f t="shared" si="65"/>
        <v>0.75</v>
      </c>
      <c r="T1376" s="1">
        <v>5</v>
      </c>
      <c r="U1376" s="1">
        <v>12.5</v>
      </c>
      <c r="V1376" s="1">
        <v>475.81699346405225</v>
      </c>
      <c r="W1376" s="1">
        <v>6</v>
      </c>
    </row>
    <row r="1377" spans="1:23" x14ac:dyDescent="0.2">
      <c r="A1377">
        <v>2022</v>
      </c>
      <c r="B1377" t="s">
        <v>23</v>
      </c>
      <c r="C1377" t="s">
        <v>24</v>
      </c>
      <c r="D1377">
        <v>214</v>
      </c>
      <c r="E1377">
        <v>2</v>
      </c>
      <c r="F1377">
        <v>11</v>
      </c>
      <c r="G1377" t="s">
        <v>239</v>
      </c>
      <c r="H1377" s="1">
        <v>6</v>
      </c>
      <c r="I1377" s="1">
        <v>62</v>
      </c>
      <c r="J1377" s="1">
        <v>67</v>
      </c>
      <c r="K1377" s="1">
        <f t="shared" si="64"/>
        <v>5</v>
      </c>
      <c r="L1377" s="1">
        <v>93</v>
      </c>
      <c r="M1377" s="1">
        <v>67</v>
      </c>
      <c r="N1377" s="1">
        <v>2</v>
      </c>
      <c r="O1377" s="1">
        <v>3.5</v>
      </c>
      <c r="P1377" s="1">
        <f>H1377-2</f>
        <v>4</v>
      </c>
      <c r="Q1377" s="2">
        <v>0.12</v>
      </c>
      <c r="R1377" s="1">
        <v>2</v>
      </c>
      <c r="S1377" s="1">
        <f t="shared" si="65"/>
        <v>0.5</v>
      </c>
      <c r="T1377" s="1">
        <v>5</v>
      </c>
      <c r="U1377" s="1">
        <v>12.5</v>
      </c>
      <c r="V1377" s="1">
        <v>439.21568627450984</v>
      </c>
      <c r="W1377" s="1">
        <v>2</v>
      </c>
    </row>
    <row r="1378" spans="1:23" x14ac:dyDescent="0.2">
      <c r="A1378">
        <v>2022</v>
      </c>
      <c r="B1378" t="s">
        <v>23</v>
      </c>
      <c r="C1378" t="s">
        <v>24</v>
      </c>
      <c r="D1378">
        <v>215</v>
      </c>
      <c r="E1378">
        <v>1</v>
      </c>
      <c r="F1378">
        <v>10</v>
      </c>
      <c r="G1378" t="s">
        <v>240</v>
      </c>
      <c r="H1378" s="1">
        <v>7</v>
      </c>
      <c r="I1378" s="1">
        <v>64</v>
      </c>
      <c r="J1378" s="1">
        <v>68</v>
      </c>
      <c r="K1378" s="1">
        <f t="shared" si="64"/>
        <v>4</v>
      </c>
      <c r="L1378" s="1">
        <v>195</v>
      </c>
      <c r="M1378" s="1">
        <v>75</v>
      </c>
      <c r="N1378" s="1">
        <v>3</v>
      </c>
      <c r="O1378" s="1">
        <v>3.5</v>
      </c>
      <c r="P1378" s="1">
        <v>7</v>
      </c>
      <c r="Q1378" s="2">
        <v>0.25359999999999999</v>
      </c>
      <c r="R1378" s="1">
        <v>5</v>
      </c>
      <c r="S1378" s="1">
        <f t="shared" si="65"/>
        <v>0.7142857142857143</v>
      </c>
      <c r="T1378" s="1">
        <v>5</v>
      </c>
      <c r="U1378" s="1">
        <v>7.8</v>
      </c>
      <c r="V1378" s="1">
        <v>978.06724183006531</v>
      </c>
      <c r="W1378" s="1">
        <v>4</v>
      </c>
    </row>
    <row r="1379" spans="1:23" x14ac:dyDescent="0.2">
      <c r="A1379">
        <v>2022</v>
      </c>
      <c r="B1379" t="s">
        <v>23</v>
      </c>
      <c r="C1379" t="s">
        <v>24</v>
      </c>
      <c r="D1379">
        <v>215</v>
      </c>
      <c r="E1379">
        <v>2</v>
      </c>
      <c r="F1379">
        <v>4</v>
      </c>
      <c r="G1379" t="s">
        <v>240</v>
      </c>
      <c r="H1379" s="1">
        <v>7</v>
      </c>
      <c r="I1379" s="1">
        <v>62</v>
      </c>
      <c r="J1379" s="1">
        <v>67</v>
      </c>
      <c r="K1379" s="1">
        <f t="shared" si="64"/>
        <v>5</v>
      </c>
      <c r="L1379" s="1">
        <v>110</v>
      </c>
      <c r="M1379" s="1">
        <v>37</v>
      </c>
      <c r="N1379" s="1">
        <v>2</v>
      </c>
      <c r="O1379" s="1">
        <v>4</v>
      </c>
      <c r="P1379" s="1">
        <v>6</v>
      </c>
      <c r="Q1379" s="2">
        <v>0.24</v>
      </c>
      <c r="R1379" s="1">
        <v>4</v>
      </c>
      <c r="S1379" s="1">
        <f t="shared" si="65"/>
        <v>0.66666666666666663</v>
      </c>
      <c r="T1379" s="1">
        <v>3.5</v>
      </c>
      <c r="U1379" s="1">
        <v>12.5</v>
      </c>
      <c r="V1379" s="1">
        <v>878.43137254901967</v>
      </c>
      <c r="W1379" s="1">
        <v>3</v>
      </c>
    </row>
    <row r="1380" spans="1:23" x14ac:dyDescent="0.2">
      <c r="A1380">
        <v>2022</v>
      </c>
      <c r="B1380" t="s">
        <v>23</v>
      </c>
      <c r="C1380" t="s">
        <v>24</v>
      </c>
      <c r="D1380">
        <v>216</v>
      </c>
      <c r="E1380">
        <v>1</v>
      </c>
      <c r="F1380">
        <v>6</v>
      </c>
      <c r="G1380" t="s">
        <v>241</v>
      </c>
      <c r="H1380" s="1">
        <v>7</v>
      </c>
      <c r="I1380" s="1">
        <v>65</v>
      </c>
      <c r="J1380" s="1">
        <v>67</v>
      </c>
      <c r="K1380" s="1">
        <f t="shared" si="64"/>
        <v>2</v>
      </c>
      <c r="L1380" s="1">
        <v>168</v>
      </c>
      <c r="M1380" s="1">
        <v>73</v>
      </c>
      <c r="N1380" s="1">
        <v>2</v>
      </c>
      <c r="O1380" s="1">
        <v>2.5</v>
      </c>
      <c r="P1380" s="1">
        <v>6</v>
      </c>
      <c r="Q1380" s="2">
        <v>0.53300000000000003</v>
      </c>
      <c r="R1380" s="1">
        <v>6</v>
      </c>
      <c r="S1380" s="1">
        <f t="shared" si="65"/>
        <v>1</v>
      </c>
      <c r="T1380" s="1">
        <v>3</v>
      </c>
      <c r="U1380" s="1">
        <v>12.5</v>
      </c>
      <c r="V1380" s="1">
        <v>1950.8496732026142</v>
      </c>
      <c r="W1380" s="1">
        <v>3</v>
      </c>
    </row>
    <row r="1381" spans="1:23" x14ac:dyDescent="0.2">
      <c r="A1381">
        <v>2022</v>
      </c>
      <c r="B1381" t="s">
        <v>23</v>
      </c>
      <c r="C1381" t="s">
        <v>24</v>
      </c>
      <c r="D1381">
        <v>216</v>
      </c>
      <c r="E1381">
        <v>2</v>
      </c>
      <c r="F1381">
        <v>10</v>
      </c>
      <c r="G1381" t="s">
        <v>241</v>
      </c>
      <c r="H1381" s="1">
        <v>13</v>
      </c>
      <c r="I1381" s="1">
        <v>67</v>
      </c>
      <c r="J1381" s="1">
        <v>70</v>
      </c>
      <c r="K1381" s="1">
        <f t="shared" si="64"/>
        <v>3</v>
      </c>
      <c r="L1381" s="1">
        <v>147</v>
      </c>
      <c r="M1381" s="1">
        <v>82</v>
      </c>
      <c r="N1381" s="1">
        <v>3</v>
      </c>
      <c r="O1381" s="1">
        <v>4</v>
      </c>
      <c r="P1381" s="1">
        <v>12</v>
      </c>
      <c r="Q1381" s="2">
        <v>9.1999999999999998E-2</v>
      </c>
      <c r="R1381" s="1">
        <v>4</v>
      </c>
      <c r="S1381" s="1">
        <f t="shared" si="65"/>
        <v>0.33333333333333331</v>
      </c>
      <c r="T1381" s="1">
        <v>5</v>
      </c>
      <c r="U1381" s="1">
        <v>12.5</v>
      </c>
      <c r="V1381" s="1">
        <v>336.73202614379085</v>
      </c>
      <c r="W1381" s="1">
        <v>5</v>
      </c>
    </row>
    <row r="1382" spans="1:23" x14ac:dyDescent="0.2">
      <c r="A1382">
        <v>2022</v>
      </c>
      <c r="B1382" t="s">
        <v>23</v>
      </c>
      <c r="C1382" t="s">
        <v>24</v>
      </c>
      <c r="D1382">
        <v>217</v>
      </c>
      <c r="E1382">
        <v>1</v>
      </c>
      <c r="F1382">
        <v>14</v>
      </c>
      <c r="G1382" t="s">
        <v>242</v>
      </c>
      <c r="H1382" s="1">
        <v>3</v>
      </c>
      <c r="I1382" s="1">
        <v>61</v>
      </c>
      <c r="J1382" s="1">
        <v>66</v>
      </c>
      <c r="K1382" s="1">
        <f t="shared" si="64"/>
        <v>5</v>
      </c>
      <c r="L1382" s="1">
        <v>50</v>
      </c>
      <c r="M1382" s="1">
        <v>45</v>
      </c>
      <c r="N1382" s="1">
        <v>1.5</v>
      </c>
      <c r="O1382" s="1">
        <v>4</v>
      </c>
      <c r="P1382" s="1">
        <v>2</v>
      </c>
      <c r="Q1382" s="2">
        <v>7.0000000000000007E-2</v>
      </c>
      <c r="R1382" s="1">
        <v>1</v>
      </c>
      <c r="S1382" s="1">
        <f t="shared" si="65"/>
        <v>0.5</v>
      </c>
      <c r="T1382" s="1">
        <v>4</v>
      </c>
      <c r="U1382" s="1">
        <v>12.5</v>
      </c>
      <c r="V1382" s="1">
        <v>256.20915032679744</v>
      </c>
      <c r="W1382" s="1">
        <v>4</v>
      </c>
    </row>
    <row r="1383" spans="1:23" x14ac:dyDescent="0.2">
      <c r="A1383">
        <v>2022</v>
      </c>
      <c r="B1383" t="s">
        <v>23</v>
      </c>
      <c r="C1383" t="s">
        <v>24</v>
      </c>
      <c r="D1383">
        <v>217</v>
      </c>
      <c r="E1383">
        <v>2</v>
      </c>
      <c r="F1383">
        <v>12</v>
      </c>
      <c r="G1383" t="s">
        <v>242</v>
      </c>
      <c r="H1383" s="1">
        <v>13</v>
      </c>
      <c r="I1383" s="1">
        <v>62</v>
      </c>
      <c r="J1383" s="1">
        <v>65</v>
      </c>
      <c r="K1383" s="1">
        <f t="shared" si="64"/>
        <v>3</v>
      </c>
      <c r="L1383" s="1">
        <v>145</v>
      </c>
      <c r="M1383" s="1">
        <v>76</v>
      </c>
      <c r="N1383" s="1">
        <v>2</v>
      </c>
      <c r="O1383" s="1">
        <v>2</v>
      </c>
      <c r="P1383" s="1">
        <f>H1383</f>
        <v>13</v>
      </c>
      <c r="Q1383" s="2">
        <v>0.15187500000000001</v>
      </c>
      <c r="R1383" s="1">
        <v>10</v>
      </c>
      <c r="S1383" s="1">
        <f t="shared" si="65"/>
        <v>0.76923076923076927</v>
      </c>
      <c r="T1383" s="1">
        <v>3</v>
      </c>
      <c r="U1383" s="1">
        <v>12.5</v>
      </c>
      <c r="V1383" s="1">
        <v>555.88235294117646</v>
      </c>
      <c r="W1383" s="1">
        <v>3</v>
      </c>
    </row>
    <row r="1384" spans="1:23" x14ac:dyDescent="0.2">
      <c r="A1384">
        <v>2022</v>
      </c>
      <c r="B1384" t="s">
        <v>23</v>
      </c>
      <c r="C1384" t="s">
        <v>24</v>
      </c>
      <c r="D1384">
        <v>218</v>
      </c>
      <c r="E1384">
        <v>1</v>
      </c>
      <c r="F1384">
        <v>2</v>
      </c>
      <c r="G1384" t="s">
        <v>243</v>
      </c>
      <c r="H1384" s="1">
        <v>13</v>
      </c>
      <c r="I1384" s="1">
        <v>60</v>
      </c>
      <c r="J1384" s="1">
        <v>65</v>
      </c>
      <c r="K1384" s="1">
        <f t="shared" si="64"/>
        <v>5</v>
      </c>
      <c r="L1384" s="1">
        <v>143</v>
      </c>
      <c r="M1384" s="1">
        <v>87</v>
      </c>
      <c r="N1384" s="1">
        <v>2</v>
      </c>
      <c r="O1384" s="1">
        <v>3</v>
      </c>
      <c r="P1384" s="1">
        <v>13</v>
      </c>
      <c r="Q1384" s="2">
        <v>0.2</v>
      </c>
      <c r="R1384" s="1">
        <v>8</v>
      </c>
      <c r="S1384" s="1">
        <f t="shared" si="65"/>
        <v>0.61538461538461542</v>
      </c>
      <c r="T1384" s="1">
        <v>5</v>
      </c>
      <c r="U1384" s="1">
        <v>10.5</v>
      </c>
      <c r="V1384" s="1">
        <v>748.75816993464059</v>
      </c>
      <c r="W1384" s="1">
        <v>5</v>
      </c>
    </row>
    <row r="1385" spans="1:23" x14ac:dyDescent="0.2">
      <c r="A1385">
        <v>2022</v>
      </c>
      <c r="B1385" t="s">
        <v>23</v>
      </c>
      <c r="C1385" t="s">
        <v>24</v>
      </c>
      <c r="D1385">
        <v>218</v>
      </c>
      <c r="E1385">
        <v>2</v>
      </c>
      <c r="F1385">
        <v>15</v>
      </c>
      <c r="G1385" t="s">
        <v>243</v>
      </c>
      <c r="H1385" s="1">
        <v>12</v>
      </c>
      <c r="I1385" s="1">
        <v>67</v>
      </c>
      <c r="J1385" s="1">
        <v>72</v>
      </c>
      <c r="K1385" s="1">
        <f t="shared" si="64"/>
        <v>5</v>
      </c>
      <c r="L1385" s="1">
        <v>94</v>
      </c>
      <c r="M1385" s="1">
        <v>31</v>
      </c>
      <c r="N1385" s="1">
        <v>2</v>
      </c>
      <c r="O1385" s="1">
        <v>4</v>
      </c>
      <c r="P1385" s="1">
        <v>8</v>
      </c>
      <c r="Q1385" s="2">
        <v>0.29199999999999998</v>
      </c>
      <c r="R1385" s="1">
        <v>8</v>
      </c>
      <c r="S1385" s="1">
        <f t="shared" si="65"/>
        <v>1</v>
      </c>
      <c r="T1385" s="1">
        <v>3.5</v>
      </c>
      <c r="U1385" s="1">
        <v>12.5</v>
      </c>
      <c r="V1385" s="1">
        <v>1068.7581699346404</v>
      </c>
      <c r="W1385" s="1">
        <v>5</v>
      </c>
    </row>
    <row r="1386" spans="1:23" x14ac:dyDescent="0.2">
      <c r="A1386">
        <v>2022</v>
      </c>
      <c r="B1386" t="s">
        <v>23</v>
      </c>
      <c r="C1386" t="s">
        <v>24</v>
      </c>
      <c r="D1386">
        <v>219</v>
      </c>
      <c r="E1386">
        <v>1</v>
      </c>
      <c r="F1386">
        <v>13</v>
      </c>
      <c r="G1386" t="s">
        <v>244</v>
      </c>
      <c r="H1386" s="1">
        <v>6</v>
      </c>
      <c r="I1386" s="1">
        <v>65</v>
      </c>
      <c r="J1386" s="1">
        <v>69</v>
      </c>
      <c r="K1386" s="1">
        <f t="shared" si="64"/>
        <v>4</v>
      </c>
      <c r="L1386" s="1">
        <v>133</v>
      </c>
      <c r="M1386" s="1">
        <v>41</v>
      </c>
      <c r="N1386" s="1">
        <v>2</v>
      </c>
      <c r="O1386" s="1">
        <v>3.5</v>
      </c>
      <c r="P1386" s="1">
        <v>6</v>
      </c>
      <c r="Q1386" s="2">
        <v>0.21299999999999999</v>
      </c>
      <c r="R1386" s="1">
        <v>6</v>
      </c>
      <c r="S1386" s="1">
        <f t="shared" si="65"/>
        <v>1</v>
      </c>
      <c r="T1386" s="1">
        <v>3.5</v>
      </c>
      <c r="U1386" s="1">
        <v>12.5</v>
      </c>
      <c r="V1386" s="1">
        <v>779.6078431372548</v>
      </c>
      <c r="W1386" s="1">
        <v>3</v>
      </c>
    </row>
    <row r="1387" spans="1:23" x14ac:dyDescent="0.2">
      <c r="A1387">
        <v>2022</v>
      </c>
      <c r="B1387" t="s">
        <v>23</v>
      </c>
      <c r="C1387" t="s">
        <v>24</v>
      </c>
      <c r="D1387">
        <v>219</v>
      </c>
      <c r="E1387">
        <v>2</v>
      </c>
      <c r="F1387">
        <v>2</v>
      </c>
      <c r="G1387" t="s">
        <v>244</v>
      </c>
      <c r="H1387">
        <v>14</v>
      </c>
      <c r="I1387">
        <v>57</v>
      </c>
      <c r="J1387">
        <v>59</v>
      </c>
      <c r="K1387">
        <v>2</v>
      </c>
      <c r="L1387">
        <v>104</v>
      </c>
      <c r="M1387">
        <v>32</v>
      </c>
      <c r="N1387">
        <v>2</v>
      </c>
      <c r="O1387">
        <v>2.5</v>
      </c>
      <c r="P1387">
        <v>14</v>
      </c>
      <c r="Q1387">
        <v>0.9</v>
      </c>
      <c r="R1387">
        <v>13</v>
      </c>
      <c r="S1387">
        <v>0.9285714285714286</v>
      </c>
      <c r="T1387">
        <v>4</v>
      </c>
      <c r="U1387">
        <v>8.6999999999999993</v>
      </c>
      <c r="V1387">
        <v>3437.1764705882356</v>
      </c>
      <c r="W1387">
        <v>2</v>
      </c>
    </row>
    <row r="1388" spans="1:23" x14ac:dyDescent="0.2">
      <c r="A1388">
        <v>2022</v>
      </c>
      <c r="B1388" t="s">
        <v>23</v>
      </c>
      <c r="C1388" t="s">
        <v>24</v>
      </c>
      <c r="D1388">
        <v>220</v>
      </c>
      <c r="E1388">
        <v>1</v>
      </c>
      <c r="F1388">
        <v>11</v>
      </c>
      <c r="G1388" t="s">
        <v>245</v>
      </c>
      <c r="H1388" s="1">
        <v>9</v>
      </c>
      <c r="I1388" s="1">
        <v>66</v>
      </c>
      <c r="J1388" s="1">
        <v>68</v>
      </c>
      <c r="K1388" s="1">
        <f>J1388-I1388</f>
        <v>2</v>
      </c>
      <c r="L1388" s="1">
        <v>103</v>
      </c>
      <c r="M1388" s="1">
        <v>30</v>
      </c>
      <c r="N1388" s="1">
        <v>2</v>
      </c>
      <c r="O1388" s="1">
        <v>4.5</v>
      </c>
      <c r="P1388" s="1">
        <v>6</v>
      </c>
      <c r="Q1388" s="2">
        <v>0.182</v>
      </c>
      <c r="R1388" s="1">
        <v>5</v>
      </c>
      <c r="S1388" s="1">
        <f>R1388/P1388</f>
        <v>0.83333333333333337</v>
      </c>
      <c r="T1388" s="1">
        <v>3.5</v>
      </c>
      <c r="U1388" s="1">
        <v>12.5</v>
      </c>
      <c r="V1388" s="1">
        <v>666.14379084967322</v>
      </c>
      <c r="W1388" s="1">
        <v>4</v>
      </c>
    </row>
    <row r="1389" spans="1:23" x14ac:dyDescent="0.2">
      <c r="A1389">
        <v>2022</v>
      </c>
      <c r="B1389" t="s">
        <v>23</v>
      </c>
      <c r="C1389" t="s">
        <v>24</v>
      </c>
      <c r="D1389">
        <v>220</v>
      </c>
      <c r="E1389">
        <v>2</v>
      </c>
      <c r="F1389">
        <v>14</v>
      </c>
      <c r="G1389" t="s">
        <v>245</v>
      </c>
      <c r="H1389">
        <v>1</v>
      </c>
      <c r="I1389">
        <v>56</v>
      </c>
      <c r="J1389">
        <v>57</v>
      </c>
      <c r="K1389">
        <v>1</v>
      </c>
      <c r="L1389">
        <v>56</v>
      </c>
      <c r="M1389">
        <v>25</v>
      </c>
      <c r="N1389">
        <v>3</v>
      </c>
      <c r="O1389">
        <v>4</v>
      </c>
      <c r="P1389">
        <v>1</v>
      </c>
      <c r="Q1389">
        <v>0.126</v>
      </c>
      <c r="R1389">
        <v>2</v>
      </c>
      <c r="S1389">
        <v>2</v>
      </c>
      <c r="T1389">
        <v>2</v>
      </c>
      <c r="U1389">
        <v>12.5</v>
      </c>
      <c r="V1389">
        <v>461.17647058823536</v>
      </c>
      <c r="W1389">
        <v>2</v>
      </c>
    </row>
    <row r="1390" spans="1:23" x14ac:dyDescent="0.2">
      <c r="A1390">
        <v>2022</v>
      </c>
      <c r="B1390" t="s">
        <v>23</v>
      </c>
      <c r="C1390" t="s">
        <v>24</v>
      </c>
      <c r="D1390">
        <v>221</v>
      </c>
      <c r="E1390">
        <v>1</v>
      </c>
      <c r="F1390">
        <v>11</v>
      </c>
      <c r="G1390" t="s">
        <v>246</v>
      </c>
      <c r="H1390" s="1">
        <v>10</v>
      </c>
      <c r="I1390" s="1">
        <v>60</v>
      </c>
      <c r="J1390" s="1">
        <v>64</v>
      </c>
      <c r="K1390" s="1">
        <f>J1390-I1390</f>
        <v>4</v>
      </c>
      <c r="L1390" s="1">
        <v>116</v>
      </c>
      <c r="M1390" s="1">
        <v>75</v>
      </c>
      <c r="N1390" s="1">
        <v>2</v>
      </c>
      <c r="O1390" s="1">
        <v>4</v>
      </c>
      <c r="P1390" s="1">
        <v>5</v>
      </c>
      <c r="Q1390" s="2">
        <v>0.22589999999999999</v>
      </c>
      <c r="R1390" s="1">
        <v>5</v>
      </c>
      <c r="S1390" s="1">
        <f>R1390/P1390</f>
        <v>1</v>
      </c>
      <c r="T1390" s="1">
        <v>5</v>
      </c>
      <c r="U1390" s="1">
        <v>12.5</v>
      </c>
      <c r="V1390" s="1">
        <v>826.82352941176464</v>
      </c>
      <c r="W1390" s="1">
        <v>7</v>
      </c>
    </row>
    <row r="1391" spans="1:23" x14ac:dyDescent="0.2">
      <c r="A1391">
        <v>2022</v>
      </c>
      <c r="B1391" t="s">
        <v>23</v>
      </c>
      <c r="C1391" t="s">
        <v>24</v>
      </c>
      <c r="D1391">
        <v>221</v>
      </c>
      <c r="E1391">
        <v>2</v>
      </c>
      <c r="F1391">
        <v>12</v>
      </c>
      <c r="G1391" t="s">
        <v>246</v>
      </c>
      <c r="H1391" s="1">
        <v>6</v>
      </c>
      <c r="I1391" s="1">
        <v>72</v>
      </c>
      <c r="J1391" s="1">
        <v>76</v>
      </c>
      <c r="K1391" s="1">
        <f>J1391-I1391</f>
        <v>4</v>
      </c>
      <c r="L1391" s="1">
        <v>105</v>
      </c>
      <c r="M1391" s="1">
        <v>37</v>
      </c>
      <c r="N1391" s="1">
        <v>1.5</v>
      </c>
      <c r="O1391" s="1">
        <v>5</v>
      </c>
      <c r="P1391" s="1">
        <v>1</v>
      </c>
      <c r="Q1391" s="2">
        <v>2.8799999999999996E-2</v>
      </c>
      <c r="R1391" s="1">
        <v>1</v>
      </c>
      <c r="S1391" s="1">
        <f>R1391/P1391</f>
        <v>1</v>
      </c>
      <c r="T1391" s="1">
        <v>5</v>
      </c>
      <c r="U1391" s="1">
        <v>12.5</v>
      </c>
      <c r="V1391" s="1">
        <v>105.41176470588236</v>
      </c>
      <c r="W1391" s="1">
        <v>6</v>
      </c>
    </row>
    <row r="1392" spans="1:23" x14ac:dyDescent="0.2">
      <c r="A1392">
        <v>2022</v>
      </c>
      <c r="B1392" t="s">
        <v>23</v>
      </c>
      <c r="C1392" t="s">
        <v>24</v>
      </c>
      <c r="D1392">
        <v>222</v>
      </c>
      <c r="E1392">
        <v>1</v>
      </c>
      <c r="F1392">
        <v>13</v>
      </c>
      <c r="G1392" t="s">
        <v>247</v>
      </c>
      <c r="H1392" s="1">
        <v>4</v>
      </c>
      <c r="I1392" s="1">
        <v>63</v>
      </c>
      <c r="J1392" s="1">
        <v>66</v>
      </c>
      <c r="K1392" s="1">
        <f>J1392-I1392</f>
        <v>3</v>
      </c>
      <c r="L1392" s="1">
        <v>157</v>
      </c>
      <c r="M1392" s="1">
        <v>66</v>
      </c>
      <c r="N1392" s="1">
        <v>2</v>
      </c>
      <c r="O1392" s="1">
        <v>3.5</v>
      </c>
      <c r="P1392" s="1">
        <v>2</v>
      </c>
      <c r="Q1392" s="2">
        <v>3.5662499999999993E-2</v>
      </c>
      <c r="R1392" s="1">
        <v>2</v>
      </c>
      <c r="S1392" s="1">
        <f>R1392/P1392</f>
        <v>1</v>
      </c>
      <c r="T1392" s="1">
        <v>5</v>
      </c>
      <c r="U1392" s="1">
        <v>12.5</v>
      </c>
      <c r="V1392" s="1">
        <v>130.52941176470586</v>
      </c>
      <c r="W1392" s="1">
        <v>4</v>
      </c>
    </row>
    <row r="1393" spans="1:23" x14ac:dyDescent="0.2">
      <c r="A1393">
        <v>2022</v>
      </c>
      <c r="B1393" t="s">
        <v>23</v>
      </c>
      <c r="C1393" t="s">
        <v>24</v>
      </c>
      <c r="D1393">
        <v>222</v>
      </c>
      <c r="E1393">
        <v>2</v>
      </c>
      <c r="F1393">
        <v>1</v>
      </c>
      <c r="G1393" t="s">
        <v>247</v>
      </c>
      <c r="H1393" s="1">
        <v>7</v>
      </c>
      <c r="I1393" s="1">
        <v>64</v>
      </c>
      <c r="J1393" s="1">
        <v>67</v>
      </c>
      <c r="K1393" s="1">
        <f>J1393-I1393</f>
        <v>3</v>
      </c>
      <c r="L1393" s="1">
        <v>128</v>
      </c>
      <c r="M1393" s="1">
        <v>63</v>
      </c>
      <c r="N1393" s="1">
        <v>2</v>
      </c>
      <c r="O1393" s="1">
        <v>3.5</v>
      </c>
      <c r="P1393" s="1">
        <v>5</v>
      </c>
      <c r="Q1393" s="2">
        <v>7.4999999999999997E-2</v>
      </c>
      <c r="R1393" s="1">
        <v>1</v>
      </c>
      <c r="S1393" s="1">
        <f>R1393/P1393</f>
        <v>0.2</v>
      </c>
      <c r="T1393" s="1">
        <v>5</v>
      </c>
      <c r="U1393" s="1">
        <v>12.5</v>
      </c>
      <c r="V1393" s="1">
        <v>274.50980392156862</v>
      </c>
      <c r="W1393" s="1">
        <v>5</v>
      </c>
    </row>
    <row r="1394" spans="1:23" x14ac:dyDescent="0.2">
      <c r="A1394">
        <v>2022</v>
      </c>
      <c r="B1394" t="s">
        <v>23</v>
      </c>
      <c r="C1394" t="s">
        <v>24</v>
      </c>
      <c r="D1394">
        <v>223</v>
      </c>
      <c r="E1394">
        <v>1</v>
      </c>
      <c r="F1394">
        <v>8</v>
      </c>
      <c r="G1394" t="s">
        <v>248</v>
      </c>
      <c r="H1394" s="1">
        <v>11</v>
      </c>
      <c r="I1394" s="1">
        <v>60</v>
      </c>
      <c r="J1394" s="1">
        <v>64</v>
      </c>
      <c r="K1394" s="1">
        <f>J1394-I1394</f>
        <v>4</v>
      </c>
      <c r="L1394" s="1">
        <v>148</v>
      </c>
      <c r="M1394" s="1">
        <v>65</v>
      </c>
      <c r="N1394" s="1">
        <v>2</v>
      </c>
      <c r="O1394" s="1">
        <v>4</v>
      </c>
      <c r="P1394" s="1">
        <v>7</v>
      </c>
      <c r="Q1394" s="2">
        <v>0.26501999999999998</v>
      </c>
      <c r="R1394" s="1">
        <v>2</v>
      </c>
      <c r="S1394" s="1">
        <f>R1394/P1394</f>
        <v>0.2857142857142857</v>
      </c>
      <c r="T1394" s="1">
        <v>5</v>
      </c>
      <c r="U1394" s="1">
        <v>12.5</v>
      </c>
      <c r="V1394" s="1">
        <v>970.00784313725489</v>
      </c>
      <c r="W1394" s="1">
        <v>6</v>
      </c>
    </row>
    <row r="1395" spans="1:23" x14ac:dyDescent="0.2">
      <c r="A1395">
        <v>2022</v>
      </c>
      <c r="B1395" t="s">
        <v>23</v>
      </c>
      <c r="C1395" t="s">
        <v>24</v>
      </c>
      <c r="D1395">
        <v>223</v>
      </c>
      <c r="E1395">
        <v>2</v>
      </c>
      <c r="F1395">
        <v>9</v>
      </c>
      <c r="G1395" t="s">
        <v>248</v>
      </c>
      <c r="H1395">
        <v>11</v>
      </c>
      <c r="I1395">
        <v>55</v>
      </c>
      <c r="J1395">
        <v>58</v>
      </c>
      <c r="K1395">
        <v>3</v>
      </c>
      <c r="L1395">
        <v>160</v>
      </c>
      <c r="M1395">
        <v>55</v>
      </c>
      <c r="N1395">
        <v>2</v>
      </c>
      <c r="O1395">
        <v>2</v>
      </c>
      <c r="P1395">
        <v>9</v>
      </c>
      <c r="Q1395">
        <v>0.5</v>
      </c>
      <c r="R1395">
        <v>9</v>
      </c>
      <c r="S1395">
        <v>1</v>
      </c>
      <c r="T1395">
        <v>3</v>
      </c>
      <c r="U1395">
        <v>9.6999999999999993</v>
      </c>
      <c r="V1395">
        <v>1888.627450980392</v>
      </c>
      <c r="W1395">
        <v>2</v>
      </c>
    </row>
    <row r="1396" spans="1:23" x14ac:dyDescent="0.2">
      <c r="A1396">
        <v>2022</v>
      </c>
      <c r="B1396" t="s">
        <v>23</v>
      </c>
      <c r="C1396" t="s">
        <v>24</v>
      </c>
      <c r="D1396">
        <v>224</v>
      </c>
      <c r="E1396">
        <v>1</v>
      </c>
      <c r="F1396">
        <v>4</v>
      </c>
      <c r="G1396" t="s">
        <v>249</v>
      </c>
      <c r="H1396" s="1">
        <v>4</v>
      </c>
      <c r="I1396" s="1">
        <v>61</v>
      </c>
      <c r="J1396" s="1">
        <v>66</v>
      </c>
      <c r="K1396" s="1">
        <f>J1396-I1396</f>
        <v>5</v>
      </c>
      <c r="L1396" s="1">
        <v>101</v>
      </c>
      <c r="M1396" s="1">
        <v>50</v>
      </c>
      <c r="N1396" s="1">
        <v>2</v>
      </c>
      <c r="O1396" s="1">
        <v>4.5</v>
      </c>
      <c r="P1396" s="1">
        <v>4</v>
      </c>
      <c r="Q1396" s="2">
        <v>0.121</v>
      </c>
      <c r="R1396" s="1">
        <v>4</v>
      </c>
      <c r="S1396" s="1">
        <f>R1396/P1396</f>
        <v>1</v>
      </c>
      <c r="T1396" s="1">
        <v>5</v>
      </c>
      <c r="U1396" s="1">
        <v>12.5</v>
      </c>
      <c r="V1396" s="1">
        <v>442.87581699346407</v>
      </c>
      <c r="W1396" s="1">
        <v>5</v>
      </c>
    </row>
    <row r="1397" spans="1:23" x14ac:dyDescent="0.2">
      <c r="A1397">
        <v>2022</v>
      </c>
      <c r="B1397" t="s">
        <v>23</v>
      </c>
      <c r="C1397" t="s">
        <v>24</v>
      </c>
      <c r="D1397">
        <v>224</v>
      </c>
      <c r="E1397">
        <v>2</v>
      </c>
      <c r="F1397">
        <v>3</v>
      </c>
      <c r="G1397" t="s">
        <v>249</v>
      </c>
      <c r="H1397">
        <v>15</v>
      </c>
      <c r="I1397">
        <v>59</v>
      </c>
      <c r="J1397">
        <v>62</v>
      </c>
      <c r="K1397">
        <v>3</v>
      </c>
      <c r="L1397">
        <v>184</v>
      </c>
      <c r="M1397">
        <v>59</v>
      </c>
      <c r="N1397">
        <v>2</v>
      </c>
      <c r="O1397">
        <v>2</v>
      </c>
      <c r="P1397">
        <v>13</v>
      </c>
      <c r="Q1397">
        <v>1.1000000000000001</v>
      </c>
      <c r="R1397">
        <v>10</v>
      </c>
      <c r="S1397">
        <v>0.76923076923076927</v>
      </c>
      <c r="T1397">
        <v>2</v>
      </c>
      <c r="U1397">
        <v>12.2</v>
      </c>
      <c r="V1397">
        <v>4039.9477124183009</v>
      </c>
      <c r="W1397">
        <v>2</v>
      </c>
    </row>
    <row r="1398" spans="1:23" x14ac:dyDescent="0.2">
      <c r="A1398">
        <v>2022</v>
      </c>
      <c r="B1398" t="s">
        <v>23</v>
      </c>
      <c r="C1398" t="s">
        <v>24</v>
      </c>
      <c r="D1398">
        <v>225</v>
      </c>
      <c r="E1398">
        <v>1</v>
      </c>
      <c r="F1398">
        <v>13</v>
      </c>
      <c r="G1398" t="s">
        <v>250</v>
      </c>
      <c r="H1398" s="1">
        <v>9</v>
      </c>
      <c r="I1398" s="1">
        <v>69</v>
      </c>
      <c r="J1398" s="1">
        <v>73</v>
      </c>
      <c r="K1398" s="1">
        <f>J1398-I1398</f>
        <v>4</v>
      </c>
      <c r="L1398" s="1">
        <v>145</v>
      </c>
      <c r="M1398" s="1">
        <v>41</v>
      </c>
      <c r="N1398" s="1">
        <v>2</v>
      </c>
      <c r="O1398" s="1">
        <v>3.5</v>
      </c>
      <c r="P1398" s="1">
        <v>5</v>
      </c>
      <c r="Q1398" s="2">
        <v>0.216</v>
      </c>
      <c r="R1398" s="1">
        <v>3</v>
      </c>
      <c r="S1398" s="1">
        <f>R1398/P1398</f>
        <v>0.6</v>
      </c>
      <c r="T1398" s="1">
        <v>4</v>
      </c>
      <c r="U1398" s="1">
        <v>12.5</v>
      </c>
      <c r="V1398" s="1">
        <v>790.58823529411757</v>
      </c>
      <c r="W1398" s="1">
        <v>5</v>
      </c>
    </row>
    <row r="1399" spans="1:23" x14ac:dyDescent="0.2">
      <c r="A1399">
        <v>2022</v>
      </c>
      <c r="B1399" t="s">
        <v>23</v>
      </c>
      <c r="C1399" t="s">
        <v>24</v>
      </c>
      <c r="D1399">
        <v>225</v>
      </c>
      <c r="E1399">
        <v>2</v>
      </c>
      <c r="F1399">
        <v>2</v>
      </c>
      <c r="G1399" t="s">
        <v>250</v>
      </c>
      <c r="H1399" s="1">
        <v>8</v>
      </c>
      <c r="I1399" s="1">
        <v>62</v>
      </c>
      <c r="J1399" s="1">
        <v>63</v>
      </c>
      <c r="K1399" s="1">
        <f>J1399-I1399</f>
        <v>1</v>
      </c>
      <c r="L1399" s="1">
        <v>111</v>
      </c>
      <c r="M1399" s="1">
        <v>33</v>
      </c>
      <c r="N1399" s="1">
        <v>2</v>
      </c>
      <c r="O1399" s="1">
        <v>4</v>
      </c>
      <c r="P1399" s="1">
        <v>4</v>
      </c>
      <c r="Q1399" s="2">
        <v>0.29499999999999998</v>
      </c>
      <c r="R1399" s="1">
        <v>4</v>
      </c>
      <c r="S1399" s="1">
        <f>R1399/P1399</f>
        <v>1</v>
      </c>
      <c r="T1399" s="1">
        <v>4</v>
      </c>
      <c r="U1399" s="1">
        <v>12.5</v>
      </c>
      <c r="V1399" s="1">
        <v>1079.7385620915034</v>
      </c>
      <c r="W1399" s="1">
        <v>5</v>
      </c>
    </row>
    <row r="1400" spans="1:23" x14ac:dyDescent="0.2">
      <c r="A1400">
        <v>2022</v>
      </c>
      <c r="B1400" t="s">
        <v>23</v>
      </c>
      <c r="C1400" t="s">
        <v>24</v>
      </c>
      <c r="D1400">
        <v>226</v>
      </c>
      <c r="E1400">
        <v>1</v>
      </c>
      <c r="F1400">
        <v>2</v>
      </c>
      <c r="G1400" t="s">
        <v>251</v>
      </c>
      <c r="H1400" s="1">
        <v>5</v>
      </c>
      <c r="I1400" s="1">
        <v>63</v>
      </c>
      <c r="J1400" s="1">
        <v>67</v>
      </c>
      <c r="K1400" s="1">
        <f>J1400-I1400</f>
        <v>4</v>
      </c>
      <c r="L1400" s="1">
        <v>166</v>
      </c>
      <c r="M1400" s="1">
        <v>68</v>
      </c>
      <c r="N1400" s="1">
        <v>2</v>
      </c>
      <c r="O1400" s="1">
        <v>3</v>
      </c>
      <c r="P1400" s="1">
        <v>4</v>
      </c>
      <c r="Q1400" s="2">
        <v>0.18</v>
      </c>
      <c r="R1400" s="1">
        <v>6</v>
      </c>
      <c r="S1400" s="1">
        <f>R1400/P1400</f>
        <v>1.5</v>
      </c>
      <c r="T1400" s="1">
        <v>5</v>
      </c>
      <c r="U1400" s="1">
        <v>12.5</v>
      </c>
      <c r="V1400" s="1">
        <v>658.82352941176464</v>
      </c>
      <c r="W1400" s="1">
        <v>4</v>
      </c>
    </row>
    <row r="1401" spans="1:23" x14ac:dyDescent="0.2">
      <c r="A1401">
        <v>2022</v>
      </c>
      <c r="B1401" t="s">
        <v>23</v>
      </c>
      <c r="C1401" t="s">
        <v>24</v>
      </c>
      <c r="D1401">
        <v>226</v>
      </c>
      <c r="E1401">
        <v>2</v>
      </c>
      <c r="F1401">
        <v>7</v>
      </c>
      <c r="G1401" t="s">
        <v>251</v>
      </c>
      <c r="H1401" s="1">
        <v>11</v>
      </c>
      <c r="I1401" s="1">
        <v>56</v>
      </c>
      <c r="J1401" s="1">
        <v>58</v>
      </c>
      <c r="K1401" s="1">
        <f>J1401-I1401</f>
        <v>2</v>
      </c>
      <c r="L1401" s="1">
        <v>93</v>
      </c>
      <c r="M1401" s="1">
        <v>41</v>
      </c>
      <c r="N1401" s="1">
        <v>2.5</v>
      </c>
      <c r="O1401" s="1">
        <v>4</v>
      </c>
      <c r="P1401" s="1">
        <v>6</v>
      </c>
      <c r="Q1401" s="2">
        <v>0.17</v>
      </c>
      <c r="R1401" s="1">
        <v>5</v>
      </c>
      <c r="S1401" s="1">
        <f>R1401/P1401</f>
        <v>0.83333333333333337</v>
      </c>
      <c r="T1401" s="1">
        <v>3.5</v>
      </c>
      <c r="U1401" s="1">
        <v>12.5</v>
      </c>
      <c r="V1401" s="1">
        <v>622.2222222222224</v>
      </c>
      <c r="W1401" s="1">
        <v>4</v>
      </c>
    </row>
    <row r="1402" spans="1:23" x14ac:dyDescent="0.2">
      <c r="A1402">
        <v>2022</v>
      </c>
      <c r="B1402" t="s">
        <v>23</v>
      </c>
      <c r="C1402" t="s">
        <v>24</v>
      </c>
      <c r="D1402">
        <v>227</v>
      </c>
      <c r="E1402">
        <v>1</v>
      </c>
      <c r="F1402">
        <v>11</v>
      </c>
      <c r="G1402" t="s">
        <v>252</v>
      </c>
      <c r="H1402" s="3">
        <v>7</v>
      </c>
      <c r="I1402" s="3">
        <v>68</v>
      </c>
      <c r="J1402" s="3">
        <v>72</v>
      </c>
      <c r="K1402" s="3">
        <f>J1402-I1402</f>
        <v>4</v>
      </c>
      <c r="L1402" s="3">
        <v>71</v>
      </c>
      <c r="M1402" s="3">
        <v>25</v>
      </c>
      <c r="N1402" s="3">
        <v>2</v>
      </c>
      <c r="O1402" s="3">
        <v>5</v>
      </c>
      <c r="P1402" s="3">
        <v>1</v>
      </c>
      <c r="Q1402" s="4">
        <v>4.4999999999999998E-2</v>
      </c>
      <c r="R1402" s="3">
        <v>1</v>
      </c>
      <c r="S1402" s="3">
        <f>R1402/P1402</f>
        <v>1</v>
      </c>
      <c r="T1402" s="3">
        <v>5</v>
      </c>
      <c r="U1402" s="3">
        <v>12.5</v>
      </c>
      <c r="V1402" s="3">
        <v>164.70588235294116</v>
      </c>
      <c r="W1402" s="3">
        <v>6</v>
      </c>
    </row>
    <row r="1403" spans="1:23" x14ac:dyDescent="0.2">
      <c r="A1403">
        <v>2022</v>
      </c>
      <c r="B1403" t="s">
        <v>23</v>
      </c>
      <c r="C1403" t="s">
        <v>24</v>
      </c>
      <c r="D1403">
        <v>227</v>
      </c>
      <c r="E1403">
        <v>2</v>
      </c>
      <c r="F1403">
        <v>2</v>
      </c>
      <c r="G1403" t="s">
        <v>252</v>
      </c>
      <c r="H1403">
        <v>10</v>
      </c>
      <c r="I1403">
        <v>58</v>
      </c>
      <c r="J1403">
        <v>60</v>
      </c>
      <c r="K1403">
        <v>2</v>
      </c>
      <c r="L1403">
        <v>104</v>
      </c>
      <c r="M1403">
        <v>22</v>
      </c>
      <c r="N1403">
        <v>1</v>
      </c>
      <c r="O1403">
        <v>2</v>
      </c>
      <c r="P1403">
        <v>10</v>
      </c>
      <c r="Q1403">
        <v>0.56299999999999994</v>
      </c>
      <c r="R1403">
        <v>10</v>
      </c>
      <c r="S1403">
        <v>1</v>
      </c>
      <c r="T1403">
        <v>3</v>
      </c>
      <c r="U1403">
        <v>12.5</v>
      </c>
      <c r="V1403">
        <v>2060.6535947712418</v>
      </c>
      <c r="W1403">
        <v>1</v>
      </c>
    </row>
    <row r="1404" spans="1:23" x14ac:dyDescent="0.2">
      <c r="A1404">
        <v>2022</v>
      </c>
      <c r="B1404" t="s">
        <v>23</v>
      </c>
      <c r="C1404" t="s">
        <v>24</v>
      </c>
      <c r="D1404">
        <v>228</v>
      </c>
      <c r="E1404">
        <v>1</v>
      </c>
      <c r="F1404">
        <v>3</v>
      </c>
      <c r="G1404" t="s">
        <v>253</v>
      </c>
      <c r="H1404" s="1">
        <v>5</v>
      </c>
      <c r="I1404" s="1">
        <v>61</v>
      </c>
      <c r="J1404" s="1">
        <v>66</v>
      </c>
      <c r="K1404" s="1">
        <f>J1404-I1404</f>
        <v>5</v>
      </c>
      <c r="L1404" s="1">
        <v>97</v>
      </c>
      <c r="M1404" s="1">
        <v>35</v>
      </c>
      <c r="N1404" s="1">
        <v>3</v>
      </c>
      <c r="O1404" s="1">
        <v>4</v>
      </c>
      <c r="P1404" s="1">
        <v>5</v>
      </c>
      <c r="Q1404" s="2">
        <v>0.20899999999999999</v>
      </c>
      <c r="R1404" s="1">
        <v>5</v>
      </c>
      <c r="S1404" s="1">
        <f>R1404/P1404</f>
        <v>1</v>
      </c>
      <c r="T1404" s="1">
        <v>4</v>
      </c>
      <c r="U1404" s="1">
        <v>12.5</v>
      </c>
      <c r="V1404" s="1">
        <v>764.96732026143775</v>
      </c>
      <c r="W1404" s="1">
        <v>4</v>
      </c>
    </row>
    <row r="1405" spans="1:23" x14ac:dyDescent="0.2">
      <c r="A1405">
        <v>2022</v>
      </c>
      <c r="B1405" t="s">
        <v>23</v>
      </c>
      <c r="C1405" t="s">
        <v>24</v>
      </c>
      <c r="D1405">
        <v>228</v>
      </c>
      <c r="E1405">
        <v>2</v>
      </c>
      <c r="F1405">
        <v>9</v>
      </c>
      <c r="G1405" t="s">
        <v>253</v>
      </c>
      <c r="H1405" s="1">
        <v>2</v>
      </c>
      <c r="I1405" s="1">
        <v>68</v>
      </c>
      <c r="J1405" s="1">
        <v>73</v>
      </c>
      <c r="K1405" s="1">
        <f>J1405-I1405</f>
        <v>5</v>
      </c>
      <c r="L1405" s="1">
        <v>117</v>
      </c>
      <c r="M1405" s="1">
        <v>60</v>
      </c>
      <c r="N1405" s="1">
        <v>2</v>
      </c>
      <c r="O1405" s="1">
        <v>3.5</v>
      </c>
      <c r="P1405" s="1">
        <v>2</v>
      </c>
      <c r="Q1405" s="2">
        <v>0.16</v>
      </c>
      <c r="R1405" s="1">
        <v>2</v>
      </c>
      <c r="S1405" s="1">
        <f>R1405/P1405</f>
        <v>1</v>
      </c>
      <c r="T1405" s="1">
        <v>3</v>
      </c>
      <c r="U1405" s="1">
        <v>9.4</v>
      </c>
      <c r="V1405" s="1">
        <v>606.3686274509804</v>
      </c>
      <c r="W1405" s="1">
        <v>5</v>
      </c>
    </row>
    <row r="1406" spans="1:23" x14ac:dyDescent="0.2">
      <c r="A1406">
        <v>2022</v>
      </c>
      <c r="B1406" t="s">
        <v>23</v>
      </c>
      <c r="C1406" t="s">
        <v>24</v>
      </c>
      <c r="D1406">
        <v>229</v>
      </c>
      <c r="E1406">
        <v>1</v>
      </c>
      <c r="F1406">
        <v>10</v>
      </c>
      <c r="G1406" t="s">
        <v>254</v>
      </c>
      <c r="H1406" s="1">
        <v>11</v>
      </c>
      <c r="I1406" s="1">
        <v>72</v>
      </c>
      <c r="J1406" s="1">
        <v>76</v>
      </c>
      <c r="K1406" s="1">
        <f>J1406-I1406</f>
        <v>4</v>
      </c>
      <c r="L1406" s="1">
        <v>183</v>
      </c>
      <c r="M1406" s="1">
        <v>93</v>
      </c>
      <c r="N1406" s="1">
        <v>2</v>
      </c>
      <c r="O1406" s="1">
        <v>2.5</v>
      </c>
      <c r="P1406" s="1">
        <v>11</v>
      </c>
      <c r="Q1406" s="2">
        <v>0.43319999999999997</v>
      </c>
      <c r="R1406" s="1">
        <v>9</v>
      </c>
      <c r="S1406" s="1">
        <f>R1406/P1406</f>
        <v>0.81818181818181823</v>
      </c>
      <c r="T1406" s="1">
        <v>5</v>
      </c>
      <c r="U1406" s="1">
        <v>12.5</v>
      </c>
      <c r="V1406" s="1">
        <v>1585.5686274509803</v>
      </c>
      <c r="W1406" s="1">
        <v>6</v>
      </c>
    </row>
    <row r="1407" spans="1:23" x14ac:dyDescent="0.2">
      <c r="A1407">
        <v>2022</v>
      </c>
      <c r="B1407" t="s">
        <v>23</v>
      </c>
      <c r="C1407" t="s">
        <v>24</v>
      </c>
      <c r="D1407">
        <v>229</v>
      </c>
      <c r="E1407">
        <v>2</v>
      </c>
      <c r="F1407">
        <v>8</v>
      </c>
      <c r="G1407" t="s">
        <v>254</v>
      </c>
      <c r="H1407">
        <v>16</v>
      </c>
      <c r="I1407">
        <v>57</v>
      </c>
      <c r="J1407">
        <v>58</v>
      </c>
      <c r="K1407">
        <v>1</v>
      </c>
      <c r="L1407">
        <v>155</v>
      </c>
      <c r="M1407">
        <v>73</v>
      </c>
      <c r="N1407">
        <v>2</v>
      </c>
      <c r="O1407">
        <v>2.5</v>
      </c>
      <c r="P1407">
        <v>8</v>
      </c>
      <c r="Q1407">
        <v>0.5</v>
      </c>
      <c r="R1407">
        <v>9</v>
      </c>
      <c r="S1407">
        <v>1.125</v>
      </c>
      <c r="T1407">
        <v>4</v>
      </c>
      <c r="U1407">
        <v>9.4</v>
      </c>
      <c r="V1407">
        <v>1894.9019607843138</v>
      </c>
      <c r="W1407">
        <v>2</v>
      </c>
    </row>
    <row r="1408" spans="1:23" x14ac:dyDescent="0.2">
      <c r="A1408">
        <v>2022</v>
      </c>
      <c r="B1408" t="s">
        <v>23</v>
      </c>
      <c r="C1408" t="s">
        <v>24</v>
      </c>
      <c r="D1408">
        <v>230</v>
      </c>
      <c r="E1408">
        <v>1</v>
      </c>
      <c r="F1408">
        <v>13</v>
      </c>
      <c r="G1408" t="s">
        <v>255</v>
      </c>
      <c r="H1408" s="1">
        <v>6</v>
      </c>
      <c r="I1408" s="1">
        <v>65</v>
      </c>
      <c r="J1408" s="1">
        <v>70</v>
      </c>
      <c r="K1408" s="1">
        <f>J1408-I1408</f>
        <v>5</v>
      </c>
      <c r="L1408" s="1">
        <v>179</v>
      </c>
      <c r="M1408" s="1">
        <v>71</v>
      </c>
      <c r="N1408" s="1">
        <v>2</v>
      </c>
      <c r="O1408" s="1">
        <v>4</v>
      </c>
      <c r="P1408" s="1">
        <v>4</v>
      </c>
      <c r="Q1408" s="2">
        <v>0.18</v>
      </c>
      <c r="R1408" s="1">
        <v>4</v>
      </c>
      <c r="S1408" s="1">
        <f>R1408/P1408</f>
        <v>1</v>
      </c>
      <c r="T1408" s="1">
        <v>4</v>
      </c>
      <c r="U1408" s="1">
        <v>12.5</v>
      </c>
      <c r="V1408" s="1">
        <v>658.82352941176464</v>
      </c>
      <c r="W1408" s="1">
        <v>3</v>
      </c>
    </row>
    <row r="1409" spans="1:23" x14ac:dyDescent="0.2">
      <c r="A1409">
        <v>2022</v>
      </c>
      <c r="B1409" t="s">
        <v>23</v>
      </c>
      <c r="C1409" t="s">
        <v>24</v>
      </c>
      <c r="D1409">
        <v>230</v>
      </c>
      <c r="E1409">
        <v>2</v>
      </c>
      <c r="F1409">
        <v>9</v>
      </c>
      <c r="G1409" t="s">
        <v>255</v>
      </c>
      <c r="H1409" s="1">
        <v>14</v>
      </c>
      <c r="I1409" s="1">
        <v>64</v>
      </c>
      <c r="J1409" s="1">
        <v>66</v>
      </c>
      <c r="K1409" s="1">
        <f>J1409-I1409</f>
        <v>2</v>
      </c>
      <c r="L1409" s="1">
        <v>93</v>
      </c>
      <c r="M1409" s="1">
        <v>45</v>
      </c>
      <c r="N1409" s="1">
        <v>2</v>
      </c>
      <c r="O1409" s="1">
        <v>4.5</v>
      </c>
      <c r="P1409" s="1">
        <v>8</v>
      </c>
      <c r="Q1409" s="2">
        <v>0.30399999999999999</v>
      </c>
      <c r="R1409" s="1">
        <v>7</v>
      </c>
      <c r="S1409" s="1">
        <f>R1409/P1409</f>
        <v>0.875</v>
      </c>
      <c r="T1409" s="1">
        <v>3</v>
      </c>
      <c r="U1409" s="1">
        <v>12.5</v>
      </c>
      <c r="V1409" s="1">
        <v>1112.6797385620914</v>
      </c>
      <c r="W1409" s="1">
        <v>4</v>
      </c>
    </row>
    <row r="1410" spans="1:23" x14ac:dyDescent="0.2">
      <c r="A1410">
        <v>2022</v>
      </c>
      <c r="B1410" t="s">
        <v>23</v>
      </c>
      <c r="C1410" t="s">
        <v>24</v>
      </c>
      <c r="D1410">
        <v>231</v>
      </c>
      <c r="E1410">
        <v>1</v>
      </c>
      <c r="F1410">
        <v>3</v>
      </c>
      <c r="G1410" t="s">
        <v>256</v>
      </c>
      <c r="H1410">
        <v>3</v>
      </c>
      <c r="I1410">
        <v>63</v>
      </c>
      <c r="J1410">
        <v>65</v>
      </c>
      <c r="K1410">
        <v>2</v>
      </c>
      <c r="L1410">
        <v>175</v>
      </c>
      <c r="M1410">
        <v>70</v>
      </c>
      <c r="N1410">
        <v>1.5</v>
      </c>
      <c r="O1410">
        <v>2</v>
      </c>
      <c r="P1410">
        <v>3</v>
      </c>
      <c r="Q1410">
        <v>0.2</v>
      </c>
      <c r="R1410">
        <v>4</v>
      </c>
      <c r="S1410">
        <v>1.3333333333333333</v>
      </c>
      <c r="T1410">
        <v>2.5</v>
      </c>
      <c r="U1410">
        <v>12.5</v>
      </c>
      <c r="V1410">
        <v>732.02614379084969</v>
      </c>
      <c r="W1410">
        <v>2</v>
      </c>
    </row>
    <row r="1411" spans="1:23" x14ac:dyDescent="0.2">
      <c r="A1411">
        <v>2022</v>
      </c>
      <c r="B1411" t="s">
        <v>23</v>
      </c>
      <c r="C1411" t="s">
        <v>24</v>
      </c>
      <c r="D1411">
        <v>231</v>
      </c>
      <c r="E1411">
        <v>2</v>
      </c>
      <c r="F1411">
        <v>7</v>
      </c>
      <c r="G1411" t="s">
        <v>256</v>
      </c>
      <c r="H1411" s="1">
        <v>13</v>
      </c>
      <c r="I1411" s="1">
        <v>67</v>
      </c>
      <c r="J1411" s="1">
        <v>72</v>
      </c>
      <c r="K1411" s="1">
        <f>J1411-I1411</f>
        <v>5</v>
      </c>
      <c r="L1411" s="1">
        <v>137</v>
      </c>
      <c r="M1411" s="1">
        <v>90</v>
      </c>
      <c r="N1411" s="1">
        <v>2</v>
      </c>
      <c r="O1411" s="1">
        <v>3.5</v>
      </c>
      <c r="P1411" s="1">
        <f>H1411</f>
        <v>13</v>
      </c>
      <c r="Q1411" s="2">
        <v>0.44700000000000001</v>
      </c>
      <c r="R1411" s="1">
        <v>10</v>
      </c>
      <c r="S1411" s="1">
        <f>R1411/P1411</f>
        <v>0.76923076923076927</v>
      </c>
      <c r="T1411" s="1">
        <v>5</v>
      </c>
      <c r="U1411" s="1">
        <v>12.5</v>
      </c>
      <c r="V1411" s="1">
        <v>1636.0784313725494</v>
      </c>
      <c r="W1411" s="1">
        <v>5</v>
      </c>
    </row>
    <row r="1412" spans="1:23" x14ac:dyDescent="0.2">
      <c r="A1412">
        <v>2022</v>
      </c>
      <c r="B1412" t="s">
        <v>23</v>
      </c>
      <c r="C1412" t="s">
        <v>24</v>
      </c>
      <c r="D1412">
        <v>232</v>
      </c>
      <c r="E1412">
        <v>1</v>
      </c>
      <c r="F1412">
        <v>2</v>
      </c>
      <c r="G1412" t="s">
        <v>257</v>
      </c>
      <c r="H1412" s="1">
        <v>8</v>
      </c>
      <c r="I1412" s="1">
        <v>65</v>
      </c>
      <c r="J1412" s="1">
        <v>70</v>
      </c>
      <c r="K1412" s="1">
        <f>J1412-I1412</f>
        <v>5</v>
      </c>
      <c r="L1412" s="1">
        <v>168</v>
      </c>
      <c r="M1412" s="1">
        <v>78</v>
      </c>
      <c r="N1412" s="1">
        <v>2</v>
      </c>
      <c r="O1412" s="1">
        <v>2.5</v>
      </c>
      <c r="P1412" s="1">
        <v>7</v>
      </c>
      <c r="Q1412" s="2">
        <v>7.2999999999999995E-2</v>
      </c>
      <c r="R1412" s="1">
        <v>6</v>
      </c>
      <c r="S1412" s="1">
        <f>R1412/P1412</f>
        <v>0.8571428571428571</v>
      </c>
      <c r="T1412" s="1">
        <v>5</v>
      </c>
      <c r="U1412" s="1">
        <v>12.5</v>
      </c>
      <c r="V1412" s="1">
        <v>267.18954248366009</v>
      </c>
      <c r="W1412" s="1">
        <v>4</v>
      </c>
    </row>
    <row r="1413" spans="1:23" x14ac:dyDescent="0.2">
      <c r="A1413">
        <v>2022</v>
      </c>
      <c r="B1413" t="s">
        <v>23</v>
      </c>
      <c r="C1413" t="s">
        <v>24</v>
      </c>
      <c r="D1413">
        <v>232</v>
      </c>
      <c r="E1413">
        <v>2</v>
      </c>
      <c r="F1413">
        <v>14</v>
      </c>
      <c r="G1413" t="s">
        <v>257</v>
      </c>
      <c r="H1413">
        <v>6</v>
      </c>
      <c r="I1413">
        <v>64</v>
      </c>
      <c r="J1413">
        <v>67</v>
      </c>
      <c r="K1413">
        <v>3</v>
      </c>
      <c r="L1413">
        <v>134</v>
      </c>
      <c r="M1413">
        <v>60</v>
      </c>
      <c r="N1413">
        <v>1.5</v>
      </c>
      <c r="O1413">
        <v>3.5</v>
      </c>
      <c r="P1413">
        <v>6</v>
      </c>
      <c r="Q1413">
        <v>0.5</v>
      </c>
      <c r="R1413">
        <v>6</v>
      </c>
      <c r="S1413">
        <v>1</v>
      </c>
      <c r="T1413">
        <v>3.5</v>
      </c>
      <c r="U1413">
        <v>12.5</v>
      </c>
      <c r="V1413">
        <v>1830.0653594771243</v>
      </c>
      <c r="W1413">
        <v>2</v>
      </c>
    </row>
    <row r="1414" spans="1:23" x14ac:dyDescent="0.2">
      <c r="A1414">
        <v>2022</v>
      </c>
      <c r="B1414" t="s">
        <v>23</v>
      </c>
      <c r="C1414" t="s">
        <v>24</v>
      </c>
      <c r="D1414">
        <v>233</v>
      </c>
      <c r="E1414">
        <v>1</v>
      </c>
      <c r="F1414">
        <v>12</v>
      </c>
      <c r="G1414" t="s">
        <v>258</v>
      </c>
      <c r="H1414" s="1">
        <v>7</v>
      </c>
      <c r="I1414" s="1">
        <v>58</v>
      </c>
      <c r="J1414" s="1">
        <v>63</v>
      </c>
      <c r="K1414" s="1">
        <f t="shared" ref="K1414:K1424" si="66">J1414-I1414</f>
        <v>5</v>
      </c>
      <c r="L1414" s="1">
        <v>116</v>
      </c>
      <c r="M1414" s="1">
        <v>61</v>
      </c>
      <c r="N1414" s="1">
        <v>3</v>
      </c>
      <c r="O1414" s="1">
        <v>2.5</v>
      </c>
      <c r="P1414" s="1">
        <v>7</v>
      </c>
      <c r="Q1414" s="2">
        <v>0.376</v>
      </c>
      <c r="R1414" s="1">
        <v>7</v>
      </c>
      <c r="S1414" s="1">
        <f t="shared" ref="S1414:S1424" si="67">R1414/P1414</f>
        <v>1</v>
      </c>
      <c r="T1414" s="1">
        <v>3</v>
      </c>
      <c r="U1414" s="1">
        <v>12.5</v>
      </c>
      <c r="V1414" s="1">
        <v>1376.2091503267975</v>
      </c>
      <c r="W1414" s="1">
        <v>2</v>
      </c>
    </row>
    <row r="1415" spans="1:23" x14ac:dyDescent="0.2">
      <c r="A1415">
        <v>2022</v>
      </c>
      <c r="B1415" t="s">
        <v>23</v>
      </c>
      <c r="C1415" t="s">
        <v>24</v>
      </c>
      <c r="D1415">
        <v>233</v>
      </c>
      <c r="E1415">
        <v>2</v>
      </c>
      <c r="F1415">
        <v>4</v>
      </c>
      <c r="G1415" t="s">
        <v>258</v>
      </c>
      <c r="H1415" s="1">
        <v>8</v>
      </c>
      <c r="I1415" s="1">
        <v>65</v>
      </c>
      <c r="J1415" s="1">
        <v>70</v>
      </c>
      <c r="K1415" s="1">
        <f t="shared" si="66"/>
        <v>5</v>
      </c>
      <c r="L1415" s="1">
        <v>158</v>
      </c>
      <c r="M1415" s="1">
        <v>83</v>
      </c>
      <c r="N1415" s="1">
        <v>2</v>
      </c>
      <c r="O1415" s="1">
        <v>3.5</v>
      </c>
      <c r="P1415" s="1">
        <v>8</v>
      </c>
      <c r="Q1415" s="2">
        <v>0.35239999999999999</v>
      </c>
      <c r="R1415" s="1">
        <v>6</v>
      </c>
      <c r="S1415" s="1">
        <f t="shared" si="67"/>
        <v>0.75</v>
      </c>
      <c r="T1415" s="1">
        <v>5</v>
      </c>
      <c r="U1415" s="1">
        <v>7.9</v>
      </c>
      <c r="V1415" s="1">
        <v>1357.6382745098038</v>
      </c>
      <c r="W1415" s="1">
        <v>6</v>
      </c>
    </row>
    <row r="1416" spans="1:23" x14ac:dyDescent="0.2">
      <c r="A1416">
        <v>2022</v>
      </c>
      <c r="B1416" t="s">
        <v>23</v>
      </c>
      <c r="C1416" t="s">
        <v>24</v>
      </c>
      <c r="D1416">
        <v>234</v>
      </c>
      <c r="E1416">
        <v>1</v>
      </c>
      <c r="F1416">
        <v>11</v>
      </c>
      <c r="G1416" t="s">
        <v>259</v>
      </c>
      <c r="H1416" s="1">
        <v>4</v>
      </c>
      <c r="I1416" s="1">
        <v>65</v>
      </c>
      <c r="J1416" s="1">
        <v>68</v>
      </c>
      <c r="K1416" s="1">
        <f t="shared" si="66"/>
        <v>3</v>
      </c>
      <c r="L1416" s="1">
        <v>157</v>
      </c>
      <c r="M1416" s="1">
        <v>45</v>
      </c>
      <c r="N1416" s="1">
        <v>2</v>
      </c>
      <c r="O1416" s="1">
        <v>3</v>
      </c>
      <c r="P1416" s="1">
        <v>3</v>
      </c>
      <c r="Q1416" s="2">
        <v>0.318</v>
      </c>
      <c r="R1416" s="1">
        <v>3</v>
      </c>
      <c r="S1416" s="1">
        <f t="shared" si="67"/>
        <v>1</v>
      </c>
      <c r="T1416" s="1">
        <v>2.5</v>
      </c>
      <c r="U1416" s="1">
        <v>12.5</v>
      </c>
      <c r="V1416" s="1">
        <v>1163.9215686274511</v>
      </c>
      <c r="W1416" s="1">
        <v>2</v>
      </c>
    </row>
    <row r="1417" spans="1:23" x14ac:dyDescent="0.2">
      <c r="A1417">
        <v>2022</v>
      </c>
      <c r="B1417" t="s">
        <v>23</v>
      </c>
      <c r="C1417" t="s">
        <v>24</v>
      </c>
      <c r="D1417">
        <v>234</v>
      </c>
      <c r="E1417">
        <v>2</v>
      </c>
      <c r="F1417">
        <v>1</v>
      </c>
      <c r="G1417" t="s">
        <v>259</v>
      </c>
      <c r="H1417" s="1">
        <v>6</v>
      </c>
      <c r="I1417" s="1">
        <v>68</v>
      </c>
      <c r="J1417" s="1">
        <v>70</v>
      </c>
      <c r="K1417" s="1">
        <f t="shared" si="66"/>
        <v>2</v>
      </c>
      <c r="L1417" s="1">
        <v>160</v>
      </c>
      <c r="M1417" s="1">
        <v>108</v>
      </c>
      <c r="N1417" s="1">
        <v>2</v>
      </c>
      <c r="O1417" s="1">
        <v>3.5</v>
      </c>
      <c r="P1417" s="1">
        <v>5</v>
      </c>
      <c r="Q1417" s="2">
        <v>0.4622</v>
      </c>
      <c r="R1417" s="1">
        <v>3</v>
      </c>
      <c r="S1417" s="1">
        <f t="shared" si="67"/>
        <v>0.6</v>
      </c>
      <c r="T1417" s="1">
        <v>5</v>
      </c>
      <c r="U1417" s="1">
        <v>9.4</v>
      </c>
      <c r="V1417" s="1">
        <v>1751.6473725490196</v>
      </c>
      <c r="W1417" s="1">
        <v>4</v>
      </c>
    </row>
    <row r="1418" spans="1:23" x14ac:dyDescent="0.2">
      <c r="A1418">
        <v>2022</v>
      </c>
      <c r="B1418" t="s">
        <v>23</v>
      </c>
      <c r="C1418" t="s">
        <v>24</v>
      </c>
      <c r="D1418">
        <v>235</v>
      </c>
      <c r="E1418">
        <v>1</v>
      </c>
      <c r="F1418">
        <v>11</v>
      </c>
      <c r="G1418" t="s">
        <v>268</v>
      </c>
      <c r="H1418" s="1">
        <v>6</v>
      </c>
      <c r="I1418" s="1">
        <v>65</v>
      </c>
      <c r="J1418" s="1">
        <v>70</v>
      </c>
      <c r="K1418" s="1">
        <f t="shared" si="66"/>
        <v>5</v>
      </c>
      <c r="L1418" s="1">
        <v>132</v>
      </c>
      <c r="M1418" s="1">
        <v>60</v>
      </c>
      <c r="N1418" s="1">
        <v>2</v>
      </c>
      <c r="O1418" s="1">
        <v>4</v>
      </c>
      <c r="P1418" s="1">
        <v>5</v>
      </c>
      <c r="Q1418" s="2">
        <v>0.28399999999999997</v>
      </c>
      <c r="R1418" s="1">
        <v>4</v>
      </c>
      <c r="S1418" s="1">
        <f t="shared" si="67"/>
        <v>0.8</v>
      </c>
      <c r="T1418" s="1">
        <v>2</v>
      </c>
      <c r="U1418" s="1">
        <v>12.5</v>
      </c>
      <c r="V1418" s="1">
        <v>1039.4771241830067</v>
      </c>
      <c r="W1418" s="1">
        <v>3</v>
      </c>
    </row>
    <row r="1419" spans="1:23" x14ac:dyDescent="0.2">
      <c r="A1419">
        <v>2022</v>
      </c>
      <c r="B1419" t="s">
        <v>23</v>
      </c>
      <c r="C1419" t="s">
        <v>24</v>
      </c>
      <c r="D1419">
        <v>235</v>
      </c>
      <c r="E1419">
        <v>2</v>
      </c>
      <c r="F1419">
        <v>11</v>
      </c>
      <c r="G1419" t="s">
        <v>268</v>
      </c>
      <c r="H1419" s="1">
        <v>9</v>
      </c>
      <c r="I1419" s="1">
        <v>58</v>
      </c>
      <c r="J1419" s="1">
        <v>63</v>
      </c>
      <c r="K1419" s="1">
        <f t="shared" si="66"/>
        <v>5</v>
      </c>
      <c r="L1419" s="1">
        <v>157</v>
      </c>
      <c r="M1419" s="1">
        <v>100</v>
      </c>
      <c r="N1419" s="1">
        <v>2</v>
      </c>
      <c r="O1419" s="1">
        <v>1.5</v>
      </c>
      <c r="P1419" s="1">
        <f>H1419-1</f>
        <v>8</v>
      </c>
      <c r="Q1419" s="2">
        <v>0.1275</v>
      </c>
      <c r="R1419" s="1">
        <v>8</v>
      </c>
      <c r="S1419" s="1">
        <f t="shared" si="67"/>
        <v>1</v>
      </c>
      <c r="T1419" s="1">
        <v>2</v>
      </c>
      <c r="U1419" s="1">
        <v>12.5</v>
      </c>
      <c r="V1419" s="1">
        <v>466.66666666666669</v>
      </c>
      <c r="W1419" s="1">
        <v>3</v>
      </c>
    </row>
    <row r="1420" spans="1:23" x14ac:dyDescent="0.2">
      <c r="A1420">
        <v>2022</v>
      </c>
      <c r="B1420" t="s">
        <v>23</v>
      </c>
      <c r="C1420" t="s">
        <v>24</v>
      </c>
      <c r="D1420">
        <v>236</v>
      </c>
      <c r="E1420">
        <v>1</v>
      </c>
      <c r="F1420">
        <v>6</v>
      </c>
      <c r="G1420" t="s">
        <v>269</v>
      </c>
      <c r="H1420" s="1">
        <v>7</v>
      </c>
      <c r="I1420" s="1">
        <v>64</v>
      </c>
      <c r="J1420" s="1">
        <v>68</v>
      </c>
      <c r="K1420" s="1">
        <f t="shared" si="66"/>
        <v>4</v>
      </c>
      <c r="L1420" s="1">
        <v>173</v>
      </c>
      <c r="M1420" s="1">
        <v>95</v>
      </c>
      <c r="N1420" s="1">
        <v>2</v>
      </c>
      <c r="O1420" s="1">
        <v>2.5</v>
      </c>
      <c r="P1420" s="1">
        <f>H1420-1</f>
        <v>6</v>
      </c>
      <c r="Q1420" s="2">
        <v>6.8400000000000002E-2</v>
      </c>
      <c r="R1420" s="1">
        <v>5</v>
      </c>
      <c r="S1420" s="1">
        <f t="shared" si="67"/>
        <v>0.83333333333333337</v>
      </c>
      <c r="T1420" s="1">
        <v>3</v>
      </c>
      <c r="U1420" s="1">
        <v>12.5</v>
      </c>
      <c r="V1420" s="1">
        <v>250.35294117647058</v>
      </c>
      <c r="W1420" s="1">
        <v>4</v>
      </c>
    </row>
    <row r="1421" spans="1:23" x14ac:dyDescent="0.2">
      <c r="A1421">
        <v>2022</v>
      </c>
      <c r="B1421" t="s">
        <v>23</v>
      </c>
      <c r="C1421" t="s">
        <v>24</v>
      </c>
      <c r="D1421">
        <v>236</v>
      </c>
      <c r="E1421">
        <v>2</v>
      </c>
      <c r="F1421">
        <v>15</v>
      </c>
      <c r="G1421" t="s">
        <v>269</v>
      </c>
      <c r="H1421" s="1">
        <v>12</v>
      </c>
      <c r="I1421" s="1">
        <v>61</v>
      </c>
      <c r="J1421" s="1">
        <v>66</v>
      </c>
      <c r="K1421" s="1">
        <f t="shared" si="66"/>
        <v>5</v>
      </c>
      <c r="L1421" s="1">
        <v>90</v>
      </c>
      <c r="M1421" s="1">
        <v>25</v>
      </c>
      <c r="N1421" s="1">
        <v>2.5</v>
      </c>
      <c r="O1421" s="1">
        <v>4</v>
      </c>
      <c r="P1421" s="1">
        <v>6</v>
      </c>
      <c r="Q1421" s="2">
        <v>0.108</v>
      </c>
      <c r="R1421" s="1">
        <v>3</v>
      </c>
      <c r="S1421" s="1">
        <f t="shared" si="67"/>
        <v>0.5</v>
      </c>
      <c r="T1421" s="1">
        <v>5</v>
      </c>
      <c r="U1421" s="1">
        <v>12.5</v>
      </c>
      <c r="V1421" s="1">
        <v>395.29411764705878</v>
      </c>
      <c r="W1421" s="1">
        <v>6</v>
      </c>
    </row>
    <row r="1422" spans="1:23" x14ac:dyDescent="0.2">
      <c r="A1422">
        <v>2022</v>
      </c>
      <c r="B1422" t="s">
        <v>23</v>
      </c>
      <c r="C1422" t="s">
        <v>24</v>
      </c>
      <c r="D1422">
        <v>237</v>
      </c>
      <c r="E1422">
        <v>1</v>
      </c>
      <c r="F1422">
        <v>8</v>
      </c>
      <c r="G1422" t="s">
        <v>270</v>
      </c>
      <c r="H1422" s="1">
        <v>6</v>
      </c>
      <c r="I1422" s="1">
        <v>66</v>
      </c>
      <c r="J1422" s="1">
        <v>70</v>
      </c>
      <c r="K1422" s="1">
        <f t="shared" si="66"/>
        <v>4</v>
      </c>
      <c r="L1422" s="1">
        <v>139</v>
      </c>
      <c r="M1422" s="1">
        <v>88</v>
      </c>
      <c r="N1422" s="1">
        <v>2</v>
      </c>
      <c r="O1422" s="1">
        <v>4</v>
      </c>
      <c r="P1422" s="1">
        <f>H1422</f>
        <v>6</v>
      </c>
      <c r="Q1422" s="2">
        <v>8.1562499999999996E-2</v>
      </c>
      <c r="R1422" s="1">
        <v>8</v>
      </c>
      <c r="S1422" s="1">
        <f t="shared" si="67"/>
        <v>1.3333333333333333</v>
      </c>
      <c r="T1422" s="1">
        <v>5</v>
      </c>
      <c r="U1422" s="1">
        <v>12.5</v>
      </c>
      <c r="V1422" s="1">
        <v>298.52941176470591</v>
      </c>
      <c r="W1422" s="1">
        <v>6</v>
      </c>
    </row>
    <row r="1423" spans="1:23" x14ac:dyDescent="0.2">
      <c r="A1423">
        <v>2022</v>
      </c>
      <c r="B1423" t="s">
        <v>23</v>
      </c>
      <c r="C1423" t="s">
        <v>24</v>
      </c>
      <c r="D1423">
        <v>237</v>
      </c>
      <c r="E1423">
        <v>2</v>
      </c>
      <c r="F1423">
        <v>9</v>
      </c>
      <c r="G1423" t="s">
        <v>270</v>
      </c>
      <c r="H1423" s="1">
        <v>11</v>
      </c>
      <c r="I1423" s="1">
        <v>65</v>
      </c>
      <c r="J1423" s="1">
        <v>70</v>
      </c>
      <c r="K1423" s="1">
        <f t="shared" si="66"/>
        <v>5</v>
      </c>
      <c r="L1423" s="1">
        <v>208</v>
      </c>
      <c r="M1423" s="1">
        <v>102</v>
      </c>
      <c r="N1423" s="1">
        <v>2</v>
      </c>
      <c r="O1423" s="1">
        <v>3.5</v>
      </c>
      <c r="P1423" s="1">
        <v>7</v>
      </c>
      <c r="Q1423" s="2">
        <v>0.56320000000000003</v>
      </c>
      <c r="R1423" s="1">
        <v>6</v>
      </c>
      <c r="S1423" s="1">
        <f t="shared" si="67"/>
        <v>0.8571428571428571</v>
      </c>
      <c r="T1423" s="1">
        <v>5</v>
      </c>
      <c r="U1423" s="1">
        <v>9.8000000000000007</v>
      </c>
      <c r="V1423" s="1">
        <v>2124.9940915032685</v>
      </c>
      <c r="W1423" s="1">
        <v>5</v>
      </c>
    </row>
    <row r="1424" spans="1:23" x14ac:dyDescent="0.2">
      <c r="A1424">
        <v>2020</v>
      </c>
      <c r="B1424" t="s">
        <v>23</v>
      </c>
      <c r="C1424" t="s">
        <v>271</v>
      </c>
      <c r="D1424">
        <v>1</v>
      </c>
      <c r="E1424">
        <v>1</v>
      </c>
      <c r="F1424">
        <v>3</v>
      </c>
      <c r="G1424" t="s">
        <v>25</v>
      </c>
      <c r="H1424" s="1">
        <v>8</v>
      </c>
      <c r="I1424" s="1">
        <v>61</v>
      </c>
      <c r="J1424" s="1">
        <v>64</v>
      </c>
      <c r="K1424" s="1">
        <f t="shared" si="66"/>
        <v>3</v>
      </c>
      <c r="L1424" s="1">
        <v>95</v>
      </c>
      <c r="M1424" s="1">
        <v>25</v>
      </c>
      <c r="N1424" s="1">
        <v>2</v>
      </c>
      <c r="O1424" s="1">
        <v>4.5</v>
      </c>
      <c r="P1424" s="1">
        <v>1</v>
      </c>
      <c r="Q1424" s="2">
        <v>3.875E-2</v>
      </c>
      <c r="R1424" s="1">
        <v>1</v>
      </c>
      <c r="S1424" s="1">
        <f t="shared" si="67"/>
        <v>1</v>
      </c>
      <c r="T1424" s="1">
        <v>5</v>
      </c>
      <c r="U1424" s="1">
        <v>12.5</v>
      </c>
      <c r="V1424" s="1">
        <v>141.83006535947712</v>
      </c>
      <c r="W1424" s="1">
        <v>6</v>
      </c>
    </row>
    <row r="1425" spans="1:23" x14ac:dyDescent="0.2">
      <c r="A1425">
        <v>2020</v>
      </c>
      <c r="B1425" t="s">
        <v>23</v>
      </c>
      <c r="C1425" t="s">
        <v>271</v>
      </c>
      <c r="D1425">
        <v>1</v>
      </c>
      <c r="E1425">
        <v>2</v>
      </c>
      <c r="F1425">
        <v>5</v>
      </c>
      <c r="G1425" t="s">
        <v>25</v>
      </c>
      <c r="H1425">
        <v>15</v>
      </c>
      <c r="I1425">
        <v>59</v>
      </c>
      <c r="J1425">
        <v>63</v>
      </c>
      <c r="K1425">
        <v>4</v>
      </c>
      <c r="L1425">
        <v>164</v>
      </c>
      <c r="M1425">
        <v>89</v>
      </c>
      <c r="N1425">
        <v>1</v>
      </c>
      <c r="O1425">
        <v>1.5</v>
      </c>
      <c r="P1425">
        <v>13</v>
      </c>
      <c r="Q1425">
        <v>1.4</v>
      </c>
      <c r="R1425">
        <v>10</v>
      </c>
      <c r="S1425">
        <v>0.76923076923076927</v>
      </c>
      <c r="T1425">
        <v>2</v>
      </c>
      <c r="U1425">
        <v>10.7</v>
      </c>
      <c r="V1425">
        <v>5229.5947712418301</v>
      </c>
      <c r="W1425">
        <v>1</v>
      </c>
    </row>
    <row r="1426" spans="1:23" x14ac:dyDescent="0.2">
      <c r="A1426">
        <v>2020</v>
      </c>
      <c r="B1426" t="s">
        <v>23</v>
      </c>
      <c r="C1426" t="s">
        <v>271</v>
      </c>
      <c r="D1426">
        <v>2</v>
      </c>
      <c r="E1426">
        <v>1</v>
      </c>
      <c r="F1426">
        <v>8</v>
      </c>
      <c r="G1426" t="s">
        <v>26</v>
      </c>
      <c r="H1426" s="1">
        <v>5</v>
      </c>
      <c r="I1426" s="1">
        <v>68</v>
      </c>
      <c r="J1426" s="1">
        <v>73</v>
      </c>
      <c r="K1426" s="1">
        <f>J1426-I1426</f>
        <v>5</v>
      </c>
      <c r="L1426" s="1">
        <v>118</v>
      </c>
      <c r="M1426" s="1">
        <v>42</v>
      </c>
      <c r="N1426" s="1">
        <v>1.5</v>
      </c>
      <c r="O1426" s="1">
        <v>4</v>
      </c>
      <c r="P1426" s="1">
        <v>2</v>
      </c>
      <c r="Q1426" s="2">
        <v>0.108</v>
      </c>
      <c r="R1426" s="1">
        <v>2</v>
      </c>
      <c r="S1426" s="1">
        <f>R1426/P1426</f>
        <v>1</v>
      </c>
      <c r="T1426" s="1">
        <v>5</v>
      </c>
      <c r="U1426" s="1">
        <v>12.5</v>
      </c>
      <c r="V1426" s="1">
        <v>395.29411764705878</v>
      </c>
      <c r="W1426" s="1">
        <v>4</v>
      </c>
    </row>
    <row r="1427" spans="1:23" x14ac:dyDescent="0.2">
      <c r="A1427">
        <v>2020</v>
      </c>
      <c r="B1427" t="s">
        <v>23</v>
      </c>
      <c r="C1427" t="s">
        <v>271</v>
      </c>
      <c r="D1427">
        <v>2</v>
      </c>
      <c r="E1427">
        <v>2</v>
      </c>
      <c r="F1427">
        <v>9</v>
      </c>
      <c r="G1427" t="s">
        <v>26</v>
      </c>
      <c r="H1427" s="1">
        <v>2</v>
      </c>
      <c r="I1427" s="1">
        <v>56</v>
      </c>
      <c r="J1427" s="1">
        <v>61</v>
      </c>
      <c r="K1427" s="1">
        <f>J1427-I1427</f>
        <v>5</v>
      </c>
      <c r="L1427" s="1">
        <v>118</v>
      </c>
      <c r="M1427" s="1">
        <v>45</v>
      </c>
      <c r="N1427" s="1">
        <v>2</v>
      </c>
      <c r="O1427" s="1">
        <v>3</v>
      </c>
      <c r="P1427" s="1">
        <v>5</v>
      </c>
      <c r="Q1427" s="2">
        <v>3.2400000000000005E-2</v>
      </c>
      <c r="R1427" s="1">
        <v>2</v>
      </c>
      <c r="S1427" s="1">
        <f>R1427/P1427</f>
        <v>0.4</v>
      </c>
      <c r="T1427" s="1">
        <v>3</v>
      </c>
      <c r="U1427" s="1">
        <v>12.5</v>
      </c>
      <c r="V1427" s="1">
        <v>118.58823529411767</v>
      </c>
      <c r="W1427" s="1">
        <v>3</v>
      </c>
    </row>
    <row r="1428" spans="1:23" x14ac:dyDescent="0.2">
      <c r="A1428">
        <v>2020</v>
      </c>
      <c r="B1428" t="s">
        <v>23</v>
      </c>
      <c r="C1428" t="s">
        <v>271</v>
      </c>
      <c r="D1428">
        <v>3</v>
      </c>
      <c r="E1428">
        <v>1</v>
      </c>
      <c r="F1428">
        <v>14</v>
      </c>
      <c r="G1428" t="s">
        <v>27</v>
      </c>
      <c r="H1428" s="1">
        <v>2</v>
      </c>
      <c r="I1428" s="1">
        <v>62</v>
      </c>
      <c r="J1428" s="1">
        <v>66</v>
      </c>
      <c r="K1428" s="1">
        <f>J1428-I1428</f>
        <v>4</v>
      </c>
      <c r="L1428" s="1">
        <v>73</v>
      </c>
      <c r="M1428" s="1">
        <v>53</v>
      </c>
      <c r="N1428" s="1">
        <v>2</v>
      </c>
      <c r="O1428" s="1">
        <v>3</v>
      </c>
      <c r="P1428" s="1">
        <v>2</v>
      </c>
      <c r="Q1428" s="2">
        <v>0.1404</v>
      </c>
      <c r="R1428" s="1">
        <v>2</v>
      </c>
      <c r="S1428" s="1">
        <f>R1428/P1428</f>
        <v>1</v>
      </c>
      <c r="T1428" s="1">
        <v>4</v>
      </c>
      <c r="U1428" s="1">
        <v>10</v>
      </c>
      <c r="V1428" s="1">
        <v>528.56470588235288</v>
      </c>
      <c r="W1428" s="1">
        <v>3</v>
      </c>
    </row>
    <row r="1429" spans="1:23" x14ac:dyDescent="0.2">
      <c r="A1429">
        <v>2020</v>
      </c>
      <c r="B1429" t="s">
        <v>23</v>
      </c>
      <c r="C1429" t="s">
        <v>271</v>
      </c>
      <c r="D1429">
        <v>3</v>
      </c>
      <c r="E1429">
        <v>2</v>
      </c>
      <c r="F1429">
        <v>8</v>
      </c>
      <c r="G1429" t="s">
        <v>27</v>
      </c>
      <c r="H1429" s="1">
        <v>14</v>
      </c>
      <c r="I1429" s="1">
        <v>60</v>
      </c>
      <c r="J1429" s="1">
        <v>63</v>
      </c>
      <c r="K1429" s="1">
        <f>J1429-I1429</f>
        <v>3</v>
      </c>
      <c r="L1429" s="1">
        <v>141</v>
      </c>
      <c r="M1429" s="1">
        <v>63</v>
      </c>
      <c r="N1429" s="1">
        <v>2</v>
      </c>
      <c r="O1429" s="1">
        <v>2.5</v>
      </c>
      <c r="P1429" s="1">
        <f>H1429</f>
        <v>14</v>
      </c>
      <c r="Q1429" s="2">
        <v>0.19125</v>
      </c>
      <c r="R1429" s="1">
        <v>6</v>
      </c>
      <c r="S1429" s="1">
        <f>R1429/P1429</f>
        <v>0.42857142857142855</v>
      </c>
      <c r="T1429" s="1">
        <v>5</v>
      </c>
      <c r="U1429" s="1">
        <v>12.5</v>
      </c>
      <c r="V1429" s="1">
        <v>700</v>
      </c>
      <c r="W1429" s="1">
        <v>3</v>
      </c>
    </row>
    <row r="1430" spans="1:23" x14ac:dyDescent="0.2">
      <c r="A1430">
        <v>2020</v>
      </c>
      <c r="B1430" t="s">
        <v>23</v>
      </c>
      <c r="C1430" t="s">
        <v>271</v>
      </c>
      <c r="D1430">
        <v>4</v>
      </c>
      <c r="E1430">
        <v>1</v>
      </c>
      <c r="F1430">
        <v>7</v>
      </c>
      <c r="G1430" t="s">
        <v>28</v>
      </c>
      <c r="H1430">
        <v>12</v>
      </c>
      <c r="I1430">
        <v>54</v>
      </c>
      <c r="J1430">
        <v>56</v>
      </c>
      <c r="K1430">
        <v>2</v>
      </c>
      <c r="L1430">
        <v>172</v>
      </c>
      <c r="M1430">
        <v>68</v>
      </c>
      <c r="N1430">
        <v>2</v>
      </c>
      <c r="O1430">
        <v>2</v>
      </c>
      <c r="P1430">
        <v>12</v>
      </c>
      <c r="Q1430">
        <v>1.4</v>
      </c>
      <c r="R1430">
        <v>12</v>
      </c>
      <c r="S1430">
        <v>1</v>
      </c>
      <c r="T1430">
        <v>3</v>
      </c>
      <c r="U1430">
        <v>9</v>
      </c>
      <c r="V1430">
        <v>5329.1503267973858</v>
      </c>
      <c r="W1430">
        <v>1</v>
      </c>
    </row>
    <row r="1431" spans="1:23" x14ac:dyDescent="0.2">
      <c r="A1431">
        <v>2020</v>
      </c>
      <c r="B1431" t="s">
        <v>23</v>
      </c>
      <c r="C1431" t="s">
        <v>271</v>
      </c>
      <c r="D1431">
        <v>4</v>
      </c>
      <c r="E1431">
        <v>2</v>
      </c>
      <c r="F1431">
        <v>12</v>
      </c>
      <c r="G1431" t="s">
        <v>28</v>
      </c>
      <c r="H1431">
        <v>6</v>
      </c>
      <c r="I1431">
        <v>55</v>
      </c>
      <c r="J1431">
        <v>57</v>
      </c>
      <c r="K1431">
        <v>2</v>
      </c>
      <c r="L1431">
        <v>90</v>
      </c>
      <c r="M1431">
        <v>31</v>
      </c>
      <c r="N1431">
        <v>3</v>
      </c>
      <c r="O1431">
        <v>3</v>
      </c>
      <c r="P1431">
        <v>6</v>
      </c>
      <c r="Q1431">
        <v>0.152</v>
      </c>
      <c r="R1431">
        <v>2</v>
      </c>
      <c r="S1431">
        <v>0.33333333333333331</v>
      </c>
      <c r="T1431">
        <v>4</v>
      </c>
      <c r="U1431">
        <v>12.5</v>
      </c>
      <c r="V1431">
        <v>556.33986928104571</v>
      </c>
      <c r="W1431">
        <v>2</v>
      </c>
    </row>
    <row r="1432" spans="1:23" x14ac:dyDescent="0.2">
      <c r="A1432">
        <v>2020</v>
      </c>
      <c r="B1432" t="s">
        <v>23</v>
      </c>
      <c r="C1432" t="s">
        <v>271</v>
      </c>
      <c r="D1432">
        <v>5</v>
      </c>
      <c r="E1432">
        <v>1</v>
      </c>
      <c r="F1432">
        <v>8</v>
      </c>
      <c r="G1432" t="s">
        <v>29</v>
      </c>
      <c r="H1432" s="1">
        <v>10</v>
      </c>
      <c r="I1432" s="1">
        <v>63</v>
      </c>
      <c r="J1432" s="1">
        <v>66</v>
      </c>
      <c r="K1432" s="1">
        <f>J1432-I1432</f>
        <v>3</v>
      </c>
      <c r="L1432" s="1">
        <v>120</v>
      </c>
      <c r="M1432" s="1">
        <v>46</v>
      </c>
      <c r="N1432" s="1">
        <v>2.5</v>
      </c>
      <c r="O1432" s="1">
        <v>4.5</v>
      </c>
      <c r="P1432" s="1">
        <v>8</v>
      </c>
      <c r="Q1432" s="2">
        <v>0.24299999999999999</v>
      </c>
      <c r="R1432" s="1">
        <v>5</v>
      </c>
      <c r="S1432" s="1">
        <f>R1432/P1432</f>
        <v>0.625</v>
      </c>
      <c r="T1432" s="1">
        <v>5</v>
      </c>
      <c r="U1432" s="1">
        <v>12.5</v>
      </c>
      <c r="V1432" s="1">
        <v>889.41176470588243</v>
      </c>
      <c r="W1432" s="1">
        <v>5</v>
      </c>
    </row>
    <row r="1433" spans="1:23" x14ac:dyDescent="0.2">
      <c r="A1433">
        <v>2020</v>
      </c>
      <c r="B1433" t="s">
        <v>23</v>
      </c>
      <c r="C1433" t="s">
        <v>271</v>
      </c>
      <c r="D1433">
        <v>5</v>
      </c>
      <c r="E1433">
        <v>2</v>
      </c>
      <c r="F1433">
        <v>9</v>
      </c>
      <c r="G1433" t="s">
        <v>29</v>
      </c>
      <c r="H1433" s="1">
        <v>4</v>
      </c>
      <c r="I1433" s="1">
        <v>66</v>
      </c>
      <c r="J1433" s="1">
        <v>69</v>
      </c>
      <c r="K1433" s="1">
        <f>J1433-I1433</f>
        <v>3</v>
      </c>
      <c r="L1433" s="1">
        <v>167</v>
      </c>
      <c r="M1433" s="1">
        <v>73</v>
      </c>
      <c r="N1433" s="1">
        <v>2</v>
      </c>
      <c r="O1433" s="1">
        <v>3.5</v>
      </c>
      <c r="P1433" s="1">
        <v>2</v>
      </c>
      <c r="Q1433" s="2">
        <v>0.18680000000000002</v>
      </c>
      <c r="R1433" s="1">
        <v>2</v>
      </c>
      <c r="S1433" s="1">
        <f>R1433/P1433</f>
        <v>1</v>
      </c>
      <c r="T1433" s="1">
        <v>5</v>
      </c>
      <c r="U1433" s="1">
        <v>10.5</v>
      </c>
      <c r="V1433" s="1">
        <v>699.34013071895436</v>
      </c>
      <c r="W1433" s="1">
        <v>4</v>
      </c>
    </row>
    <row r="1434" spans="1:23" x14ac:dyDescent="0.2">
      <c r="A1434">
        <v>2020</v>
      </c>
      <c r="B1434" t="s">
        <v>23</v>
      </c>
      <c r="C1434" t="s">
        <v>271</v>
      </c>
      <c r="D1434">
        <v>6</v>
      </c>
      <c r="E1434">
        <v>1</v>
      </c>
      <c r="F1434">
        <v>7</v>
      </c>
      <c r="G1434" t="s">
        <v>30</v>
      </c>
      <c r="H1434" s="3">
        <v>6</v>
      </c>
      <c r="I1434" s="3">
        <v>65</v>
      </c>
      <c r="J1434" s="3">
        <v>67</v>
      </c>
      <c r="K1434" s="3">
        <f>J1434-I1434</f>
        <v>2</v>
      </c>
      <c r="L1434" s="3">
        <v>121</v>
      </c>
      <c r="M1434" s="3">
        <v>55</v>
      </c>
      <c r="N1434" s="3">
        <v>2</v>
      </c>
      <c r="O1434" s="3">
        <v>4</v>
      </c>
      <c r="P1434" s="3">
        <v>5</v>
      </c>
      <c r="Q1434" s="4">
        <v>0.12</v>
      </c>
      <c r="R1434" s="3">
        <v>5</v>
      </c>
      <c r="S1434" s="3">
        <f>R1434/P1434</f>
        <v>1</v>
      </c>
      <c r="T1434" s="3">
        <v>4</v>
      </c>
      <c r="U1434" s="3">
        <v>12.5</v>
      </c>
      <c r="V1434" s="3">
        <v>439.21568627450984</v>
      </c>
      <c r="W1434" s="3">
        <v>4</v>
      </c>
    </row>
    <row r="1435" spans="1:23" x14ac:dyDescent="0.2">
      <c r="A1435">
        <v>2020</v>
      </c>
      <c r="B1435" t="s">
        <v>23</v>
      </c>
      <c r="C1435" t="s">
        <v>271</v>
      </c>
      <c r="D1435">
        <v>6</v>
      </c>
      <c r="E1435">
        <v>2</v>
      </c>
      <c r="F1435">
        <v>12</v>
      </c>
      <c r="G1435" t="s">
        <v>30</v>
      </c>
      <c r="H1435">
        <v>10</v>
      </c>
      <c r="I1435">
        <v>63</v>
      </c>
      <c r="J1435">
        <v>65</v>
      </c>
      <c r="K1435">
        <v>2</v>
      </c>
      <c r="L1435">
        <v>137</v>
      </c>
      <c r="M1435">
        <v>60</v>
      </c>
      <c r="N1435">
        <v>2</v>
      </c>
      <c r="O1435">
        <v>3</v>
      </c>
      <c r="P1435">
        <v>10</v>
      </c>
      <c r="Q1435">
        <v>1.2</v>
      </c>
      <c r="R1435">
        <v>10</v>
      </c>
      <c r="S1435">
        <v>1</v>
      </c>
      <c r="T1435">
        <v>3</v>
      </c>
      <c r="U1435">
        <v>12.5</v>
      </c>
      <c r="V1435">
        <v>4392.1568627450979</v>
      </c>
      <c r="W1435">
        <v>1</v>
      </c>
    </row>
    <row r="1436" spans="1:23" x14ac:dyDescent="0.2">
      <c r="A1436">
        <v>2020</v>
      </c>
      <c r="B1436" t="s">
        <v>23</v>
      </c>
      <c r="C1436" t="s">
        <v>271</v>
      </c>
      <c r="D1436">
        <v>7</v>
      </c>
      <c r="E1436">
        <v>1</v>
      </c>
      <c r="F1436">
        <v>4</v>
      </c>
      <c r="G1436" t="s">
        <v>31</v>
      </c>
      <c r="H1436">
        <v>16</v>
      </c>
      <c r="I1436">
        <v>58</v>
      </c>
      <c r="J1436">
        <v>60</v>
      </c>
      <c r="K1436">
        <v>2</v>
      </c>
      <c r="L1436">
        <v>183</v>
      </c>
      <c r="M1436">
        <v>80</v>
      </c>
      <c r="N1436">
        <v>2</v>
      </c>
      <c r="O1436">
        <v>2</v>
      </c>
      <c r="P1436">
        <v>15</v>
      </c>
      <c r="Q1436">
        <v>0.8</v>
      </c>
      <c r="R1436">
        <v>13</v>
      </c>
      <c r="S1436">
        <v>0.8666666666666667</v>
      </c>
      <c r="T1436">
        <v>3</v>
      </c>
      <c r="U1436">
        <v>11.1</v>
      </c>
      <c r="V1436">
        <v>2974.9542483660134</v>
      </c>
      <c r="W1436">
        <v>2</v>
      </c>
    </row>
    <row r="1437" spans="1:23" x14ac:dyDescent="0.2">
      <c r="A1437">
        <v>2020</v>
      </c>
      <c r="B1437" t="s">
        <v>23</v>
      </c>
      <c r="C1437" t="s">
        <v>271</v>
      </c>
      <c r="D1437">
        <v>7</v>
      </c>
      <c r="E1437">
        <v>2</v>
      </c>
      <c r="F1437">
        <v>14</v>
      </c>
      <c r="G1437" t="s">
        <v>31</v>
      </c>
      <c r="H1437" s="1">
        <v>10</v>
      </c>
      <c r="I1437" s="1">
        <v>68</v>
      </c>
      <c r="J1437" s="1">
        <v>71</v>
      </c>
      <c r="K1437" s="1">
        <f>J1437-I1437</f>
        <v>3</v>
      </c>
      <c r="L1437" s="1">
        <v>124</v>
      </c>
      <c r="M1437" s="1">
        <v>47</v>
      </c>
      <c r="N1437" s="1">
        <v>2</v>
      </c>
      <c r="O1437" s="1">
        <v>4</v>
      </c>
      <c r="P1437" s="1">
        <v>8</v>
      </c>
      <c r="Q1437" s="2">
        <v>0.33950000000000002</v>
      </c>
      <c r="R1437" s="1">
        <v>7</v>
      </c>
      <c r="S1437" s="1">
        <f>R1437/P1437</f>
        <v>0.875</v>
      </c>
      <c r="T1437" s="1">
        <v>4</v>
      </c>
      <c r="U1437" s="1">
        <v>12.5</v>
      </c>
      <c r="V1437" s="1">
        <v>1242.6143790849674</v>
      </c>
      <c r="W1437" s="1">
        <v>5</v>
      </c>
    </row>
    <row r="1438" spans="1:23" x14ac:dyDescent="0.2">
      <c r="A1438">
        <v>2020</v>
      </c>
      <c r="B1438" t="s">
        <v>23</v>
      </c>
      <c r="C1438" t="s">
        <v>271</v>
      </c>
      <c r="D1438">
        <v>8</v>
      </c>
      <c r="E1438">
        <v>1</v>
      </c>
      <c r="F1438">
        <v>2</v>
      </c>
      <c r="G1438" t="s">
        <v>32</v>
      </c>
      <c r="H1438" s="1">
        <v>10</v>
      </c>
      <c r="I1438" s="1">
        <v>64</v>
      </c>
      <c r="J1438" s="1">
        <v>68</v>
      </c>
      <c r="K1438" s="1">
        <f>J1438-I1438</f>
        <v>4</v>
      </c>
      <c r="L1438" s="1">
        <v>109</v>
      </c>
      <c r="M1438" s="1">
        <v>46</v>
      </c>
      <c r="N1438" s="1">
        <v>2.5</v>
      </c>
      <c r="O1438" s="1">
        <v>4</v>
      </c>
      <c r="P1438" s="1">
        <v>8</v>
      </c>
      <c r="Q1438" s="2">
        <v>0.26374999999999998</v>
      </c>
      <c r="R1438" s="1">
        <v>8</v>
      </c>
      <c r="S1438" s="1">
        <f>R1438/P1438</f>
        <v>1</v>
      </c>
      <c r="T1438" s="1">
        <v>3</v>
      </c>
      <c r="U1438" s="1">
        <v>12.5</v>
      </c>
      <c r="V1438" s="1">
        <v>965.35947712418294</v>
      </c>
      <c r="W1438" s="1">
        <v>4</v>
      </c>
    </row>
    <row r="1439" spans="1:23" x14ac:dyDescent="0.2">
      <c r="A1439">
        <v>2020</v>
      </c>
      <c r="B1439" t="s">
        <v>23</v>
      </c>
      <c r="C1439" t="s">
        <v>271</v>
      </c>
      <c r="D1439">
        <v>8</v>
      </c>
      <c r="E1439">
        <v>2</v>
      </c>
      <c r="F1439">
        <v>11</v>
      </c>
      <c r="G1439" t="s">
        <v>32</v>
      </c>
      <c r="H1439" s="1">
        <v>9</v>
      </c>
      <c r="I1439" s="1">
        <v>59</v>
      </c>
      <c r="J1439" s="1">
        <v>64</v>
      </c>
      <c r="K1439" s="1">
        <f>J1439-I1439</f>
        <v>5</v>
      </c>
      <c r="L1439" s="1">
        <v>153</v>
      </c>
      <c r="M1439" s="1">
        <v>85</v>
      </c>
      <c r="N1439" s="1">
        <v>2</v>
      </c>
      <c r="O1439" s="1">
        <v>2</v>
      </c>
      <c r="P1439" s="1">
        <v>9</v>
      </c>
      <c r="Q1439" s="2">
        <v>0.56000000000000005</v>
      </c>
      <c r="R1439" s="1">
        <v>9</v>
      </c>
      <c r="S1439" s="1">
        <f>R1439/P1439</f>
        <v>1</v>
      </c>
      <c r="T1439" s="1">
        <v>3</v>
      </c>
      <c r="U1439" s="1">
        <v>7.8</v>
      </c>
      <c r="V1439" s="1">
        <v>2159.7699346405229</v>
      </c>
      <c r="W1439" s="1">
        <v>4</v>
      </c>
    </row>
    <row r="1440" spans="1:23" x14ac:dyDescent="0.2">
      <c r="A1440">
        <v>2020</v>
      </c>
      <c r="B1440" t="s">
        <v>23</v>
      </c>
      <c r="C1440" t="s">
        <v>271</v>
      </c>
      <c r="D1440">
        <v>9</v>
      </c>
      <c r="E1440">
        <v>1</v>
      </c>
      <c r="F1440">
        <v>5</v>
      </c>
      <c r="G1440" t="s">
        <v>33</v>
      </c>
      <c r="H1440">
        <v>5</v>
      </c>
      <c r="I1440">
        <v>55</v>
      </c>
      <c r="J1440">
        <v>60</v>
      </c>
      <c r="K1440">
        <v>5</v>
      </c>
      <c r="L1440">
        <v>165</v>
      </c>
      <c r="M1440">
        <v>76</v>
      </c>
      <c r="N1440">
        <v>1.5</v>
      </c>
      <c r="O1440">
        <v>3</v>
      </c>
      <c r="P1440">
        <v>4</v>
      </c>
      <c r="Q1440">
        <v>0.4</v>
      </c>
      <c r="R1440">
        <v>3</v>
      </c>
      <c r="S1440">
        <v>0.75</v>
      </c>
      <c r="T1440">
        <v>2.5</v>
      </c>
      <c r="U1440">
        <v>12.5</v>
      </c>
      <c r="V1440">
        <v>1464.0522875816994</v>
      </c>
      <c r="W1440">
        <v>2</v>
      </c>
    </row>
    <row r="1441" spans="1:23" x14ac:dyDescent="0.2">
      <c r="A1441">
        <v>2020</v>
      </c>
      <c r="B1441" t="s">
        <v>23</v>
      </c>
      <c r="C1441" t="s">
        <v>271</v>
      </c>
      <c r="D1441">
        <v>9</v>
      </c>
      <c r="E1441">
        <v>2</v>
      </c>
      <c r="F1441">
        <v>9</v>
      </c>
      <c r="G1441" t="s">
        <v>33</v>
      </c>
      <c r="H1441">
        <v>8</v>
      </c>
      <c r="I1441">
        <v>55</v>
      </c>
      <c r="J1441">
        <v>60</v>
      </c>
      <c r="K1441">
        <v>5</v>
      </c>
      <c r="L1441">
        <v>140</v>
      </c>
      <c r="M1441">
        <v>48</v>
      </c>
      <c r="N1441">
        <v>2</v>
      </c>
      <c r="O1441">
        <v>2.5</v>
      </c>
      <c r="P1441">
        <v>8</v>
      </c>
      <c r="Q1441">
        <v>0.5</v>
      </c>
      <c r="R1441">
        <v>10</v>
      </c>
      <c r="S1441">
        <v>1.25</v>
      </c>
      <c r="T1441">
        <v>3</v>
      </c>
      <c r="U1441">
        <v>9.6</v>
      </c>
      <c r="V1441">
        <v>1890.7189542483659</v>
      </c>
      <c r="W1441">
        <v>2</v>
      </c>
    </row>
    <row r="1442" spans="1:23" x14ac:dyDescent="0.2">
      <c r="A1442">
        <v>2020</v>
      </c>
      <c r="B1442" t="s">
        <v>23</v>
      </c>
      <c r="C1442" t="s">
        <v>271</v>
      </c>
      <c r="D1442">
        <v>10</v>
      </c>
      <c r="E1442">
        <v>1</v>
      </c>
      <c r="F1442">
        <v>5</v>
      </c>
      <c r="G1442" t="s">
        <v>34</v>
      </c>
      <c r="H1442" s="1">
        <v>6</v>
      </c>
      <c r="I1442" s="1">
        <v>62</v>
      </c>
      <c r="J1442" s="1">
        <v>66</v>
      </c>
      <c r="K1442" s="1">
        <f>J1442-I1442</f>
        <v>4</v>
      </c>
      <c r="L1442" s="1">
        <v>103</v>
      </c>
      <c r="M1442" s="1">
        <v>36</v>
      </c>
      <c r="N1442" s="1">
        <v>1.5</v>
      </c>
      <c r="O1442" s="1">
        <v>4</v>
      </c>
      <c r="P1442" s="1">
        <v>5</v>
      </c>
      <c r="Q1442" s="2">
        <v>0.15</v>
      </c>
      <c r="R1442" s="1">
        <v>5</v>
      </c>
      <c r="S1442" s="1">
        <f>R1442/P1442</f>
        <v>1</v>
      </c>
      <c r="T1442" s="1">
        <v>4</v>
      </c>
      <c r="U1442" s="1">
        <v>12.5</v>
      </c>
      <c r="V1442" s="1">
        <v>549.01960784313724</v>
      </c>
      <c r="W1442" s="1">
        <v>5</v>
      </c>
    </row>
    <row r="1443" spans="1:23" x14ac:dyDescent="0.2">
      <c r="A1443">
        <v>2020</v>
      </c>
      <c r="B1443" t="s">
        <v>23</v>
      </c>
      <c r="C1443" t="s">
        <v>271</v>
      </c>
      <c r="D1443">
        <v>10</v>
      </c>
      <c r="E1443">
        <v>2</v>
      </c>
      <c r="F1443">
        <v>9</v>
      </c>
      <c r="G1443" t="s">
        <v>34</v>
      </c>
      <c r="H1443" s="1">
        <v>9</v>
      </c>
      <c r="I1443" s="1">
        <v>61</v>
      </c>
      <c r="J1443" s="1">
        <v>66</v>
      </c>
      <c r="K1443" s="1">
        <f>J1443-I1443</f>
        <v>5</v>
      </c>
      <c r="L1443" s="1">
        <v>122</v>
      </c>
      <c r="M1443" s="1">
        <v>85</v>
      </c>
      <c r="N1443" s="1">
        <v>2</v>
      </c>
      <c r="O1443" s="1">
        <v>2.5</v>
      </c>
      <c r="P1443" s="1">
        <f>H1443-2</f>
        <v>7</v>
      </c>
      <c r="Q1443" s="2">
        <v>6.1499999999999999E-2</v>
      </c>
      <c r="R1443" s="1">
        <v>5</v>
      </c>
      <c r="S1443" s="1">
        <f>R1443/P1443</f>
        <v>0.7142857142857143</v>
      </c>
      <c r="T1443" s="1">
        <v>5</v>
      </c>
      <c r="U1443" s="1">
        <v>12.5</v>
      </c>
      <c r="V1443" s="1">
        <v>225.0980392156863</v>
      </c>
      <c r="W1443" s="1">
        <v>6</v>
      </c>
    </row>
    <row r="1444" spans="1:23" x14ac:dyDescent="0.2">
      <c r="A1444">
        <v>2020</v>
      </c>
      <c r="B1444" t="s">
        <v>23</v>
      </c>
      <c r="C1444" t="s">
        <v>271</v>
      </c>
      <c r="D1444">
        <v>11</v>
      </c>
      <c r="E1444">
        <v>1</v>
      </c>
      <c r="F1444">
        <v>2</v>
      </c>
      <c r="G1444" t="s">
        <v>35</v>
      </c>
      <c r="H1444">
        <v>12</v>
      </c>
      <c r="I1444">
        <v>55</v>
      </c>
      <c r="J1444">
        <v>60</v>
      </c>
      <c r="K1444">
        <v>5</v>
      </c>
      <c r="L1444">
        <v>166</v>
      </c>
      <c r="M1444">
        <v>35</v>
      </c>
      <c r="N1444">
        <v>2</v>
      </c>
      <c r="O1444">
        <v>2</v>
      </c>
      <c r="P1444">
        <v>9</v>
      </c>
      <c r="Q1444">
        <v>0.5</v>
      </c>
      <c r="R1444">
        <v>9</v>
      </c>
      <c r="S1444">
        <v>1</v>
      </c>
      <c r="T1444">
        <v>2</v>
      </c>
      <c r="U1444">
        <v>10.6</v>
      </c>
      <c r="V1444">
        <v>1869.8039215686274</v>
      </c>
      <c r="W1444">
        <v>1</v>
      </c>
    </row>
    <row r="1445" spans="1:23" x14ac:dyDescent="0.2">
      <c r="A1445">
        <v>2020</v>
      </c>
      <c r="B1445" t="s">
        <v>23</v>
      </c>
      <c r="C1445" t="s">
        <v>271</v>
      </c>
      <c r="D1445">
        <v>11</v>
      </c>
      <c r="E1445">
        <v>2</v>
      </c>
      <c r="F1445">
        <v>12</v>
      </c>
      <c r="G1445" t="s">
        <v>35</v>
      </c>
      <c r="H1445" s="1">
        <v>2</v>
      </c>
      <c r="I1445" s="1">
        <v>62</v>
      </c>
      <c r="J1445" s="1">
        <v>66</v>
      </c>
      <c r="K1445" s="1">
        <f>J1445-I1445</f>
        <v>4</v>
      </c>
      <c r="L1445" s="1">
        <v>79</v>
      </c>
      <c r="M1445" s="1">
        <v>31</v>
      </c>
      <c r="N1445" s="1">
        <v>2</v>
      </c>
      <c r="O1445" s="1">
        <v>3</v>
      </c>
      <c r="P1445" s="1">
        <v>2</v>
      </c>
      <c r="Q1445" s="2">
        <v>2.76E-2</v>
      </c>
      <c r="R1445" s="1">
        <v>1</v>
      </c>
      <c r="S1445" s="1">
        <f>R1445/P1445</f>
        <v>0.5</v>
      </c>
      <c r="T1445" s="1">
        <v>4</v>
      </c>
      <c r="U1445" s="1">
        <v>12.5</v>
      </c>
      <c r="V1445" s="1">
        <v>101.01960784313725</v>
      </c>
      <c r="W1445" s="1">
        <v>2</v>
      </c>
    </row>
    <row r="1446" spans="1:23" x14ac:dyDescent="0.2">
      <c r="A1446">
        <v>2020</v>
      </c>
      <c r="B1446" t="s">
        <v>23</v>
      </c>
      <c r="C1446" t="s">
        <v>271</v>
      </c>
      <c r="D1446">
        <v>12</v>
      </c>
      <c r="E1446">
        <v>1</v>
      </c>
      <c r="F1446">
        <v>14</v>
      </c>
      <c r="G1446" t="s">
        <v>36</v>
      </c>
      <c r="H1446" s="1">
        <v>13</v>
      </c>
      <c r="I1446" s="1">
        <v>62</v>
      </c>
      <c r="J1446" s="1">
        <v>65</v>
      </c>
      <c r="K1446" s="1">
        <f>J1446-I1446</f>
        <v>3</v>
      </c>
      <c r="L1446" s="1">
        <v>171</v>
      </c>
      <c r="M1446" s="1">
        <v>79</v>
      </c>
      <c r="N1446" s="1">
        <v>2</v>
      </c>
      <c r="O1446" s="1">
        <v>2.5</v>
      </c>
      <c r="P1446" s="1">
        <v>13</v>
      </c>
      <c r="Q1446" s="2">
        <v>0.33524999999999999</v>
      </c>
      <c r="R1446" s="1">
        <v>9</v>
      </c>
      <c r="S1446" s="1">
        <f>R1446/P1446</f>
        <v>0.69230769230769229</v>
      </c>
      <c r="T1446" s="1">
        <v>5</v>
      </c>
      <c r="U1446" s="1">
        <v>12.5</v>
      </c>
      <c r="V1446" s="1">
        <v>1227.0588235294117</v>
      </c>
      <c r="W1446" s="1">
        <v>5</v>
      </c>
    </row>
    <row r="1447" spans="1:23" x14ac:dyDescent="0.2">
      <c r="A1447">
        <v>2020</v>
      </c>
      <c r="B1447" t="s">
        <v>23</v>
      </c>
      <c r="C1447" t="s">
        <v>271</v>
      </c>
      <c r="D1447">
        <v>12</v>
      </c>
      <c r="E1447">
        <v>2</v>
      </c>
      <c r="F1447">
        <v>5</v>
      </c>
      <c r="G1447" t="s">
        <v>36</v>
      </c>
      <c r="H1447">
        <v>5</v>
      </c>
      <c r="I1447">
        <v>59</v>
      </c>
      <c r="J1447">
        <v>63</v>
      </c>
      <c r="K1447">
        <v>4</v>
      </c>
      <c r="L1447">
        <v>142</v>
      </c>
      <c r="M1447">
        <v>60</v>
      </c>
      <c r="N1447">
        <v>1</v>
      </c>
      <c r="O1447">
        <v>4</v>
      </c>
      <c r="P1447">
        <v>5</v>
      </c>
      <c r="Q1447">
        <v>0.2311</v>
      </c>
      <c r="R1447">
        <v>5</v>
      </c>
      <c r="S1447">
        <v>1</v>
      </c>
      <c r="T1447">
        <v>3</v>
      </c>
      <c r="U1447">
        <v>12.5</v>
      </c>
      <c r="V1447">
        <v>845.85620915032678</v>
      </c>
      <c r="W1447">
        <v>2</v>
      </c>
    </row>
    <row r="1448" spans="1:23" x14ac:dyDescent="0.2">
      <c r="A1448">
        <v>2020</v>
      </c>
      <c r="B1448" t="s">
        <v>23</v>
      </c>
      <c r="C1448" t="s">
        <v>271</v>
      </c>
      <c r="D1448">
        <v>13</v>
      </c>
      <c r="E1448">
        <v>1</v>
      </c>
      <c r="F1448">
        <v>11</v>
      </c>
      <c r="G1448" t="s">
        <v>37</v>
      </c>
      <c r="H1448" s="1">
        <v>5</v>
      </c>
      <c r="I1448" s="1">
        <v>58</v>
      </c>
      <c r="J1448" s="1">
        <v>63</v>
      </c>
      <c r="K1448" s="1">
        <f>J1448-I1448</f>
        <v>5</v>
      </c>
      <c r="L1448" s="1">
        <v>173</v>
      </c>
      <c r="M1448" s="1">
        <v>92</v>
      </c>
      <c r="N1448" s="1">
        <v>2</v>
      </c>
      <c r="O1448" s="1">
        <v>2.5</v>
      </c>
      <c r="P1448" s="1">
        <v>5</v>
      </c>
      <c r="Q1448" s="2">
        <v>1.0116000000000001</v>
      </c>
      <c r="R1448" s="1">
        <v>5</v>
      </c>
      <c r="S1448" s="1">
        <f>R1448/P1448</f>
        <v>1</v>
      </c>
      <c r="T1448" s="1">
        <v>5</v>
      </c>
      <c r="U1448" s="1">
        <v>9.1</v>
      </c>
      <c r="V1448" s="1">
        <v>3846.4602352941179</v>
      </c>
      <c r="W1448" s="1">
        <v>5</v>
      </c>
    </row>
    <row r="1449" spans="1:23" x14ac:dyDescent="0.2">
      <c r="A1449">
        <v>2020</v>
      </c>
      <c r="B1449" t="s">
        <v>23</v>
      </c>
      <c r="C1449" t="s">
        <v>271</v>
      </c>
      <c r="D1449">
        <v>13</v>
      </c>
      <c r="E1449">
        <v>2</v>
      </c>
      <c r="F1449">
        <v>14</v>
      </c>
      <c r="G1449" t="s">
        <v>37</v>
      </c>
      <c r="H1449" s="1">
        <v>10</v>
      </c>
      <c r="I1449" s="1">
        <v>65</v>
      </c>
      <c r="J1449" s="1">
        <v>70</v>
      </c>
      <c r="K1449" s="1">
        <f>J1449-I1449</f>
        <v>5</v>
      </c>
      <c r="L1449" s="1">
        <v>123</v>
      </c>
      <c r="M1449" s="1">
        <v>95</v>
      </c>
      <c r="N1449" s="1">
        <v>2</v>
      </c>
      <c r="O1449" s="1">
        <v>4</v>
      </c>
      <c r="P1449" s="1">
        <f>H1449</f>
        <v>10</v>
      </c>
      <c r="Q1449" s="2">
        <v>0.16950000000000001</v>
      </c>
      <c r="R1449" s="1">
        <v>6</v>
      </c>
      <c r="S1449" s="1">
        <f>R1449/P1449</f>
        <v>0.6</v>
      </c>
      <c r="T1449" s="1">
        <v>5</v>
      </c>
      <c r="U1449" s="1">
        <v>12.5</v>
      </c>
      <c r="V1449" s="1">
        <v>620.3921568627452</v>
      </c>
      <c r="W1449" s="1">
        <v>6</v>
      </c>
    </row>
    <row r="1450" spans="1:23" x14ac:dyDescent="0.2">
      <c r="A1450">
        <v>2020</v>
      </c>
      <c r="B1450" t="s">
        <v>23</v>
      </c>
      <c r="C1450" t="s">
        <v>271</v>
      </c>
      <c r="D1450">
        <v>14</v>
      </c>
      <c r="E1450">
        <v>1</v>
      </c>
      <c r="F1450">
        <v>3</v>
      </c>
      <c r="G1450" t="s">
        <v>38</v>
      </c>
      <c r="H1450">
        <v>10</v>
      </c>
      <c r="I1450">
        <v>56</v>
      </c>
      <c r="J1450">
        <v>60</v>
      </c>
      <c r="K1450">
        <v>4</v>
      </c>
      <c r="L1450">
        <v>84</v>
      </c>
      <c r="M1450">
        <v>23</v>
      </c>
      <c r="N1450">
        <v>3</v>
      </c>
      <c r="O1450">
        <v>3</v>
      </c>
      <c r="P1450">
        <v>8</v>
      </c>
      <c r="Q1450">
        <v>1.492</v>
      </c>
      <c r="R1450">
        <v>8</v>
      </c>
      <c r="S1450">
        <v>1</v>
      </c>
      <c r="T1450">
        <v>2</v>
      </c>
      <c r="U1450">
        <v>12.5</v>
      </c>
      <c r="V1450">
        <v>5460.9150326797389</v>
      </c>
      <c r="W1450">
        <v>1</v>
      </c>
    </row>
    <row r="1451" spans="1:23" x14ac:dyDescent="0.2">
      <c r="A1451">
        <v>2020</v>
      </c>
      <c r="B1451" t="s">
        <v>23</v>
      </c>
      <c r="C1451" t="s">
        <v>271</v>
      </c>
      <c r="D1451">
        <v>14</v>
      </c>
      <c r="E1451">
        <v>2</v>
      </c>
      <c r="F1451">
        <v>2</v>
      </c>
      <c r="G1451" t="s">
        <v>38</v>
      </c>
      <c r="H1451" s="1">
        <v>5</v>
      </c>
      <c r="I1451" s="1">
        <v>60</v>
      </c>
      <c r="J1451" s="1">
        <v>65</v>
      </c>
      <c r="K1451" s="1">
        <f>J1451-I1451</f>
        <v>5</v>
      </c>
      <c r="L1451" s="1">
        <v>165</v>
      </c>
      <c r="M1451" s="1">
        <v>103</v>
      </c>
      <c r="N1451" s="1">
        <v>2</v>
      </c>
      <c r="O1451" s="1">
        <v>2.5</v>
      </c>
      <c r="P1451" s="1">
        <v>5</v>
      </c>
      <c r="Q1451" s="2">
        <v>0.49260000000000004</v>
      </c>
      <c r="R1451" s="1">
        <v>3</v>
      </c>
      <c r="S1451" s="1">
        <f>R1451/P1451</f>
        <v>0.6</v>
      </c>
      <c r="T1451" s="1">
        <v>4</v>
      </c>
      <c r="U1451" s="1">
        <v>12.5</v>
      </c>
      <c r="V1451" s="1">
        <v>1802.980392156863</v>
      </c>
      <c r="W1451" s="1">
        <v>5</v>
      </c>
    </row>
    <row r="1452" spans="1:23" x14ac:dyDescent="0.2">
      <c r="A1452">
        <v>2020</v>
      </c>
      <c r="B1452" t="s">
        <v>23</v>
      </c>
      <c r="C1452" t="s">
        <v>271</v>
      </c>
      <c r="D1452">
        <v>15</v>
      </c>
      <c r="E1452">
        <v>1</v>
      </c>
      <c r="F1452">
        <v>2</v>
      </c>
      <c r="G1452" t="s">
        <v>39</v>
      </c>
      <c r="H1452" s="1">
        <v>4</v>
      </c>
      <c r="I1452" s="1">
        <v>67</v>
      </c>
      <c r="J1452" s="1">
        <v>68</v>
      </c>
      <c r="K1452" s="1">
        <f>J1452-I1452</f>
        <v>1</v>
      </c>
      <c r="L1452" s="1">
        <v>165</v>
      </c>
      <c r="M1452" s="1">
        <v>83</v>
      </c>
      <c r="N1452" s="1">
        <v>2</v>
      </c>
      <c r="O1452" s="1">
        <v>2</v>
      </c>
      <c r="P1452" s="1">
        <v>4</v>
      </c>
      <c r="Q1452" s="2">
        <v>0.39744000000000007</v>
      </c>
      <c r="R1452" s="1">
        <v>5</v>
      </c>
      <c r="S1452" s="1">
        <f>R1452/P1452</f>
        <v>1.25</v>
      </c>
      <c r="T1452" s="1">
        <v>3</v>
      </c>
      <c r="U1452" s="1">
        <v>12.5</v>
      </c>
      <c r="V1452" s="1">
        <v>1454.6823529411768</v>
      </c>
      <c r="W1452" s="1">
        <v>3</v>
      </c>
    </row>
    <row r="1453" spans="1:23" x14ac:dyDescent="0.2">
      <c r="A1453">
        <v>2020</v>
      </c>
      <c r="B1453" t="s">
        <v>23</v>
      </c>
      <c r="C1453" t="s">
        <v>271</v>
      </c>
      <c r="D1453">
        <v>15</v>
      </c>
      <c r="E1453">
        <v>2</v>
      </c>
      <c r="F1453">
        <v>1</v>
      </c>
      <c r="G1453" t="s">
        <v>39</v>
      </c>
      <c r="H1453">
        <v>12</v>
      </c>
      <c r="I1453">
        <v>63</v>
      </c>
      <c r="J1453">
        <v>65</v>
      </c>
      <c r="K1453">
        <v>2</v>
      </c>
      <c r="L1453">
        <v>140</v>
      </c>
      <c r="M1453">
        <v>56</v>
      </c>
      <c r="N1453">
        <v>1.5</v>
      </c>
      <c r="O1453">
        <v>3.5</v>
      </c>
      <c r="P1453">
        <v>12</v>
      </c>
      <c r="Q1453">
        <v>0.8</v>
      </c>
      <c r="R1453">
        <v>10</v>
      </c>
      <c r="S1453">
        <v>0.83333333333333337</v>
      </c>
      <c r="T1453">
        <v>2.5</v>
      </c>
      <c r="U1453">
        <v>12.5</v>
      </c>
      <c r="V1453">
        <v>2928.1045751633987</v>
      </c>
      <c r="W1453">
        <v>1</v>
      </c>
    </row>
    <row r="1454" spans="1:23" x14ac:dyDescent="0.2">
      <c r="A1454">
        <v>2020</v>
      </c>
      <c r="B1454" t="s">
        <v>23</v>
      </c>
      <c r="C1454" t="s">
        <v>271</v>
      </c>
      <c r="D1454">
        <v>16</v>
      </c>
      <c r="E1454">
        <v>1</v>
      </c>
      <c r="F1454">
        <v>11</v>
      </c>
      <c r="G1454" t="s">
        <v>40</v>
      </c>
      <c r="H1454" s="1">
        <v>8</v>
      </c>
      <c r="I1454" s="1">
        <v>65</v>
      </c>
      <c r="J1454" s="1">
        <v>69</v>
      </c>
      <c r="K1454" s="1">
        <f>J1454-I1454</f>
        <v>4</v>
      </c>
      <c r="L1454" s="1">
        <v>78</v>
      </c>
      <c r="M1454" s="1">
        <v>35</v>
      </c>
      <c r="N1454" s="1">
        <v>3</v>
      </c>
      <c r="O1454" s="1">
        <v>5</v>
      </c>
      <c r="P1454" s="1">
        <v>1</v>
      </c>
      <c r="Q1454" s="2">
        <v>3.5999999999999997E-2</v>
      </c>
      <c r="R1454" s="1">
        <v>1</v>
      </c>
      <c r="S1454" s="1">
        <f>R1454/P1454</f>
        <v>1</v>
      </c>
      <c r="T1454" s="1">
        <v>5</v>
      </c>
      <c r="U1454" s="1">
        <v>12.5</v>
      </c>
      <c r="V1454" s="1">
        <v>131.76470588235296</v>
      </c>
      <c r="W1454" s="1">
        <v>6</v>
      </c>
    </row>
    <row r="1455" spans="1:23" x14ac:dyDescent="0.2">
      <c r="A1455">
        <v>2020</v>
      </c>
      <c r="B1455" t="s">
        <v>23</v>
      </c>
      <c r="C1455" t="s">
        <v>271</v>
      </c>
      <c r="D1455">
        <v>16</v>
      </c>
      <c r="E1455">
        <v>2</v>
      </c>
      <c r="F1455">
        <v>3</v>
      </c>
      <c r="G1455" t="s">
        <v>40</v>
      </c>
      <c r="H1455">
        <v>12</v>
      </c>
      <c r="I1455">
        <v>58</v>
      </c>
      <c r="J1455">
        <v>60</v>
      </c>
      <c r="K1455">
        <v>2</v>
      </c>
      <c r="L1455">
        <v>154</v>
      </c>
      <c r="M1455">
        <v>43</v>
      </c>
      <c r="N1455">
        <v>2</v>
      </c>
      <c r="O1455">
        <v>1.5</v>
      </c>
      <c r="P1455">
        <v>11</v>
      </c>
      <c r="Q1455">
        <v>1.6</v>
      </c>
      <c r="R1455">
        <v>9</v>
      </c>
      <c r="S1455">
        <v>0.81818181818181823</v>
      </c>
      <c r="T1455">
        <v>2</v>
      </c>
      <c r="U1455">
        <v>9.6</v>
      </c>
      <c r="V1455">
        <v>6050.3006535947725</v>
      </c>
      <c r="W1455">
        <v>1</v>
      </c>
    </row>
    <row r="1456" spans="1:23" x14ac:dyDescent="0.2">
      <c r="A1456">
        <v>2020</v>
      </c>
      <c r="B1456" t="s">
        <v>23</v>
      </c>
      <c r="C1456" t="s">
        <v>271</v>
      </c>
      <c r="D1456">
        <v>17</v>
      </c>
      <c r="E1456">
        <v>1</v>
      </c>
      <c r="F1456">
        <v>10</v>
      </c>
      <c r="G1456" t="s">
        <v>41</v>
      </c>
      <c r="H1456" s="1">
        <v>13</v>
      </c>
      <c r="I1456" s="1">
        <v>66</v>
      </c>
      <c r="J1456" s="1">
        <v>71</v>
      </c>
      <c r="K1456" s="1">
        <f>J1456-I1456</f>
        <v>5</v>
      </c>
      <c r="L1456" s="1">
        <v>110</v>
      </c>
      <c r="M1456" s="1">
        <v>52</v>
      </c>
      <c r="N1456" s="1">
        <v>2</v>
      </c>
      <c r="O1456" s="1">
        <v>4.5</v>
      </c>
      <c r="P1456" s="1">
        <v>8</v>
      </c>
      <c r="Q1456" s="2">
        <v>0.152</v>
      </c>
      <c r="R1456" s="1">
        <v>7</v>
      </c>
      <c r="S1456" s="1">
        <f>R1456/P1456</f>
        <v>0.875</v>
      </c>
      <c r="T1456" s="1">
        <v>4</v>
      </c>
      <c r="U1456" s="1">
        <v>12.5</v>
      </c>
      <c r="V1456" s="1">
        <v>556.33986928104571</v>
      </c>
      <c r="W1456" s="1">
        <v>4</v>
      </c>
    </row>
    <row r="1457" spans="1:23" x14ac:dyDescent="0.2">
      <c r="A1457">
        <v>2020</v>
      </c>
      <c r="B1457" t="s">
        <v>23</v>
      </c>
      <c r="C1457" t="s">
        <v>271</v>
      </c>
      <c r="D1457">
        <v>17</v>
      </c>
      <c r="E1457">
        <v>2</v>
      </c>
      <c r="F1457">
        <v>2</v>
      </c>
      <c r="G1457" t="s">
        <v>41</v>
      </c>
      <c r="H1457" s="3">
        <v>10</v>
      </c>
      <c r="I1457" s="3">
        <v>67</v>
      </c>
      <c r="J1457" s="3">
        <v>70</v>
      </c>
      <c r="K1457" s="3">
        <f>J1457-I1457</f>
        <v>3</v>
      </c>
      <c r="L1457" s="3">
        <v>120</v>
      </c>
      <c r="M1457" s="3">
        <v>56</v>
      </c>
      <c r="N1457" s="3">
        <v>2</v>
      </c>
      <c r="O1457" s="3">
        <v>4.5</v>
      </c>
      <c r="P1457" s="3">
        <v>6</v>
      </c>
      <c r="Q1457" s="4">
        <v>0.08</v>
      </c>
      <c r="R1457" s="3">
        <v>5</v>
      </c>
      <c r="S1457" s="3">
        <f>R1457/P1457</f>
        <v>0.83333333333333337</v>
      </c>
      <c r="T1457" s="3">
        <v>5</v>
      </c>
      <c r="U1457" s="3">
        <v>12.5</v>
      </c>
      <c r="V1457" s="3">
        <v>292.81045751633991</v>
      </c>
      <c r="W1457" s="3">
        <v>4</v>
      </c>
    </row>
    <row r="1458" spans="1:23" x14ac:dyDescent="0.2">
      <c r="A1458">
        <v>2020</v>
      </c>
      <c r="B1458" t="s">
        <v>23</v>
      </c>
      <c r="C1458" t="s">
        <v>271</v>
      </c>
      <c r="D1458">
        <v>18</v>
      </c>
      <c r="E1458">
        <v>1</v>
      </c>
      <c r="F1458">
        <v>13</v>
      </c>
      <c r="G1458" t="s">
        <v>42</v>
      </c>
      <c r="H1458" s="1">
        <v>11</v>
      </c>
      <c r="I1458" s="1">
        <v>66</v>
      </c>
      <c r="J1458" s="1">
        <v>69</v>
      </c>
      <c r="K1458" s="1">
        <f>J1458-I1458</f>
        <v>3</v>
      </c>
      <c r="L1458" s="1">
        <v>188</v>
      </c>
      <c r="M1458" s="1">
        <v>88</v>
      </c>
      <c r="N1458" s="1">
        <v>2</v>
      </c>
      <c r="O1458" s="1">
        <v>2.5</v>
      </c>
      <c r="P1458" s="1">
        <f>H1458-1</f>
        <v>10</v>
      </c>
      <c r="Q1458" s="2">
        <v>0.105</v>
      </c>
      <c r="R1458" s="1">
        <v>9</v>
      </c>
      <c r="S1458" s="1">
        <f>R1458/P1458</f>
        <v>0.9</v>
      </c>
      <c r="T1458" s="1">
        <v>5</v>
      </c>
      <c r="U1458" s="1">
        <v>12.5</v>
      </c>
      <c r="V1458" s="1">
        <v>384.31372549019608</v>
      </c>
      <c r="W1458" s="1">
        <v>5</v>
      </c>
    </row>
    <row r="1459" spans="1:23" x14ac:dyDescent="0.2">
      <c r="A1459">
        <v>2020</v>
      </c>
      <c r="B1459" t="s">
        <v>23</v>
      </c>
      <c r="C1459" t="s">
        <v>271</v>
      </c>
      <c r="D1459">
        <v>18</v>
      </c>
      <c r="E1459">
        <v>2</v>
      </c>
      <c r="F1459">
        <v>15</v>
      </c>
      <c r="G1459" t="s">
        <v>42</v>
      </c>
      <c r="H1459" s="1">
        <v>4</v>
      </c>
      <c r="I1459" s="1">
        <v>65</v>
      </c>
      <c r="J1459" s="1">
        <v>68</v>
      </c>
      <c r="K1459" s="1">
        <f>J1459-I1459</f>
        <v>3</v>
      </c>
      <c r="L1459" s="1">
        <v>183</v>
      </c>
      <c r="M1459" s="1">
        <v>66</v>
      </c>
      <c r="N1459" s="1">
        <v>2</v>
      </c>
      <c r="O1459" s="1">
        <v>3.5</v>
      </c>
      <c r="P1459" s="1">
        <v>2</v>
      </c>
      <c r="Q1459" s="2">
        <v>7.1324999999999986E-2</v>
      </c>
      <c r="R1459" s="1">
        <v>2</v>
      </c>
      <c r="S1459" s="1">
        <f>R1459/P1459</f>
        <v>1</v>
      </c>
      <c r="T1459" s="1">
        <v>5</v>
      </c>
      <c r="U1459" s="1">
        <v>12.5</v>
      </c>
      <c r="V1459" s="1">
        <v>261.05882352941171</v>
      </c>
      <c r="W1459" s="1">
        <v>4</v>
      </c>
    </row>
    <row r="1460" spans="1:23" x14ac:dyDescent="0.2">
      <c r="A1460">
        <v>2020</v>
      </c>
      <c r="B1460" t="s">
        <v>23</v>
      </c>
      <c r="C1460" t="s">
        <v>271</v>
      </c>
      <c r="D1460">
        <v>19</v>
      </c>
      <c r="E1460">
        <v>1</v>
      </c>
      <c r="F1460">
        <v>13</v>
      </c>
      <c r="G1460" t="s">
        <v>43</v>
      </c>
      <c r="H1460" s="1">
        <v>2</v>
      </c>
      <c r="I1460" s="1">
        <v>63</v>
      </c>
      <c r="J1460" s="1">
        <v>68</v>
      </c>
      <c r="K1460" s="1">
        <f>J1460-I1460</f>
        <v>5</v>
      </c>
      <c r="L1460" s="1">
        <v>128</v>
      </c>
      <c r="M1460" s="1">
        <v>87</v>
      </c>
      <c r="N1460" s="1">
        <v>2</v>
      </c>
      <c r="O1460" s="1">
        <v>2</v>
      </c>
      <c r="P1460" s="1">
        <v>2</v>
      </c>
      <c r="Q1460" s="2">
        <v>0.30399999999999999</v>
      </c>
      <c r="R1460" s="1">
        <v>2</v>
      </c>
      <c r="S1460" s="1">
        <f>R1460/P1460</f>
        <v>1</v>
      </c>
      <c r="T1460" s="1">
        <v>5</v>
      </c>
      <c r="U1460" s="1">
        <v>12.5</v>
      </c>
      <c r="V1460" s="1">
        <v>1112.6797385620914</v>
      </c>
      <c r="W1460" s="1">
        <v>2</v>
      </c>
    </row>
    <row r="1461" spans="1:23" x14ac:dyDescent="0.2">
      <c r="A1461">
        <v>2020</v>
      </c>
      <c r="B1461" t="s">
        <v>23</v>
      </c>
      <c r="C1461" t="s">
        <v>271</v>
      </c>
      <c r="D1461">
        <v>19</v>
      </c>
      <c r="E1461">
        <v>2</v>
      </c>
      <c r="F1461">
        <v>6</v>
      </c>
      <c r="G1461" t="s">
        <v>43</v>
      </c>
      <c r="H1461">
        <v>15</v>
      </c>
      <c r="I1461">
        <v>55</v>
      </c>
      <c r="J1461">
        <v>60</v>
      </c>
      <c r="K1461">
        <v>5</v>
      </c>
      <c r="L1461">
        <v>151</v>
      </c>
      <c r="M1461">
        <v>93</v>
      </c>
      <c r="N1461">
        <v>2</v>
      </c>
      <c r="O1461">
        <v>2.5</v>
      </c>
      <c r="P1461">
        <v>15</v>
      </c>
      <c r="Q1461">
        <v>0.5</v>
      </c>
      <c r="R1461">
        <v>12</v>
      </c>
      <c r="S1461">
        <v>0.8</v>
      </c>
      <c r="T1461">
        <v>2</v>
      </c>
      <c r="U1461">
        <v>10.7</v>
      </c>
      <c r="V1461">
        <v>1867.7124183006536</v>
      </c>
      <c r="W1461">
        <v>2</v>
      </c>
    </row>
    <row r="1462" spans="1:23" x14ac:dyDescent="0.2">
      <c r="A1462">
        <v>2020</v>
      </c>
      <c r="B1462" t="s">
        <v>23</v>
      </c>
      <c r="C1462" t="s">
        <v>271</v>
      </c>
      <c r="D1462">
        <v>20</v>
      </c>
      <c r="E1462">
        <v>1</v>
      </c>
      <c r="F1462">
        <v>6</v>
      </c>
      <c r="G1462" t="s">
        <v>44</v>
      </c>
      <c r="H1462">
        <v>11</v>
      </c>
      <c r="I1462">
        <v>60</v>
      </c>
      <c r="J1462">
        <v>63</v>
      </c>
      <c r="K1462">
        <v>3</v>
      </c>
      <c r="L1462">
        <v>130</v>
      </c>
      <c r="M1462">
        <v>70</v>
      </c>
      <c r="N1462">
        <v>1.5</v>
      </c>
      <c r="O1462">
        <v>4</v>
      </c>
      <c r="P1462">
        <v>11</v>
      </c>
      <c r="Q1462">
        <v>1.1000000000000001</v>
      </c>
      <c r="R1462">
        <v>11</v>
      </c>
      <c r="S1462">
        <v>1</v>
      </c>
      <c r="T1462">
        <v>2.5</v>
      </c>
      <c r="U1462">
        <v>12.5</v>
      </c>
      <c r="V1462">
        <v>4026.1437908496737</v>
      </c>
      <c r="W1462">
        <v>1</v>
      </c>
    </row>
    <row r="1463" spans="1:23" x14ac:dyDescent="0.2">
      <c r="A1463">
        <v>2020</v>
      </c>
      <c r="B1463" t="s">
        <v>23</v>
      </c>
      <c r="C1463" t="s">
        <v>271</v>
      </c>
      <c r="D1463">
        <v>20</v>
      </c>
      <c r="E1463">
        <v>2</v>
      </c>
      <c r="F1463">
        <v>4</v>
      </c>
      <c r="G1463" t="s">
        <v>44</v>
      </c>
      <c r="H1463" s="1">
        <v>6</v>
      </c>
      <c r="I1463" s="1">
        <v>57</v>
      </c>
      <c r="J1463" s="1">
        <v>61</v>
      </c>
      <c r="K1463" s="1">
        <f t="shared" ref="K1463:K1470" si="68">J1463-I1463</f>
        <v>4</v>
      </c>
      <c r="L1463" s="1">
        <v>156</v>
      </c>
      <c r="M1463" s="1">
        <v>75</v>
      </c>
      <c r="N1463" s="1">
        <v>2</v>
      </c>
      <c r="O1463" s="1">
        <v>4</v>
      </c>
      <c r="P1463" s="1">
        <v>5</v>
      </c>
      <c r="Q1463" s="2">
        <v>8.1599999999999992E-2</v>
      </c>
      <c r="R1463" s="1">
        <v>5</v>
      </c>
      <c r="S1463" s="1">
        <f t="shared" ref="S1463:S1470" si="69">R1463/P1463</f>
        <v>1</v>
      </c>
      <c r="T1463" s="1">
        <v>3.5</v>
      </c>
      <c r="U1463" s="1">
        <v>12.5</v>
      </c>
      <c r="V1463" s="1">
        <v>298.66666666666669</v>
      </c>
      <c r="W1463" s="1">
        <v>4</v>
      </c>
    </row>
    <row r="1464" spans="1:23" x14ac:dyDescent="0.2">
      <c r="A1464">
        <v>2020</v>
      </c>
      <c r="B1464" t="s">
        <v>23</v>
      </c>
      <c r="C1464" t="s">
        <v>271</v>
      </c>
      <c r="D1464">
        <v>21</v>
      </c>
      <c r="E1464">
        <v>1</v>
      </c>
      <c r="F1464">
        <v>6</v>
      </c>
      <c r="G1464" t="s">
        <v>45</v>
      </c>
      <c r="H1464" s="1">
        <v>8</v>
      </c>
      <c r="I1464" s="1">
        <v>65</v>
      </c>
      <c r="J1464" s="1">
        <v>71</v>
      </c>
      <c r="K1464" s="1">
        <f t="shared" si="68"/>
        <v>6</v>
      </c>
      <c r="L1464" s="1">
        <v>101</v>
      </c>
      <c r="M1464" s="1">
        <v>26</v>
      </c>
      <c r="N1464" s="1">
        <v>2.5</v>
      </c>
      <c r="O1464" s="1">
        <v>4.5</v>
      </c>
      <c r="P1464" s="1">
        <v>4</v>
      </c>
      <c r="Q1464" s="2">
        <v>8.8499999999999995E-2</v>
      </c>
      <c r="R1464" s="1">
        <v>4</v>
      </c>
      <c r="S1464" s="1">
        <f t="shared" si="69"/>
        <v>1</v>
      </c>
      <c r="T1464" s="1">
        <v>5</v>
      </c>
      <c r="U1464" s="1">
        <v>12.5</v>
      </c>
      <c r="V1464" s="1">
        <v>323.92156862745099</v>
      </c>
      <c r="W1464" s="1">
        <v>5</v>
      </c>
    </row>
    <row r="1465" spans="1:23" x14ac:dyDescent="0.2">
      <c r="A1465">
        <v>2020</v>
      </c>
      <c r="B1465" t="s">
        <v>23</v>
      </c>
      <c r="C1465" t="s">
        <v>271</v>
      </c>
      <c r="D1465">
        <v>21</v>
      </c>
      <c r="E1465">
        <v>2</v>
      </c>
      <c r="F1465">
        <v>5</v>
      </c>
      <c r="G1465" t="s">
        <v>45</v>
      </c>
      <c r="H1465" s="3">
        <v>2</v>
      </c>
      <c r="I1465" s="3">
        <v>70</v>
      </c>
      <c r="J1465" s="3">
        <v>72</v>
      </c>
      <c r="K1465" s="3">
        <f t="shared" si="68"/>
        <v>2</v>
      </c>
      <c r="L1465" s="3">
        <v>158</v>
      </c>
      <c r="M1465" s="3">
        <v>77</v>
      </c>
      <c r="N1465" s="3">
        <v>2</v>
      </c>
      <c r="O1465" s="3">
        <v>2.5</v>
      </c>
      <c r="P1465" s="3">
        <v>8</v>
      </c>
      <c r="Q1465" s="4">
        <v>0.33</v>
      </c>
      <c r="R1465" s="3">
        <v>6</v>
      </c>
      <c r="S1465" s="3">
        <f t="shared" si="69"/>
        <v>0.75</v>
      </c>
      <c r="T1465" s="3">
        <v>4</v>
      </c>
      <c r="U1465" s="3">
        <v>12.5</v>
      </c>
      <c r="V1465" s="3">
        <v>1207.8431372549019</v>
      </c>
      <c r="W1465" s="3">
        <v>5</v>
      </c>
    </row>
    <row r="1466" spans="1:23" x14ac:dyDescent="0.2">
      <c r="A1466">
        <v>2020</v>
      </c>
      <c r="B1466" t="s">
        <v>23</v>
      </c>
      <c r="C1466" t="s">
        <v>271</v>
      </c>
      <c r="D1466">
        <v>22</v>
      </c>
      <c r="E1466">
        <v>1</v>
      </c>
      <c r="F1466">
        <v>7</v>
      </c>
      <c r="G1466" t="s">
        <v>46</v>
      </c>
      <c r="H1466" s="1">
        <v>5</v>
      </c>
      <c r="I1466" s="1">
        <v>67</v>
      </c>
      <c r="J1466" s="1">
        <v>68</v>
      </c>
      <c r="K1466" s="1">
        <f t="shared" si="68"/>
        <v>1</v>
      </c>
      <c r="L1466" s="1">
        <v>212</v>
      </c>
      <c r="M1466" s="1">
        <v>88</v>
      </c>
      <c r="N1466" s="1">
        <v>2</v>
      </c>
      <c r="O1466" s="1">
        <v>2</v>
      </c>
      <c r="P1466" s="1">
        <f>H1466-1</f>
        <v>4</v>
      </c>
      <c r="Q1466" s="2">
        <v>0.14000000000000001</v>
      </c>
      <c r="R1466" s="1">
        <v>4</v>
      </c>
      <c r="S1466" s="1">
        <f t="shared" si="69"/>
        <v>1</v>
      </c>
      <c r="T1466" s="1">
        <v>3</v>
      </c>
      <c r="U1466" s="1">
        <v>12.5</v>
      </c>
      <c r="V1466" s="1">
        <v>512.41830065359488</v>
      </c>
      <c r="W1466" s="1">
        <v>4</v>
      </c>
    </row>
    <row r="1467" spans="1:23" x14ac:dyDescent="0.2">
      <c r="A1467">
        <v>2020</v>
      </c>
      <c r="B1467" t="s">
        <v>23</v>
      </c>
      <c r="C1467" t="s">
        <v>271</v>
      </c>
      <c r="D1467">
        <v>22</v>
      </c>
      <c r="E1467">
        <v>2</v>
      </c>
      <c r="F1467">
        <v>6</v>
      </c>
      <c r="G1467" t="s">
        <v>46</v>
      </c>
      <c r="H1467" s="1">
        <v>7</v>
      </c>
      <c r="I1467" s="1">
        <v>62</v>
      </c>
      <c r="J1467" s="1">
        <v>67</v>
      </c>
      <c r="K1467" s="1">
        <f t="shared" si="68"/>
        <v>5</v>
      </c>
      <c r="L1467" s="1">
        <v>123</v>
      </c>
      <c r="M1467" s="1">
        <v>68</v>
      </c>
      <c r="N1467" s="1">
        <v>2</v>
      </c>
      <c r="O1467" s="1">
        <v>4</v>
      </c>
      <c r="P1467" s="1">
        <v>4</v>
      </c>
      <c r="Q1467" s="2">
        <v>0.3362</v>
      </c>
      <c r="R1467" s="1">
        <v>6</v>
      </c>
      <c r="S1467" s="1">
        <f t="shared" si="69"/>
        <v>1.5</v>
      </c>
      <c r="T1467" s="1">
        <v>5</v>
      </c>
      <c r="U1467" s="1">
        <v>12.5</v>
      </c>
      <c r="V1467" s="1">
        <v>1230.5359477124182</v>
      </c>
      <c r="W1467" s="1">
        <v>4</v>
      </c>
    </row>
    <row r="1468" spans="1:23" x14ac:dyDescent="0.2">
      <c r="A1468">
        <v>2020</v>
      </c>
      <c r="B1468" t="s">
        <v>23</v>
      </c>
      <c r="C1468" t="s">
        <v>271</v>
      </c>
      <c r="D1468">
        <v>23</v>
      </c>
      <c r="E1468">
        <v>1</v>
      </c>
      <c r="F1468">
        <v>14</v>
      </c>
      <c r="G1468" t="s">
        <v>47</v>
      </c>
      <c r="H1468" s="1">
        <v>10</v>
      </c>
      <c r="I1468" s="1">
        <v>68</v>
      </c>
      <c r="J1468" s="1">
        <v>72</v>
      </c>
      <c r="K1468" s="1">
        <f t="shared" si="68"/>
        <v>4</v>
      </c>
      <c r="L1468" s="1">
        <v>60</v>
      </c>
      <c r="M1468" s="1">
        <v>25</v>
      </c>
      <c r="N1468" s="1">
        <v>3</v>
      </c>
      <c r="O1468" s="1">
        <v>5</v>
      </c>
      <c r="P1468" s="1">
        <v>2</v>
      </c>
      <c r="Q1468" s="2">
        <v>0.04</v>
      </c>
      <c r="R1468" s="1">
        <v>2</v>
      </c>
      <c r="S1468" s="1">
        <f t="shared" si="69"/>
        <v>1</v>
      </c>
      <c r="T1468" s="1">
        <v>5</v>
      </c>
      <c r="U1468" s="1">
        <v>12.5</v>
      </c>
      <c r="V1468" s="1">
        <v>146.40522875816995</v>
      </c>
      <c r="W1468" s="1">
        <v>6</v>
      </c>
    </row>
    <row r="1469" spans="1:23" x14ac:dyDescent="0.2">
      <c r="A1469">
        <v>2020</v>
      </c>
      <c r="B1469" t="s">
        <v>23</v>
      </c>
      <c r="C1469" t="s">
        <v>271</v>
      </c>
      <c r="D1469">
        <v>23</v>
      </c>
      <c r="E1469">
        <v>2</v>
      </c>
      <c r="F1469">
        <v>7</v>
      </c>
      <c r="G1469" t="s">
        <v>47</v>
      </c>
      <c r="H1469" s="1">
        <v>4</v>
      </c>
      <c r="I1469" s="1">
        <v>66</v>
      </c>
      <c r="J1469" s="1">
        <v>71</v>
      </c>
      <c r="K1469" s="1">
        <f t="shared" si="68"/>
        <v>5</v>
      </c>
      <c r="L1469" s="1">
        <v>30</v>
      </c>
      <c r="M1469" s="1">
        <v>37</v>
      </c>
      <c r="N1469" s="1">
        <v>2</v>
      </c>
      <c r="O1469" s="1">
        <v>3.5</v>
      </c>
      <c r="P1469" s="1">
        <v>4</v>
      </c>
      <c r="Q1469" s="2">
        <v>0.1724</v>
      </c>
      <c r="R1469" s="1">
        <v>4</v>
      </c>
      <c r="S1469" s="1">
        <f t="shared" si="69"/>
        <v>1</v>
      </c>
      <c r="T1469" s="1">
        <v>5</v>
      </c>
      <c r="U1469" s="1">
        <v>12.5</v>
      </c>
      <c r="V1469" s="1">
        <v>631.00653594771245</v>
      </c>
      <c r="W1469" s="1">
        <v>3</v>
      </c>
    </row>
    <row r="1470" spans="1:23" x14ac:dyDescent="0.2">
      <c r="A1470">
        <v>2020</v>
      </c>
      <c r="B1470" t="s">
        <v>23</v>
      </c>
      <c r="C1470" t="s">
        <v>271</v>
      </c>
      <c r="D1470">
        <v>24</v>
      </c>
      <c r="E1470">
        <v>1</v>
      </c>
      <c r="F1470">
        <v>2</v>
      </c>
      <c r="G1470" t="s">
        <v>48</v>
      </c>
      <c r="H1470" s="1">
        <v>11</v>
      </c>
      <c r="I1470" s="1">
        <v>63</v>
      </c>
      <c r="J1470" s="1">
        <v>67</v>
      </c>
      <c r="K1470" s="1">
        <f t="shared" si="68"/>
        <v>4</v>
      </c>
      <c r="L1470" s="1">
        <v>141</v>
      </c>
      <c r="M1470" s="1">
        <v>82</v>
      </c>
      <c r="N1470" s="1">
        <v>3</v>
      </c>
      <c r="O1470" s="1">
        <v>3.5</v>
      </c>
      <c r="P1470" s="1">
        <f>H1470-2</f>
        <v>9</v>
      </c>
      <c r="Q1470" s="2">
        <v>7.5749999999999998E-2</v>
      </c>
      <c r="R1470" s="1">
        <v>9</v>
      </c>
      <c r="S1470" s="1">
        <f t="shared" si="69"/>
        <v>1</v>
      </c>
      <c r="T1470" s="1">
        <v>5</v>
      </c>
      <c r="U1470" s="1">
        <v>12.5</v>
      </c>
      <c r="V1470" s="1">
        <v>277.25490196078431</v>
      </c>
      <c r="W1470" s="1">
        <v>6</v>
      </c>
    </row>
    <row r="1471" spans="1:23" x14ac:dyDescent="0.2">
      <c r="A1471">
        <v>2020</v>
      </c>
      <c r="B1471" t="s">
        <v>23</v>
      </c>
      <c r="C1471" t="s">
        <v>271</v>
      </c>
      <c r="D1471">
        <v>24</v>
      </c>
      <c r="E1471">
        <v>2</v>
      </c>
      <c r="F1471">
        <v>3</v>
      </c>
      <c r="G1471" t="s">
        <v>48</v>
      </c>
      <c r="H1471">
        <v>5</v>
      </c>
      <c r="I1471">
        <v>55</v>
      </c>
      <c r="J1471">
        <v>57</v>
      </c>
      <c r="K1471">
        <v>2</v>
      </c>
      <c r="L1471">
        <v>152</v>
      </c>
      <c r="M1471">
        <v>45</v>
      </c>
      <c r="N1471">
        <v>3</v>
      </c>
      <c r="O1471">
        <v>3</v>
      </c>
      <c r="P1471">
        <v>5</v>
      </c>
      <c r="Q1471">
        <v>0.18099999999999999</v>
      </c>
      <c r="R1471">
        <v>3</v>
      </c>
      <c r="S1471">
        <v>0.6</v>
      </c>
      <c r="T1471">
        <v>4</v>
      </c>
      <c r="U1471">
        <v>12.5</v>
      </c>
      <c r="V1471">
        <v>662.48366013071893</v>
      </c>
      <c r="W1471">
        <v>1</v>
      </c>
    </row>
    <row r="1472" spans="1:23" x14ac:dyDescent="0.2">
      <c r="A1472">
        <v>2020</v>
      </c>
      <c r="B1472" t="s">
        <v>23</v>
      </c>
      <c r="C1472" t="s">
        <v>271</v>
      </c>
      <c r="D1472">
        <v>25</v>
      </c>
      <c r="E1472">
        <v>1</v>
      </c>
      <c r="F1472">
        <v>5</v>
      </c>
      <c r="G1472" t="s">
        <v>49</v>
      </c>
      <c r="H1472" s="1">
        <v>9</v>
      </c>
      <c r="I1472" s="1">
        <v>66</v>
      </c>
      <c r="J1472" s="1">
        <v>70</v>
      </c>
      <c r="K1472" s="1">
        <f>J1472-I1472</f>
        <v>4</v>
      </c>
      <c r="L1472" s="1">
        <v>170</v>
      </c>
      <c r="M1472" s="1">
        <v>83</v>
      </c>
      <c r="N1472" s="1">
        <v>2</v>
      </c>
      <c r="O1472" s="1">
        <v>3</v>
      </c>
      <c r="P1472" s="1">
        <v>6</v>
      </c>
      <c r="Q1472" s="2">
        <v>0.49295999999999995</v>
      </c>
      <c r="R1472" s="1">
        <v>6</v>
      </c>
      <c r="S1472" s="1">
        <f>R1472/P1472</f>
        <v>1</v>
      </c>
      <c r="T1472" s="1">
        <v>5</v>
      </c>
      <c r="U1472" s="1">
        <v>12.5</v>
      </c>
      <c r="V1472" s="1">
        <v>1804.2980392156862</v>
      </c>
      <c r="W1472" s="1">
        <v>4</v>
      </c>
    </row>
    <row r="1473" spans="1:23" x14ac:dyDescent="0.2">
      <c r="A1473">
        <v>2020</v>
      </c>
      <c r="B1473" t="s">
        <v>23</v>
      </c>
      <c r="C1473" t="s">
        <v>271</v>
      </c>
      <c r="D1473">
        <v>25</v>
      </c>
      <c r="E1473">
        <v>2</v>
      </c>
      <c r="F1473">
        <v>7</v>
      </c>
      <c r="G1473" t="s">
        <v>49</v>
      </c>
      <c r="H1473" s="1">
        <v>11</v>
      </c>
      <c r="I1473" s="1">
        <v>65</v>
      </c>
      <c r="J1473" s="1">
        <v>68</v>
      </c>
      <c r="K1473" s="1">
        <f>J1473-I1473</f>
        <v>3</v>
      </c>
      <c r="L1473" s="1">
        <v>193</v>
      </c>
      <c r="M1473" s="1">
        <v>120</v>
      </c>
      <c r="N1473" s="1">
        <v>2</v>
      </c>
      <c r="O1473" s="1">
        <v>2</v>
      </c>
      <c r="P1473" s="1">
        <v>10</v>
      </c>
      <c r="Q1473" s="2">
        <v>0.5</v>
      </c>
      <c r="R1473" s="1">
        <v>10</v>
      </c>
      <c r="S1473" s="1">
        <f>R1473/P1473</f>
        <v>1</v>
      </c>
      <c r="T1473" s="1">
        <v>4</v>
      </c>
      <c r="U1473" s="1">
        <v>9.4</v>
      </c>
      <c r="V1473" s="1">
        <v>1894.9019607843138</v>
      </c>
      <c r="W1473" s="1">
        <v>5</v>
      </c>
    </row>
    <row r="1474" spans="1:23" x14ac:dyDescent="0.2">
      <c r="A1474">
        <v>2020</v>
      </c>
      <c r="B1474" t="s">
        <v>23</v>
      </c>
      <c r="C1474" t="s">
        <v>271</v>
      </c>
      <c r="D1474">
        <v>26</v>
      </c>
      <c r="E1474">
        <v>1</v>
      </c>
      <c r="F1474">
        <v>3</v>
      </c>
      <c r="G1474" t="s">
        <v>50</v>
      </c>
      <c r="H1474">
        <v>10</v>
      </c>
      <c r="I1474">
        <v>58</v>
      </c>
      <c r="J1474">
        <v>60</v>
      </c>
      <c r="K1474">
        <v>2</v>
      </c>
      <c r="L1474">
        <v>163</v>
      </c>
      <c r="M1474">
        <v>76</v>
      </c>
      <c r="N1474">
        <v>1.5</v>
      </c>
      <c r="O1474">
        <v>3.5</v>
      </c>
      <c r="P1474">
        <v>9</v>
      </c>
      <c r="Q1474">
        <v>1.2</v>
      </c>
      <c r="R1474">
        <v>8</v>
      </c>
      <c r="S1474">
        <v>0.88888888888888884</v>
      </c>
      <c r="T1474">
        <v>2.5</v>
      </c>
      <c r="U1474">
        <v>12.5</v>
      </c>
      <c r="V1474">
        <v>4392.1568627450979</v>
      </c>
      <c r="W1474">
        <v>2</v>
      </c>
    </row>
    <row r="1475" spans="1:23" x14ac:dyDescent="0.2">
      <c r="A1475">
        <v>2020</v>
      </c>
      <c r="B1475" t="s">
        <v>23</v>
      </c>
      <c r="C1475" t="s">
        <v>271</v>
      </c>
      <c r="D1475">
        <v>26</v>
      </c>
      <c r="E1475">
        <v>2</v>
      </c>
      <c r="F1475">
        <v>10</v>
      </c>
      <c r="G1475" t="s">
        <v>50</v>
      </c>
      <c r="H1475" s="1">
        <v>8</v>
      </c>
      <c r="I1475" s="1">
        <v>62</v>
      </c>
      <c r="J1475" s="1">
        <v>67</v>
      </c>
      <c r="K1475" s="1">
        <f>J1475-I1475</f>
        <v>5</v>
      </c>
      <c r="L1475" s="1">
        <v>148</v>
      </c>
      <c r="M1475" s="1">
        <v>100</v>
      </c>
      <c r="N1475" s="1">
        <v>2</v>
      </c>
      <c r="O1475" s="1">
        <v>3.5</v>
      </c>
      <c r="P1475" s="1">
        <f>H1475-2</f>
        <v>6</v>
      </c>
      <c r="Q1475" s="2">
        <v>0.16500000000000001</v>
      </c>
      <c r="R1475" s="1">
        <v>7</v>
      </c>
      <c r="S1475" s="1">
        <f>R1475/P1475</f>
        <v>1.1666666666666667</v>
      </c>
      <c r="T1475" s="1">
        <v>3</v>
      </c>
      <c r="U1475" s="1">
        <v>12.5</v>
      </c>
      <c r="V1475" s="1">
        <v>603.92156862745094</v>
      </c>
      <c r="W1475" s="1">
        <v>4</v>
      </c>
    </row>
    <row r="1476" spans="1:23" x14ac:dyDescent="0.2">
      <c r="A1476">
        <v>2020</v>
      </c>
      <c r="B1476" t="s">
        <v>23</v>
      </c>
      <c r="C1476" t="s">
        <v>271</v>
      </c>
      <c r="D1476">
        <v>27</v>
      </c>
      <c r="E1476">
        <v>1</v>
      </c>
      <c r="F1476">
        <v>13</v>
      </c>
      <c r="G1476" t="s">
        <v>51</v>
      </c>
      <c r="H1476" s="1">
        <v>1</v>
      </c>
      <c r="I1476" s="1">
        <v>61</v>
      </c>
      <c r="J1476" s="1">
        <v>65</v>
      </c>
      <c r="K1476" s="1">
        <f>J1476-I1476</f>
        <v>4</v>
      </c>
      <c r="L1476" s="1">
        <v>90</v>
      </c>
      <c r="M1476" s="1">
        <v>35</v>
      </c>
      <c r="N1476" s="1">
        <v>2</v>
      </c>
      <c r="O1476" s="1">
        <v>5</v>
      </c>
      <c r="P1476" s="1">
        <v>1</v>
      </c>
      <c r="Q1476" s="2">
        <v>5.0999999999999997E-2</v>
      </c>
      <c r="R1476" s="1">
        <v>1</v>
      </c>
      <c r="S1476" s="1">
        <f>R1476/P1476</f>
        <v>1</v>
      </c>
      <c r="T1476" s="1">
        <v>5</v>
      </c>
      <c r="U1476" s="1">
        <v>12.5</v>
      </c>
      <c r="V1476" s="1">
        <v>186.66666666666663</v>
      </c>
      <c r="W1476" s="1">
        <v>6</v>
      </c>
    </row>
    <row r="1477" spans="1:23" x14ac:dyDescent="0.2">
      <c r="A1477">
        <v>2020</v>
      </c>
      <c r="B1477" t="s">
        <v>23</v>
      </c>
      <c r="C1477" t="s">
        <v>271</v>
      </c>
      <c r="D1477">
        <v>27</v>
      </c>
      <c r="E1477">
        <v>2</v>
      </c>
      <c r="F1477">
        <v>1</v>
      </c>
      <c r="G1477" t="s">
        <v>51</v>
      </c>
      <c r="H1477" s="1">
        <v>6</v>
      </c>
      <c r="I1477" s="1">
        <v>64</v>
      </c>
      <c r="J1477" s="1">
        <v>68</v>
      </c>
      <c r="K1477" s="1">
        <f>J1477-I1477</f>
        <v>4</v>
      </c>
      <c r="L1477" s="1">
        <v>96</v>
      </c>
      <c r="M1477" s="1">
        <v>46</v>
      </c>
      <c r="N1477" s="1">
        <v>2</v>
      </c>
      <c r="O1477" s="1">
        <v>4.5</v>
      </c>
      <c r="P1477" s="1">
        <v>5</v>
      </c>
      <c r="Q1477" s="2">
        <v>0.125</v>
      </c>
      <c r="R1477" s="1">
        <v>4</v>
      </c>
      <c r="S1477" s="1">
        <f>R1477/P1477</f>
        <v>0.8</v>
      </c>
      <c r="T1477" s="1">
        <v>4.5</v>
      </c>
      <c r="U1477" s="1">
        <v>12.5</v>
      </c>
      <c r="V1477" s="1">
        <v>457.51633986928107</v>
      </c>
      <c r="W1477" s="1">
        <v>5</v>
      </c>
    </row>
    <row r="1478" spans="1:23" x14ac:dyDescent="0.2">
      <c r="A1478">
        <v>2020</v>
      </c>
      <c r="B1478" t="s">
        <v>23</v>
      </c>
      <c r="C1478" t="s">
        <v>271</v>
      </c>
      <c r="D1478">
        <v>28</v>
      </c>
      <c r="E1478">
        <v>1</v>
      </c>
      <c r="F1478">
        <v>2</v>
      </c>
      <c r="G1478" t="s">
        <v>52</v>
      </c>
      <c r="H1478" s="1">
        <v>12</v>
      </c>
      <c r="I1478" s="1">
        <v>63</v>
      </c>
      <c r="J1478" s="1">
        <v>66</v>
      </c>
      <c r="K1478" s="1">
        <f>J1478-I1478</f>
        <v>3</v>
      </c>
      <c r="L1478" s="1">
        <v>123</v>
      </c>
      <c r="M1478" s="1">
        <v>51</v>
      </c>
      <c r="N1478" s="1">
        <v>2</v>
      </c>
      <c r="O1478" s="1">
        <v>4.5</v>
      </c>
      <c r="P1478" s="1">
        <v>7</v>
      </c>
      <c r="Q1478" s="2">
        <v>0.124</v>
      </c>
      <c r="R1478" s="1">
        <v>5</v>
      </c>
      <c r="S1478" s="1">
        <f>R1478/P1478</f>
        <v>0.7142857142857143</v>
      </c>
      <c r="T1478" s="1">
        <v>4.5</v>
      </c>
      <c r="U1478" s="1">
        <v>12.5</v>
      </c>
      <c r="V1478" s="1">
        <v>453.85620915032678</v>
      </c>
      <c r="W1478" s="1">
        <v>5</v>
      </c>
    </row>
    <row r="1479" spans="1:23" x14ac:dyDescent="0.2">
      <c r="A1479">
        <v>2020</v>
      </c>
      <c r="B1479" t="s">
        <v>23</v>
      </c>
      <c r="C1479" t="s">
        <v>271</v>
      </c>
      <c r="D1479">
        <v>28</v>
      </c>
      <c r="E1479">
        <v>2</v>
      </c>
      <c r="F1479">
        <v>14</v>
      </c>
      <c r="G1479" t="s">
        <v>52</v>
      </c>
      <c r="H1479" s="1">
        <v>2</v>
      </c>
      <c r="I1479" s="1">
        <v>63</v>
      </c>
      <c r="J1479" s="1">
        <v>67</v>
      </c>
      <c r="K1479" s="1">
        <f>J1479-I1479</f>
        <v>4</v>
      </c>
      <c r="L1479" s="1">
        <v>42</v>
      </c>
      <c r="M1479" s="1">
        <v>38</v>
      </c>
      <c r="N1479" s="1">
        <v>2</v>
      </c>
      <c r="O1479" s="1">
        <v>3.5</v>
      </c>
      <c r="P1479" s="1">
        <v>2</v>
      </c>
      <c r="Q1479" s="2">
        <v>0.16800000000000001</v>
      </c>
      <c r="R1479" s="1">
        <v>2</v>
      </c>
      <c r="S1479" s="1">
        <f>R1479/P1479</f>
        <v>1</v>
      </c>
      <c r="T1479" s="1">
        <v>5</v>
      </c>
      <c r="U1479" s="1">
        <v>12.5</v>
      </c>
      <c r="V1479" s="1">
        <v>614.9019607843137</v>
      </c>
      <c r="W1479" s="1">
        <v>4</v>
      </c>
    </row>
    <row r="1480" spans="1:23" x14ac:dyDescent="0.2">
      <c r="A1480">
        <v>2020</v>
      </c>
      <c r="B1480" t="s">
        <v>23</v>
      </c>
      <c r="C1480" t="s">
        <v>271</v>
      </c>
      <c r="D1480">
        <v>29</v>
      </c>
      <c r="E1480">
        <v>1</v>
      </c>
      <c r="F1480">
        <v>14</v>
      </c>
      <c r="G1480" t="s">
        <v>53</v>
      </c>
      <c r="H1480">
        <v>14</v>
      </c>
      <c r="I1480">
        <v>56</v>
      </c>
      <c r="J1480">
        <v>60</v>
      </c>
      <c r="K1480">
        <v>4</v>
      </c>
      <c r="L1480">
        <v>163</v>
      </c>
      <c r="M1480">
        <v>85</v>
      </c>
      <c r="N1480">
        <v>1.5</v>
      </c>
      <c r="O1480">
        <v>3.5</v>
      </c>
      <c r="P1480">
        <v>13</v>
      </c>
      <c r="Q1480">
        <v>1.2</v>
      </c>
      <c r="R1480">
        <v>13</v>
      </c>
      <c r="S1480">
        <v>1</v>
      </c>
      <c r="T1480">
        <v>2.5</v>
      </c>
      <c r="U1480">
        <v>12.5</v>
      </c>
      <c r="V1480">
        <v>4392.1568627450979</v>
      </c>
      <c r="W1480">
        <v>2</v>
      </c>
    </row>
    <row r="1481" spans="1:23" x14ac:dyDescent="0.2">
      <c r="A1481">
        <v>2020</v>
      </c>
      <c r="B1481" t="s">
        <v>23</v>
      </c>
      <c r="C1481" t="s">
        <v>271</v>
      </c>
      <c r="D1481">
        <v>29</v>
      </c>
      <c r="E1481">
        <v>2</v>
      </c>
      <c r="F1481">
        <v>7</v>
      </c>
      <c r="G1481" t="s">
        <v>53</v>
      </c>
      <c r="H1481" s="1">
        <v>7</v>
      </c>
      <c r="I1481" s="1">
        <v>72</v>
      </c>
      <c r="J1481" s="1">
        <v>76</v>
      </c>
      <c r="K1481" s="1">
        <f>J1481-I1481</f>
        <v>4</v>
      </c>
      <c r="L1481" s="1">
        <v>116</v>
      </c>
      <c r="M1481" s="1">
        <v>41</v>
      </c>
      <c r="N1481" s="1">
        <v>3</v>
      </c>
      <c r="O1481" s="1">
        <v>5</v>
      </c>
      <c r="P1481" s="1">
        <v>1</v>
      </c>
      <c r="Q1481" s="2">
        <v>5.8799999999999998E-2</v>
      </c>
      <c r="R1481" s="1">
        <v>1</v>
      </c>
      <c r="S1481" s="1">
        <f>R1481/P1481</f>
        <v>1</v>
      </c>
      <c r="T1481" s="1">
        <v>5</v>
      </c>
      <c r="U1481" s="1">
        <v>12.5</v>
      </c>
      <c r="V1481" s="1">
        <v>215.21568627450981</v>
      </c>
      <c r="W1481" s="1">
        <v>6</v>
      </c>
    </row>
    <row r="1482" spans="1:23" x14ac:dyDescent="0.2">
      <c r="A1482">
        <v>2020</v>
      </c>
      <c r="B1482" t="s">
        <v>23</v>
      </c>
      <c r="C1482" t="s">
        <v>271</v>
      </c>
      <c r="D1482">
        <v>30</v>
      </c>
      <c r="E1482">
        <v>1</v>
      </c>
      <c r="F1482">
        <v>7</v>
      </c>
      <c r="G1482" t="s">
        <v>54</v>
      </c>
      <c r="H1482" s="1">
        <v>11</v>
      </c>
      <c r="I1482" s="1">
        <v>64</v>
      </c>
      <c r="J1482" s="1">
        <v>67</v>
      </c>
      <c r="K1482" s="1">
        <f>J1482-I1482</f>
        <v>3</v>
      </c>
      <c r="L1482" s="1">
        <v>158</v>
      </c>
      <c r="M1482" s="1">
        <v>86</v>
      </c>
      <c r="N1482" s="1">
        <v>2</v>
      </c>
      <c r="O1482" s="1">
        <v>2.5</v>
      </c>
      <c r="P1482" s="1">
        <v>11</v>
      </c>
      <c r="Q1482" s="2">
        <v>0.20306250000000001</v>
      </c>
      <c r="R1482" s="1">
        <v>9</v>
      </c>
      <c r="S1482" s="1">
        <f>R1482/P1482</f>
        <v>0.81818181818181823</v>
      </c>
      <c r="T1482" s="1">
        <v>5</v>
      </c>
      <c r="U1482" s="1">
        <v>12.5</v>
      </c>
      <c r="V1482" s="1">
        <v>743.23529411764707</v>
      </c>
      <c r="W1482" s="1">
        <v>6</v>
      </c>
    </row>
    <row r="1483" spans="1:23" x14ac:dyDescent="0.2">
      <c r="A1483">
        <v>2020</v>
      </c>
      <c r="B1483" t="s">
        <v>23</v>
      </c>
      <c r="C1483" t="s">
        <v>271</v>
      </c>
      <c r="D1483">
        <v>30</v>
      </c>
      <c r="E1483">
        <v>2</v>
      </c>
      <c r="F1483">
        <v>4</v>
      </c>
      <c r="G1483" t="s">
        <v>54</v>
      </c>
      <c r="H1483" s="1">
        <v>7</v>
      </c>
      <c r="I1483" s="1">
        <v>67</v>
      </c>
      <c r="J1483" s="1">
        <v>70</v>
      </c>
      <c r="K1483" s="1">
        <f>J1483-I1483</f>
        <v>3</v>
      </c>
      <c r="L1483" s="1">
        <v>152</v>
      </c>
      <c r="M1483" s="1">
        <v>66</v>
      </c>
      <c r="N1483" s="1">
        <v>1.5</v>
      </c>
      <c r="O1483" s="1">
        <v>4</v>
      </c>
      <c r="P1483" s="1">
        <v>6</v>
      </c>
      <c r="Q1483" s="2">
        <v>0.81499999999999995</v>
      </c>
      <c r="R1483" s="1">
        <v>4</v>
      </c>
      <c r="S1483" s="1">
        <f>R1483/P1483</f>
        <v>0.66666666666666663</v>
      </c>
      <c r="T1483" s="1">
        <v>2</v>
      </c>
      <c r="U1483" s="1">
        <v>12.5</v>
      </c>
      <c r="V1483" s="1">
        <v>2983.0065359477126</v>
      </c>
      <c r="W1483" s="1">
        <v>6</v>
      </c>
    </row>
    <row r="1484" spans="1:23" x14ac:dyDescent="0.2">
      <c r="A1484">
        <v>2020</v>
      </c>
      <c r="B1484" t="s">
        <v>23</v>
      </c>
      <c r="C1484" t="s">
        <v>271</v>
      </c>
      <c r="D1484">
        <v>31</v>
      </c>
      <c r="E1484">
        <v>1</v>
      </c>
      <c r="F1484">
        <v>6</v>
      </c>
      <c r="G1484" t="s">
        <v>55</v>
      </c>
      <c r="H1484">
        <v>9</v>
      </c>
      <c r="I1484">
        <v>56</v>
      </c>
      <c r="J1484">
        <v>59</v>
      </c>
      <c r="K1484">
        <v>3</v>
      </c>
      <c r="L1484">
        <v>162</v>
      </c>
      <c r="M1484">
        <v>75</v>
      </c>
      <c r="N1484">
        <v>1.5</v>
      </c>
      <c r="O1484">
        <v>2</v>
      </c>
      <c r="P1484">
        <v>9</v>
      </c>
      <c r="Q1484">
        <v>1</v>
      </c>
      <c r="R1484">
        <v>9</v>
      </c>
      <c r="S1484">
        <v>1</v>
      </c>
      <c r="T1484">
        <v>2.5</v>
      </c>
      <c r="U1484">
        <v>12.5</v>
      </c>
      <c r="V1484">
        <v>3660.1307189542486</v>
      </c>
      <c r="W1484">
        <v>1</v>
      </c>
    </row>
    <row r="1485" spans="1:23" x14ac:dyDescent="0.2">
      <c r="A1485">
        <v>2020</v>
      </c>
      <c r="B1485" t="s">
        <v>23</v>
      </c>
      <c r="C1485" t="s">
        <v>271</v>
      </c>
      <c r="D1485">
        <v>31</v>
      </c>
      <c r="E1485">
        <v>2</v>
      </c>
      <c r="F1485">
        <v>6</v>
      </c>
      <c r="G1485" t="s">
        <v>55</v>
      </c>
      <c r="H1485" s="1">
        <v>6</v>
      </c>
      <c r="I1485" s="1">
        <v>64</v>
      </c>
      <c r="J1485" s="1">
        <v>66</v>
      </c>
      <c r="K1485" s="1">
        <f>J1485-I1485</f>
        <v>2</v>
      </c>
      <c r="L1485" s="1">
        <v>131</v>
      </c>
      <c r="M1485" s="1">
        <v>68</v>
      </c>
      <c r="N1485" s="1">
        <v>2</v>
      </c>
      <c r="O1485" s="1">
        <v>2</v>
      </c>
      <c r="P1485" s="1">
        <v>6</v>
      </c>
      <c r="Q1485" s="2">
        <v>0.54</v>
      </c>
      <c r="R1485" s="1">
        <v>7</v>
      </c>
      <c r="S1485" s="1">
        <f>R1485/P1485</f>
        <v>1.1666666666666667</v>
      </c>
      <c r="T1485" s="1">
        <v>3</v>
      </c>
      <c r="U1485" s="1">
        <v>12.5</v>
      </c>
      <c r="V1485" s="1">
        <v>1976.4705882352941</v>
      </c>
      <c r="W1485" s="1">
        <v>3</v>
      </c>
    </row>
    <row r="1486" spans="1:23" x14ac:dyDescent="0.2">
      <c r="A1486">
        <v>2020</v>
      </c>
      <c r="B1486" t="s">
        <v>23</v>
      </c>
      <c r="C1486" t="s">
        <v>271</v>
      </c>
      <c r="D1486">
        <v>32</v>
      </c>
      <c r="E1486">
        <v>1</v>
      </c>
      <c r="F1486">
        <v>12</v>
      </c>
      <c r="G1486" t="s">
        <v>56</v>
      </c>
      <c r="H1486" s="1">
        <v>8</v>
      </c>
      <c r="I1486" s="1">
        <v>61</v>
      </c>
      <c r="J1486" s="1">
        <v>65</v>
      </c>
      <c r="K1486" s="1">
        <f>J1486-I1486</f>
        <v>4</v>
      </c>
      <c r="L1486" s="1">
        <v>128</v>
      </c>
      <c r="M1486" s="1">
        <v>60</v>
      </c>
      <c r="N1486" s="1">
        <v>2</v>
      </c>
      <c r="O1486" s="1">
        <v>3.5</v>
      </c>
      <c r="P1486" s="1">
        <f>H1486-1</f>
        <v>7</v>
      </c>
      <c r="Q1486" s="2">
        <v>6.6750000000000004E-2</v>
      </c>
      <c r="R1486" s="1">
        <v>4</v>
      </c>
      <c r="S1486" s="1">
        <f>R1486/P1486</f>
        <v>0.5714285714285714</v>
      </c>
      <c r="T1486" s="1">
        <v>5</v>
      </c>
      <c r="U1486" s="1">
        <v>12.5</v>
      </c>
      <c r="V1486" s="1">
        <v>244.31372549019611</v>
      </c>
      <c r="W1486" s="1">
        <v>5</v>
      </c>
    </row>
    <row r="1487" spans="1:23" x14ac:dyDescent="0.2">
      <c r="A1487">
        <v>2020</v>
      </c>
      <c r="B1487" t="s">
        <v>23</v>
      </c>
      <c r="C1487" t="s">
        <v>271</v>
      </c>
      <c r="D1487">
        <v>32</v>
      </c>
      <c r="E1487">
        <v>2</v>
      </c>
      <c r="F1487">
        <v>3</v>
      </c>
      <c r="G1487" t="s">
        <v>56</v>
      </c>
      <c r="H1487" s="1">
        <v>5</v>
      </c>
      <c r="I1487" s="1">
        <v>58</v>
      </c>
      <c r="J1487" s="1">
        <v>62</v>
      </c>
      <c r="K1487" s="1">
        <f>J1487-I1487</f>
        <v>4</v>
      </c>
      <c r="L1487" s="1">
        <v>83</v>
      </c>
      <c r="M1487" s="1">
        <v>77</v>
      </c>
      <c r="N1487" s="1">
        <v>2</v>
      </c>
      <c r="O1487" s="1">
        <v>3.5</v>
      </c>
      <c r="P1487" s="1">
        <v>4</v>
      </c>
      <c r="Q1487" s="2">
        <v>5.0639999999999998E-2</v>
      </c>
      <c r="R1487" s="1">
        <v>2</v>
      </c>
      <c r="S1487" s="1">
        <f>R1487/P1487</f>
        <v>0.5</v>
      </c>
      <c r="T1487" s="1">
        <v>5</v>
      </c>
      <c r="U1487" s="1">
        <v>11.8</v>
      </c>
      <c r="V1487" s="1">
        <v>186.83181176470586</v>
      </c>
      <c r="W1487" s="1">
        <v>2</v>
      </c>
    </row>
    <row r="1488" spans="1:23" x14ac:dyDescent="0.2">
      <c r="A1488">
        <v>2020</v>
      </c>
      <c r="B1488" t="s">
        <v>23</v>
      </c>
      <c r="C1488" t="s">
        <v>271</v>
      </c>
      <c r="D1488">
        <v>33</v>
      </c>
      <c r="E1488">
        <v>1</v>
      </c>
      <c r="F1488">
        <v>8</v>
      </c>
      <c r="G1488" t="s">
        <v>57</v>
      </c>
      <c r="H1488">
        <v>1</v>
      </c>
      <c r="I1488">
        <v>55</v>
      </c>
      <c r="J1488">
        <v>58</v>
      </c>
      <c r="K1488">
        <v>3</v>
      </c>
      <c r="L1488">
        <v>41</v>
      </c>
      <c r="M1488">
        <v>23</v>
      </c>
      <c r="N1488">
        <v>4</v>
      </c>
      <c r="O1488">
        <v>4</v>
      </c>
      <c r="P1488">
        <v>1</v>
      </c>
      <c r="Q1488">
        <v>0.121</v>
      </c>
      <c r="R1488">
        <v>1</v>
      </c>
      <c r="S1488">
        <v>1</v>
      </c>
      <c r="T1488">
        <v>2</v>
      </c>
      <c r="U1488">
        <v>12.5</v>
      </c>
      <c r="V1488">
        <v>442.87581699346407</v>
      </c>
      <c r="W1488">
        <v>2</v>
      </c>
    </row>
    <row r="1489" spans="1:23" x14ac:dyDescent="0.2">
      <c r="A1489">
        <v>2020</v>
      </c>
      <c r="B1489" t="s">
        <v>23</v>
      </c>
      <c r="C1489" t="s">
        <v>271</v>
      </c>
      <c r="D1489">
        <v>33</v>
      </c>
      <c r="E1489">
        <v>2</v>
      </c>
      <c r="F1489">
        <v>13</v>
      </c>
      <c r="G1489" t="s">
        <v>57</v>
      </c>
      <c r="H1489">
        <v>6</v>
      </c>
      <c r="I1489">
        <v>55</v>
      </c>
      <c r="J1489">
        <v>61</v>
      </c>
      <c r="K1489">
        <v>6</v>
      </c>
      <c r="L1489">
        <v>167</v>
      </c>
      <c r="M1489">
        <v>37</v>
      </c>
      <c r="N1489">
        <v>4</v>
      </c>
      <c r="O1489">
        <v>3</v>
      </c>
      <c r="P1489">
        <v>5</v>
      </c>
      <c r="Q1489">
        <v>0.33400000000000002</v>
      </c>
      <c r="R1489">
        <v>1</v>
      </c>
      <c r="S1489">
        <v>0.2</v>
      </c>
      <c r="T1489">
        <v>5</v>
      </c>
      <c r="U1489">
        <v>12.5</v>
      </c>
      <c r="V1489">
        <v>1222.4836601307188</v>
      </c>
      <c r="W1489">
        <v>1</v>
      </c>
    </row>
    <row r="1490" spans="1:23" x14ac:dyDescent="0.2">
      <c r="A1490">
        <v>2020</v>
      </c>
      <c r="B1490" t="s">
        <v>23</v>
      </c>
      <c r="C1490" t="s">
        <v>271</v>
      </c>
      <c r="D1490">
        <v>34</v>
      </c>
      <c r="E1490">
        <v>1</v>
      </c>
      <c r="F1490">
        <v>14</v>
      </c>
      <c r="G1490" t="s">
        <v>58</v>
      </c>
      <c r="H1490">
        <v>16</v>
      </c>
      <c r="I1490">
        <v>54</v>
      </c>
      <c r="J1490">
        <v>56</v>
      </c>
      <c r="K1490">
        <v>2</v>
      </c>
      <c r="L1490">
        <v>189</v>
      </c>
      <c r="M1490">
        <v>70</v>
      </c>
      <c r="N1490">
        <v>2</v>
      </c>
      <c r="O1490">
        <v>1.5</v>
      </c>
      <c r="P1490">
        <v>16</v>
      </c>
      <c r="Q1490">
        <v>1.9</v>
      </c>
      <c r="R1490">
        <v>15</v>
      </c>
      <c r="S1490">
        <v>0.9375</v>
      </c>
      <c r="T1490">
        <v>2</v>
      </c>
      <c r="U1490">
        <v>15.5</v>
      </c>
      <c r="V1490">
        <v>6715.8169934640518</v>
      </c>
      <c r="W1490">
        <v>2</v>
      </c>
    </row>
    <row r="1491" spans="1:23" x14ac:dyDescent="0.2">
      <c r="A1491">
        <v>2020</v>
      </c>
      <c r="B1491" t="s">
        <v>23</v>
      </c>
      <c r="C1491" t="s">
        <v>271</v>
      </c>
      <c r="D1491">
        <v>34</v>
      </c>
      <c r="E1491">
        <v>2</v>
      </c>
      <c r="F1491">
        <v>1</v>
      </c>
      <c r="G1491" t="s">
        <v>58</v>
      </c>
      <c r="H1491">
        <v>14</v>
      </c>
      <c r="I1491">
        <v>54</v>
      </c>
      <c r="J1491">
        <v>56</v>
      </c>
      <c r="K1491">
        <v>2</v>
      </c>
      <c r="L1491">
        <v>172</v>
      </c>
      <c r="M1491">
        <v>53</v>
      </c>
      <c r="N1491">
        <v>2</v>
      </c>
      <c r="O1491">
        <v>2</v>
      </c>
      <c r="P1491">
        <v>10</v>
      </c>
      <c r="Q1491">
        <v>1.2</v>
      </c>
      <c r="R1491">
        <v>10</v>
      </c>
      <c r="S1491">
        <v>1</v>
      </c>
      <c r="T1491">
        <v>2</v>
      </c>
      <c r="U1491">
        <v>9.8000000000000007</v>
      </c>
      <c r="V1491">
        <v>4527.6862745098042</v>
      </c>
      <c r="W1491">
        <v>1</v>
      </c>
    </row>
    <row r="1492" spans="1:23" x14ac:dyDescent="0.2">
      <c r="A1492">
        <v>2020</v>
      </c>
      <c r="B1492" t="s">
        <v>23</v>
      </c>
      <c r="C1492" t="s">
        <v>271</v>
      </c>
      <c r="D1492">
        <v>35</v>
      </c>
      <c r="E1492">
        <v>1</v>
      </c>
      <c r="F1492">
        <v>7</v>
      </c>
      <c r="G1492" t="s">
        <v>59</v>
      </c>
      <c r="H1492" s="3">
        <v>6</v>
      </c>
      <c r="I1492" s="3">
        <v>70</v>
      </c>
      <c r="J1492" s="3">
        <v>72</v>
      </c>
      <c r="K1492" s="3">
        <f>J1492-I1492</f>
        <v>2</v>
      </c>
      <c r="L1492" s="3">
        <v>60</v>
      </c>
      <c r="M1492" s="3">
        <v>10</v>
      </c>
      <c r="N1492" s="3">
        <v>3</v>
      </c>
      <c r="O1492" s="3">
        <v>5</v>
      </c>
      <c r="P1492" s="3">
        <v>1</v>
      </c>
      <c r="Q1492" s="4">
        <v>0.01</v>
      </c>
      <c r="R1492" s="3">
        <v>1</v>
      </c>
      <c r="S1492" s="3">
        <f>R1492/P1492</f>
        <v>1</v>
      </c>
      <c r="T1492" s="3">
        <v>5</v>
      </c>
      <c r="U1492" s="3">
        <v>12.5</v>
      </c>
      <c r="V1492" s="3">
        <v>36.601307189542489</v>
      </c>
      <c r="W1492" s="3">
        <v>7</v>
      </c>
    </row>
    <row r="1493" spans="1:23" x14ac:dyDescent="0.2">
      <c r="A1493">
        <v>2020</v>
      </c>
      <c r="B1493" t="s">
        <v>23</v>
      </c>
      <c r="C1493" t="s">
        <v>271</v>
      </c>
      <c r="D1493">
        <v>35</v>
      </c>
      <c r="E1493">
        <v>2</v>
      </c>
      <c r="F1493">
        <v>10</v>
      </c>
      <c r="G1493" t="s">
        <v>59</v>
      </c>
      <c r="H1493" s="1">
        <v>10</v>
      </c>
      <c r="I1493" s="1">
        <v>65</v>
      </c>
      <c r="J1493" s="1">
        <v>70</v>
      </c>
      <c r="K1493" s="1">
        <f>J1493-I1493</f>
        <v>5</v>
      </c>
      <c r="L1493" s="1">
        <v>127</v>
      </c>
      <c r="M1493" s="1">
        <v>51</v>
      </c>
      <c r="N1493" s="1">
        <v>3</v>
      </c>
      <c r="O1493" s="1">
        <v>4</v>
      </c>
      <c r="P1493" s="1">
        <v>6</v>
      </c>
      <c r="Q1493" s="2">
        <v>0.35899999999999999</v>
      </c>
      <c r="R1493" s="1">
        <v>5</v>
      </c>
      <c r="S1493" s="1">
        <f>R1493/P1493</f>
        <v>0.83333333333333337</v>
      </c>
      <c r="T1493" s="1">
        <v>2.5</v>
      </c>
      <c r="U1493" s="1">
        <v>12.5</v>
      </c>
      <c r="V1493" s="1">
        <v>1313.9869281045751</v>
      </c>
      <c r="W1493" s="1">
        <v>3</v>
      </c>
    </row>
    <row r="1494" spans="1:23" x14ac:dyDescent="0.2">
      <c r="A1494">
        <v>2020</v>
      </c>
      <c r="B1494" t="s">
        <v>23</v>
      </c>
      <c r="C1494" t="s">
        <v>271</v>
      </c>
      <c r="D1494">
        <v>36</v>
      </c>
      <c r="E1494">
        <v>1</v>
      </c>
      <c r="F1494">
        <v>15</v>
      </c>
      <c r="G1494" t="s">
        <v>60</v>
      </c>
      <c r="H1494" s="1">
        <v>9</v>
      </c>
      <c r="I1494" s="1">
        <v>60</v>
      </c>
      <c r="J1494" s="1">
        <v>64</v>
      </c>
      <c r="K1494" s="1">
        <f>J1494-I1494</f>
        <v>4</v>
      </c>
      <c r="L1494" s="1">
        <v>170</v>
      </c>
      <c r="M1494" s="1">
        <v>72</v>
      </c>
      <c r="N1494" s="1">
        <v>2</v>
      </c>
      <c r="O1494" s="1">
        <v>4</v>
      </c>
      <c r="P1494" s="1">
        <v>6</v>
      </c>
      <c r="Q1494" s="2">
        <v>0.59960000000000002</v>
      </c>
      <c r="R1494" s="1">
        <v>4</v>
      </c>
      <c r="S1494" s="1">
        <f>R1494/P1494</f>
        <v>0.66666666666666663</v>
      </c>
      <c r="T1494" s="1">
        <v>5</v>
      </c>
      <c r="U1494" s="1">
        <v>6.9</v>
      </c>
      <c r="V1494" s="1">
        <v>2335.0696993464053</v>
      </c>
      <c r="W1494" s="1">
        <v>6</v>
      </c>
    </row>
    <row r="1495" spans="1:23" x14ac:dyDescent="0.2">
      <c r="A1495">
        <v>2020</v>
      </c>
      <c r="B1495" t="s">
        <v>23</v>
      </c>
      <c r="C1495" t="s">
        <v>271</v>
      </c>
      <c r="D1495">
        <v>36</v>
      </c>
      <c r="E1495">
        <v>2</v>
      </c>
      <c r="F1495">
        <v>1</v>
      </c>
      <c r="G1495" t="s">
        <v>60</v>
      </c>
      <c r="H1495" s="1">
        <v>11</v>
      </c>
      <c r="I1495" s="1">
        <v>66</v>
      </c>
      <c r="J1495" s="1">
        <v>71</v>
      </c>
      <c r="K1495" s="1">
        <f>J1495-I1495</f>
        <v>5</v>
      </c>
      <c r="L1495" s="1">
        <v>157</v>
      </c>
      <c r="M1495" s="1">
        <v>112</v>
      </c>
      <c r="N1495" s="1">
        <v>2</v>
      </c>
      <c r="O1495" s="1">
        <v>2</v>
      </c>
      <c r="P1495" s="1">
        <v>11</v>
      </c>
      <c r="Q1495" s="2">
        <v>0.4995</v>
      </c>
      <c r="R1495" s="1">
        <v>11</v>
      </c>
      <c r="S1495" s="1">
        <f>R1495/P1495</f>
        <v>1</v>
      </c>
      <c r="T1495" s="1">
        <v>4</v>
      </c>
      <c r="U1495" s="1">
        <v>12.5</v>
      </c>
      <c r="V1495" s="1">
        <v>1828.2352941176473</v>
      </c>
      <c r="W1495" s="1">
        <v>4</v>
      </c>
    </row>
    <row r="1496" spans="1:23" x14ac:dyDescent="0.2">
      <c r="A1496">
        <v>2020</v>
      </c>
      <c r="B1496" t="s">
        <v>23</v>
      </c>
      <c r="C1496" t="s">
        <v>271</v>
      </c>
      <c r="D1496">
        <v>37</v>
      </c>
      <c r="E1496">
        <v>1</v>
      </c>
      <c r="F1496">
        <v>11</v>
      </c>
      <c r="G1496" t="s">
        <v>61</v>
      </c>
      <c r="H1496">
        <v>2</v>
      </c>
      <c r="I1496">
        <v>53</v>
      </c>
      <c r="J1496">
        <v>56</v>
      </c>
      <c r="K1496">
        <v>3</v>
      </c>
      <c r="L1496">
        <v>144</v>
      </c>
      <c r="M1496">
        <v>44</v>
      </c>
      <c r="N1496">
        <v>3</v>
      </c>
      <c r="O1496">
        <v>4</v>
      </c>
      <c r="P1496">
        <v>2</v>
      </c>
      <c r="Q1496">
        <v>9.9000000000000005E-2</v>
      </c>
      <c r="R1496">
        <v>2</v>
      </c>
      <c r="S1496">
        <v>1</v>
      </c>
      <c r="T1496">
        <v>2</v>
      </c>
      <c r="U1496">
        <v>12.5</v>
      </c>
      <c r="V1496">
        <v>362.35294117647055</v>
      </c>
      <c r="W1496">
        <v>1</v>
      </c>
    </row>
    <row r="1497" spans="1:23" x14ac:dyDescent="0.2">
      <c r="A1497">
        <v>2020</v>
      </c>
      <c r="B1497" t="s">
        <v>23</v>
      </c>
      <c r="C1497" t="s">
        <v>271</v>
      </c>
      <c r="D1497">
        <v>37</v>
      </c>
      <c r="E1497">
        <v>2</v>
      </c>
      <c r="F1497">
        <v>1</v>
      </c>
      <c r="G1497" t="s">
        <v>61</v>
      </c>
      <c r="H1497" s="1">
        <v>2</v>
      </c>
      <c r="I1497" s="1">
        <v>65</v>
      </c>
      <c r="J1497" s="1">
        <v>68</v>
      </c>
      <c r="K1497" s="1">
        <f>J1497-I1497</f>
        <v>3</v>
      </c>
      <c r="L1497" s="1">
        <v>176</v>
      </c>
      <c r="M1497" s="1">
        <v>70</v>
      </c>
      <c r="N1497" s="1">
        <v>2</v>
      </c>
      <c r="O1497" s="1">
        <v>2.5</v>
      </c>
      <c r="P1497" s="1">
        <v>2</v>
      </c>
      <c r="Q1497" s="2">
        <v>0.28100000000000003</v>
      </c>
      <c r="R1497" s="1">
        <v>3</v>
      </c>
      <c r="S1497" s="1">
        <f>R1497/P1497</f>
        <v>1.5</v>
      </c>
      <c r="T1497" s="1">
        <v>1.5</v>
      </c>
      <c r="U1497" s="1">
        <v>12.5</v>
      </c>
      <c r="V1497" s="1">
        <v>1028.4967320261439</v>
      </c>
      <c r="W1497" s="1">
        <v>2</v>
      </c>
    </row>
    <row r="1498" spans="1:23" x14ac:dyDescent="0.2">
      <c r="A1498">
        <v>2020</v>
      </c>
      <c r="B1498" t="s">
        <v>23</v>
      </c>
      <c r="C1498" t="s">
        <v>271</v>
      </c>
      <c r="D1498">
        <v>38</v>
      </c>
      <c r="E1498">
        <v>1</v>
      </c>
      <c r="F1498">
        <v>4</v>
      </c>
      <c r="G1498" t="s">
        <v>62</v>
      </c>
      <c r="H1498">
        <v>2</v>
      </c>
      <c r="I1498">
        <v>63</v>
      </c>
      <c r="J1498">
        <v>67</v>
      </c>
      <c r="K1498">
        <v>4</v>
      </c>
      <c r="L1498">
        <v>154</v>
      </c>
      <c r="M1498">
        <v>55</v>
      </c>
      <c r="N1498">
        <v>1.5</v>
      </c>
      <c r="O1498">
        <v>2</v>
      </c>
      <c r="P1498">
        <v>2</v>
      </c>
      <c r="Q1498">
        <v>0.4</v>
      </c>
      <c r="R1498">
        <v>3</v>
      </c>
      <c r="S1498">
        <v>1.5</v>
      </c>
      <c r="T1498">
        <v>2.5</v>
      </c>
      <c r="U1498">
        <v>12.5</v>
      </c>
      <c r="V1498">
        <v>1464.0522875816994</v>
      </c>
      <c r="W1498">
        <v>2</v>
      </c>
    </row>
    <row r="1499" spans="1:23" x14ac:dyDescent="0.2">
      <c r="A1499">
        <v>2020</v>
      </c>
      <c r="B1499" t="s">
        <v>23</v>
      </c>
      <c r="C1499" t="s">
        <v>271</v>
      </c>
      <c r="D1499">
        <v>38</v>
      </c>
      <c r="E1499">
        <v>2</v>
      </c>
      <c r="F1499">
        <v>11</v>
      </c>
      <c r="G1499" t="s">
        <v>62</v>
      </c>
      <c r="H1499">
        <v>16</v>
      </c>
      <c r="I1499">
        <v>54</v>
      </c>
      <c r="J1499">
        <v>55</v>
      </c>
      <c r="K1499">
        <v>1</v>
      </c>
      <c r="L1499">
        <v>150</v>
      </c>
      <c r="M1499">
        <v>86</v>
      </c>
      <c r="N1499">
        <v>1</v>
      </c>
      <c r="O1499">
        <v>1.5</v>
      </c>
      <c r="P1499">
        <v>16</v>
      </c>
      <c r="Q1499">
        <v>0.9</v>
      </c>
      <c r="R1499">
        <v>15</v>
      </c>
      <c r="S1499">
        <v>0.9375</v>
      </c>
      <c r="T1499">
        <v>2</v>
      </c>
      <c r="U1499">
        <v>9.8000000000000007</v>
      </c>
      <c r="V1499">
        <v>3395.7647058823536</v>
      </c>
      <c r="W1499">
        <v>1</v>
      </c>
    </row>
    <row r="1500" spans="1:23" x14ac:dyDescent="0.2">
      <c r="A1500">
        <v>2020</v>
      </c>
      <c r="B1500" t="s">
        <v>23</v>
      </c>
      <c r="C1500" t="s">
        <v>271</v>
      </c>
      <c r="D1500">
        <v>39</v>
      </c>
      <c r="E1500">
        <v>1</v>
      </c>
      <c r="F1500">
        <v>7</v>
      </c>
      <c r="G1500" t="s">
        <v>63</v>
      </c>
      <c r="H1500" s="1">
        <v>5</v>
      </c>
      <c r="I1500" s="1">
        <v>68</v>
      </c>
      <c r="J1500" s="1">
        <v>72</v>
      </c>
      <c r="K1500" s="1">
        <f>J1500-I1500</f>
        <v>4</v>
      </c>
      <c r="L1500" s="1">
        <v>157</v>
      </c>
      <c r="M1500" s="1">
        <v>73</v>
      </c>
      <c r="N1500" s="1">
        <v>2</v>
      </c>
      <c r="O1500" s="1">
        <v>2</v>
      </c>
      <c r="P1500" s="1">
        <v>5</v>
      </c>
      <c r="Q1500" s="2">
        <v>0.49</v>
      </c>
      <c r="R1500" s="1">
        <v>6</v>
      </c>
      <c r="S1500" s="1">
        <f>R1500/P1500</f>
        <v>1.2</v>
      </c>
      <c r="T1500" s="1">
        <v>3</v>
      </c>
      <c r="U1500" s="1">
        <v>12.5</v>
      </c>
      <c r="V1500" s="1">
        <v>1793.4640522875818</v>
      </c>
      <c r="W1500" s="1">
        <v>4</v>
      </c>
    </row>
    <row r="1501" spans="1:23" x14ac:dyDescent="0.2">
      <c r="A1501">
        <v>2020</v>
      </c>
      <c r="B1501" t="s">
        <v>23</v>
      </c>
      <c r="C1501" t="s">
        <v>271</v>
      </c>
      <c r="D1501">
        <v>39</v>
      </c>
      <c r="E1501">
        <v>2</v>
      </c>
      <c r="F1501">
        <v>2</v>
      </c>
      <c r="G1501" t="s">
        <v>63</v>
      </c>
      <c r="H1501" s="1">
        <v>10</v>
      </c>
      <c r="I1501" s="1">
        <v>64</v>
      </c>
      <c r="J1501" s="1">
        <v>68</v>
      </c>
      <c r="K1501" s="1">
        <f>J1501-I1501</f>
        <v>4</v>
      </c>
      <c r="L1501" s="1">
        <v>173</v>
      </c>
      <c r="M1501" s="1">
        <v>80</v>
      </c>
      <c r="N1501" s="1">
        <v>2</v>
      </c>
      <c r="O1501" s="1">
        <v>3</v>
      </c>
      <c r="P1501" s="1">
        <v>10</v>
      </c>
      <c r="Q1501" s="2">
        <v>0.29183999999999999</v>
      </c>
      <c r="R1501" s="1">
        <v>5</v>
      </c>
      <c r="S1501" s="1">
        <f>R1501/P1501</f>
        <v>0.5</v>
      </c>
      <c r="T1501" s="1">
        <v>5</v>
      </c>
      <c r="U1501" s="1">
        <v>10.1</v>
      </c>
      <c r="V1501" s="1">
        <v>1097.4709960784317</v>
      </c>
      <c r="W1501" s="1">
        <v>5</v>
      </c>
    </row>
    <row r="1502" spans="1:23" x14ac:dyDescent="0.2">
      <c r="A1502">
        <v>2020</v>
      </c>
      <c r="B1502" t="s">
        <v>23</v>
      </c>
      <c r="C1502" t="s">
        <v>271</v>
      </c>
      <c r="D1502">
        <v>40</v>
      </c>
      <c r="E1502">
        <v>1</v>
      </c>
      <c r="F1502">
        <v>14</v>
      </c>
      <c r="G1502" t="s">
        <v>64</v>
      </c>
      <c r="H1502" s="1">
        <v>8</v>
      </c>
      <c r="I1502" s="1">
        <v>59</v>
      </c>
      <c r="J1502" s="1">
        <v>63</v>
      </c>
      <c r="K1502" s="1">
        <f>J1502-I1502</f>
        <v>4</v>
      </c>
      <c r="L1502" s="1">
        <v>157</v>
      </c>
      <c r="M1502" s="1">
        <v>47</v>
      </c>
      <c r="N1502" s="1">
        <v>3</v>
      </c>
      <c r="O1502" s="1">
        <v>4</v>
      </c>
      <c r="P1502" s="1">
        <v>4</v>
      </c>
      <c r="Q1502" s="2">
        <v>3.1679999999999993E-2</v>
      </c>
      <c r="R1502" s="1">
        <v>1</v>
      </c>
      <c r="S1502" s="1">
        <f>R1502/P1502</f>
        <v>0.25</v>
      </c>
      <c r="T1502" s="1">
        <v>5</v>
      </c>
      <c r="U1502" s="1">
        <v>12.5</v>
      </c>
      <c r="V1502" s="1">
        <v>115.95294117647057</v>
      </c>
      <c r="W1502" s="1">
        <v>6</v>
      </c>
    </row>
    <row r="1503" spans="1:23" x14ac:dyDescent="0.2">
      <c r="A1503">
        <v>2020</v>
      </c>
      <c r="B1503" t="s">
        <v>23</v>
      </c>
      <c r="C1503" t="s">
        <v>271</v>
      </c>
      <c r="D1503">
        <v>40</v>
      </c>
      <c r="E1503">
        <v>2</v>
      </c>
      <c r="F1503">
        <v>8</v>
      </c>
      <c r="G1503" t="s">
        <v>64</v>
      </c>
      <c r="H1503" s="1">
        <v>5</v>
      </c>
      <c r="I1503" s="1">
        <v>63</v>
      </c>
      <c r="J1503" s="1">
        <v>68</v>
      </c>
      <c r="K1503" s="1">
        <f>J1503-I1503</f>
        <v>5</v>
      </c>
      <c r="L1503" s="1">
        <v>91</v>
      </c>
      <c r="M1503" s="1">
        <v>13</v>
      </c>
      <c r="N1503" s="1">
        <v>2</v>
      </c>
      <c r="O1503" s="1">
        <v>4.5</v>
      </c>
      <c r="P1503" s="1">
        <v>4</v>
      </c>
      <c r="Q1503" s="2">
        <v>0.1</v>
      </c>
      <c r="R1503" s="1">
        <v>4</v>
      </c>
      <c r="S1503" s="1">
        <f>R1503/P1503</f>
        <v>1</v>
      </c>
      <c r="T1503" s="1">
        <v>4</v>
      </c>
      <c r="U1503" s="1">
        <v>12.5</v>
      </c>
      <c r="V1503" s="1">
        <v>366.01307189542484</v>
      </c>
      <c r="W1503" s="1">
        <v>6</v>
      </c>
    </row>
    <row r="1504" spans="1:23" x14ac:dyDescent="0.2">
      <c r="A1504">
        <v>2020</v>
      </c>
      <c r="B1504" t="s">
        <v>23</v>
      </c>
      <c r="C1504" t="s">
        <v>271</v>
      </c>
      <c r="D1504">
        <v>41</v>
      </c>
      <c r="E1504">
        <v>1</v>
      </c>
      <c r="F1504">
        <v>11</v>
      </c>
      <c r="G1504" t="s">
        <v>65</v>
      </c>
      <c r="H1504">
        <v>9</v>
      </c>
      <c r="I1504">
        <v>56</v>
      </c>
      <c r="J1504">
        <v>59</v>
      </c>
      <c r="K1504">
        <v>3</v>
      </c>
      <c r="L1504">
        <v>170</v>
      </c>
      <c r="M1504">
        <v>75</v>
      </c>
      <c r="N1504">
        <v>1.5</v>
      </c>
      <c r="O1504">
        <v>2</v>
      </c>
      <c r="P1504">
        <v>9</v>
      </c>
      <c r="Q1504">
        <v>0.4</v>
      </c>
      <c r="R1504">
        <v>9</v>
      </c>
      <c r="S1504">
        <v>1</v>
      </c>
      <c r="T1504">
        <v>2.5</v>
      </c>
      <c r="U1504">
        <v>12.5</v>
      </c>
      <c r="V1504">
        <v>1464.0522875816994</v>
      </c>
      <c r="W1504">
        <v>1</v>
      </c>
    </row>
    <row r="1505" spans="1:23" x14ac:dyDescent="0.2">
      <c r="A1505">
        <v>2020</v>
      </c>
      <c r="B1505" t="s">
        <v>23</v>
      </c>
      <c r="C1505" t="s">
        <v>271</v>
      </c>
      <c r="D1505">
        <v>41</v>
      </c>
      <c r="E1505">
        <v>2</v>
      </c>
      <c r="F1505">
        <v>7</v>
      </c>
      <c r="G1505" t="s">
        <v>65</v>
      </c>
      <c r="H1505" s="1">
        <v>2</v>
      </c>
      <c r="I1505" s="1">
        <v>67</v>
      </c>
      <c r="J1505" s="1">
        <v>70</v>
      </c>
      <c r="K1505" s="1">
        <f t="shared" ref="K1505:K1511" si="70">J1505-I1505</f>
        <v>3</v>
      </c>
      <c r="L1505" s="1">
        <v>91</v>
      </c>
      <c r="M1505" s="1">
        <v>43</v>
      </c>
      <c r="N1505" s="1">
        <v>2</v>
      </c>
      <c r="O1505" s="1">
        <v>4.5</v>
      </c>
      <c r="P1505" s="1">
        <v>1</v>
      </c>
      <c r="Q1505" s="2">
        <v>3.6499999999999998E-2</v>
      </c>
      <c r="R1505" s="1">
        <v>1</v>
      </c>
      <c r="S1505" s="1">
        <f t="shared" ref="S1505:S1511" si="71">R1505/P1505</f>
        <v>1</v>
      </c>
      <c r="T1505" s="1">
        <v>5</v>
      </c>
      <c r="U1505" s="1">
        <v>12.5</v>
      </c>
      <c r="V1505" s="1">
        <v>133.59477124183005</v>
      </c>
      <c r="W1505" s="1">
        <v>5</v>
      </c>
    </row>
    <row r="1506" spans="1:23" x14ac:dyDescent="0.2">
      <c r="A1506">
        <v>2020</v>
      </c>
      <c r="B1506" t="s">
        <v>23</v>
      </c>
      <c r="C1506" t="s">
        <v>271</v>
      </c>
      <c r="D1506">
        <v>42</v>
      </c>
      <c r="E1506">
        <v>1</v>
      </c>
      <c r="F1506">
        <v>6</v>
      </c>
      <c r="G1506" t="s">
        <v>66</v>
      </c>
      <c r="H1506" s="1">
        <v>1</v>
      </c>
      <c r="I1506" s="1">
        <v>62</v>
      </c>
      <c r="J1506" s="1">
        <v>65</v>
      </c>
      <c r="K1506" s="1">
        <f t="shared" si="70"/>
        <v>3</v>
      </c>
      <c r="L1506" s="1">
        <v>83</v>
      </c>
      <c r="M1506" s="1">
        <v>40</v>
      </c>
      <c r="N1506" s="1">
        <v>1.5</v>
      </c>
      <c r="O1506" s="1">
        <v>3</v>
      </c>
      <c r="P1506" s="1">
        <v>1</v>
      </c>
      <c r="Q1506" s="2">
        <v>5.0999999999999997E-2</v>
      </c>
      <c r="R1506" s="1">
        <v>1</v>
      </c>
      <c r="S1506" s="1">
        <f t="shared" si="71"/>
        <v>1</v>
      </c>
      <c r="T1506" s="1">
        <v>4</v>
      </c>
      <c r="U1506" s="1">
        <v>12.5</v>
      </c>
      <c r="V1506" s="1">
        <v>186.66666666666663</v>
      </c>
      <c r="W1506" s="1">
        <v>5</v>
      </c>
    </row>
    <row r="1507" spans="1:23" x14ac:dyDescent="0.2">
      <c r="A1507">
        <v>2020</v>
      </c>
      <c r="B1507" t="s">
        <v>23</v>
      </c>
      <c r="C1507" t="s">
        <v>271</v>
      </c>
      <c r="D1507">
        <v>42</v>
      </c>
      <c r="E1507">
        <v>2</v>
      </c>
      <c r="F1507">
        <v>6</v>
      </c>
      <c r="G1507" t="s">
        <v>66</v>
      </c>
      <c r="H1507" s="1">
        <v>7</v>
      </c>
      <c r="I1507" s="1">
        <v>64</v>
      </c>
      <c r="J1507" s="1">
        <v>68</v>
      </c>
      <c r="K1507" s="1">
        <f t="shared" si="70"/>
        <v>4</v>
      </c>
      <c r="L1507" s="1">
        <v>161</v>
      </c>
      <c r="M1507" s="1">
        <v>46</v>
      </c>
      <c r="N1507" s="1">
        <v>2</v>
      </c>
      <c r="O1507" s="1">
        <v>4</v>
      </c>
      <c r="P1507" s="1">
        <v>5</v>
      </c>
      <c r="Q1507" s="2">
        <v>0.30299999999999999</v>
      </c>
      <c r="R1507" s="1">
        <v>5</v>
      </c>
      <c r="S1507" s="1">
        <f t="shared" si="71"/>
        <v>1</v>
      </c>
      <c r="T1507" s="1">
        <v>3</v>
      </c>
      <c r="U1507" s="1">
        <v>12.5</v>
      </c>
      <c r="V1507" s="1">
        <v>1109.0196078431372</v>
      </c>
      <c r="W1507" s="1">
        <v>3</v>
      </c>
    </row>
    <row r="1508" spans="1:23" x14ac:dyDescent="0.2">
      <c r="A1508">
        <v>2020</v>
      </c>
      <c r="B1508" t="s">
        <v>23</v>
      </c>
      <c r="C1508" t="s">
        <v>271</v>
      </c>
      <c r="D1508">
        <v>43</v>
      </c>
      <c r="E1508">
        <v>1</v>
      </c>
      <c r="F1508">
        <v>9</v>
      </c>
      <c r="G1508" t="s">
        <v>67</v>
      </c>
      <c r="H1508" s="1">
        <v>13</v>
      </c>
      <c r="I1508" s="1">
        <v>68</v>
      </c>
      <c r="J1508" s="1">
        <v>71</v>
      </c>
      <c r="K1508" s="1">
        <f t="shared" si="70"/>
        <v>3</v>
      </c>
      <c r="L1508" s="1">
        <v>168</v>
      </c>
      <c r="M1508" s="1">
        <v>63</v>
      </c>
      <c r="N1508" s="1">
        <v>3</v>
      </c>
      <c r="O1508" s="1">
        <v>4</v>
      </c>
      <c r="P1508" s="1">
        <v>10</v>
      </c>
      <c r="Q1508" s="2">
        <v>0.84960000000000002</v>
      </c>
      <c r="R1508" s="1">
        <v>10</v>
      </c>
      <c r="S1508" s="1">
        <f t="shared" si="71"/>
        <v>1</v>
      </c>
      <c r="T1508" s="1">
        <v>5</v>
      </c>
      <c r="U1508" s="1">
        <v>12.5</v>
      </c>
      <c r="V1508" s="1">
        <v>3109.6470588235297</v>
      </c>
      <c r="W1508" s="1">
        <v>5</v>
      </c>
    </row>
    <row r="1509" spans="1:23" x14ac:dyDescent="0.2">
      <c r="A1509">
        <v>2020</v>
      </c>
      <c r="B1509" t="s">
        <v>23</v>
      </c>
      <c r="C1509" t="s">
        <v>271</v>
      </c>
      <c r="D1509">
        <v>43</v>
      </c>
      <c r="E1509">
        <v>2</v>
      </c>
      <c r="F1509">
        <v>3</v>
      </c>
      <c r="G1509" t="s">
        <v>67</v>
      </c>
      <c r="H1509" s="1">
        <v>12</v>
      </c>
      <c r="I1509" s="1">
        <v>65</v>
      </c>
      <c r="J1509" s="1">
        <v>70</v>
      </c>
      <c r="K1509" s="1">
        <f t="shared" si="70"/>
        <v>5</v>
      </c>
      <c r="L1509" s="1">
        <v>154</v>
      </c>
      <c r="M1509" s="1">
        <v>58</v>
      </c>
      <c r="N1509" s="1">
        <v>2</v>
      </c>
      <c r="O1509" s="1">
        <v>2.5</v>
      </c>
      <c r="P1509" s="1">
        <f>H1509-2</f>
        <v>10</v>
      </c>
      <c r="Q1509" s="2">
        <v>0.51187499999999997</v>
      </c>
      <c r="R1509" s="1">
        <v>7</v>
      </c>
      <c r="S1509" s="1">
        <f t="shared" si="71"/>
        <v>0.7</v>
      </c>
      <c r="T1509" s="1">
        <v>5</v>
      </c>
      <c r="U1509" s="1">
        <v>12.5</v>
      </c>
      <c r="V1509" s="1">
        <v>1873.5294117647059</v>
      </c>
      <c r="W1509" s="1">
        <v>4</v>
      </c>
    </row>
    <row r="1510" spans="1:23" x14ac:dyDescent="0.2">
      <c r="A1510">
        <v>2020</v>
      </c>
      <c r="B1510" t="s">
        <v>23</v>
      </c>
      <c r="C1510" t="s">
        <v>271</v>
      </c>
      <c r="D1510">
        <v>44</v>
      </c>
      <c r="E1510">
        <v>1</v>
      </c>
      <c r="F1510">
        <v>12</v>
      </c>
      <c r="G1510" t="s">
        <v>68</v>
      </c>
      <c r="H1510" s="1">
        <v>5</v>
      </c>
      <c r="I1510" s="1">
        <v>64</v>
      </c>
      <c r="J1510" s="1">
        <v>68</v>
      </c>
      <c r="K1510" s="1">
        <f t="shared" si="70"/>
        <v>4</v>
      </c>
      <c r="L1510" s="1">
        <v>121</v>
      </c>
      <c r="M1510" s="1">
        <v>36</v>
      </c>
      <c r="N1510" s="1">
        <v>1.5</v>
      </c>
      <c r="O1510" s="1">
        <v>4</v>
      </c>
      <c r="P1510" s="1">
        <v>4</v>
      </c>
      <c r="Q1510" s="2">
        <v>0.11</v>
      </c>
      <c r="R1510" s="1">
        <v>2</v>
      </c>
      <c r="S1510" s="1">
        <f t="shared" si="71"/>
        <v>0.5</v>
      </c>
      <c r="T1510" s="1">
        <v>5</v>
      </c>
      <c r="U1510" s="1">
        <v>12.5</v>
      </c>
      <c r="V1510" s="1">
        <v>402.61437908496731</v>
      </c>
      <c r="W1510" s="1">
        <v>7</v>
      </c>
    </row>
    <row r="1511" spans="1:23" x14ac:dyDescent="0.2">
      <c r="A1511">
        <v>2020</v>
      </c>
      <c r="B1511" t="s">
        <v>23</v>
      </c>
      <c r="C1511" t="s">
        <v>271</v>
      </c>
      <c r="D1511">
        <v>44</v>
      </c>
      <c r="E1511">
        <v>2</v>
      </c>
      <c r="F1511">
        <v>6</v>
      </c>
      <c r="G1511" t="s">
        <v>68</v>
      </c>
      <c r="H1511" s="1">
        <v>2</v>
      </c>
      <c r="I1511" s="1">
        <v>61</v>
      </c>
      <c r="J1511" s="1">
        <v>65</v>
      </c>
      <c r="K1511" s="1">
        <f t="shared" si="70"/>
        <v>4</v>
      </c>
      <c r="L1511" s="1">
        <v>60</v>
      </c>
      <c r="M1511" s="1">
        <v>15</v>
      </c>
      <c r="N1511" s="1">
        <v>1.5</v>
      </c>
      <c r="O1511" s="1">
        <v>4.5</v>
      </c>
      <c r="P1511" s="1">
        <v>2</v>
      </c>
      <c r="Q1511" s="2">
        <v>0.09</v>
      </c>
      <c r="R1511" s="1">
        <v>3</v>
      </c>
      <c r="S1511" s="1">
        <f t="shared" si="71"/>
        <v>1.5</v>
      </c>
      <c r="T1511" s="1">
        <v>4.5</v>
      </c>
      <c r="U1511" s="1">
        <v>12.5</v>
      </c>
      <c r="V1511" s="1">
        <v>329.41176470588232</v>
      </c>
      <c r="W1511" s="1">
        <v>4</v>
      </c>
    </row>
    <row r="1512" spans="1:23" x14ac:dyDescent="0.2">
      <c r="A1512">
        <v>2020</v>
      </c>
      <c r="B1512" t="s">
        <v>23</v>
      </c>
      <c r="C1512" t="s">
        <v>271</v>
      </c>
      <c r="D1512">
        <v>45</v>
      </c>
      <c r="E1512">
        <v>1</v>
      </c>
      <c r="F1512">
        <v>6</v>
      </c>
      <c r="G1512" t="s">
        <v>69</v>
      </c>
      <c r="H1512">
        <v>4</v>
      </c>
      <c r="I1512">
        <v>63</v>
      </c>
      <c r="J1512">
        <v>67</v>
      </c>
      <c r="K1512">
        <v>4</v>
      </c>
      <c r="L1512">
        <v>139</v>
      </c>
      <c r="M1512">
        <v>50</v>
      </c>
      <c r="N1512">
        <v>2.5</v>
      </c>
      <c r="O1512">
        <v>2</v>
      </c>
      <c r="P1512">
        <v>4</v>
      </c>
      <c r="Q1512">
        <v>0.2</v>
      </c>
      <c r="R1512">
        <v>4</v>
      </c>
      <c r="S1512">
        <v>1</v>
      </c>
      <c r="T1512">
        <v>3</v>
      </c>
      <c r="U1512">
        <v>12.5</v>
      </c>
      <c r="V1512">
        <v>732.02614379084969</v>
      </c>
      <c r="W1512">
        <v>1</v>
      </c>
    </row>
    <row r="1513" spans="1:23" x14ac:dyDescent="0.2">
      <c r="A1513">
        <v>2020</v>
      </c>
      <c r="B1513" t="s">
        <v>23</v>
      </c>
      <c r="C1513" t="s">
        <v>271</v>
      </c>
      <c r="D1513">
        <v>45</v>
      </c>
      <c r="E1513">
        <v>2</v>
      </c>
      <c r="F1513">
        <v>15</v>
      </c>
      <c r="G1513" t="s">
        <v>69</v>
      </c>
      <c r="H1513" s="1">
        <v>4</v>
      </c>
      <c r="I1513" s="1">
        <v>65</v>
      </c>
      <c r="J1513" s="1">
        <v>69</v>
      </c>
      <c r="K1513" s="1">
        <f>J1513-I1513</f>
        <v>4</v>
      </c>
      <c r="L1513" s="1">
        <v>63</v>
      </c>
      <c r="M1513" s="1">
        <v>70</v>
      </c>
      <c r="N1513" s="1">
        <v>1</v>
      </c>
      <c r="O1513" s="1">
        <v>2.5</v>
      </c>
      <c r="P1513" s="1">
        <f>H1513-2</f>
        <v>2</v>
      </c>
      <c r="Q1513" s="2">
        <v>0.192</v>
      </c>
      <c r="R1513" s="1">
        <v>3</v>
      </c>
      <c r="S1513" s="1">
        <f>R1513/P1513</f>
        <v>1.5</v>
      </c>
      <c r="T1513" s="1">
        <v>2</v>
      </c>
      <c r="U1513" s="1">
        <v>12.5</v>
      </c>
      <c r="V1513" s="1">
        <v>702.74509803921569</v>
      </c>
      <c r="W1513" s="1">
        <v>3</v>
      </c>
    </row>
    <row r="1514" spans="1:23" x14ac:dyDescent="0.2">
      <c r="A1514">
        <v>2020</v>
      </c>
      <c r="B1514" t="s">
        <v>23</v>
      </c>
      <c r="C1514" t="s">
        <v>271</v>
      </c>
      <c r="D1514">
        <v>46</v>
      </c>
      <c r="E1514">
        <v>1</v>
      </c>
      <c r="F1514">
        <v>15</v>
      </c>
      <c r="G1514" t="s">
        <v>70</v>
      </c>
      <c r="H1514" s="1">
        <v>2</v>
      </c>
      <c r="I1514" s="1">
        <v>64</v>
      </c>
      <c r="J1514" s="1">
        <v>68</v>
      </c>
      <c r="K1514" s="1">
        <f>J1514-I1514</f>
        <v>4</v>
      </c>
      <c r="L1514" s="1">
        <v>50</v>
      </c>
      <c r="M1514" s="1">
        <v>41</v>
      </c>
      <c r="N1514" s="1">
        <v>2</v>
      </c>
      <c r="O1514" s="1">
        <v>2.5</v>
      </c>
      <c r="P1514" s="1">
        <v>2</v>
      </c>
      <c r="Q1514" s="2">
        <v>6.3179999999999986E-2</v>
      </c>
      <c r="R1514" s="1">
        <v>1</v>
      </c>
      <c r="S1514" s="1">
        <f>R1514/P1514</f>
        <v>0.5</v>
      </c>
      <c r="T1514" s="1">
        <v>5</v>
      </c>
      <c r="U1514" s="1">
        <v>12.5</v>
      </c>
      <c r="V1514" s="1">
        <v>231.24705882352939</v>
      </c>
      <c r="W1514" s="1">
        <v>4</v>
      </c>
    </row>
    <row r="1515" spans="1:23" x14ac:dyDescent="0.2">
      <c r="A1515">
        <v>2020</v>
      </c>
      <c r="B1515" t="s">
        <v>23</v>
      </c>
      <c r="C1515" t="s">
        <v>271</v>
      </c>
      <c r="D1515">
        <v>46</v>
      </c>
      <c r="E1515">
        <v>2</v>
      </c>
      <c r="F1515">
        <v>8</v>
      </c>
      <c r="G1515" t="s">
        <v>70</v>
      </c>
      <c r="H1515" s="1">
        <v>12</v>
      </c>
      <c r="I1515" s="1">
        <v>67</v>
      </c>
      <c r="J1515" s="1">
        <v>72</v>
      </c>
      <c r="K1515" s="1">
        <f>J1515-I1515</f>
        <v>5</v>
      </c>
      <c r="L1515" s="1">
        <v>130</v>
      </c>
      <c r="M1515" s="1">
        <v>47</v>
      </c>
      <c r="N1515" s="1">
        <v>2.5</v>
      </c>
      <c r="O1515" s="1">
        <v>4</v>
      </c>
      <c r="P1515" s="1">
        <v>8</v>
      </c>
      <c r="Q1515" s="2">
        <v>0.309</v>
      </c>
      <c r="R1515" s="1">
        <v>8</v>
      </c>
      <c r="S1515" s="1">
        <f>R1515/P1515</f>
        <v>1</v>
      </c>
      <c r="T1515" s="1">
        <v>3</v>
      </c>
      <c r="U1515" s="1">
        <v>12.5</v>
      </c>
      <c r="V1515" s="1">
        <v>1130.9803921568628</v>
      </c>
      <c r="W1515" s="1">
        <v>4</v>
      </c>
    </row>
    <row r="1516" spans="1:23" x14ac:dyDescent="0.2">
      <c r="A1516">
        <v>2020</v>
      </c>
      <c r="B1516" t="s">
        <v>23</v>
      </c>
      <c r="C1516" t="s">
        <v>271</v>
      </c>
      <c r="D1516">
        <v>47</v>
      </c>
      <c r="E1516">
        <v>1</v>
      </c>
      <c r="F1516">
        <v>1</v>
      </c>
      <c r="G1516" t="s">
        <v>71</v>
      </c>
      <c r="H1516" s="1">
        <v>8</v>
      </c>
      <c r="I1516" s="1">
        <v>62</v>
      </c>
      <c r="J1516" s="1">
        <v>66</v>
      </c>
      <c r="K1516" s="1">
        <f>J1516-I1516</f>
        <v>4</v>
      </c>
      <c r="L1516" s="1">
        <v>131</v>
      </c>
      <c r="M1516" s="1">
        <v>44</v>
      </c>
      <c r="N1516" s="1">
        <v>2</v>
      </c>
      <c r="O1516" s="1">
        <v>4</v>
      </c>
      <c r="P1516" s="1">
        <v>6</v>
      </c>
      <c r="Q1516" s="2">
        <v>0.23499999999999999</v>
      </c>
      <c r="R1516" s="1">
        <v>6</v>
      </c>
      <c r="S1516" s="1">
        <f>R1516/P1516</f>
        <v>1</v>
      </c>
      <c r="T1516" s="1">
        <v>4.5</v>
      </c>
      <c r="U1516" s="1">
        <v>12.5</v>
      </c>
      <c r="V1516" s="1">
        <v>860.13071895424832</v>
      </c>
      <c r="W1516" s="1">
        <v>4</v>
      </c>
    </row>
    <row r="1517" spans="1:23" x14ac:dyDescent="0.2">
      <c r="A1517">
        <v>2020</v>
      </c>
      <c r="B1517" t="s">
        <v>23</v>
      </c>
      <c r="C1517" t="s">
        <v>271</v>
      </c>
      <c r="D1517">
        <v>47</v>
      </c>
      <c r="E1517">
        <v>2</v>
      </c>
      <c r="F1517">
        <v>14</v>
      </c>
      <c r="G1517" t="s">
        <v>71</v>
      </c>
      <c r="H1517">
        <v>1</v>
      </c>
      <c r="I1517">
        <v>64</v>
      </c>
      <c r="J1517">
        <v>67</v>
      </c>
      <c r="K1517">
        <v>3</v>
      </c>
      <c r="L1517">
        <v>147</v>
      </c>
      <c r="M1517">
        <v>75</v>
      </c>
      <c r="N1517">
        <v>2</v>
      </c>
      <c r="O1517">
        <v>3</v>
      </c>
      <c r="P1517">
        <v>1</v>
      </c>
      <c r="Q1517">
        <v>0.2</v>
      </c>
      <c r="R1517">
        <v>1</v>
      </c>
      <c r="S1517">
        <v>1</v>
      </c>
      <c r="T1517">
        <v>2.5</v>
      </c>
      <c r="U1517">
        <v>12.5</v>
      </c>
      <c r="V1517">
        <v>732.02614379084969</v>
      </c>
      <c r="W1517">
        <v>1</v>
      </c>
    </row>
    <row r="1518" spans="1:23" x14ac:dyDescent="0.2">
      <c r="A1518">
        <v>2020</v>
      </c>
      <c r="B1518" t="s">
        <v>23</v>
      </c>
      <c r="C1518" t="s">
        <v>271</v>
      </c>
      <c r="D1518">
        <v>48</v>
      </c>
      <c r="E1518">
        <v>1</v>
      </c>
      <c r="F1518">
        <v>15</v>
      </c>
      <c r="G1518" t="s">
        <v>72</v>
      </c>
      <c r="H1518" s="1">
        <v>5</v>
      </c>
      <c r="I1518" s="1">
        <v>57</v>
      </c>
      <c r="J1518" s="1">
        <v>61</v>
      </c>
      <c r="K1518" s="1">
        <f>J1518-I1518</f>
        <v>4</v>
      </c>
      <c r="L1518" s="1">
        <v>175</v>
      </c>
      <c r="M1518" s="1">
        <v>88</v>
      </c>
      <c r="N1518" s="1">
        <v>2</v>
      </c>
      <c r="O1518" s="1">
        <v>2</v>
      </c>
      <c r="P1518" s="1">
        <v>5</v>
      </c>
      <c r="Q1518" s="2">
        <v>0.36418499999999993</v>
      </c>
      <c r="R1518" s="1">
        <v>6</v>
      </c>
      <c r="S1518" s="1">
        <f>R1518/P1518</f>
        <v>1.2</v>
      </c>
      <c r="T1518" s="1">
        <v>3</v>
      </c>
      <c r="U1518" s="1">
        <v>12.5</v>
      </c>
      <c r="V1518" s="1">
        <v>1332.964705882353</v>
      </c>
      <c r="W1518" s="1">
        <v>4</v>
      </c>
    </row>
    <row r="1519" spans="1:23" x14ac:dyDescent="0.2">
      <c r="A1519">
        <v>2020</v>
      </c>
      <c r="B1519" t="s">
        <v>23</v>
      </c>
      <c r="C1519" t="s">
        <v>271</v>
      </c>
      <c r="D1519">
        <v>48</v>
      </c>
      <c r="E1519">
        <v>2</v>
      </c>
      <c r="F1519">
        <v>11</v>
      </c>
      <c r="G1519" t="s">
        <v>72</v>
      </c>
      <c r="H1519" s="3">
        <v>7</v>
      </c>
      <c r="I1519" s="3">
        <v>69</v>
      </c>
      <c r="J1519" s="3">
        <v>72</v>
      </c>
      <c r="K1519" s="3">
        <f>J1519-I1519</f>
        <v>3</v>
      </c>
      <c r="L1519" s="3">
        <v>188</v>
      </c>
      <c r="M1519" s="3">
        <v>71</v>
      </c>
      <c r="N1519" s="3">
        <v>2</v>
      </c>
      <c r="O1519" s="3">
        <v>2.5</v>
      </c>
      <c r="P1519" s="3">
        <f>H1519-1</f>
        <v>6</v>
      </c>
      <c r="Q1519" s="4">
        <v>5.7000000000000002E-2</v>
      </c>
      <c r="R1519" s="3">
        <v>5</v>
      </c>
      <c r="S1519" s="3">
        <f>R1519/P1519</f>
        <v>0.83333333333333337</v>
      </c>
      <c r="T1519" s="3">
        <v>3</v>
      </c>
      <c r="U1519" s="3">
        <v>12.5</v>
      </c>
      <c r="V1519" s="3">
        <v>208.62745098039215</v>
      </c>
      <c r="W1519" s="3">
        <v>4</v>
      </c>
    </row>
    <row r="1520" spans="1:23" x14ac:dyDescent="0.2">
      <c r="A1520">
        <v>2020</v>
      </c>
      <c r="B1520" t="s">
        <v>23</v>
      </c>
      <c r="C1520" t="s">
        <v>271</v>
      </c>
      <c r="D1520">
        <v>49</v>
      </c>
      <c r="E1520">
        <v>1</v>
      </c>
      <c r="F1520">
        <v>3</v>
      </c>
      <c r="G1520" t="s">
        <v>73</v>
      </c>
      <c r="H1520" s="1">
        <v>9</v>
      </c>
      <c r="I1520" s="1">
        <v>59</v>
      </c>
      <c r="J1520" s="1">
        <v>62</v>
      </c>
      <c r="K1520" s="1">
        <f>J1520-I1520</f>
        <v>3</v>
      </c>
      <c r="L1520" s="1">
        <v>175</v>
      </c>
      <c r="M1520" s="1">
        <v>80</v>
      </c>
      <c r="N1520" s="1">
        <v>2</v>
      </c>
      <c r="O1520" s="1">
        <v>3.5</v>
      </c>
      <c r="P1520" s="1">
        <v>9</v>
      </c>
      <c r="Q1520" s="2">
        <v>0.42090000000000005</v>
      </c>
      <c r="R1520" s="1">
        <v>10</v>
      </c>
      <c r="S1520" s="1">
        <f>R1520/P1520</f>
        <v>1.1111111111111112</v>
      </c>
      <c r="T1520" s="1">
        <v>4</v>
      </c>
      <c r="U1520" s="1">
        <v>8.9</v>
      </c>
      <c r="V1520" s="1">
        <v>1603.9316078431375</v>
      </c>
      <c r="W1520" s="1">
        <v>4</v>
      </c>
    </row>
    <row r="1521" spans="1:23" x14ac:dyDescent="0.2">
      <c r="A1521">
        <v>2020</v>
      </c>
      <c r="B1521" t="s">
        <v>23</v>
      </c>
      <c r="C1521" t="s">
        <v>271</v>
      </c>
      <c r="D1521">
        <v>49</v>
      </c>
      <c r="E1521">
        <v>2</v>
      </c>
      <c r="F1521">
        <v>5</v>
      </c>
      <c r="G1521" t="s">
        <v>73</v>
      </c>
      <c r="H1521">
        <v>4</v>
      </c>
      <c r="I1521">
        <v>55</v>
      </c>
      <c r="J1521">
        <v>57</v>
      </c>
      <c r="K1521">
        <v>2</v>
      </c>
      <c r="L1521">
        <v>186</v>
      </c>
      <c r="M1521">
        <v>71</v>
      </c>
      <c r="N1521">
        <v>2</v>
      </c>
      <c r="O1521">
        <v>3</v>
      </c>
      <c r="P1521">
        <v>4</v>
      </c>
      <c r="Q1521">
        <v>0.3</v>
      </c>
      <c r="R1521">
        <v>5</v>
      </c>
      <c r="S1521">
        <v>1.25</v>
      </c>
      <c r="T1521">
        <v>3</v>
      </c>
      <c r="U1521">
        <v>12.5</v>
      </c>
      <c r="V1521">
        <v>1098.0392156862745</v>
      </c>
      <c r="W1521">
        <v>2</v>
      </c>
    </row>
    <row r="1522" spans="1:23" x14ac:dyDescent="0.2">
      <c r="A1522">
        <v>2020</v>
      </c>
      <c r="B1522" t="s">
        <v>23</v>
      </c>
      <c r="C1522" t="s">
        <v>271</v>
      </c>
      <c r="D1522">
        <v>50</v>
      </c>
      <c r="E1522">
        <v>1</v>
      </c>
      <c r="F1522">
        <v>11</v>
      </c>
      <c r="G1522" t="s">
        <v>74</v>
      </c>
      <c r="H1522" s="1">
        <v>8</v>
      </c>
      <c r="I1522" s="1">
        <v>70</v>
      </c>
      <c r="J1522" s="1">
        <v>73</v>
      </c>
      <c r="K1522" s="1">
        <f>J1522-I1522</f>
        <v>3</v>
      </c>
      <c r="L1522" s="1">
        <v>110</v>
      </c>
      <c r="M1522" s="1">
        <v>25</v>
      </c>
      <c r="N1522" s="1">
        <v>2</v>
      </c>
      <c r="O1522" s="1">
        <v>4.5</v>
      </c>
      <c r="P1522" s="1">
        <v>6</v>
      </c>
      <c r="Q1522" s="2">
        <v>0.17599999999999999</v>
      </c>
      <c r="R1522" s="1">
        <v>8</v>
      </c>
      <c r="S1522" s="1">
        <f>R1522/P1522</f>
        <v>1.3333333333333333</v>
      </c>
      <c r="T1522" s="1">
        <v>5</v>
      </c>
      <c r="U1522" s="1">
        <v>12.5</v>
      </c>
      <c r="V1522" s="1">
        <v>644.1830065359477</v>
      </c>
      <c r="W1522" s="1">
        <v>6</v>
      </c>
    </row>
    <row r="1523" spans="1:23" x14ac:dyDescent="0.2">
      <c r="A1523">
        <v>2020</v>
      </c>
      <c r="B1523" t="s">
        <v>23</v>
      </c>
      <c r="C1523" t="s">
        <v>271</v>
      </c>
      <c r="D1523">
        <v>50</v>
      </c>
      <c r="E1523">
        <v>2</v>
      </c>
      <c r="F1523">
        <v>12</v>
      </c>
      <c r="G1523" t="s">
        <v>74</v>
      </c>
      <c r="H1523" s="1">
        <v>5</v>
      </c>
      <c r="I1523" s="1">
        <v>62</v>
      </c>
      <c r="J1523" s="1">
        <v>65</v>
      </c>
      <c r="K1523" s="1">
        <f>J1523-I1523</f>
        <v>3</v>
      </c>
      <c r="L1523" s="1">
        <v>133</v>
      </c>
      <c r="M1523" s="1">
        <v>23</v>
      </c>
      <c r="N1523" s="1">
        <v>2</v>
      </c>
      <c r="O1523" s="1">
        <v>3.5</v>
      </c>
      <c r="P1523" s="1">
        <v>1</v>
      </c>
      <c r="Q1523" s="2">
        <v>2.7375E-2</v>
      </c>
      <c r="R1523" s="1">
        <v>1</v>
      </c>
      <c r="S1523" s="1">
        <f>R1523/P1523</f>
        <v>1</v>
      </c>
      <c r="T1523" s="1">
        <v>5</v>
      </c>
      <c r="U1523" s="1">
        <v>12.5</v>
      </c>
      <c r="V1523" s="1">
        <v>100.19607843137254</v>
      </c>
      <c r="W1523" s="1">
        <v>4</v>
      </c>
    </row>
    <row r="1524" spans="1:23" x14ac:dyDescent="0.2">
      <c r="A1524">
        <v>2020</v>
      </c>
      <c r="B1524" t="s">
        <v>23</v>
      </c>
      <c r="C1524" t="s">
        <v>271</v>
      </c>
      <c r="D1524">
        <v>51</v>
      </c>
      <c r="E1524">
        <v>1</v>
      </c>
      <c r="F1524">
        <v>2</v>
      </c>
      <c r="G1524" t="s">
        <v>75</v>
      </c>
      <c r="H1524">
        <v>10</v>
      </c>
      <c r="I1524">
        <v>64</v>
      </c>
      <c r="J1524">
        <v>67</v>
      </c>
      <c r="K1524">
        <v>3</v>
      </c>
      <c r="L1524">
        <v>135</v>
      </c>
      <c r="M1524">
        <v>71</v>
      </c>
      <c r="N1524">
        <v>2</v>
      </c>
      <c r="O1524">
        <v>3</v>
      </c>
      <c r="P1524">
        <v>10</v>
      </c>
      <c r="Q1524">
        <v>1.1000000000000001</v>
      </c>
      <c r="R1524">
        <v>10</v>
      </c>
      <c r="S1524">
        <v>1</v>
      </c>
      <c r="T1524">
        <v>2.5</v>
      </c>
      <c r="U1524">
        <v>12.5</v>
      </c>
      <c r="V1524">
        <v>4026.1437908496737</v>
      </c>
      <c r="W1524">
        <v>1</v>
      </c>
    </row>
    <row r="1525" spans="1:23" x14ac:dyDescent="0.2">
      <c r="A1525">
        <v>2020</v>
      </c>
      <c r="B1525" t="s">
        <v>23</v>
      </c>
      <c r="C1525" t="s">
        <v>271</v>
      </c>
      <c r="D1525">
        <v>51</v>
      </c>
      <c r="E1525">
        <v>2</v>
      </c>
      <c r="F1525">
        <v>13</v>
      </c>
      <c r="G1525" t="s">
        <v>75</v>
      </c>
      <c r="H1525" s="1">
        <v>6</v>
      </c>
      <c r="I1525" s="1">
        <v>62</v>
      </c>
      <c r="J1525" s="1">
        <v>65</v>
      </c>
      <c r="K1525" s="1">
        <f>J1525-I1525</f>
        <v>3</v>
      </c>
      <c r="L1525" s="1">
        <v>147</v>
      </c>
      <c r="M1525" s="1">
        <v>80</v>
      </c>
      <c r="N1525" s="1">
        <v>2</v>
      </c>
      <c r="O1525" s="1">
        <v>2.5</v>
      </c>
      <c r="P1525" s="1">
        <v>6</v>
      </c>
      <c r="Q1525" s="2">
        <v>1.0977999999999999</v>
      </c>
      <c r="R1525" s="1">
        <v>6</v>
      </c>
      <c r="S1525" s="1">
        <f>R1525/P1525</f>
        <v>1</v>
      </c>
      <c r="T1525" s="1">
        <v>3</v>
      </c>
      <c r="U1525" s="1">
        <v>9.6</v>
      </c>
      <c r="V1525" s="1">
        <v>4151.2625359477124</v>
      </c>
      <c r="W1525" s="1">
        <v>4</v>
      </c>
    </row>
    <row r="1526" spans="1:23" x14ac:dyDescent="0.2">
      <c r="A1526">
        <v>2020</v>
      </c>
      <c r="B1526" t="s">
        <v>23</v>
      </c>
      <c r="C1526" t="s">
        <v>271</v>
      </c>
      <c r="D1526">
        <v>52</v>
      </c>
      <c r="E1526">
        <v>1</v>
      </c>
      <c r="F1526">
        <v>4</v>
      </c>
      <c r="G1526" t="s">
        <v>76</v>
      </c>
      <c r="H1526">
        <v>15</v>
      </c>
      <c r="I1526">
        <v>50</v>
      </c>
      <c r="J1526">
        <v>51</v>
      </c>
      <c r="K1526">
        <v>1</v>
      </c>
      <c r="L1526">
        <v>170</v>
      </c>
      <c r="M1526">
        <v>62</v>
      </c>
      <c r="N1526">
        <v>2</v>
      </c>
      <c r="O1526">
        <v>2.5</v>
      </c>
      <c r="P1526">
        <v>13</v>
      </c>
      <c r="Q1526">
        <v>1.6</v>
      </c>
      <c r="R1526">
        <v>13</v>
      </c>
      <c r="S1526">
        <v>1</v>
      </c>
      <c r="T1526">
        <v>2</v>
      </c>
      <c r="U1526">
        <v>9.1</v>
      </c>
      <c r="V1526">
        <v>6083.7647058823541</v>
      </c>
      <c r="W1526">
        <v>2</v>
      </c>
    </row>
    <row r="1527" spans="1:23" x14ac:dyDescent="0.2">
      <c r="A1527">
        <v>2020</v>
      </c>
      <c r="B1527" t="s">
        <v>23</v>
      </c>
      <c r="C1527" t="s">
        <v>271</v>
      </c>
      <c r="D1527">
        <v>52</v>
      </c>
      <c r="E1527">
        <v>2</v>
      </c>
      <c r="F1527">
        <v>8</v>
      </c>
      <c r="G1527" t="s">
        <v>76</v>
      </c>
      <c r="H1527" s="1">
        <v>9</v>
      </c>
      <c r="I1527" s="1">
        <v>59</v>
      </c>
      <c r="J1527" s="1">
        <v>64</v>
      </c>
      <c r="K1527" s="1">
        <f>J1527-I1527</f>
        <v>5</v>
      </c>
      <c r="L1527" s="1">
        <v>102</v>
      </c>
      <c r="M1527" s="1">
        <v>47</v>
      </c>
      <c r="N1527" s="1">
        <v>2</v>
      </c>
      <c r="O1527" s="1">
        <v>3.5</v>
      </c>
      <c r="P1527" s="1">
        <v>8</v>
      </c>
      <c r="Q1527" s="2">
        <v>0.25</v>
      </c>
      <c r="R1527" s="1">
        <v>7</v>
      </c>
      <c r="S1527" s="1">
        <f>R1527/P1527</f>
        <v>0.875</v>
      </c>
      <c r="T1527" s="1">
        <v>3</v>
      </c>
      <c r="U1527" s="1">
        <v>12.5</v>
      </c>
      <c r="V1527" s="1">
        <v>915.03267973856214</v>
      </c>
      <c r="W1527" s="1">
        <v>3</v>
      </c>
    </row>
    <row r="1528" spans="1:23" x14ac:dyDescent="0.2">
      <c r="A1528">
        <v>2020</v>
      </c>
      <c r="B1528" t="s">
        <v>23</v>
      </c>
      <c r="C1528" t="s">
        <v>271</v>
      </c>
      <c r="D1528">
        <v>53</v>
      </c>
      <c r="E1528">
        <v>1</v>
      </c>
      <c r="F1528">
        <v>1</v>
      </c>
      <c r="G1528" t="s">
        <v>77</v>
      </c>
      <c r="H1528" s="1">
        <v>9</v>
      </c>
      <c r="I1528" s="1">
        <v>62</v>
      </c>
      <c r="J1528" s="1">
        <v>66</v>
      </c>
      <c r="K1528" s="1">
        <f>J1528-I1528</f>
        <v>4</v>
      </c>
      <c r="L1528" s="1">
        <v>138</v>
      </c>
      <c r="M1528" s="1">
        <v>78</v>
      </c>
      <c r="N1528" s="1">
        <v>2</v>
      </c>
      <c r="O1528" s="1">
        <v>2.5</v>
      </c>
      <c r="P1528" s="1">
        <v>4</v>
      </c>
      <c r="Q1528" s="2">
        <v>0.11519999999999998</v>
      </c>
      <c r="R1528" s="1">
        <v>4</v>
      </c>
      <c r="S1528" s="1">
        <f>R1528/P1528</f>
        <v>1</v>
      </c>
      <c r="T1528" s="1">
        <v>5</v>
      </c>
      <c r="U1528" s="1">
        <v>12.5</v>
      </c>
      <c r="V1528" s="1">
        <v>421.64705882352945</v>
      </c>
      <c r="W1528" s="1">
        <v>6</v>
      </c>
    </row>
    <row r="1529" spans="1:23" x14ac:dyDescent="0.2">
      <c r="A1529">
        <v>2020</v>
      </c>
      <c r="B1529" t="s">
        <v>23</v>
      </c>
      <c r="C1529" t="s">
        <v>271</v>
      </c>
      <c r="D1529">
        <v>53</v>
      </c>
      <c r="E1529">
        <v>2</v>
      </c>
      <c r="F1529">
        <v>9</v>
      </c>
      <c r="G1529" t="s">
        <v>77</v>
      </c>
      <c r="H1529" s="1">
        <v>11</v>
      </c>
      <c r="I1529" s="1">
        <v>63</v>
      </c>
      <c r="J1529" s="1">
        <v>66</v>
      </c>
      <c r="K1529" s="1">
        <f>J1529-I1529</f>
        <v>3</v>
      </c>
      <c r="L1529" s="1">
        <v>188</v>
      </c>
      <c r="M1529" s="1">
        <v>88</v>
      </c>
      <c r="N1529" s="1">
        <v>2</v>
      </c>
      <c r="O1529" s="1">
        <v>2.5</v>
      </c>
      <c r="P1529" s="1">
        <f>H1529-1</f>
        <v>10</v>
      </c>
      <c r="Q1529" s="2">
        <v>0.20624999999999999</v>
      </c>
      <c r="R1529" s="1">
        <v>8</v>
      </c>
      <c r="S1529" s="1">
        <f>R1529/P1529</f>
        <v>0.8</v>
      </c>
      <c r="T1529" s="1">
        <v>5</v>
      </c>
      <c r="U1529" s="1">
        <v>12.5</v>
      </c>
      <c r="V1529" s="1">
        <v>754.9019607843137</v>
      </c>
      <c r="W1529" s="1">
        <v>5</v>
      </c>
    </row>
    <row r="1530" spans="1:23" x14ac:dyDescent="0.2">
      <c r="A1530">
        <v>2020</v>
      </c>
      <c r="B1530" t="s">
        <v>23</v>
      </c>
      <c r="C1530" t="s">
        <v>271</v>
      </c>
      <c r="D1530">
        <v>54</v>
      </c>
      <c r="E1530">
        <v>1</v>
      </c>
      <c r="F1530">
        <v>1</v>
      </c>
      <c r="G1530" t="s">
        <v>78</v>
      </c>
      <c r="H1530" s="1">
        <v>10</v>
      </c>
      <c r="I1530" s="1">
        <v>64</v>
      </c>
      <c r="J1530" s="1">
        <v>67</v>
      </c>
      <c r="K1530" s="1">
        <f>J1530-I1530</f>
        <v>3</v>
      </c>
      <c r="L1530" s="1">
        <v>172</v>
      </c>
      <c r="M1530" s="1">
        <v>80</v>
      </c>
      <c r="N1530" s="1">
        <v>2</v>
      </c>
      <c r="O1530" s="1">
        <v>3</v>
      </c>
      <c r="P1530" s="1">
        <v>9</v>
      </c>
      <c r="Q1530" s="2">
        <v>7.5300000000000006E-2</v>
      </c>
      <c r="R1530" s="1">
        <v>5</v>
      </c>
      <c r="S1530" s="1">
        <f>R1530/P1530</f>
        <v>0.55555555555555558</v>
      </c>
      <c r="T1530" s="1">
        <v>5</v>
      </c>
      <c r="U1530" s="1">
        <v>12.5</v>
      </c>
      <c r="V1530" s="1">
        <v>275.60784313725492</v>
      </c>
      <c r="W1530" s="1">
        <v>4</v>
      </c>
    </row>
    <row r="1531" spans="1:23" x14ac:dyDescent="0.2">
      <c r="A1531">
        <v>2020</v>
      </c>
      <c r="B1531" t="s">
        <v>23</v>
      </c>
      <c r="C1531" t="s">
        <v>271</v>
      </c>
      <c r="D1531">
        <v>54</v>
      </c>
      <c r="E1531">
        <v>2</v>
      </c>
      <c r="F1531">
        <v>11</v>
      </c>
      <c r="G1531" t="s">
        <v>78</v>
      </c>
      <c r="H1531">
        <v>16</v>
      </c>
      <c r="I1531">
        <v>58</v>
      </c>
      <c r="J1531">
        <v>60</v>
      </c>
      <c r="K1531">
        <v>2</v>
      </c>
      <c r="L1531">
        <v>132</v>
      </c>
      <c r="M1531">
        <v>87</v>
      </c>
      <c r="N1531">
        <v>2</v>
      </c>
      <c r="O1531">
        <v>2</v>
      </c>
      <c r="P1531">
        <v>15</v>
      </c>
      <c r="Q1531">
        <v>0.8</v>
      </c>
      <c r="R1531">
        <v>14</v>
      </c>
      <c r="S1531">
        <v>0.93333333333333335</v>
      </c>
      <c r="T1531">
        <v>3</v>
      </c>
      <c r="U1531">
        <v>10.199999999999999</v>
      </c>
      <c r="V1531">
        <v>3005.0718954248364</v>
      </c>
      <c r="W1531">
        <v>2</v>
      </c>
    </row>
    <row r="1532" spans="1:23" x14ac:dyDescent="0.2">
      <c r="A1532">
        <v>2020</v>
      </c>
      <c r="B1532" t="s">
        <v>23</v>
      </c>
      <c r="C1532" t="s">
        <v>271</v>
      </c>
      <c r="D1532">
        <v>55</v>
      </c>
      <c r="E1532">
        <v>1</v>
      </c>
      <c r="F1532">
        <v>15</v>
      </c>
      <c r="G1532" t="s">
        <v>79</v>
      </c>
      <c r="H1532" s="1">
        <v>6</v>
      </c>
      <c r="I1532" s="1">
        <v>64</v>
      </c>
      <c r="J1532" s="1">
        <v>69</v>
      </c>
      <c r="K1532" s="1">
        <f>J1532-I1532</f>
        <v>5</v>
      </c>
      <c r="L1532" s="1">
        <v>128</v>
      </c>
      <c r="M1532" s="1">
        <v>36</v>
      </c>
      <c r="N1532" s="1">
        <v>2.5</v>
      </c>
      <c r="O1532" s="1">
        <v>3.5</v>
      </c>
      <c r="P1532" s="1">
        <v>6</v>
      </c>
      <c r="Q1532" s="2">
        <v>0.222</v>
      </c>
      <c r="R1532" s="1">
        <v>6</v>
      </c>
      <c r="S1532" s="1">
        <f>R1532/P1532</f>
        <v>1</v>
      </c>
      <c r="T1532" s="1">
        <v>4</v>
      </c>
      <c r="U1532" s="1">
        <v>12.5</v>
      </c>
      <c r="V1532" s="1">
        <v>812.54901960784309</v>
      </c>
      <c r="W1532" s="1">
        <v>4</v>
      </c>
    </row>
    <row r="1533" spans="1:23" x14ac:dyDescent="0.2">
      <c r="A1533">
        <v>2020</v>
      </c>
      <c r="B1533" t="s">
        <v>23</v>
      </c>
      <c r="C1533" t="s">
        <v>271</v>
      </c>
      <c r="D1533">
        <v>55</v>
      </c>
      <c r="E1533">
        <v>2</v>
      </c>
      <c r="F1533">
        <v>12</v>
      </c>
      <c r="G1533" t="s">
        <v>79</v>
      </c>
      <c r="H1533" s="1">
        <v>1</v>
      </c>
      <c r="I1533" s="1">
        <v>61</v>
      </c>
      <c r="J1533" s="1">
        <v>65</v>
      </c>
      <c r="K1533" s="1">
        <f>J1533-I1533</f>
        <v>4</v>
      </c>
      <c r="L1533" s="1">
        <v>87</v>
      </c>
      <c r="M1533" s="1">
        <v>35</v>
      </c>
      <c r="N1533" s="1">
        <v>2</v>
      </c>
      <c r="O1533" s="1">
        <v>5</v>
      </c>
      <c r="P1533" s="1">
        <v>1</v>
      </c>
      <c r="Q1533" s="2">
        <v>5.7199999999999994E-2</v>
      </c>
      <c r="R1533" s="1">
        <v>1</v>
      </c>
      <c r="S1533" s="1">
        <f>R1533/P1533</f>
        <v>1</v>
      </c>
      <c r="T1533" s="1">
        <v>5</v>
      </c>
      <c r="U1533" s="1">
        <v>12.5</v>
      </c>
      <c r="V1533" s="1">
        <v>209.359477124183</v>
      </c>
      <c r="W1533" s="1">
        <v>6</v>
      </c>
    </row>
    <row r="1534" spans="1:23" x14ac:dyDescent="0.2">
      <c r="A1534">
        <v>2020</v>
      </c>
      <c r="B1534" t="s">
        <v>23</v>
      </c>
      <c r="C1534" t="s">
        <v>271</v>
      </c>
      <c r="D1534">
        <v>56</v>
      </c>
      <c r="E1534">
        <v>1</v>
      </c>
      <c r="F1534">
        <v>15</v>
      </c>
      <c r="G1534" t="s">
        <v>80</v>
      </c>
      <c r="H1534" s="1">
        <v>12</v>
      </c>
      <c r="I1534" s="1">
        <v>64</v>
      </c>
      <c r="J1534" s="1">
        <v>68</v>
      </c>
      <c r="K1534" s="1">
        <f>J1534-I1534</f>
        <v>4</v>
      </c>
      <c r="L1534" s="1">
        <v>177</v>
      </c>
      <c r="M1534" s="1">
        <v>85</v>
      </c>
      <c r="N1534" s="1">
        <v>2</v>
      </c>
      <c r="O1534" s="1">
        <v>3</v>
      </c>
      <c r="P1534" s="1">
        <v>10</v>
      </c>
      <c r="Q1534" s="2">
        <v>0.18479999999999999</v>
      </c>
      <c r="R1534" s="1">
        <v>8</v>
      </c>
      <c r="S1534" s="1">
        <f>R1534/P1534</f>
        <v>0.8</v>
      </c>
      <c r="T1534" s="1">
        <v>5</v>
      </c>
      <c r="U1534" s="1">
        <v>7.8</v>
      </c>
      <c r="V1534" s="1">
        <v>712.72407843137262</v>
      </c>
      <c r="W1534" s="1">
        <v>4</v>
      </c>
    </row>
    <row r="1535" spans="1:23" x14ac:dyDescent="0.2">
      <c r="A1535">
        <v>2020</v>
      </c>
      <c r="B1535" t="s">
        <v>23</v>
      </c>
      <c r="C1535" t="s">
        <v>271</v>
      </c>
      <c r="D1535">
        <v>56</v>
      </c>
      <c r="E1535">
        <v>2</v>
      </c>
      <c r="F1535">
        <v>2</v>
      </c>
      <c r="G1535" t="s">
        <v>80</v>
      </c>
      <c r="H1535">
        <v>2</v>
      </c>
      <c r="I1535">
        <v>59</v>
      </c>
      <c r="J1535">
        <v>62</v>
      </c>
      <c r="K1535">
        <v>3</v>
      </c>
      <c r="L1535">
        <v>115</v>
      </c>
      <c r="M1535">
        <v>56</v>
      </c>
      <c r="N1535">
        <v>1.5</v>
      </c>
      <c r="O1535">
        <v>2</v>
      </c>
      <c r="P1535">
        <v>2</v>
      </c>
      <c r="Q1535">
        <v>0.1</v>
      </c>
      <c r="R1535">
        <v>3</v>
      </c>
      <c r="S1535">
        <v>1.5</v>
      </c>
      <c r="T1535">
        <v>2</v>
      </c>
      <c r="U1535">
        <v>12.5</v>
      </c>
      <c r="V1535">
        <v>366.01307189542484</v>
      </c>
      <c r="W1535">
        <v>1</v>
      </c>
    </row>
    <row r="1536" spans="1:23" x14ac:dyDescent="0.2">
      <c r="A1536">
        <v>2020</v>
      </c>
      <c r="B1536" t="s">
        <v>23</v>
      </c>
      <c r="C1536" t="s">
        <v>271</v>
      </c>
      <c r="D1536">
        <v>57</v>
      </c>
      <c r="E1536">
        <v>1</v>
      </c>
      <c r="F1536">
        <v>6</v>
      </c>
      <c r="G1536" t="s">
        <v>81</v>
      </c>
      <c r="H1536">
        <v>5</v>
      </c>
      <c r="I1536">
        <v>55</v>
      </c>
      <c r="J1536">
        <v>56</v>
      </c>
      <c r="K1536">
        <v>1</v>
      </c>
      <c r="L1536">
        <v>172</v>
      </c>
      <c r="M1536">
        <v>64</v>
      </c>
      <c r="N1536">
        <v>1</v>
      </c>
      <c r="O1536">
        <v>2</v>
      </c>
      <c r="P1536">
        <v>5</v>
      </c>
      <c r="Q1536">
        <v>0.6</v>
      </c>
      <c r="R1536">
        <v>5</v>
      </c>
      <c r="S1536">
        <v>1</v>
      </c>
      <c r="T1536">
        <v>3</v>
      </c>
      <c r="U1536">
        <v>12.5</v>
      </c>
      <c r="V1536">
        <v>2196.0784313725489</v>
      </c>
      <c r="W1536">
        <v>1</v>
      </c>
    </row>
    <row r="1537" spans="1:23" x14ac:dyDescent="0.2">
      <c r="A1537">
        <v>2020</v>
      </c>
      <c r="B1537" t="s">
        <v>23</v>
      </c>
      <c r="C1537" t="s">
        <v>271</v>
      </c>
      <c r="D1537">
        <v>57</v>
      </c>
      <c r="E1537">
        <v>2</v>
      </c>
      <c r="F1537">
        <v>13</v>
      </c>
      <c r="G1537" t="s">
        <v>81</v>
      </c>
      <c r="H1537" s="1">
        <v>8</v>
      </c>
      <c r="I1537" s="1">
        <v>58</v>
      </c>
      <c r="J1537" s="1">
        <v>62</v>
      </c>
      <c r="K1537" s="1">
        <f>J1537-I1537</f>
        <v>4</v>
      </c>
      <c r="L1537" s="1">
        <v>143</v>
      </c>
      <c r="M1537" s="1">
        <v>80</v>
      </c>
      <c r="N1537" s="1">
        <v>2</v>
      </c>
      <c r="O1537" s="1">
        <v>3.5</v>
      </c>
      <c r="P1537" s="1">
        <v>4</v>
      </c>
      <c r="Q1537" s="2">
        <v>0.33570000000000005</v>
      </c>
      <c r="R1537" s="1">
        <v>4</v>
      </c>
      <c r="S1537" s="1">
        <f>R1537/P1537</f>
        <v>1</v>
      </c>
      <c r="T1537" s="1">
        <v>3</v>
      </c>
      <c r="U1537" s="1">
        <v>10.7</v>
      </c>
      <c r="V1537" s="1">
        <v>1253.9821176470589</v>
      </c>
      <c r="W1537" s="1">
        <v>5</v>
      </c>
    </row>
    <row r="1538" spans="1:23" x14ac:dyDescent="0.2">
      <c r="A1538">
        <v>2020</v>
      </c>
      <c r="B1538" t="s">
        <v>23</v>
      </c>
      <c r="C1538" t="s">
        <v>271</v>
      </c>
      <c r="D1538">
        <v>58</v>
      </c>
      <c r="E1538">
        <v>1</v>
      </c>
      <c r="F1538">
        <v>10</v>
      </c>
      <c r="G1538" t="s">
        <v>82</v>
      </c>
      <c r="H1538" s="1">
        <v>2</v>
      </c>
      <c r="I1538" s="1">
        <v>66</v>
      </c>
      <c r="J1538" s="1">
        <v>71</v>
      </c>
      <c r="K1538" s="1">
        <f>J1538-I1538</f>
        <v>5</v>
      </c>
      <c r="L1538" s="1">
        <v>125</v>
      </c>
      <c r="M1538" s="1">
        <v>56</v>
      </c>
      <c r="N1538" s="1">
        <v>1.5</v>
      </c>
      <c r="O1538" s="1">
        <v>3</v>
      </c>
      <c r="P1538" s="1">
        <v>2</v>
      </c>
      <c r="Q1538" s="2">
        <v>0.17499999999999999</v>
      </c>
      <c r="R1538" s="1">
        <v>3</v>
      </c>
      <c r="S1538" s="1">
        <f>R1538/P1538</f>
        <v>1.5</v>
      </c>
      <c r="T1538" s="1">
        <v>3.5</v>
      </c>
      <c r="U1538" s="1">
        <v>12.5</v>
      </c>
      <c r="V1538" s="1">
        <v>640.52287581699341</v>
      </c>
      <c r="W1538" s="1">
        <v>3</v>
      </c>
    </row>
    <row r="1539" spans="1:23" x14ac:dyDescent="0.2">
      <c r="A1539">
        <v>2020</v>
      </c>
      <c r="B1539" t="s">
        <v>23</v>
      </c>
      <c r="C1539" t="s">
        <v>271</v>
      </c>
      <c r="D1539">
        <v>58</v>
      </c>
      <c r="E1539">
        <v>2</v>
      </c>
      <c r="F1539">
        <v>4</v>
      </c>
      <c r="G1539" t="s">
        <v>82</v>
      </c>
      <c r="H1539">
        <v>10</v>
      </c>
      <c r="I1539">
        <v>60</v>
      </c>
      <c r="J1539">
        <v>63</v>
      </c>
      <c r="K1539">
        <v>3</v>
      </c>
      <c r="L1539">
        <v>98</v>
      </c>
      <c r="M1539">
        <v>22</v>
      </c>
      <c r="N1539">
        <v>2</v>
      </c>
      <c r="O1539">
        <v>3</v>
      </c>
      <c r="P1539">
        <v>10</v>
      </c>
      <c r="Q1539">
        <v>0.6</v>
      </c>
      <c r="R1539">
        <v>11</v>
      </c>
      <c r="S1539">
        <v>1.1000000000000001</v>
      </c>
      <c r="T1539">
        <v>3</v>
      </c>
      <c r="U1539">
        <v>12.5</v>
      </c>
      <c r="V1539">
        <v>2196.0784313725489</v>
      </c>
      <c r="W1539">
        <v>2</v>
      </c>
    </row>
    <row r="1540" spans="1:23" x14ac:dyDescent="0.2">
      <c r="A1540">
        <v>2020</v>
      </c>
      <c r="B1540" t="s">
        <v>23</v>
      </c>
      <c r="C1540" t="s">
        <v>271</v>
      </c>
      <c r="D1540">
        <v>59</v>
      </c>
      <c r="E1540">
        <v>1</v>
      </c>
      <c r="F1540">
        <v>5</v>
      </c>
      <c r="G1540" t="s">
        <v>83</v>
      </c>
      <c r="H1540" s="1">
        <v>7</v>
      </c>
      <c r="I1540" s="1">
        <v>63</v>
      </c>
      <c r="J1540" s="1">
        <v>68</v>
      </c>
      <c r="K1540" s="1">
        <f>J1540-I1540</f>
        <v>5</v>
      </c>
      <c r="L1540" s="1">
        <v>108</v>
      </c>
      <c r="M1540" s="1">
        <v>30</v>
      </c>
      <c r="N1540" s="1">
        <v>2</v>
      </c>
      <c r="O1540" s="1">
        <v>3.5</v>
      </c>
      <c r="P1540" s="1">
        <v>4</v>
      </c>
      <c r="Q1540" s="2">
        <v>0.1172</v>
      </c>
      <c r="R1540" s="1">
        <v>5</v>
      </c>
      <c r="S1540" s="1">
        <f>R1540/P1540</f>
        <v>1.25</v>
      </c>
      <c r="T1540" s="1">
        <v>5</v>
      </c>
      <c r="U1540" s="1">
        <v>12.5</v>
      </c>
      <c r="V1540" s="1">
        <v>428.96732026143786</v>
      </c>
      <c r="W1540" s="1">
        <v>3</v>
      </c>
    </row>
    <row r="1541" spans="1:23" x14ac:dyDescent="0.2">
      <c r="A1541">
        <v>2020</v>
      </c>
      <c r="B1541" t="s">
        <v>23</v>
      </c>
      <c r="C1541" t="s">
        <v>271</v>
      </c>
      <c r="D1541">
        <v>59</v>
      </c>
      <c r="E1541">
        <v>2</v>
      </c>
      <c r="F1541">
        <v>9</v>
      </c>
      <c r="G1541" t="s">
        <v>83</v>
      </c>
      <c r="H1541" s="1">
        <v>11</v>
      </c>
      <c r="I1541" s="1">
        <v>69</v>
      </c>
      <c r="J1541" s="1">
        <v>74</v>
      </c>
      <c r="K1541" s="1">
        <f>J1541-I1541</f>
        <v>5</v>
      </c>
      <c r="L1541" s="1">
        <v>147</v>
      </c>
      <c r="M1541" s="1">
        <v>78</v>
      </c>
      <c r="N1541" s="1">
        <v>2</v>
      </c>
      <c r="O1541" s="1">
        <v>3.5</v>
      </c>
      <c r="P1541" s="1">
        <f>H1541-2</f>
        <v>9</v>
      </c>
      <c r="Q1541" s="2">
        <v>0.27750000000000002</v>
      </c>
      <c r="R1541" s="1">
        <v>6</v>
      </c>
      <c r="S1541" s="1">
        <f>R1541/P1541</f>
        <v>0.66666666666666663</v>
      </c>
      <c r="T1541" s="1">
        <v>5</v>
      </c>
      <c r="U1541" s="1">
        <v>12.5</v>
      </c>
      <c r="V1541" s="1">
        <v>1015.686274509804</v>
      </c>
      <c r="W1541" s="1">
        <v>4</v>
      </c>
    </row>
    <row r="1542" spans="1:23" x14ac:dyDescent="0.2">
      <c r="A1542">
        <v>2020</v>
      </c>
      <c r="B1542" t="s">
        <v>23</v>
      </c>
      <c r="C1542" t="s">
        <v>271</v>
      </c>
      <c r="D1542">
        <v>60</v>
      </c>
      <c r="E1542">
        <v>1</v>
      </c>
      <c r="F1542">
        <v>4</v>
      </c>
      <c r="G1542" t="s">
        <v>84</v>
      </c>
      <c r="H1542" s="1">
        <v>8</v>
      </c>
      <c r="I1542" s="1">
        <v>65</v>
      </c>
      <c r="J1542" s="1">
        <v>68</v>
      </c>
      <c r="K1542" s="1">
        <f>J1542-I1542</f>
        <v>3</v>
      </c>
      <c r="L1542" s="1">
        <v>148</v>
      </c>
      <c r="M1542" s="1">
        <v>51</v>
      </c>
      <c r="N1542" s="1">
        <v>2</v>
      </c>
      <c r="O1542" s="1">
        <v>3</v>
      </c>
      <c r="P1542" s="1">
        <v>6</v>
      </c>
      <c r="Q1542" s="2">
        <v>0.36199999999999999</v>
      </c>
      <c r="R1542" s="1">
        <v>6</v>
      </c>
      <c r="S1542" s="1">
        <f>R1542/P1542</f>
        <v>1</v>
      </c>
      <c r="T1542" s="1">
        <v>2.5</v>
      </c>
      <c r="U1542" s="1">
        <v>12.5</v>
      </c>
      <c r="V1542" s="1">
        <v>1324.9673202614379</v>
      </c>
      <c r="W1542" s="1">
        <v>2</v>
      </c>
    </row>
    <row r="1543" spans="1:23" x14ac:dyDescent="0.2">
      <c r="A1543">
        <v>2020</v>
      </c>
      <c r="B1543" t="s">
        <v>23</v>
      </c>
      <c r="C1543" t="s">
        <v>271</v>
      </c>
      <c r="D1543">
        <v>60</v>
      </c>
      <c r="E1543">
        <v>2</v>
      </c>
      <c r="F1543">
        <v>8</v>
      </c>
      <c r="G1543" t="s">
        <v>84</v>
      </c>
      <c r="H1543" s="1">
        <v>4</v>
      </c>
      <c r="I1543" s="1">
        <v>68</v>
      </c>
      <c r="J1543" s="1">
        <v>72</v>
      </c>
      <c r="K1543" s="1">
        <f>J1543-I1543</f>
        <v>4</v>
      </c>
      <c r="L1543" s="1">
        <v>118</v>
      </c>
      <c r="M1543" s="1">
        <v>40</v>
      </c>
      <c r="N1543" s="1">
        <v>2</v>
      </c>
      <c r="O1543" s="1">
        <v>3.5</v>
      </c>
      <c r="P1543" s="1">
        <v>4</v>
      </c>
      <c r="Q1543" s="2">
        <v>0.36</v>
      </c>
      <c r="R1543" s="1">
        <v>5</v>
      </c>
      <c r="S1543" s="1">
        <f>R1543/P1543</f>
        <v>1.25</v>
      </c>
      <c r="T1543" s="1">
        <v>3</v>
      </c>
      <c r="U1543" s="1">
        <v>12.5</v>
      </c>
      <c r="V1543" s="1">
        <v>1317.6470588235293</v>
      </c>
      <c r="W1543" s="1">
        <v>2</v>
      </c>
    </row>
    <row r="1544" spans="1:23" x14ac:dyDescent="0.2">
      <c r="A1544">
        <v>2020</v>
      </c>
      <c r="B1544" t="s">
        <v>23</v>
      </c>
      <c r="C1544" t="s">
        <v>271</v>
      </c>
      <c r="D1544">
        <v>61</v>
      </c>
      <c r="E1544">
        <v>1</v>
      </c>
      <c r="F1544">
        <v>3</v>
      </c>
      <c r="G1544" t="s">
        <v>85</v>
      </c>
      <c r="H1544">
        <v>6</v>
      </c>
      <c r="I1544">
        <v>64</v>
      </c>
      <c r="J1544">
        <v>67</v>
      </c>
      <c r="K1544">
        <v>3</v>
      </c>
      <c r="L1544">
        <v>120</v>
      </c>
      <c r="M1544">
        <v>80</v>
      </c>
      <c r="N1544">
        <v>1.5</v>
      </c>
      <c r="O1544">
        <v>3.5</v>
      </c>
      <c r="P1544">
        <v>6</v>
      </c>
      <c r="Q1544">
        <v>0.7</v>
      </c>
      <c r="R1544">
        <v>5</v>
      </c>
      <c r="S1544">
        <v>0.83333333333333337</v>
      </c>
      <c r="T1544">
        <v>3.5</v>
      </c>
      <c r="U1544">
        <v>12.5</v>
      </c>
      <c r="V1544">
        <v>2562.0915032679736</v>
      </c>
      <c r="W1544">
        <v>1</v>
      </c>
    </row>
    <row r="1545" spans="1:23" x14ac:dyDescent="0.2">
      <c r="A1545">
        <v>2020</v>
      </c>
      <c r="B1545" t="s">
        <v>23</v>
      </c>
      <c r="C1545" t="s">
        <v>271</v>
      </c>
      <c r="D1545">
        <v>61</v>
      </c>
      <c r="E1545">
        <v>2</v>
      </c>
      <c r="F1545">
        <v>13</v>
      </c>
      <c r="G1545" t="s">
        <v>85</v>
      </c>
      <c r="H1545">
        <v>16</v>
      </c>
      <c r="I1545">
        <v>59</v>
      </c>
      <c r="J1545">
        <v>62</v>
      </c>
      <c r="K1545">
        <v>3</v>
      </c>
      <c r="L1545">
        <v>127</v>
      </c>
      <c r="M1545">
        <v>68</v>
      </c>
      <c r="N1545">
        <v>1</v>
      </c>
      <c r="O1545">
        <v>1.5</v>
      </c>
      <c r="P1545">
        <v>10</v>
      </c>
      <c r="Q1545">
        <v>0.8</v>
      </c>
      <c r="R1545">
        <v>7</v>
      </c>
      <c r="S1545">
        <v>0.7</v>
      </c>
      <c r="T1545">
        <v>2</v>
      </c>
      <c r="U1545">
        <v>14.2</v>
      </c>
      <c r="V1545">
        <v>2871.2156862745096</v>
      </c>
      <c r="W1545">
        <v>1</v>
      </c>
    </row>
    <row r="1546" spans="1:23" x14ac:dyDescent="0.2">
      <c r="A1546">
        <v>2020</v>
      </c>
      <c r="B1546" t="s">
        <v>23</v>
      </c>
      <c r="C1546" t="s">
        <v>271</v>
      </c>
      <c r="D1546">
        <v>62</v>
      </c>
      <c r="E1546">
        <v>1</v>
      </c>
      <c r="F1546">
        <v>13</v>
      </c>
      <c r="G1546" t="s">
        <v>86</v>
      </c>
      <c r="H1546">
        <v>16</v>
      </c>
      <c r="I1546">
        <v>51</v>
      </c>
      <c r="J1546">
        <v>53</v>
      </c>
      <c r="K1546">
        <v>2</v>
      </c>
      <c r="L1546">
        <v>147</v>
      </c>
      <c r="M1546">
        <v>51</v>
      </c>
      <c r="N1546">
        <v>2</v>
      </c>
      <c r="O1546">
        <v>2</v>
      </c>
      <c r="P1546">
        <v>11</v>
      </c>
      <c r="Q1546">
        <v>0.6</v>
      </c>
      <c r="R1546">
        <v>13</v>
      </c>
      <c r="S1546">
        <v>1.1818181818181819</v>
      </c>
      <c r="T1546">
        <v>3</v>
      </c>
      <c r="U1546">
        <v>11.5</v>
      </c>
      <c r="V1546">
        <v>2221.1764705882356</v>
      </c>
      <c r="W1546">
        <v>2</v>
      </c>
    </row>
    <row r="1547" spans="1:23" x14ac:dyDescent="0.2">
      <c r="A1547">
        <v>2020</v>
      </c>
      <c r="B1547" t="s">
        <v>23</v>
      </c>
      <c r="C1547" t="s">
        <v>271</v>
      </c>
      <c r="D1547">
        <v>62</v>
      </c>
      <c r="E1547">
        <v>2</v>
      </c>
      <c r="F1547">
        <v>14</v>
      </c>
      <c r="G1547" t="s">
        <v>86</v>
      </c>
      <c r="H1547" s="3">
        <v>16</v>
      </c>
      <c r="I1547" s="3">
        <v>66</v>
      </c>
      <c r="J1547" s="3">
        <v>70</v>
      </c>
      <c r="K1547" s="3">
        <f>J1547-I1547</f>
        <v>4</v>
      </c>
      <c r="L1547" s="3">
        <v>139</v>
      </c>
      <c r="M1547" s="3">
        <v>83</v>
      </c>
      <c r="N1547" s="3">
        <v>2</v>
      </c>
      <c r="O1547" s="3">
        <v>3</v>
      </c>
      <c r="P1547" s="3">
        <v>16</v>
      </c>
      <c r="Q1547" s="4">
        <v>0.54</v>
      </c>
      <c r="R1547" s="3">
        <v>12</v>
      </c>
      <c r="S1547" s="3">
        <f>R1547/P1547</f>
        <v>0.75</v>
      </c>
      <c r="T1547" s="3">
        <v>2</v>
      </c>
      <c r="U1547" s="3">
        <v>12.5</v>
      </c>
      <c r="V1547" s="3">
        <v>1976.4705882352941</v>
      </c>
      <c r="W1547" s="3">
        <v>2</v>
      </c>
    </row>
    <row r="1548" spans="1:23" x14ac:dyDescent="0.2">
      <c r="A1548">
        <v>2020</v>
      </c>
      <c r="B1548" t="s">
        <v>23</v>
      </c>
      <c r="C1548" t="s">
        <v>271</v>
      </c>
      <c r="D1548">
        <v>63</v>
      </c>
      <c r="E1548">
        <v>1</v>
      </c>
      <c r="F1548">
        <v>9</v>
      </c>
      <c r="G1548" t="s">
        <v>87</v>
      </c>
      <c r="H1548">
        <v>14</v>
      </c>
      <c r="I1548">
        <v>58</v>
      </c>
      <c r="J1548">
        <v>60</v>
      </c>
      <c r="K1548">
        <v>2</v>
      </c>
      <c r="L1548">
        <v>165</v>
      </c>
      <c r="M1548">
        <v>70</v>
      </c>
      <c r="N1548">
        <v>2</v>
      </c>
      <c r="O1548">
        <v>2.5</v>
      </c>
      <c r="P1548">
        <v>14</v>
      </c>
      <c r="Q1548">
        <v>1.3</v>
      </c>
      <c r="R1548">
        <v>13</v>
      </c>
      <c r="S1548">
        <v>0.9285714285714286</v>
      </c>
      <c r="T1548">
        <v>2</v>
      </c>
      <c r="U1548">
        <v>10.6</v>
      </c>
      <c r="V1548">
        <v>4861.4901960784327</v>
      </c>
      <c r="W1548">
        <v>1</v>
      </c>
    </row>
    <row r="1549" spans="1:23" x14ac:dyDescent="0.2">
      <c r="A1549">
        <v>2020</v>
      </c>
      <c r="B1549" t="s">
        <v>23</v>
      </c>
      <c r="C1549" t="s">
        <v>271</v>
      </c>
      <c r="D1549">
        <v>63</v>
      </c>
      <c r="E1549">
        <v>2</v>
      </c>
      <c r="F1549">
        <v>1</v>
      </c>
      <c r="G1549" t="s">
        <v>87</v>
      </c>
      <c r="H1549">
        <v>1</v>
      </c>
      <c r="I1549">
        <v>55</v>
      </c>
      <c r="J1549">
        <v>57</v>
      </c>
      <c r="K1549">
        <v>2</v>
      </c>
      <c r="L1549">
        <v>62</v>
      </c>
      <c r="M1549">
        <v>22</v>
      </c>
      <c r="N1549">
        <v>4</v>
      </c>
      <c r="O1549">
        <v>3</v>
      </c>
      <c r="P1549">
        <v>1</v>
      </c>
      <c r="Q1549">
        <v>7.9000000000000001E-2</v>
      </c>
      <c r="R1549">
        <v>1</v>
      </c>
      <c r="S1549">
        <v>1</v>
      </c>
      <c r="T1549">
        <v>4</v>
      </c>
      <c r="U1549">
        <v>12.5</v>
      </c>
      <c r="V1549">
        <v>289.15032679738562</v>
      </c>
      <c r="W1549">
        <v>2</v>
      </c>
    </row>
    <row r="1550" spans="1:23" x14ac:dyDescent="0.2">
      <c r="A1550">
        <v>2020</v>
      </c>
      <c r="B1550" t="s">
        <v>23</v>
      </c>
      <c r="C1550" t="s">
        <v>271</v>
      </c>
      <c r="D1550">
        <v>64</v>
      </c>
      <c r="E1550">
        <v>1</v>
      </c>
      <c r="F1550">
        <v>3</v>
      </c>
      <c r="G1550" t="s">
        <v>88</v>
      </c>
      <c r="H1550" s="1">
        <v>2</v>
      </c>
      <c r="I1550" s="1">
        <v>60</v>
      </c>
      <c r="J1550" s="1">
        <v>64</v>
      </c>
      <c r="K1550" s="1">
        <f>J1550-I1550</f>
        <v>4</v>
      </c>
      <c r="L1550" s="1">
        <v>173</v>
      </c>
      <c r="M1550" s="1">
        <v>57</v>
      </c>
      <c r="N1550" s="1">
        <v>2</v>
      </c>
      <c r="O1550" s="1">
        <v>3.5</v>
      </c>
      <c r="P1550" s="1">
        <v>2</v>
      </c>
      <c r="Q1550" s="2">
        <v>0.21</v>
      </c>
      <c r="R1550" s="1">
        <v>2</v>
      </c>
      <c r="S1550" s="1">
        <f>R1550/P1550</f>
        <v>1</v>
      </c>
      <c r="T1550" s="1">
        <v>4</v>
      </c>
      <c r="U1550" s="1">
        <v>12.5</v>
      </c>
      <c r="V1550" s="1">
        <v>768.62745098039215</v>
      </c>
      <c r="W1550" s="1">
        <v>4</v>
      </c>
    </row>
    <row r="1551" spans="1:23" x14ac:dyDescent="0.2">
      <c r="A1551">
        <v>2020</v>
      </c>
      <c r="B1551" t="s">
        <v>23</v>
      </c>
      <c r="C1551" t="s">
        <v>271</v>
      </c>
      <c r="D1551">
        <v>64</v>
      </c>
      <c r="E1551">
        <v>2</v>
      </c>
      <c r="F1551">
        <v>6</v>
      </c>
      <c r="G1551" t="s">
        <v>88</v>
      </c>
      <c r="H1551" s="1">
        <v>8</v>
      </c>
      <c r="I1551" s="1">
        <v>64</v>
      </c>
      <c r="J1551" s="1">
        <v>69</v>
      </c>
      <c r="K1551" s="1">
        <f>J1551-I1551</f>
        <v>5</v>
      </c>
      <c r="L1551" s="1">
        <v>158</v>
      </c>
      <c r="M1551" s="1">
        <v>28</v>
      </c>
      <c r="N1551" s="1">
        <v>3</v>
      </c>
      <c r="O1551" s="1">
        <v>4</v>
      </c>
      <c r="P1551" s="1">
        <v>4</v>
      </c>
      <c r="Q1551" s="2">
        <v>1.4849999999999999E-2</v>
      </c>
      <c r="R1551" s="1">
        <v>1</v>
      </c>
      <c r="S1551" s="1">
        <f>R1551/P1551</f>
        <v>0.25</v>
      </c>
      <c r="T1551" s="1">
        <v>5</v>
      </c>
      <c r="U1551" s="1">
        <v>12.5</v>
      </c>
      <c r="V1551" s="1">
        <v>54.352941176470587</v>
      </c>
      <c r="W1551" s="1">
        <v>6</v>
      </c>
    </row>
    <row r="1552" spans="1:23" x14ac:dyDescent="0.2">
      <c r="A1552">
        <v>2020</v>
      </c>
      <c r="B1552" t="s">
        <v>23</v>
      </c>
      <c r="C1552" t="s">
        <v>271</v>
      </c>
      <c r="D1552">
        <v>65</v>
      </c>
      <c r="E1552">
        <v>1</v>
      </c>
      <c r="F1552">
        <v>9</v>
      </c>
      <c r="G1552" t="s">
        <v>89</v>
      </c>
      <c r="H1552">
        <v>4</v>
      </c>
      <c r="I1552">
        <v>53</v>
      </c>
      <c r="J1552">
        <v>57</v>
      </c>
      <c r="K1552">
        <v>4</v>
      </c>
      <c r="L1552">
        <v>42</v>
      </c>
      <c r="M1552">
        <v>21</v>
      </c>
      <c r="N1552">
        <v>4</v>
      </c>
      <c r="O1552">
        <v>4</v>
      </c>
      <c r="P1552">
        <v>4</v>
      </c>
      <c r="Q1552">
        <v>0.19800000000000001</v>
      </c>
      <c r="R1552">
        <v>1</v>
      </c>
      <c r="S1552">
        <v>0.25</v>
      </c>
      <c r="T1552">
        <v>1</v>
      </c>
      <c r="U1552">
        <v>12.5</v>
      </c>
      <c r="V1552">
        <v>724.7058823529411</v>
      </c>
      <c r="W1552">
        <v>2</v>
      </c>
    </row>
    <row r="1553" spans="1:23" x14ac:dyDescent="0.2">
      <c r="A1553">
        <v>2020</v>
      </c>
      <c r="B1553" t="s">
        <v>23</v>
      </c>
      <c r="C1553" t="s">
        <v>271</v>
      </c>
      <c r="D1553">
        <v>65</v>
      </c>
      <c r="E1553">
        <v>2</v>
      </c>
      <c r="F1553">
        <v>10</v>
      </c>
      <c r="G1553" t="s">
        <v>89</v>
      </c>
      <c r="H1553">
        <v>8</v>
      </c>
      <c r="I1553">
        <v>55</v>
      </c>
      <c r="J1553">
        <v>56</v>
      </c>
      <c r="K1553">
        <v>1</v>
      </c>
      <c r="L1553">
        <v>106</v>
      </c>
      <c r="M1553">
        <v>51</v>
      </c>
      <c r="N1553">
        <v>3</v>
      </c>
      <c r="O1553">
        <v>3</v>
      </c>
      <c r="P1553">
        <v>8</v>
      </c>
      <c r="Q1553">
        <v>0.4</v>
      </c>
      <c r="R1553">
        <v>8</v>
      </c>
      <c r="S1553">
        <v>1</v>
      </c>
      <c r="T1553">
        <v>3</v>
      </c>
      <c r="U1553">
        <v>12.5</v>
      </c>
      <c r="V1553">
        <v>1464.0522875816994</v>
      </c>
      <c r="W1553">
        <v>1</v>
      </c>
    </row>
    <row r="1554" spans="1:23" x14ac:dyDescent="0.2">
      <c r="A1554">
        <v>2020</v>
      </c>
      <c r="B1554" t="s">
        <v>23</v>
      </c>
      <c r="C1554" t="s">
        <v>271</v>
      </c>
      <c r="D1554">
        <v>66</v>
      </c>
      <c r="E1554">
        <v>1</v>
      </c>
      <c r="F1554">
        <v>11</v>
      </c>
      <c r="G1554" t="s">
        <v>90</v>
      </c>
      <c r="H1554">
        <v>15</v>
      </c>
      <c r="I1554">
        <v>56</v>
      </c>
      <c r="J1554">
        <v>57</v>
      </c>
      <c r="K1554">
        <v>1</v>
      </c>
      <c r="L1554">
        <v>173</v>
      </c>
      <c r="M1554">
        <v>75</v>
      </c>
      <c r="N1554">
        <v>2</v>
      </c>
      <c r="O1554">
        <v>2</v>
      </c>
      <c r="P1554">
        <v>15</v>
      </c>
      <c r="Q1554">
        <v>1.7</v>
      </c>
      <c r="R1554">
        <v>15</v>
      </c>
      <c r="S1554">
        <v>1</v>
      </c>
      <c r="T1554">
        <v>3</v>
      </c>
      <c r="U1554">
        <v>10.5</v>
      </c>
      <c r="V1554">
        <v>6364.4444444444443</v>
      </c>
      <c r="W1554">
        <v>2</v>
      </c>
    </row>
    <row r="1555" spans="1:23" x14ac:dyDescent="0.2">
      <c r="A1555">
        <v>2020</v>
      </c>
      <c r="B1555" t="s">
        <v>23</v>
      </c>
      <c r="C1555" t="s">
        <v>271</v>
      </c>
      <c r="D1555">
        <v>66</v>
      </c>
      <c r="E1555">
        <v>2</v>
      </c>
      <c r="F1555">
        <v>10</v>
      </c>
      <c r="G1555" t="s">
        <v>90</v>
      </c>
      <c r="H1555" s="1">
        <v>8</v>
      </c>
      <c r="I1555" s="1">
        <v>62</v>
      </c>
      <c r="J1555" s="1">
        <v>67</v>
      </c>
      <c r="K1555" s="1">
        <f>J1555-I1555</f>
        <v>5</v>
      </c>
      <c r="L1555" s="1">
        <v>130</v>
      </c>
      <c r="M1555" s="1">
        <v>41</v>
      </c>
      <c r="N1555" s="1">
        <v>1.5</v>
      </c>
      <c r="O1555" s="1">
        <v>4.5</v>
      </c>
      <c r="P1555" s="1">
        <v>6</v>
      </c>
      <c r="Q1555" s="2">
        <v>0.36</v>
      </c>
      <c r="R1555" s="1">
        <v>4</v>
      </c>
      <c r="S1555" s="1">
        <f>R1555/P1555</f>
        <v>0.66666666666666663</v>
      </c>
      <c r="T1555" s="1">
        <v>4</v>
      </c>
      <c r="U1555" s="1">
        <v>12.5</v>
      </c>
      <c r="V1555" s="1">
        <v>1317.6470588235293</v>
      </c>
      <c r="W1555" s="1">
        <v>6</v>
      </c>
    </row>
    <row r="1556" spans="1:23" x14ac:dyDescent="0.2">
      <c r="A1556">
        <v>2020</v>
      </c>
      <c r="B1556" t="s">
        <v>23</v>
      </c>
      <c r="C1556" t="s">
        <v>271</v>
      </c>
      <c r="D1556">
        <v>67</v>
      </c>
      <c r="E1556">
        <v>1</v>
      </c>
      <c r="F1556">
        <v>10</v>
      </c>
      <c r="G1556" t="s">
        <v>91</v>
      </c>
      <c r="H1556" s="1">
        <v>4</v>
      </c>
      <c r="I1556" s="1">
        <v>62</v>
      </c>
      <c r="J1556" s="1">
        <v>66</v>
      </c>
      <c r="K1556" s="1">
        <f>J1556-I1556</f>
        <v>4</v>
      </c>
      <c r="L1556" s="1">
        <v>92</v>
      </c>
      <c r="M1556" s="1">
        <v>45</v>
      </c>
      <c r="N1556" s="1">
        <v>2</v>
      </c>
      <c r="O1556" s="1">
        <v>4</v>
      </c>
      <c r="P1556" s="1">
        <v>2</v>
      </c>
      <c r="Q1556" s="2">
        <v>0.184</v>
      </c>
      <c r="R1556" s="1">
        <v>2</v>
      </c>
      <c r="S1556" s="1">
        <f>R1556/P1556</f>
        <v>1</v>
      </c>
      <c r="T1556" s="1">
        <v>4</v>
      </c>
      <c r="U1556" s="1">
        <v>12.5</v>
      </c>
      <c r="V1556" s="1">
        <v>673.46405228758169</v>
      </c>
      <c r="W1556" s="1">
        <v>5</v>
      </c>
    </row>
    <row r="1557" spans="1:23" x14ac:dyDescent="0.2">
      <c r="A1557">
        <v>2020</v>
      </c>
      <c r="B1557" t="s">
        <v>23</v>
      </c>
      <c r="C1557" t="s">
        <v>271</v>
      </c>
      <c r="D1557">
        <v>67</v>
      </c>
      <c r="E1557">
        <v>2</v>
      </c>
      <c r="F1557">
        <v>15</v>
      </c>
      <c r="G1557" t="s">
        <v>91</v>
      </c>
      <c r="H1557" s="1">
        <v>6</v>
      </c>
      <c r="I1557" s="1">
        <v>67</v>
      </c>
      <c r="J1557" s="1">
        <v>72</v>
      </c>
      <c r="K1557" s="1">
        <f>J1557-I1557</f>
        <v>5</v>
      </c>
      <c r="L1557" s="1">
        <v>112</v>
      </c>
      <c r="M1557" s="1">
        <v>46</v>
      </c>
      <c r="N1557" s="1">
        <v>2</v>
      </c>
      <c r="O1557" s="1">
        <v>4.5</v>
      </c>
      <c r="P1557" s="1">
        <v>5</v>
      </c>
      <c r="Q1557" s="2">
        <v>0.26200000000000001</v>
      </c>
      <c r="R1557" s="1">
        <v>4</v>
      </c>
      <c r="S1557" s="1">
        <f>R1557/P1557</f>
        <v>0.8</v>
      </c>
      <c r="T1557" s="1">
        <v>4</v>
      </c>
      <c r="U1557" s="1">
        <v>12.5</v>
      </c>
      <c r="V1557" s="1">
        <v>958.95424836601296</v>
      </c>
      <c r="W1557" s="1">
        <v>4</v>
      </c>
    </row>
    <row r="1558" spans="1:23" x14ac:dyDescent="0.2">
      <c r="A1558">
        <v>2020</v>
      </c>
      <c r="B1558" t="s">
        <v>23</v>
      </c>
      <c r="C1558" t="s">
        <v>271</v>
      </c>
      <c r="D1558">
        <v>68</v>
      </c>
      <c r="E1558">
        <v>1</v>
      </c>
      <c r="F1558">
        <v>11</v>
      </c>
      <c r="G1558" t="s">
        <v>92</v>
      </c>
      <c r="H1558" s="1">
        <v>12</v>
      </c>
      <c r="I1558" s="1">
        <v>60</v>
      </c>
      <c r="J1558" s="1">
        <v>64</v>
      </c>
      <c r="K1558" s="1">
        <f>J1558-I1558</f>
        <v>4</v>
      </c>
      <c r="L1558" s="1">
        <v>133</v>
      </c>
      <c r="M1558" s="1">
        <v>83</v>
      </c>
      <c r="N1558" s="1">
        <v>2</v>
      </c>
      <c r="O1558" s="1">
        <v>3.5</v>
      </c>
      <c r="P1558" s="1">
        <f>H1558</f>
        <v>12</v>
      </c>
      <c r="Q1558" s="2">
        <v>0.39150000000000001</v>
      </c>
      <c r="R1558" s="1">
        <v>10</v>
      </c>
      <c r="S1558" s="1">
        <f>R1558/P1558</f>
        <v>0.83333333333333337</v>
      </c>
      <c r="T1558" s="1">
        <v>5</v>
      </c>
      <c r="U1558" s="1">
        <v>12.5</v>
      </c>
      <c r="V1558" s="1">
        <v>1432.9411764705883</v>
      </c>
      <c r="W1558" s="1">
        <v>6</v>
      </c>
    </row>
    <row r="1559" spans="1:23" x14ac:dyDescent="0.2">
      <c r="A1559">
        <v>2020</v>
      </c>
      <c r="B1559" t="s">
        <v>23</v>
      </c>
      <c r="C1559" t="s">
        <v>271</v>
      </c>
      <c r="D1559">
        <v>68</v>
      </c>
      <c r="E1559">
        <v>2</v>
      </c>
      <c r="F1559">
        <v>6</v>
      </c>
      <c r="G1559" t="s">
        <v>92</v>
      </c>
      <c r="H1559" s="1">
        <v>10</v>
      </c>
      <c r="I1559" s="1">
        <v>55</v>
      </c>
      <c r="J1559" s="1">
        <v>58</v>
      </c>
      <c r="K1559" s="1">
        <f>J1559-I1559</f>
        <v>3</v>
      </c>
      <c r="L1559" s="1">
        <v>144</v>
      </c>
      <c r="M1559" s="1">
        <v>50</v>
      </c>
      <c r="N1559" s="1">
        <v>3</v>
      </c>
      <c r="O1559" s="1">
        <v>4</v>
      </c>
      <c r="P1559" s="1">
        <v>10</v>
      </c>
      <c r="Q1559" s="2">
        <v>0.38150000000000001</v>
      </c>
      <c r="R1559" s="1">
        <v>10</v>
      </c>
      <c r="S1559" s="1">
        <f>R1559/P1559</f>
        <v>1</v>
      </c>
      <c r="T1559" s="1">
        <v>3</v>
      </c>
      <c r="U1559" s="1">
        <v>12.5</v>
      </c>
      <c r="V1559" s="1">
        <v>1396.3398692810458</v>
      </c>
      <c r="W1559" s="1">
        <v>2</v>
      </c>
    </row>
    <row r="1560" spans="1:23" x14ac:dyDescent="0.2">
      <c r="A1560">
        <v>2020</v>
      </c>
      <c r="B1560" t="s">
        <v>23</v>
      </c>
      <c r="C1560" t="s">
        <v>271</v>
      </c>
      <c r="D1560">
        <v>69</v>
      </c>
      <c r="E1560">
        <v>1</v>
      </c>
      <c r="F1560">
        <v>7</v>
      </c>
      <c r="G1560" t="s">
        <v>93</v>
      </c>
      <c r="H1560">
        <v>6</v>
      </c>
      <c r="I1560">
        <v>56</v>
      </c>
      <c r="J1560">
        <v>62</v>
      </c>
      <c r="K1560">
        <v>6</v>
      </c>
      <c r="L1560">
        <v>102</v>
      </c>
      <c r="M1560">
        <v>38</v>
      </c>
      <c r="N1560">
        <v>3</v>
      </c>
      <c r="O1560">
        <v>4</v>
      </c>
      <c r="P1560">
        <v>5</v>
      </c>
      <c r="Q1560">
        <v>0.26100000000000001</v>
      </c>
      <c r="R1560">
        <v>5</v>
      </c>
      <c r="S1560">
        <v>1</v>
      </c>
      <c r="T1560">
        <v>4</v>
      </c>
      <c r="U1560">
        <v>12.5</v>
      </c>
      <c r="V1560">
        <v>955.29411764705901</v>
      </c>
      <c r="W1560">
        <v>2</v>
      </c>
    </row>
    <row r="1561" spans="1:23" x14ac:dyDescent="0.2">
      <c r="A1561">
        <v>2020</v>
      </c>
      <c r="B1561" t="s">
        <v>23</v>
      </c>
      <c r="C1561" t="s">
        <v>271</v>
      </c>
      <c r="D1561">
        <v>69</v>
      </c>
      <c r="E1561">
        <v>2</v>
      </c>
      <c r="F1561">
        <v>5</v>
      </c>
      <c r="G1561" t="s">
        <v>93</v>
      </c>
      <c r="H1561" s="1">
        <v>2</v>
      </c>
      <c r="I1561" s="1">
        <v>65</v>
      </c>
      <c r="J1561" s="1">
        <v>68</v>
      </c>
      <c r="K1561" s="1">
        <f>J1561-I1561</f>
        <v>3</v>
      </c>
      <c r="L1561" s="1">
        <v>152</v>
      </c>
      <c r="M1561" s="1">
        <v>56</v>
      </c>
      <c r="N1561" s="1">
        <v>1.5</v>
      </c>
      <c r="O1561" s="1">
        <v>3</v>
      </c>
      <c r="P1561" s="1">
        <v>2</v>
      </c>
      <c r="Q1561" s="2">
        <v>0.245</v>
      </c>
      <c r="R1561" s="1">
        <v>3</v>
      </c>
      <c r="S1561" s="1">
        <f>R1561/P1561</f>
        <v>1.5</v>
      </c>
      <c r="T1561" s="1">
        <v>3.5</v>
      </c>
      <c r="U1561" s="1">
        <v>12.5</v>
      </c>
      <c r="V1561" s="1">
        <v>896.7320261437909</v>
      </c>
      <c r="W1561" s="1">
        <v>3</v>
      </c>
    </row>
    <row r="1562" spans="1:23" x14ac:dyDescent="0.2">
      <c r="A1562">
        <v>2020</v>
      </c>
      <c r="B1562" t="s">
        <v>23</v>
      </c>
      <c r="C1562" t="s">
        <v>271</v>
      </c>
      <c r="D1562">
        <v>70</v>
      </c>
      <c r="E1562">
        <v>1</v>
      </c>
      <c r="F1562">
        <v>4</v>
      </c>
      <c r="G1562" t="s">
        <v>94</v>
      </c>
      <c r="H1562">
        <v>16</v>
      </c>
      <c r="I1562">
        <v>50</v>
      </c>
      <c r="J1562">
        <v>56</v>
      </c>
      <c r="K1562">
        <v>6</v>
      </c>
      <c r="L1562">
        <v>173</v>
      </c>
      <c r="M1562">
        <v>95</v>
      </c>
      <c r="N1562">
        <v>1</v>
      </c>
      <c r="O1562">
        <v>2</v>
      </c>
      <c r="P1562">
        <v>15</v>
      </c>
      <c r="Q1562">
        <v>1.7</v>
      </c>
      <c r="R1562">
        <v>15</v>
      </c>
      <c r="S1562">
        <v>1</v>
      </c>
      <c r="T1562">
        <v>2</v>
      </c>
      <c r="U1562">
        <v>9.6</v>
      </c>
      <c r="V1562">
        <v>6428.4444444444443</v>
      </c>
      <c r="W1562">
        <v>2</v>
      </c>
    </row>
    <row r="1563" spans="1:23" x14ac:dyDescent="0.2">
      <c r="A1563">
        <v>2020</v>
      </c>
      <c r="B1563" t="s">
        <v>23</v>
      </c>
      <c r="C1563" t="s">
        <v>271</v>
      </c>
      <c r="D1563">
        <v>70</v>
      </c>
      <c r="E1563">
        <v>2</v>
      </c>
      <c r="F1563">
        <v>8</v>
      </c>
      <c r="G1563" t="s">
        <v>94</v>
      </c>
      <c r="H1563" s="1">
        <v>11</v>
      </c>
      <c r="I1563" s="1">
        <v>61</v>
      </c>
      <c r="J1563" s="1">
        <v>64</v>
      </c>
      <c r="K1563" s="1">
        <f>J1563-I1563</f>
        <v>3</v>
      </c>
      <c r="L1563" s="1">
        <v>139</v>
      </c>
      <c r="M1563" s="1">
        <v>50</v>
      </c>
      <c r="N1563" s="1">
        <v>2</v>
      </c>
      <c r="O1563" s="1">
        <v>3.5</v>
      </c>
      <c r="P1563" s="1">
        <v>10</v>
      </c>
      <c r="Q1563" s="2">
        <v>0.93149999999999999</v>
      </c>
      <c r="R1563" s="1">
        <v>9</v>
      </c>
      <c r="S1563" s="1">
        <f>R1563/P1563</f>
        <v>0.9</v>
      </c>
      <c r="T1563" s="1">
        <v>2</v>
      </c>
      <c r="U1563" s="1">
        <v>12.5</v>
      </c>
      <c r="V1563" s="1">
        <v>3409.4117647058824</v>
      </c>
      <c r="W1563" s="1">
        <v>2</v>
      </c>
    </row>
    <row r="1564" spans="1:23" x14ac:dyDescent="0.2">
      <c r="A1564">
        <v>2020</v>
      </c>
      <c r="B1564" t="s">
        <v>23</v>
      </c>
      <c r="C1564" t="s">
        <v>271</v>
      </c>
      <c r="D1564">
        <v>71</v>
      </c>
      <c r="E1564">
        <v>1</v>
      </c>
      <c r="F1564">
        <v>10</v>
      </c>
      <c r="G1564" t="s">
        <v>95</v>
      </c>
      <c r="H1564" s="1">
        <v>4</v>
      </c>
      <c r="I1564" s="1">
        <v>68</v>
      </c>
      <c r="J1564" s="1">
        <v>72</v>
      </c>
      <c r="K1564" s="1">
        <f>J1564-I1564</f>
        <v>4</v>
      </c>
      <c r="L1564" s="1">
        <v>105</v>
      </c>
      <c r="M1564" s="1">
        <v>38</v>
      </c>
      <c r="N1564" s="1">
        <v>3</v>
      </c>
      <c r="O1564" s="1">
        <v>5</v>
      </c>
      <c r="P1564" s="1">
        <v>1</v>
      </c>
      <c r="Q1564" s="2">
        <v>3.7999999999999999E-2</v>
      </c>
      <c r="R1564" s="1">
        <v>1</v>
      </c>
      <c r="S1564" s="1">
        <f>R1564/P1564</f>
        <v>1</v>
      </c>
      <c r="T1564" s="1">
        <v>5</v>
      </c>
      <c r="U1564" s="1">
        <v>12.5</v>
      </c>
      <c r="V1564" s="1">
        <v>139.08496732026143</v>
      </c>
      <c r="W1564" s="1">
        <v>6</v>
      </c>
    </row>
    <row r="1565" spans="1:23" x14ac:dyDescent="0.2">
      <c r="A1565">
        <v>2020</v>
      </c>
      <c r="B1565" t="s">
        <v>23</v>
      </c>
      <c r="C1565" t="s">
        <v>271</v>
      </c>
      <c r="D1565">
        <v>71</v>
      </c>
      <c r="E1565">
        <v>2</v>
      </c>
      <c r="F1565">
        <v>12</v>
      </c>
      <c r="G1565" t="s">
        <v>95</v>
      </c>
      <c r="H1565">
        <v>10</v>
      </c>
      <c r="I1565">
        <v>55</v>
      </c>
      <c r="J1565">
        <v>57</v>
      </c>
      <c r="K1565">
        <v>2</v>
      </c>
      <c r="L1565">
        <v>190</v>
      </c>
      <c r="M1565">
        <v>54</v>
      </c>
      <c r="N1565">
        <v>1.5</v>
      </c>
      <c r="O1565">
        <v>4</v>
      </c>
      <c r="P1565">
        <v>10</v>
      </c>
      <c r="Q1565">
        <v>0.4</v>
      </c>
      <c r="R1565">
        <v>11</v>
      </c>
      <c r="S1565">
        <v>1.1000000000000001</v>
      </c>
      <c r="T1565">
        <v>2.5</v>
      </c>
      <c r="U1565">
        <v>12.5</v>
      </c>
      <c r="V1565">
        <v>1464.0522875816994</v>
      </c>
      <c r="W1565">
        <v>2</v>
      </c>
    </row>
    <row r="1566" spans="1:23" x14ac:dyDescent="0.2">
      <c r="A1566">
        <v>2020</v>
      </c>
      <c r="B1566" t="s">
        <v>23</v>
      </c>
      <c r="C1566" t="s">
        <v>271</v>
      </c>
      <c r="D1566">
        <v>72</v>
      </c>
      <c r="E1566">
        <v>1</v>
      </c>
      <c r="F1566">
        <v>6</v>
      </c>
      <c r="G1566" t="s">
        <v>96</v>
      </c>
      <c r="H1566" s="1">
        <v>8</v>
      </c>
      <c r="I1566" s="1">
        <v>62</v>
      </c>
      <c r="J1566" s="1">
        <v>65</v>
      </c>
      <c r="K1566" s="1">
        <f>J1566-I1566</f>
        <v>3</v>
      </c>
      <c r="L1566" s="1">
        <v>112</v>
      </c>
      <c r="M1566" s="1">
        <v>25</v>
      </c>
      <c r="N1566" s="1">
        <v>3</v>
      </c>
      <c r="O1566" s="1">
        <v>4.5</v>
      </c>
      <c r="P1566" s="1">
        <v>2</v>
      </c>
      <c r="Q1566" s="2">
        <v>3.875E-2</v>
      </c>
      <c r="R1566" s="1">
        <v>2</v>
      </c>
      <c r="S1566" s="1">
        <f>R1566/P1566</f>
        <v>1</v>
      </c>
      <c r="T1566" s="1">
        <v>5</v>
      </c>
      <c r="U1566" s="1">
        <v>12.5</v>
      </c>
      <c r="V1566" s="1">
        <v>141.83006535947712</v>
      </c>
      <c r="W1566" s="1">
        <v>6</v>
      </c>
    </row>
    <row r="1567" spans="1:23" x14ac:dyDescent="0.2">
      <c r="A1567">
        <v>2020</v>
      </c>
      <c r="B1567" t="s">
        <v>23</v>
      </c>
      <c r="C1567" t="s">
        <v>271</v>
      </c>
      <c r="D1567">
        <v>72</v>
      </c>
      <c r="E1567">
        <v>2</v>
      </c>
      <c r="F1567">
        <v>10</v>
      </c>
      <c r="G1567" t="s">
        <v>96</v>
      </c>
      <c r="H1567">
        <v>9</v>
      </c>
      <c r="I1567">
        <v>59</v>
      </c>
      <c r="J1567">
        <v>62</v>
      </c>
      <c r="K1567">
        <v>3</v>
      </c>
      <c r="L1567">
        <v>123</v>
      </c>
      <c r="M1567">
        <v>51</v>
      </c>
      <c r="N1567">
        <v>1.5</v>
      </c>
      <c r="O1567">
        <v>2</v>
      </c>
      <c r="P1567">
        <v>9</v>
      </c>
      <c r="Q1567">
        <v>0.2</v>
      </c>
      <c r="R1567">
        <v>10</v>
      </c>
      <c r="S1567">
        <v>1.1111111111111112</v>
      </c>
      <c r="T1567">
        <v>2.5</v>
      </c>
      <c r="U1567">
        <v>12.5</v>
      </c>
      <c r="V1567">
        <v>732.02614379084969</v>
      </c>
      <c r="W1567">
        <v>1</v>
      </c>
    </row>
    <row r="1568" spans="1:23" x14ac:dyDescent="0.2">
      <c r="A1568">
        <v>2020</v>
      </c>
      <c r="B1568" t="s">
        <v>23</v>
      </c>
      <c r="C1568" t="s">
        <v>271</v>
      </c>
      <c r="D1568">
        <v>73</v>
      </c>
      <c r="E1568">
        <v>1</v>
      </c>
      <c r="F1568">
        <v>9</v>
      </c>
      <c r="G1568" t="s">
        <v>97</v>
      </c>
      <c r="H1568">
        <v>16</v>
      </c>
      <c r="I1568">
        <v>50</v>
      </c>
      <c r="J1568">
        <v>53</v>
      </c>
      <c r="K1568">
        <v>3</v>
      </c>
      <c r="L1568">
        <v>197</v>
      </c>
      <c r="M1568">
        <v>81</v>
      </c>
      <c r="N1568">
        <v>2</v>
      </c>
      <c r="O1568">
        <v>2</v>
      </c>
      <c r="P1568">
        <v>9</v>
      </c>
      <c r="Q1568">
        <v>1.3</v>
      </c>
      <c r="R1568">
        <v>13</v>
      </c>
      <c r="S1568">
        <v>1.4444444444444444</v>
      </c>
      <c r="T1568">
        <v>3</v>
      </c>
      <c r="U1568">
        <v>9.5</v>
      </c>
      <c r="V1568">
        <v>4921.3071895424837</v>
      </c>
      <c r="W1568">
        <v>1</v>
      </c>
    </row>
    <row r="1569" spans="1:23" x14ac:dyDescent="0.2">
      <c r="A1569">
        <v>2020</v>
      </c>
      <c r="B1569" t="s">
        <v>23</v>
      </c>
      <c r="C1569" t="s">
        <v>271</v>
      </c>
      <c r="D1569">
        <v>73</v>
      </c>
      <c r="E1569">
        <v>2</v>
      </c>
      <c r="F1569">
        <v>13</v>
      </c>
      <c r="G1569" t="s">
        <v>97</v>
      </c>
      <c r="H1569" s="1">
        <v>13</v>
      </c>
      <c r="I1569" s="1">
        <v>61</v>
      </c>
      <c r="J1569" s="1">
        <v>65</v>
      </c>
      <c r="K1569" s="1">
        <f>J1569-I1569</f>
        <v>4</v>
      </c>
      <c r="L1569" s="1">
        <v>173</v>
      </c>
      <c r="M1569" s="1">
        <v>45</v>
      </c>
      <c r="N1569" s="1">
        <v>3</v>
      </c>
      <c r="O1569" s="1">
        <v>4</v>
      </c>
      <c r="P1569" s="1">
        <f>H1569-2</f>
        <v>11</v>
      </c>
      <c r="Q1569" s="2">
        <v>0.26</v>
      </c>
      <c r="R1569" s="1">
        <v>8</v>
      </c>
      <c r="S1569" s="1">
        <f>R1569/P1569</f>
        <v>0.72727272727272729</v>
      </c>
      <c r="T1569" s="1">
        <v>5</v>
      </c>
      <c r="U1569" s="1">
        <v>12.5</v>
      </c>
      <c r="V1569" s="1">
        <v>951.63398692810449</v>
      </c>
      <c r="W1569" s="1">
        <v>5</v>
      </c>
    </row>
    <row r="1570" spans="1:23" x14ac:dyDescent="0.2">
      <c r="A1570">
        <v>2020</v>
      </c>
      <c r="B1570" t="s">
        <v>23</v>
      </c>
      <c r="C1570" t="s">
        <v>271</v>
      </c>
      <c r="D1570">
        <v>74</v>
      </c>
      <c r="E1570">
        <v>1</v>
      </c>
      <c r="F1570">
        <v>1</v>
      </c>
      <c r="G1570" t="s">
        <v>98</v>
      </c>
      <c r="H1570" s="1">
        <v>9</v>
      </c>
      <c r="I1570" s="1">
        <v>67</v>
      </c>
      <c r="J1570" s="1">
        <v>70</v>
      </c>
      <c r="K1570" s="1">
        <f>J1570-I1570</f>
        <v>3</v>
      </c>
      <c r="L1570" s="1">
        <v>144</v>
      </c>
      <c r="M1570" s="1">
        <v>51</v>
      </c>
      <c r="N1570" s="1">
        <v>1.5</v>
      </c>
      <c r="O1570" s="1">
        <v>4</v>
      </c>
      <c r="P1570" s="1">
        <v>4</v>
      </c>
      <c r="Q1570" s="2">
        <v>0.22600000000000001</v>
      </c>
      <c r="R1570" s="1">
        <v>4</v>
      </c>
      <c r="S1570" s="1">
        <f>R1570/P1570</f>
        <v>1</v>
      </c>
      <c r="T1570" s="1">
        <v>3</v>
      </c>
      <c r="U1570" s="1">
        <v>12.5</v>
      </c>
      <c r="V1570" s="1">
        <v>827.18954248366026</v>
      </c>
      <c r="W1570" s="1">
        <v>5</v>
      </c>
    </row>
    <row r="1571" spans="1:23" x14ac:dyDescent="0.2">
      <c r="A1571">
        <v>2020</v>
      </c>
      <c r="B1571" t="s">
        <v>23</v>
      </c>
      <c r="C1571" t="s">
        <v>271</v>
      </c>
      <c r="D1571">
        <v>74</v>
      </c>
      <c r="E1571">
        <v>2</v>
      </c>
      <c r="F1571">
        <v>7</v>
      </c>
      <c r="G1571" t="s">
        <v>98</v>
      </c>
      <c r="H1571" s="1">
        <v>3</v>
      </c>
      <c r="I1571" s="1">
        <v>57</v>
      </c>
      <c r="J1571" s="1">
        <v>62</v>
      </c>
      <c r="K1571" s="1">
        <f>J1571-I1571</f>
        <v>5</v>
      </c>
      <c r="L1571" s="1">
        <v>125</v>
      </c>
      <c r="M1571" s="1">
        <v>41</v>
      </c>
      <c r="N1571" s="1">
        <v>1.5</v>
      </c>
      <c r="O1571" s="1">
        <v>3</v>
      </c>
      <c r="P1571" s="1">
        <v>3</v>
      </c>
      <c r="Q1571" s="2">
        <v>0.34200000000000003</v>
      </c>
      <c r="R1571" s="1">
        <v>3</v>
      </c>
      <c r="S1571" s="1">
        <f>R1571/P1571</f>
        <v>1</v>
      </c>
      <c r="T1571" s="1">
        <v>2.5</v>
      </c>
      <c r="U1571" s="1">
        <v>12.5</v>
      </c>
      <c r="V1571" s="1">
        <v>1251.7647058823529</v>
      </c>
      <c r="W1571" s="1">
        <v>2</v>
      </c>
    </row>
    <row r="1572" spans="1:23" x14ac:dyDescent="0.2">
      <c r="A1572">
        <v>2020</v>
      </c>
      <c r="B1572" t="s">
        <v>23</v>
      </c>
      <c r="C1572" t="s">
        <v>271</v>
      </c>
      <c r="D1572">
        <v>75</v>
      </c>
      <c r="E1572">
        <v>1</v>
      </c>
      <c r="F1572">
        <v>10</v>
      </c>
      <c r="G1572" t="s">
        <v>99</v>
      </c>
      <c r="H1572">
        <v>2</v>
      </c>
      <c r="I1572">
        <v>56</v>
      </c>
      <c r="J1572">
        <v>60</v>
      </c>
      <c r="K1572">
        <v>4</v>
      </c>
      <c r="L1572">
        <v>86</v>
      </c>
      <c r="M1572">
        <v>23</v>
      </c>
      <c r="N1572">
        <v>1.5</v>
      </c>
      <c r="O1572">
        <v>4</v>
      </c>
      <c r="P1572">
        <v>2</v>
      </c>
      <c r="Q1572">
        <v>0.25</v>
      </c>
      <c r="R1572">
        <v>3</v>
      </c>
      <c r="S1572">
        <v>1.5</v>
      </c>
      <c r="T1572">
        <v>2</v>
      </c>
      <c r="U1572">
        <v>12.5</v>
      </c>
      <c r="V1572">
        <v>915.03267973856214</v>
      </c>
      <c r="W1572">
        <v>2</v>
      </c>
    </row>
    <row r="1573" spans="1:23" x14ac:dyDescent="0.2">
      <c r="A1573">
        <v>2020</v>
      </c>
      <c r="B1573" t="s">
        <v>23</v>
      </c>
      <c r="C1573" t="s">
        <v>271</v>
      </c>
      <c r="D1573">
        <v>75</v>
      </c>
      <c r="E1573">
        <v>2</v>
      </c>
      <c r="F1573">
        <v>3</v>
      </c>
      <c r="G1573" t="s">
        <v>99</v>
      </c>
      <c r="H1573">
        <v>9</v>
      </c>
      <c r="I1573">
        <v>58</v>
      </c>
      <c r="J1573">
        <v>60</v>
      </c>
      <c r="K1573">
        <v>2</v>
      </c>
      <c r="L1573">
        <v>112</v>
      </c>
      <c r="M1573">
        <v>22</v>
      </c>
      <c r="N1573">
        <v>2</v>
      </c>
      <c r="O1573">
        <v>2</v>
      </c>
      <c r="P1573">
        <v>9</v>
      </c>
      <c r="Q1573">
        <v>1.41</v>
      </c>
      <c r="R1573">
        <v>10</v>
      </c>
      <c r="S1573">
        <v>1.1111111111111112</v>
      </c>
      <c r="T1573" t="s">
        <v>273</v>
      </c>
      <c r="U1573">
        <v>12.5</v>
      </c>
      <c r="V1573">
        <v>5160.7843137254904</v>
      </c>
      <c r="W1573">
        <v>1</v>
      </c>
    </row>
    <row r="1574" spans="1:23" x14ac:dyDescent="0.2">
      <c r="A1574">
        <v>2020</v>
      </c>
      <c r="B1574" t="s">
        <v>23</v>
      </c>
      <c r="C1574" t="s">
        <v>271</v>
      </c>
      <c r="D1574">
        <v>76</v>
      </c>
      <c r="E1574">
        <v>1</v>
      </c>
      <c r="F1574">
        <v>2</v>
      </c>
      <c r="G1574" t="s">
        <v>100</v>
      </c>
      <c r="H1574" s="1">
        <v>11</v>
      </c>
      <c r="I1574" s="1">
        <v>69</v>
      </c>
      <c r="J1574" s="1">
        <v>74</v>
      </c>
      <c r="K1574" s="1">
        <f>J1574-I1574</f>
        <v>5</v>
      </c>
      <c r="L1574" s="1">
        <v>143</v>
      </c>
      <c r="M1574" s="1">
        <v>83</v>
      </c>
      <c r="N1574" s="1">
        <v>3</v>
      </c>
      <c r="O1574" s="1">
        <v>3.5</v>
      </c>
      <c r="P1574" s="1">
        <v>8</v>
      </c>
      <c r="Q1574" s="2">
        <v>9.5400000000000013E-2</v>
      </c>
      <c r="R1574" s="1">
        <v>2</v>
      </c>
      <c r="S1574" s="1">
        <f>R1574/P1574</f>
        <v>0.25</v>
      </c>
      <c r="T1574" s="1">
        <v>5</v>
      </c>
      <c r="U1574" s="1">
        <v>12.5</v>
      </c>
      <c r="V1574" s="1">
        <v>349.17647058823536</v>
      </c>
      <c r="W1574" s="1">
        <v>6</v>
      </c>
    </row>
    <row r="1575" spans="1:23" x14ac:dyDescent="0.2">
      <c r="A1575">
        <v>2020</v>
      </c>
      <c r="B1575" t="s">
        <v>23</v>
      </c>
      <c r="C1575" t="s">
        <v>271</v>
      </c>
      <c r="D1575">
        <v>76</v>
      </c>
      <c r="E1575">
        <v>2</v>
      </c>
      <c r="F1575">
        <v>3</v>
      </c>
      <c r="G1575" t="s">
        <v>100</v>
      </c>
      <c r="H1575" s="1">
        <v>13</v>
      </c>
      <c r="I1575" s="1">
        <v>57</v>
      </c>
      <c r="J1575" s="1">
        <v>60</v>
      </c>
      <c r="K1575" s="1">
        <f>J1575-I1575</f>
        <v>3</v>
      </c>
      <c r="L1575" s="1">
        <v>137</v>
      </c>
      <c r="M1575" s="1">
        <v>65</v>
      </c>
      <c r="N1575" s="1">
        <v>2</v>
      </c>
      <c r="O1575" s="1">
        <v>2.5</v>
      </c>
      <c r="P1575" s="1">
        <f>H1575-2</f>
        <v>11</v>
      </c>
      <c r="Q1575" s="2">
        <v>9.1687500000000005E-2</v>
      </c>
      <c r="R1575" s="1">
        <v>8</v>
      </c>
      <c r="S1575" s="1">
        <f>R1575/P1575</f>
        <v>0.72727272727272729</v>
      </c>
      <c r="T1575" s="1">
        <v>5</v>
      </c>
      <c r="U1575" s="1">
        <v>12.5</v>
      </c>
      <c r="V1575" s="1">
        <v>335.58823529411768</v>
      </c>
      <c r="W1575" s="1">
        <v>4</v>
      </c>
    </row>
    <row r="1576" spans="1:23" x14ac:dyDescent="0.2">
      <c r="A1576">
        <v>2020</v>
      </c>
      <c r="B1576" t="s">
        <v>23</v>
      </c>
      <c r="C1576" t="s">
        <v>271</v>
      </c>
      <c r="D1576">
        <v>77</v>
      </c>
      <c r="E1576">
        <v>1</v>
      </c>
      <c r="F1576">
        <v>1</v>
      </c>
      <c r="G1576" t="s">
        <v>101</v>
      </c>
      <c r="H1576">
        <v>13</v>
      </c>
      <c r="I1576">
        <v>59</v>
      </c>
      <c r="J1576">
        <v>62</v>
      </c>
      <c r="K1576">
        <v>3</v>
      </c>
      <c r="L1576">
        <v>145</v>
      </c>
      <c r="M1576">
        <v>50</v>
      </c>
      <c r="N1576">
        <v>2</v>
      </c>
      <c r="O1576">
        <v>3</v>
      </c>
      <c r="P1576">
        <v>13</v>
      </c>
      <c r="Q1576">
        <v>1.5</v>
      </c>
      <c r="R1576">
        <v>13</v>
      </c>
      <c r="S1576">
        <v>1</v>
      </c>
      <c r="T1576">
        <v>3</v>
      </c>
      <c r="U1576">
        <v>12.5</v>
      </c>
      <c r="V1576">
        <v>5490.1960784313724</v>
      </c>
      <c r="W1576">
        <v>1</v>
      </c>
    </row>
    <row r="1577" spans="1:23" x14ac:dyDescent="0.2">
      <c r="A1577">
        <v>2020</v>
      </c>
      <c r="B1577" t="s">
        <v>23</v>
      </c>
      <c r="C1577" t="s">
        <v>271</v>
      </c>
      <c r="D1577">
        <v>77</v>
      </c>
      <c r="E1577">
        <v>2</v>
      </c>
      <c r="F1577">
        <v>1</v>
      </c>
      <c r="G1577" t="s">
        <v>101</v>
      </c>
      <c r="H1577">
        <v>15</v>
      </c>
      <c r="I1577">
        <v>58</v>
      </c>
      <c r="J1577">
        <v>60</v>
      </c>
      <c r="K1577">
        <v>2</v>
      </c>
      <c r="L1577">
        <v>135</v>
      </c>
      <c r="M1577">
        <v>60</v>
      </c>
      <c r="N1577">
        <v>2</v>
      </c>
      <c r="O1577">
        <v>2</v>
      </c>
      <c r="P1577">
        <v>14</v>
      </c>
      <c r="Q1577">
        <v>0.8</v>
      </c>
      <c r="R1577">
        <v>10</v>
      </c>
      <c r="S1577">
        <v>0.7142857142857143</v>
      </c>
      <c r="T1577">
        <v>3</v>
      </c>
      <c r="U1577">
        <v>9.5</v>
      </c>
      <c r="V1577">
        <v>3028.4967320261439</v>
      </c>
      <c r="W1577">
        <v>1</v>
      </c>
    </row>
    <row r="1578" spans="1:23" x14ac:dyDescent="0.2">
      <c r="A1578">
        <v>2020</v>
      </c>
      <c r="B1578" t="s">
        <v>23</v>
      </c>
      <c r="C1578" t="s">
        <v>271</v>
      </c>
      <c r="D1578">
        <v>78</v>
      </c>
      <c r="E1578">
        <v>1</v>
      </c>
      <c r="F1578">
        <v>4</v>
      </c>
      <c r="G1578" t="s">
        <v>102</v>
      </c>
      <c r="H1578" s="1">
        <v>6</v>
      </c>
      <c r="I1578" s="1">
        <v>69</v>
      </c>
      <c r="J1578" s="1">
        <v>74</v>
      </c>
      <c r="K1578" s="1">
        <f>J1578-I1578</f>
        <v>5</v>
      </c>
      <c r="L1578" s="1">
        <v>80</v>
      </c>
      <c r="M1578" s="1">
        <v>42</v>
      </c>
      <c r="N1578" s="1">
        <v>2</v>
      </c>
      <c r="O1578" s="1">
        <v>4</v>
      </c>
      <c r="P1578" s="1">
        <v>4</v>
      </c>
      <c r="Q1578" s="2">
        <v>0.16600000000000001</v>
      </c>
      <c r="R1578" s="1">
        <v>3</v>
      </c>
      <c r="S1578" s="1">
        <f>R1578/P1578</f>
        <v>0.75</v>
      </c>
      <c r="T1578" s="1">
        <v>3.5</v>
      </c>
      <c r="U1578" s="1">
        <v>12.5</v>
      </c>
      <c r="V1578" s="1">
        <v>607.58169934640523</v>
      </c>
      <c r="W1578" s="1">
        <v>3</v>
      </c>
    </row>
    <row r="1579" spans="1:23" x14ac:dyDescent="0.2">
      <c r="A1579">
        <v>2020</v>
      </c>
      <c r="B1579" t="s">
        <v>23</v>
      </c>
      <c r="C1579" t="s">
        <v>271</v>
      </c>
      <c r="D1579">
        <v>78</v>
      </c>
      <c r="E1579">
        <v>2</v>
      </c>
      <c r="F1579">
        <v>7</v>
      </c>
      <c r="G1579" t="s">
        <v>102</v>
      </c>
      <c r="H1579" s="1">
        <v>3</v>
      </c>
      <c r="I1579" s="1">
        <v>68</v>
      </c>
      <c r="J1579" s="1">
        <v>72</v>
      </c>
      <c r="K1579" s="1">
        <f>J1579-I1579</f>
        <v>4</v>
      </c>
      <c r="L1579" s="1">
        <v>221</v>
      </c>
      <c r="M1579" s="1">
        <v>109</v>
      </c>
      <c r="N1579" s="1">
        <v>3</v>
      </c>
      <c r="O1579" s="1">
        <v>4</v>
      </c>
      <c r="P1579" s="1">
        <v>2</v>
      </c>
      <c r="Q1579" s="2">
        <v>7.4999999999999997E-2</v>
      </c>
      <c r="R1579" s="1">
        <v>3</v>
      </c>
      <c r="S1579" s="1">
        <f>R1579/P1579</f>
        <v>1.5</v>
      </c>
      <c r="T1579" s="1">
        <v>4</v>
      </c>
      <c r="U1579" s="1">
        <v>12.5</v>
      </c>
      <c r="V1579" s="1">
        <v>274.50980392156862</v>
      </c>
      <c r="W1579" s="1">
        <v>2</v>
      </c>
    </row>
    <row r="1580" spans="1:23" x14ac:dyDescent="0.2">
      <c r="A1580">
        <v>2020</v>
      </c>
      <c r="B1580" t="s">
        <v>23</v>
      </c>
      <c r="C1580" t="s">
        <v>271</v>
      </c>
      <c r="D1580">
        <v>79</v>
      </c>
      <c r="E1580">
        <v>1</v>
      </c>
      <c r="F1580">
        <v>10</v>
      </c>
      <c r="G1580" t="s">
        <v>103</v>
      </c>
      <c r="H1580" s="1">
        <v>4</v>
      </c>
      <c r="I1580" s="1">
        <v>69</v>
      </c>
      <c r="J1580" s="1">
        <v>74</v>
      </c>
      <c r="K1580" s="1">
        <f>J1580-I1580</f>
        <v>5</v>
      </c>
      <c r="L1580" s="1">
        <v>75</v>
      </c>
      <c r="M1580" s="1">
        <v>30</v>
      </c>
      <c r="N1580" s="1">
        <v>2</v>
      </c>
      <c r="O1580" s="1">
        <v>5</v>
      </c>
      <c r="P1580" s="1">
        <v>2</v>
      </c>
      <c r="Q1580" s="2">
        <v>5.8999999999999997E-2</v>
      </c>
      <c r="R1580" s="1">
        <v>1</v>
      </c>
      <c r="S1580" s="1">
        <f>R1580/P1580</f>
        <v>0.5</v>
      </c>
      <c r="T1580" s="1">
        <v>5</v>
      </c>
      <c r="U1580" s="1">
        <v>12.5</v>
      </c>
      <c r="V1580" s="1">
        <v>215.94771241830065</v>
      </c>
      <c r="W1580" s="1">
        <v>7</v>
      </c>
    </row>
    <row r="1581" spans="1:23" x14ac:dyDescent="0.2">
      <c r="A1581">
        <v>2020</v>
      </c>
      <c r="B1581" t="s">
        <v>23</v>
      </c>
      <c r="C1581" t="s">
        <v>271</v>
      </c>
      <c r="D1581">
        <v>79</v>
      </c>
      <c r="E1581">
        <v>2</v>
      </c>
      <c r="F1581">
        <v>5</v>
      </c>
      <c r="G1581" t="s">
        <v>103</v>
      </c>
      <c r="H1581" s="1">
        <v>1</v>
      </c>
      <c r="I1581" s="1">
        <v>68</v>
      </c>
      <c r="J1581" s="1">
        <v>73</v>
      </c>
      <c r="K1581" s="1">
        <f>J1581-I1581</f>
        <v>5</v>
      </c>
      <c r="L1581" s="1">
        <v>143</v>
      </c>
      <c r="M1581" s="1">
        <v>58</v>
      </c>
      <c r="N1581" s="1">
        <v>2</v>
      </c>
      <c r="O1581" s="1">
        <v>3.5</v>
      </c>
      <c r="P1581" s="1">
        <v>1</v>
      </c>
      <c r="Q1581" s="2">
        <v>0.06</v>
      </c>
      <c r="R1581" s="1">
        <v>1</v>
      </c>
      <c r="S1581" s="1">
        <f>R1581/P1581</f>
        <v>1</v>
      </c>
      <c r="T1581" s="1">
        <v>5</v>
      </c>
      <c r="U1581" s="1">
        <v>12.5</v>
      </c>
      <c r="V1581" s="1">
        <v>219.60784313725492</v>
      </c>
      <c r="W1581" s="1">
        <v>4</v>
      </c>
    </row>
    <row r="1582" spans="1:23" x14ac:dyDescent="0.2">
      <c r="A1582">
        <v>2020</v>
      </c>
      <c r="B1582" t="s">
        <v>23</v>
      </c>
      <c r="C1582" t="s">
        <v>271</v>
      </c>
      <c r="D1582">
        <v>80</v>
      </c>
      <c r="E1582">
        <v>1</v>
      </c>
      <c r="F1582">
        <v>4</v>
      </c>
      <c r="G1582" t="s">
        <v>104</v>
      </c>
      <c r="H1582">
        <v>2</v>
      </c>
      <c r="I1582">
        <v>59</v>
      </c>
      <c r="J1582">
        <v>62</v>
      </c>
      <c r="K1582">
        <v>3</v>
      </c>
      <c r="L1582">
        <v>123</v>
      </c>
      <c r="M1582">
        <v>56</v>
      </c>
      <c r="N1582">
        <v>1.5</v>
      </c>
      <c r="O1582">
        <v>2</v>
      </c>
      <c r="P1582">
        <v>2</v>
      </c>
      <c r="Q1582">
        <v>0.3</v>
      </c>
      <c r="R1582">
        <v>3</v>
      </c>
      <c r="S1582">
        <v>1.5</v>
      </c>
      <c r="T1582">
        <v>2.5</v>
      </c>
      <c r="U1582">
        <v>12.5</v>
      </c>
      <c r="V1582">
        <v>1098.0392156862745</v>
      </c>
      <c r="W1582">
        <v>1</v>
      </c>
    </row>
    <row r="1583" spans="1:23" x14ac:dyDescent="0.2">
      <c r="A1583">
        <v>2020</v>
      </c>
      <c r="B1583" t="s">
        <v>23</v>
      </c>
      <c r="C1583" t="s">
        <v>271</v>
      </c>
      <c r="D1583">
        <v>80</v>
      </c>
      <c r="E1583">
        <v>2</v>
      </c>
      <c r="F1583">
        <v>6</v>
      </c>
      <c r="G1583" t="s">
        <v>104</v>
      </c>
      <c r="H1583" s="1">
        <v>5</v>
      </c>
      <c r="I1583" s="1">
        <v>66</v>
      </c>
      <c r="J1583" s="1">
        <v>71</v>
      </c>
      <c r="K1583" s="1">
        <f>J1583-I1583</f>
        <v>5</v>
      </c>
      <c r="L1583" s="1">
        <v>124</v>
      </c>
      <c r="M1583" s="1">
        <v>46</v>
      </c>
      <c r="N1583" s="1">
        <v>2</v>
      </c>
      <c r="O1583" s="1">
        <v>4</v>
      </c>
      <c r="P1583" s="1">
        <v>3</v>
      </c>
      <c r="Q1583" s="2">
        <v>6.5000000000000002E-2</v>
      </c>
      <c r="R1583" s="1">
        <v>2</v>
      </c>
      <c r="S1583" s="1">
        <f>R1583/P1583</f>
        <v>0.66666666666666663</v>
      </c>
      <c r="T1583" s="1">
        <v>4.5</v>
      </c>
      <c r="U1583" s="1">
        <v>12.5</v>
      </c>
      <c r="V1583" s="1">
        <v>237.90849673202612</v>
      </c>
      <c r="W1583" s="1">
        <v>4</v>
      </c>
    </row>
    <row r="1584" spans="1:23" x14ac:dyDescent="0.2">
      <c r="A1584">
        <v>2020</v>
      </c>
      <c r="B1584" t="s">
        <v>23</v>
      </c>
      <c r="C1584" t="s">
        <v>271</v>
      </c>
      <c r="D1584">
        <v>81</v>
      </c>
      <c r="E1584">
        <v>1</v>
      </c>
      <c r="F1584">
        <v>11</v>
      </c>
      <c r="G1584" t="s">
        <v>105</v>
      </c>
      <c r="H1584">
        <v>15</v>
      </c>
      <c r="I1584">
        <v>52</v>
      </c>
      <c r="J1584">
        <v>55</v>
      </c>
      <c r="K1584">
        <v>3</v>
      </c>
      <c r="L1584">
        <v>158</v>
      </c>
      <c r="M1584">
        <v>78</v>
      </c>
      <c r="N1584">
        <v>2</v>
      </c>
      <c r="O1584">
        <v>2</v>
      </c>
      <c r="P1584">
        <v>11</v>
      </c>
      <c r="Q1584">
        <v>0.4</v>
      </c>
      <c r="R1584">
        <v>10</v>
      </c>
      <c r="S1584">
        <v>0.90909090909090906</v>
      </c>
      <c r="T1584">
        <v>3</v>
      </c>
      <c r="U1584">
        <v>8.8000000000000007</v>
      </c>
      <c r="V1584">
        <v>1525.9607843137258</v>
      </c>
      <c r="W1584">
        <v>2</v>
      </c>
    </row>
    <row r="1585" spans="1:23" x14ac:dyDescent="0.2">
      <c r="A1585">
        <v>2020</v>
      </c>
      <c r="B1585" t="s">
        <v>23</v>
      </c>
      <c r="C1585" t="s">
        <v>271</v>
      </c>
      <c r="D1585">
        <v>81</v>
      </c>
      <c r="E1585">
        <v>2</v>
      </c>
      <c r="F1585">
        <v>13</v>
      </c>
      <c r="G1585" t="s">
        <v>105</v>
      </c>
      <c r="H1585" s="1">
        <v>6</v>
      </c>
      <c r="I1585" s="1">
        <v>64</v>
      </c>
      <c r="J1585" s="1">
        <v>67</v>
      </c>
      <c r="K1585" s="1">
        <f>J1585-I1585</f>
        <v>3</v>
      </c>
      <c r="L1585" s="1">
        <v>143</v>
      </c>
      <c r="M1585" s="1">
        <v>83</v>
      </c>
      <c r="N1585" s="1">
        <v>2</v>
      </c>
      <c r="O1585" s="1">
        <v>4</v>
      </c>
      <c r="P1585" s="1">
        <v>6</v>
      </c>
      <c r="Q1585" s="2">
        <v>0.17606250000000001</v>
      </c>
      <c r="R1585" s="1">
        <v>5</v>
      </c>
      <c r="S1585" s="1">
        <f>R1585/P1585</f>
        <v>0.83333333333333337</v>
      </c>
      <c r="T1585" s="1">
        <v>5</v>
      </c>
      <c r="U1585" s="1">
        <v>12.5</v>
      </c>
      <c r="V1585" s="1">
        <v>644.41176470588243</v>
      </c>
      <c r="W1585" s="1">
        <v>6</v>
      </c>
    </row>
    <row r="1586" spans="1:23" x14ac:dyDescent="0.2">
      <c r="A1586">
        <v>2020</v>
      </c>
      <c r="B1586" t="s">
        <v>23</v>
      </c>
      <c r="C1586" t="s">
        <v>271</v>
      </c>
      <c r="D1586">
        <v>82</v>
      </c>
      <c r="E1586">
        <v>1</v>
      </c>
      <c r="F1586">
        <v>12</v>
      </c>
      <c r="G1586" t="s">
        <v>106</v>
      </c>
      <c r="H1586" s="1">
        <v>13</v>
      </c>
      <c r="I1586" s="1">
        <v>54</v>
      </c>
      <c r="J1586" s="1">
        <v>57</v>
      </c>
      <c r="K1586" s="1">
        <f>J1586-I1586</f>
        <v>3</v>
      </c>
      <c r="L1586" s="1">
        <v>120</v>
      </c>
      <c r="M1586" s="1">
        <v>63</v>
      </c>
      <c r="N1586" s="1">
        <v>2</v>
      </c>
      <c r="O1586" s="1">
        <v>3.5</v>
      </c>
      <c r="P1586" s="1">
        <f>H1586-2</f>
        <v>11</v>
      </c>
      <c r="Q1586" s="2">
        <v>0.38250000000000001</v>
      </c>
      <c r="R1586" s="1">
        <v>9</v>
      </c>
      <c r="S1586" s="1">
        <f>R1586/P1586</f>
        <v>0.81818181818181823</v>
      </c>
      <c r="T1586" s="1">
        <v>5</v>
      </c>
      <c r="U1586" s="1">
        <v>12.5</v>
      </c>
      <c r="V1586" s="1">
        <v>1400</v>
      </c>
      <c r="W1586" s="1">
        <v>5</v>
      </c>
    </row>
    <row r="1587" spans="1:23" x14ac:dyDescent="0.2">
      <c r="A1587">
        <v>2020</v>
      </c>
      <c r="B1587" t="s">
        <v>23</v>
      </c>
      <c r="C1587" t="s">
        <v>271</v>
      </c>
      <c r="D1587">
        <v>82</v>
      </c>
      <c r="E1587">
        <v>2</v>
      </c>
      <c r="F1587">
        <v>15</v>
      </c>
      <c r="G1587" t="s">
        <v>106</v>
      </c>
      <c r="H1587">
        <v>2</v>
      </c>
      <c r="I1587">
        <v>60</v>
      </c>
      <c r="J1587">
        <v>65</v>
      </c>
      <c r="K1587">
        <v>5</v>
      </c>
      <c r="L1587">
        <v>164</v>
      </c>
      <c r="M1587">
        <v>23</v>
      </c>
      <c r="N1587">
        <v>4</v>
      </c>
      <c r="O1587">
        <v>5</v>
      </c>
      <c r="P1587">
        <v>2</v>
      </c>
      <c r="Q1587">
        <v>0.28299999999999997</v>
      </c>
      <c r="R1587">
        <v>4</v>
      </c>
      <c r="S1587">
        <v>2</v>
      </c>
      <c r="T1587">
        <v>4</v>
      </c>
      <c r="U1587">
        <v>12.5</v>
      </c>
      <c r="V1587">
        <v>1035.8169934640523</v>
      </c>
      <c r="W1587">
        <v>2</v>
      </c>
    </row>
    <row r="1588" spans="1:23" x14ac:dyDescent="0.2">
      <c r="A1588">
        <v>2020</v>
      </c>
      <c r="B1588" t="s">
        <v>23</v>
      </c>
      <c r="C1588" t="s">
        <v>271</v>
      </c>
      <c r="D1588">
        <v>83</v>
      </c>
      <c r="E1588">
        <v>1</v>
      </c>
      <c r="F1588">
        <v>2</v>
      </c>
      <c r="G1588" t="s">
        <v>107</v>
      </c>
      <c r="H1588" s="1">
        <v>15</v>
      </c>
      <c r="I1588" s="1">
        <v>62</v>
      </c>
      <c r="J1588" s="1">
        <v>67</v>
      </c>
      <c r="K1588" s="1">
        <f>J1588-I1588</f>
        <v>5</v>
      </c>
      <c r="L1588" s="1">
        <v>102</v>
      </c>
      <c r="M1588" s="1">
        <v>55</v>
      </c>
      <c r="N1588" s="1">
        <v>3</v>
      </c>
      <c r="O1588" s="1">
        <v>4</v>
      </c>
      <c r="P1588" s="1">
        <f>H1588-2</f>
        <v>13</v>
      </c>
      <c r="Q1588" s="2">
        <v>0.53400000000000003</v>
      </c>
      <c r="R1588" s="1">
        <v>10</v>
      </c>
      <c r="S1588" s="1">
        <f>R1588/P1588</f>
        <v>0.76923076923076927</v>
      </c>
      <c r="T1588" s="1">
        <v>5</v>
      </c>
      <c r="U1588" s="1">
        <v>12.5</v>
      </c>
      <c r="V1588" s="1">
        <v>1954.5098039215688</v>
      </c>
      <c r="W1588" s="1">
        <v>5</v>
      </c>
    </row>
    <row r="1589" spans="1:23" x14ac:dyDescent="0.2">
      <c r="A1589">
        <v>2020</v>
      </c>
      <c r="B1589" t="s">
        <v>23</v>
      </c>
      <c r="C1589" t="s">
        <v>271</v>
      </c>
      <c r="D1589">
        <v>83</v>
      </c>
      <c r="E1589">
        <v>2</v>
      </c>
      <c r="F1589">
        <v>3</v>
      </c>
      <c r="G1589" t="s">
        <v>107</v>
      </c>
      <c r="H1589" s="1">
        <v>5</v>
      </c>
      <c r="I1589" s="1">
        <v>69</v>
      </c>
      <c r="J1589" s="1">
        <v>74</v>
      </c>
      <c r="K1589" s="1">
        <f>J1589-I1589</f>
        <v>5</v>
      </c>
      <c r="L1589" s="1">
        <v>143</v>
      </c>
      <c r="M1589" s="1">
        <v>88</v>
      </c>
      <c r="N1589" s="1">
        <v>2</v>
      </c>
      <c r="O1589" s="1">
        <v>2</v>
      </c>
      <c r="P1589" s="1">
        <v>5</v>
      </c>
      <c r="Q1589" s="2">
        <v>0.14647500000000002</v>
      </c>
      <c r="R1589" s="1">
        <v>4</v>
      </c>
      <c r="S1589" s="1">
        <f>R1589/P1589</f>
        <v>0.8</v>
      </c>
      <c r="T1589" s="1">
        <v>3</v>
      </c>
      <c r="U1589" s="1">
        <v>12.5</v>
      </c>
      <c r="V1589" s="1">
        <v>536.11764705882365</v>
      </c>
      <c r="W1589" s="1">
        <v>4</v>
      </c>
    </row>
    <row r="1590" spans="1:23" x14ac:dyDescent="0.2">
      <c r="A1590">
        <v>2020</v>
      </c>
      <c r="B1590" t="s">
        <v>23</v>
      </c>
      <c r="C1590" t="s">
        <v>271</v>
      </c>
      <c r="D1590">
        <v>84</v>
      </c>
      <c r="E1590">
        <v>1</v>
      </c>
      <c r="F1590">
        <v>4</v>
      </c>
      <c r="G1590" t="s">
        <v>108</v>
      </c>
      <c r="H1590" s="1">
        <v>10</v>
      </c>
      <c r="I1590" s="1">
        <v>62</v>
      </c>
      <c r="J1590" s="1">
        <v>66</v>
      </c>
      <c r="K1590" s="1">
        <f>J1590-I1590</f>
        <v>4</v>
      </c>
      <c r="L1590" s="1">
        <v>162</v>
      </c>
      <c r="M1590" s="1">
        <v>52</v>
      </c>
      <c r="N1590" s="1">
        <v>2</v>
      </c>
      <c r="O1590" s="1">
        <v>4</v>
      </c>
      <c r="P1590" s="1">
        <v>8</v>
      </c>
      <c r="Q1590" s="2">
        <v>0.29399999999999998</v>
      </c>
      <c r="R1590" s="1">
        <v>7</v>
      </c>
      <c r="S1590" s="1">
        <f>R1590/P1590</f>
        <v>0.875</v>
      </c>
      <c r="T1590" s="1">
        <v>3</v>
      </c>
      <c r="U1590" s="1">
        <v>12.5</v>
      </c>
      <c r="V1590" s="1">
        <v>1076.0784313725489</v>
      </c>
      <c r="W1590" s="1">
        <v>3</v>
      </c>
    </row>
    <row r="1591" spans="1:23" x14ac:dyDescent="0.2">
      <c r="A1591">
        <v>2020</v>
      </c>
      <c r="B1591" t="s">
        <v>23</v>
      </c>
      <c r="C1591" t="s">
        <v>271</v>
      </c>
      <c r="D1591">
        <v>84</v>
      </c>
      <c r="E1591">
        <v>2</v>
      </c>
      <c r="F1591">
        <v>4</v>
      </c>
      <c r="G1591" t="s">
        <v>108</v>
      </c>
      <c r="H1591">
        <v>8</v>
      </c>
      <c r="I1591">
        <v>60</v>
      </c>
      <c r="J1591">
        <v>62</v>
      </c>
      <c r="K1591">
        <v>2</v>
      </c>
      <c r="L1591">
        <v>168</v>
      </c>
      <c r="M1591">
        <v>51</v>
      </c>
      <c r="N1591">
        <v>1.5</v>
      </c>
      <c r="O1591">
        <v>4</v>
      </c>
      <c r="P1591">
        <v>8</v>
      </c>
      <c r="Q1591">
        <v>0.4</v>
      </c>
      <c r="R1591">
        <v>8</v>
      </c>
      <c r="S1591">
        <v>1</v>
      </c>
      <c r="T1591">
        <v>3</v>
      </c>
      <c r="U1591">
        <v>12.5</v>
      </c>
      <c r="V1591">
        <v>1464.0522875816994</v>
      </c>
      <c r="W1591">
        <v>2</v>
      </c>
    </row>
    <row r="1592" spans="1:23" x14ac:dyDescent="0.2">
      <c r="A1592">
        <v>2020</v>
      </c>
      <c r="B1592" t="s">
        <v>23</v>
      </c>
      <c r="C1592" t="s">
        <v>271</v>
      </c>
      <c r="D1592">
        <v>85</v>
      </c>
      <c r="E1592">
        <v>1</v>
      </c>
      <c r="F1592">
        <v>12</v>
      </c>
      <c r="G1592" t="s">
        <v>109</v>
      </c>
      <c r="H1592">
        <v>9</v>
      </c>
      <c r="I1592">
        <v>55</v>
      </c>
      <c r="J1592">
        <v>57</v>
      </c>
      <c r="K1592">
        <v>2</v>
      </c>
      <c r="L1592">
        <v>150</v>
      </c>
      <c r="M1592">
        <v>60</v>
      </c>
      <c r="N1592">
        <v>3</v>
      </c>
      <c r="O1592">
        <v>3</v>
      </c>
      <c r="P1592">
        <v>8</v>
      </c>
      <c r="Q1592">
        <v>0.55100000000000005</v>
      </c>
      <c r="R1592">
        <v>4</v>
      </c>
      <c r="S1592">
        <v>0.5</v>
      </c>
      <c r="T1592">
        <v>3</v>
      </c>
      <c r="U1592">
        <v>12.5</v>
      </c>
      <c r="V1592">
        <v>2016.732026143791</v>
      </c>
      <c r="W1592">
        <v>2</v>
      </c>
    </row>
    <row r="1593" spans="1:23" x14ac:dyDescent="0.2">
      <c r="A1593">
        <v>2020</v>
      </c>
      <c r="B1593" t="s">
        <v>23</v>
      </c>
      <c r="C1593" t="s">
        <v>271</v>
      </c>
      <c r="D1593">
        <v>85</v>
      </c>
      <c r="E1593">
        <v>2</v>
      </c>
      <c r="F1593">
        <v>14</v>
      </c>
      <c r="G1593" t="s">
        <v>109</v>
      </c>
      <c r="H1593" s="1">
        <v>9</v>
      </c>
      <c r="I1593" s="1">
        <v>61</v>
      </c>
      <c r="J1593" s="1">
        <v>66</v>
      </c>
      <c r="K1593" s="1">
        <f>J1593-I1593</f>
        <v>5</v>
      </c>
      <c r="L1593" s="1">
        <v>122</v>
      </c>
      <c r="M1593" s="1">
        <v>85</v>
      </c>
      <c r="N1593" s="1">
        <v>2</v>
      </c>
      <c r="O1593" s="1">
        <v>2.5</v>
      </c>
      <c r="P1593" s="1">
        <f>H1593-2</f>
        <v>7</v>
      </c>
      <c r="Q1593" s="2">
        <v>6.1499999999999999E-2</v>
      </c>
      <c r="R1593" s="1">
        <v>5</v>
      </c>
      <c r="S1593" s="1">
        <f>R1593/P1593</f>
        <v>0.7142857142857143</v>
      </c>
      <c r="T1593" s="1">
        <v>5</v>
      </c>
      <c r="U1593" s="1">
        <v>12.5</v>
      </c>
      <c r="V1593" s="1">
        <v>225.0980392156863</v>
      </c>
      <c r="W1593" s="1">
        <v>6</v>
      </c>
    </row>
    <row r="1594" spans="1:23" x14ac:dyDescent="0.2">
      <c r="A1594">
        <v>2020</v>
      </c>
      <c r="B1594" t="s">
        <v>23</v>
      </c>
      <c r="C1594" t="s">
        <v>271</v>
      </c>
      <c r="D1594">
        <v>86</v>
      </c>
      <c r="E1594">
        <v>1</v>
      </c>
      <c r="F1594">
        <v>3</v>
      </c>
      <c r="G1594" t="s">
        <v>110</v>
      </c>
      <c r="H1594" s="1">
        <v>2</v>
      </c>
      <c r="I1594" s="1">
        <v>64</v>
      </c>
      <c r="J1594" s="1">
        <v>69</v>
      </c>
      <c r="K1594" s="1">
        <f>J1594-I1594</f>
        <v>5</v>
      </c>
      <c r="L1594" s="1">
        <v>166</v>
      </c>
      <c r="M1594" s="1">
        <v>77</v>
      </c>
      <c r="N1594" s="1">
        <v>2</v>
      </c>
      <c r="O1594" s="1">
        <v>2</v>
      </c>
      <c r="P1594" s="1">
        <f>H1594</f>
        <v>2</v>
      </c>
      <c r="Q1594" s="2">
        <v>1.2375000000000001E-2</v>
      </c>
      <c r="R1594" s="1">
        <v>2</v>
      </c>
      <c r="S1594" s="1">
        <f>R1594/P1594</f>
        <v>1</v>
      </c>
      <c r="T1594" s="1">
        <v>3</v>
      </c>
      <c r="U1594" s="1">
        <v>12.5</v>
      </c>
      <c r="V1594" s="1">
        <v>45.294117647058819</v>
      </c>
      <c r="W1594" s="1">
        <v>3</v>
      </c>
    </row>
    <row r="1595" spans="1:23" x14ac:dyDescent="0.2">
      <c r="A1595">
        <v>2020</v>
      </c>
      <c r="B1595" t="s">
        <v>23</v>
      </c>
      <c r="C1595" t="s">
        <v>271</v>
      </c>
      <c r="D1595">
        <v>86</v>
      </c>
      <c r="E1595">
        <v>2</v>
      </c>
      <c r="F1595">
        <v>9</v>
      </c>
      <c r="G1595" t="s">
        <v>110</v>
      </c>
      <c r="H1595">
        <v>6</v>
      </c>
      <c r="I1595">
        <v>55</v>
      </c>
      <c r="J1595">
        <v>57</v>
      </c>
      <c r="K1595">
        <v>2</v>
      </c>
      <c r="L1595">
        <v>142</v>
      </c>
      <c r="M1595">
        <v>69</v>
      </c>
      <c r="N1595">
        <v>3</v>
      </c>
      <c r="O1595">
        <v>3</v>
      </c>
      <c r="P1595">
        <v>6</v>
      </c>
      <c r="Q1595">
        <v>0.36399999999999999</v>
      </c>
      <c r="R1595">
        <v>3</v>
      </c>
      <c r="S1595">
        <v>0.5</v>
      </c>
      <c r="T1595">
        <v>4</v>
      </c>
      <c r="U1595">
        <v>12.5</v>
      </c>
      <c r="V1595">
        <v>1332.2875816993464</v>
      </c>
      <c r="W1595">
        <v>1</v>
      </c>
    </row>
    <row r="1596" spans="1:23" x14ac:dyDescent="0.2">
      <c r="A1596">
        <v>2020</v>
      </c>
      <c r="B1596" t="s">
        <v>23</v>
      </c>
      <c r="C1596" t="s">
        <v>271</v>
      </c>
      <c r="D1596">
        <v>87</v>
      </c>
      <c r="E1596">
        <v>1</v>
      </c>
      <c r="F1596">
        <v>10</v>
      </c>
      <c r="G1596" t="s">
        <v>111</v>
      </c>
      <c r="H1596">
        <v>4</v>
      </c>
      <c r="I1596">
        <v>55</v>
      </c>
      <c r="J1596">
        <v>57</v>
      </c>
      <c r="K1596">
        <v>2</v>
      </c>
      <c r="L1596">
        <v>111</v>
      </c>
      <c r="M1596">
        <v>18</v>
      </c>
      <c r="N1596">
        <v>3</v>
      </c>
      <c r="O1596">
        <v>3</v>
      </c>
      <c r="P1596">
        <v>3</v>
      </c>
      <c r="Q1596">
        <v>0.42099999999999999</v>
      </c>
      <c r="R1596">
        <v>4</v>
      </c>
      <c r="S1596">
        <v>1.3333333333333333</v>
      </c>
      <c r="T1596">
        <v>2</v>
      </c>
      <c r="U1596">
        <v>12.5</v>
      </c>
      <c r="V1596">
        <v>1540.9150326797385</v>
      </c>
      <c r="W1596">
        <v>1</v>
      </c>
    </row>
    <row r="1597" spans="1:23" x14ac:dyDescent="0.2">
      <c r="A1597">
        <v>2020</v>
      </c>
      <c r="B1597" t="s">
        <v>23</v>
      </c>
      <c r="C1597" t="s">
        <v>271</v>
      </c>
      <c r="D1597">
        <v>87</v>
      </c>
      <c r="E1597">
        <v>2</v>
      </c>
      <c r="F1597">
        <v>15</v>
      </c>
      <c r="G1597" t="s">
        <v>111</v>
      </c>
      <c r="H1597" s="1">
        <v>7</v>
      </c>
      <c r="I1597" s="1">
        <v>63</v>
      </c>
      <c r="J1597" s="1">
        <v>68</v>
      </c>
      <c r="K1597" s="1">
        <f t="shared" ref="K1597:K1602" si="72">J1597-I1597</f>
        <v>5</v>
      </c>
      <c r="L1597" s="1">
        <v>98</v>
      </c>
      <c r="M1597" s="1">
        <v>43</v>
      </c>
      <c r="N1597" s="1">
        <v>2</v>
      </c>
      <c r="O1597" s="1">
        <v>3.5</v>
      </c>
      <c r="P1597" s="1">
        <v>4</v>
      </c>
      <c r="Q1597" s="2">
        <v>7.2900000000000006E-2</v>
      </c>
      <c r="R1597" s="1">
        <v>5</v>
      </c>
      <c r="S1597" s="1">
        <f t="shared" ref="S1597:S1602" si="73">R1597/P1597</f>
        <v>1.25</v>
      </c>
      <c r="T1597" s="1">
        <v>5</v>
      </c>
      <c r="U1597" s="1">
        <v>12.5</v>
      </c>
      <c r="V1597" s="1">
        <v>266.8235294117647</v>
      </c>
      <c r="W1597" s="1">
        <v>3</v>
      </c>
    </row>
    <row r="1598" spans="1:23" x14ac:dyDescent="0.2">
      <c r="A1598">
        <v>2020</v>
      </c>
      <c r="B1598" t="s">
        <v>23</v>
      </c>
      <c r="C1598" t="s">
        <v>271</v>
      </c>
      <c r="D1598">
        <v>88</v>
      </c>
      <c r="E1598">
        <v>1</v>
      </c>
      <c r="F1598">
        <v>15</v>
      </c>
      <c r="G1598" t="s">
        <v>112</v>
      </c>
      <c r="H1598" s="1">
        <v>7</v>
      </c>
      <c r="I1598" s="1">
        <v>68</v>
      </c>
      <c r="J1598" s="1">
        <v>73</v>
      </c>
      <c r="K1598" s="1">
        <f t="shared" si="72"/>
        <v>5</v>
      </c>
      <c r="L1598" s="1">
        <v>147</v>
      </c>
      <c r="M1598" s="1">
        <v>65</v>
      </c>
      <c r="N1598" s="1">
        <v>2</v>
      </c>
      <c r="O1598" s="1">
        <v>3.5</v>
      </c>
      <c r="P1598" s="1">
        <v>7</v>
      </c>
      <c r="Q1598" s="2">
        <v>0.105</v>
      </c>
      <c r="R1598" s="1">
        <v>2</v>
      </c>
      <c r="S1598" s="1">
        <f t="shared" si="73"/>
        <v>0.2857142857142857</v>
      </c>
      <c r="T1598" s="1">
        <v>5</v>
      </c>
      <c r="U1598" s="1">
        <v>12.5</v>
      </c>
      <c r="V1598" s="1">
        <v>384.31372549019608</v>
      </c>
      <c r="W1598" s="1">
        <v>4</v>
      </c>
    </row>
    <row r="1599" spans="1:23" x14ac:dyDescent="0.2">
      <c r="A1599">
        <v>2020</v>
      </c>
      <c r="B1599" t="s">
        <v>23</v>
      </c>
      <c r="C1599" t="s">
        <v>271</v>
      </c>
      <c r="D1599">
        <v>88</v>
      </c>
      <c r="E1599">
        <v>2</v>
      </c>
      <c r="F1599">
        <v>1</v>
      </c>
      <c r="G1599" t="s">
        <v>112</v>
      </c>
      <c r="H1599" s="1">
        <v>7</v>
      </c>
      <c r="I1599" s="1">
        <v>62</v>
      </c>
      <c r="J1599" s="1">
        <v>67</v>
      </c>
      <c r="K1599" s="1">
        <f t="shared" si="72"/>
        <v>5</v>
      </c>
      <c r="L1599" s="1">
        <v>125</v>
      </c>
      <c r="M1599" s="1">
        <v>76</v>
      </c>
      <c r="N1599" s="1">
        <v>2</v>
      </c>
      <c r="O1599" s="1">
        <v>2</v>
      </c>
      <c r="P1599" s="1">
        <f>H1599-2</f>
        <v>5</v>
      </c>
      <c r="Q1599" s="2">
        <v>0.10199999999999999</v>
      </c>
      <c r="R1599" s="1">
        <v>3</v>
      </c>
      <c r="S1599" s="1">
        <f t="shared" si="73"/>
        <v>0.6</v>
      </c>
      <c r="T1599" s="1">
        <v>3</v>
      </c>
      <c r="U1599" s="1">
        <v>12.5</v>
      </c>
      <c r="V1599" s="1">
        <v>373.33333333333326</v>
      </c>
      <c r="W1599" s="1">
        <v>5</v>
      </c>
    </row>
    <row r="1600" spans="1:23" x14ac:dyDescent="0.2">
      <c r="A1600">
        <v>2020</v>
      </c>
      <c r="B1600" t="s">
        <v>23</v>
      </c>
      <c r="C1600" t="s">
        <v>271</v>
      </c>
      <c r="D1600">
        <v>89</v>
      </c>
      <c r="E1600">
        <v>1</v>
      </c>
      <c r="F1600">
        <v>9</v>
      </c>
      <c r="G1600" t="s">
        <v>113</v>
      </c>
      <c r="H1600" s="1">
        <v>12</v>
      </c>
      <c r="I1600" s="1">
        <v>66</v>
      </c>
      <c r="J1600" s="1">
        <v>71</v>
      </c>
      <c r="K1600" s="1">
        <f t="shared" si="72"/>
        <v>5</v>
      </c>
      <c r="L1600" s="1">
        <v>81</v>
      </c>
      <c r="M1600" s="1">
        <v>26</v>
      </c>
      <c r="N1600" s="1">
        <v>3</v>
      </c>
      <c r="O1600" s="1">
        <v>4.5</v>
      </c>
      <c r="P1600" s="1">
        <v>7</v>
      </c>
      <c r="Q1600" s="2">
        <v>0.108</v>
      </c>
      <c r="R1600" s="1">
        <v>5</v>
      </c>
      <c r="S1600" s="1">
        <f t="shared" si="73"/>
        <v>0.7142857142857143</v>
      </c>
      <c r="T1600" s="1">
        <v>5</v>
      </c>
      <c r="U1600" s="1">
        <v>12.5</v>
      </c>
      <c r="V1600" s="1">
        <v>395.29411764705878</v>
      </c>
      <c r="W1600" s="1">
        <v>6</v>
      </c>
    </row>
    <row r="1601" spans="1:23" x14ac:dyDescent="0.2">
      <c r="A1601">
        <v>2020</v>
      </c>
      <c r="B1601" t="s">
        <v>23</v>
      </c>
      <c r="C1601" t="s">
        <v>271</v>
      </c>
      <c r="D1601">
        <v>89</v>
      </c>
      <c r="E1601">
        <v>2</v>
      </c>
      <c r="F1601">
        <v>2</v>
      </c>
      <c r="G1601" t="s">
        <v>113</v>
      </c>
      <c r="H1601" s="1">
        <v>8</v>
      </c>
      <c r="I1601" s="1">
        <v>65</v>
      </c>
      <c r="J1601" s="1">
        <v>69</v>
      </c>
      <c r="K1601" s="1">
        <f t="shared" si="72"/>
        <v>4</v>
      </c>
      <c r="L1601" s="1">
        <v>179</v>
      </c>
      <c r="M1601" s="1">
        <v>108</v>
      </c>
      <c r="N1601" s="1">
        <v>2</v>
      </c>
      <c r="O1601" s="1">
        <v>2.5</v>
      </c>
      <c r="P1601" s="1">
        <f>H1601-2</f>
        <v>6</v>
      </c>
      <c r="Q1601" s="2">
        <v>0.14399999999999999</v>
      </c>
      <c r="R1601" s="1">
        <v>4</v>
      </c>
      <c r="S1601" s="1">
        <f t="shared" si="73"/>
        <v>0.66666666666666663</v>
      </c>
      <c r="T1601" s="1">
        <v>5</v>
      </c>
      <c r="U1601" s="1">
        <v>12.5</v>
      </c>
      <c r="V1601" s="1">
        <v>527.05882352941182</v>
      </c>
      <c r="W1601" s="1">
        <v>4</v>
      </c>
    </row>
    <row r="1602" spans="1:23" x14ac:dyDescent="0.2">
      <c r="A1602">
        <v>2020</v>
      </c>
      <c r="B1602" t="s">
        <v>23</v>
      </c>
      <c r="C1602" t="s">
        <v>271</v>
      </c>
      <c r="D1602">
        <v>90</v>
      </c>
      <c r="E1602">
        <v>1</v>
      </c>
      <c r="F1602">
        <v>5</v>
      </c>
      <c r="G1602" t="s">
        <v>114</v>
      </c>
      <c r="H1602" s="1">
        <v>16</v>
      </c>
      <c r="I1602" s="1">
        <v>64</v>
      </c>
      <c r="J1602" s="1">
        <v>68</v>
      </c>
      <c r="K1602" s="1">
        <f t="shared" si="72"/>
        <v>4</v>
      </c>
      <c r="L1602" s="1">
        <v>148</v>
      </c>
      <c r="M1602" s="1">
        <v>77</v>
      </c>
      <c r="N1602" s="1">
        <v>2</v>
      </c>
      <c r="O1602" s="1">
        <v>2.5</v>
      </c>
      <c r="P1602" s="1">
        <v>10</v>
      </c>
      <c r="Q1602" s="2">
        <v>0.1018</v>
      </c>
      <c r="R1602" s="1">
        <v>3</v>
      </c>
      <c r="S1602" s="1">
        <f t="shared" si="73"/>
        <v>0.3</v>
      </c>
      <c r="T1602" s="1">
        <v>5</v>
      </c>
      <c r="U1602" s="1">
        <v>12.5</v>
      </c>
      <c r="V1602" s="1">
        <v>372.60130718954247</v>
      </c>
      <c r="W1602" s="1">
        <v>6</v>
      </c>
    </row>
    <row r="1603" spans="1:23" x14ac:dyDescent="0.2">
      <c r="A1603">
        <v>2020</v>
      </c>
      <c r="B1603" t="s">
        <v>23</v>
      </c>
      <c r="C1603" t="s">
        <v>271</v>
      </c>
      <c r="D1603">
        <v>90</v>
      </c>
      <c r="E1603">
        <v>2</v>
      </c>
      <c r="F1603">
        <v>13</v>
      </c>
      <c r="G1603" t="s">
        <v>114</v>
      </c>
      <c r="H1603">
        <v>14</v>
      </c>
      <c r="I1603">
        <v>55</v>
      </c>
      <c r="J1603">
        <v>57</v>
      </c>
      <c r="K1603">
        <v>2</v>
      </c>
      <c r="L1603">
        <v>193</v>
      </c>
      <c r="M1603">
        <v>76</v>
      </c>
      <c r="N1603">
        <v>2</v>
      </c>
      <c r="O1603">
        <v>2</v>
      </c>
      <c r="P1603">
        <v>15</v>
      </c>
      <c r="Q1603">
        <v>1</v>
      </c>
      <c r="R1603">
        <v>15</v>
      </c>
      <c r="S1603">
        <v>1</v>
      </c>
      <c r="T1603">
        <v>1</v>
      </c>
      <c r="U1603">
        <v>12.6</v>
      </c>
      <c r="V1603">
        <v>3655.9477124183009</v>
      </c>
      <c r="W1603">
        <v>2</v>
      </c>
    </row>
    <row r="1604" spans="1:23" x14ac:dyDescent="0.2">
      <c r="A1604">
        <v>2020</v>
      </c>
      <c r="B1604" t="s">
        <v>23</v>
      </c>
      <c r="C1604" t="s">
        <v>271</v>
      </c>
      <c r="D1604">
        <v>91</v>
      </c>
      <c r="E1604">
        <v>1</v>
      </c>
      <c r="F1604">
        <v>9</v>
      </c>
      <c r="G1604" t="s">
        <v>115</v>
      </c>
      <c r="H1604">
        <v>12</v>
      </c>
      <c r="I1604">
        <v>56</v>
      </c>
      <c r="J1604">
        <v>60</v>
      </c>
      <c r="K1604">
        <v>4</v>
      </c>
      <c r="L1604">
        <v>162</v>
      </c>
      <c r="M1604">
        <v>83</v>
      </c>
      <c r="N1604">
        <v>1</v>
      </c>
      <c r="O1604">
        <v>1.5</v>
      </c>
      <c r="P1604">
        <v>11</v>
      </c>
      <c r="Q1604">
        <v>1.2</v>
      </c>
      <c r="R1604">
        <v>10</v>
      </c>
      <c r="S1604">
        <v>0.90909090909090906</v>
      </c>
      <c r="T1604">
        <v>3</v>
      </c>
      <c r="U1604">
        <v>12.5</v>
      </c>
      <c r="V1604">
        <v>4392.1568627450979</v>
      </c>
      <c r="W1604">
        <v>2</v>
      </c>
    </row>
    <row r="1605" spans="1:23" x14ac:dyDescent="0.2">
      <c r="A1605">
        <v>2020</v>
      </c>
      <c r="B1605" t="s">
        <v>23</v>
      </c>
      <c r="C1605" t="s">
        <v>271</v>
      </c>
      <c r="D1605">
        <v>91</v>
      </c>
      <c r="E1605">
        <v>2</v>
      </c>
      <c r="F1605">
        <v>3</v>
      </c>
      <c r="G1605" t="s">
        <v>115</v>
      </c>
      <c r="H1605">
        <v>11</v>
      </c>
      <c r="I1605">
        <v>58</v>
      </c>
      <c r="J1605">
        <v>60</v>
      </c>
      <c r="K1605">
        <v>2</v>
      </c>
      <c r="L1605">
        <v>117</v>
      </c>
      <c r="M1605">
        <v>22</v>
      </c>
      <c r="N1605">
        <v>2.5</v>
      </c>
      <c r="O1605">
        <v>2</v>
      </c>
      <c r="P1605">
        <v>11</v>
      </c>
      <c r="Q1605">
        <v>1.2</v>
      </c>
      <c r="R1605">
        <v>11</v>
      </c>
      <c r="S1605">
        <v>1</v>
      </c>
      <c r="T1605">
        <v>3</v>
      </c>
      <c r="U1605">
        <v>12.5</v>
      </c>
      <c r="V1605">
        <v>4392.1568627450979</v>
      </c>
      <c r="W1605">
        <v>1</v>
      </c>
    </row>
    <row r="1606" spans="1:23" x14ac:dyDescent="0.2">
      <c r="A1606">
        <v>2020</v>
      </c>
      <c r="B1606" t="s">
        <v>23</v>
      </c>
      <c r="C1606" t="s">
        <v>271</v>
      </c>
      <c r="D1606">
        <v>92</v>
      </c>
      <c r="E1606">
        <v>1</v>
      </c>
      <c r="F1606">
        <v>15</v>
      </c>
      <c r="G1606" t="s">
        <v>116</v>
      </c>
      <c r="H1606">
        <v>16</v>
      </c>
      <c r="I1606">
        <v>54</v>
      </c>
      <c r="J1606">
        <v>57</v>
      </c>
      <c r="K1606">
        <v>3</v>
      </c>
      <c r="L1606">
        <v>193</v>
      </c>
      <c r="M1606">
        <v>90</v>
      </c>
      <c r="N1606">
        <v>1</v>
      </c>
      <c r="O1606">
        <v>1.5</v>
      </c>
      <c r="P1606">
        <v>16</v>
      </c>
      <c r="Q1606">
        <v>1.6</v>
      </c>
      <c r="R1606">
        <v>16</v>
      </c>
      <c r="S1606">
        <v>1</v>
      </c>
      <c r="T1606">
        <v>1</v>
      </c>
      <c r="U1606">
        <v>8.3000000000000007</v>
      </c>
      <c r="V1606">
        <v>6137.3071895424837</v>
      </c>
      <c r="W1606">
        <v>1</v>
      </c>
    </row>
    <row r="1607" spans="1:23" x14ac:dyDescent="0.2">
      <c r="A1607">
        <v>2020</v>
      </c>
      <c r="B1607" t="s">
        <v>23</v>
      </c>
      <c r="C1607" t="s">
        <v>271</v>
      </c>
      <c r="D1607">
        <v>92</v>
      </c>
      <c r="E1607">
        <v>2</v>
      </c>
      <c r="F1607">
        <v>13</v>
      </c>
      <c r="G1607" t="s">
        <v>116</v>
      </c>
      <c r="H1607" s="1">
        <v>15</v>
      </c>
      <c r="I1607" s="1">
        <v>62</v>
      </c>
      <c r="J1607" s="1">
        <v>65</v>
      </c>
      <c r="K1607" s="1">
        <f t="shared" ref="K1607:K1613" si="74">J1607-I1607</f>
        <v>3</v>
      </c>
      <c r="L1607" s="1">
        <v>160</v>
      </c>
      <c r="M1607" s="1">
        <v>96</v>
      </c>
      <c r="N1607" s="1">
        <v>1</v>
      </c>
      <c r="O1607" s="1">
        <v>2</v>
      </c>
      <c r="P1607" s="1">
        <f>H1607</f>
        <v>15</v>
      </c>
      <c r="Q1607" s="2">
        <v>0.12937499999999999</v>
      </c>
      <c r="R1607" s="1">
        <v>8</v>
      </c>
      <c r="S1607" s="1">
        <f t="shared" ref="S1607:S1613" si="75">R1607/P1607</f>
        <v>0.53333333333333333</v>
      </c>
      <c r="T1607" s="1">
        <v>4</v>
      </c>
      <c r="U1607" s="1">
        <v>12.5</v>
      </c>
      <c r="V1607" s="1">
        <v>473.52941176470591</v>
      </c>
      <c r="W1607" s="1">
        <v>5</v>
      </c>
    </row>
    <row r="1608" spans="1:23" x14ac:dyDescent="0.2">
      <c r="A1608">
        <v>2020</v>
      </c>
      <c r="B1608" t="s">
        <v>23</v>
      </c>
      <c r="C1608" t="s">
        <v>271</v>
      </c>
      <c r="D1608">
        <v>93</v>
      </c>
      <c r="E1608">
        <v>1</v>
      </c>
      <c r="F1608">
        <v>8</v>
      </c>
      <c r="G1608" t="s">
        <v>117</v>
      </c>
      <c r="H1608" s="1">
        <v>15</v>
      </c>
      <c r="I1608" s="1">
        <v>62</v>
      </c>
      <c r="J1608" s="1">
        <v>65</v>
      </c>
      <c r="K1608" s="1">
        <f t="shared" si="74"/>
        <v>3</v>
      </c>
      <c r="L1608" s="1">
        <v>160</v>
      </c>
      <c r="M1608" s="1">
        <v>96</v>
      </c>
      <c r="N1608" s="1">
        <v>1</v>
      </c>
      <c r="O1608" s="1">
        <v>2</v>
      </c>
      <c r="P1608" s="1">
        <f>H1608</f>
        <v>15</v>
      </c>
      <c r="Q1608" s="2">
        <v>0.12937499999999999</v>
      </c>
      <c r="R1608" s="1">
        <v>8</v>
      </c>
      <c r="S1608" s="1">
        <f t="shared" si="75"/>
        <v>0.53333333333333333</v>
      </c>
      <c r="T1608" s="1">
        <v>4</v>
      </c>
      <c r="U1608" s="1">
        <v>12.5</v>
      </c>
      <c r="V1608" s="1">
        <v>473.52941176470591</v>
      </c>
      <c r="W1608" s="1">
        <v>5</v>
      </c>
    </row>
    <row r="1609" spans="1:23" x14ac:dyDescent="0.2">
      <c r="A1609">
        <v>2020</v>
      </c>
      <c r="B1609" t="s">
        <v>23</v>
      </c>
      <c r="C1609" t="s">
        <v>271</v>
      </c>
      <c r="D1609">
        <v>93</v>
      </c>
      <c r="E1609">
        <v>2</v>
      </c>
      <c r="F1609">
        <v>2</v>
      </c>
      <c r="G1609" t="s">
        <v>117</v>
      </c>
      <c r="H1609" s="1">
        <v>8</v>
      </c>
      <c r="I1609" s="1">
        <v>63</v>
      </c>
      <c r="J1609" s="1">
        <v>67</v>
      </c>
      <c r="K1609" s="1">
        <f t="shared" si="74"/>
        <v>4</v>
      </c>
      <c r="L1609" s="1">
        <v>111</v>
      </c>
      <c r="M1609" s="1">
        <v>26</v>
      </c>
      <c r="N1609" s="1">
        <v>1.5</v>
      </c>
      <c r="O1609" s="1">
        <v>5</v>
      </c>
      <c r="P1609" s="1">
        <v>7</v>
      </c>
      <c r="Q1609" s="2">
        <v>0.184</v>
      </c>
      <c r="R1609" s="1">
        <v>6</v>
      </c>
      <c r="S1609" s="1">
        <f t="shared" si="75"/>
        <v>0.8571428571428571</v>
      </c>
      <c r="T1609" s="1">
        <v>4.5</v>
      </c>
      <c r="U1609" s="1">
        <v>12.5</v>
      </c>
      <c r="V1609" s="1">
        <v>673.46405228758169</v>
      </c>
      <c r="W1609" s="1">
        <v>5</v>
      </c>
    </row>
    <row r="1610" spans="1:23" x14ac:dyDescent="0.2">
      <c r="A1610">
        <v>2020</v>
      </c>
      <c r="B1610" t="s">
        <v>23</v>
      </c>
      <c r="C1610" t="s">
        <v>271</v>
      </c>
      <c r="D1610">
        <v>94</v>
      </c>
      <c r="E1610">
        <v>1</v>
      </c>
      <c r="F1610">
        <v>13</v>
      </c>
      <c r="G1610" t="s">
        <v>118</v>
      </c>
      <c r="H1610" s="1">
        <v>14</v>
      </c>
      <c r="I1610" s="1">
        <v>69</v>
      </c>
      <c r="J1610" s="1">
        <v>72</v>
      </c>
      <c r="K1610" s="1">
        <f t="shared" si="74"/>
        <v>3</v>
      </c>
      <c r="L1610" s="1">
        <v>186</v>
      </c>
      <c r="M1610" s="1">
        <v>71</v>
      </c>
      <c r="N1610" s="1">
        <v>2</v>
      </c>
      <c r="O1610" s="1">
        <v>2.5</v>
      </c>
      <c r="P1610" s="1">
        <f>H1610</f>
        <v>14</v>
      </c>
      <c r="Q1610" s="2">
        <v>0.199125</v>
      </c>
      <c r="R1610" s="1">
        <v>11</v>
      </c>
      <c r="S1610" s="1">
        <f t="shared" si="75"/>
        <v>0.7857142857142857</v>
      </c>
      <c r="T1610" s="1">
        <v>3</v>
      </c>
      <c r="U1610" s="1">
        <v>12.5</v>
      </c>
      <c r="V1610" s="1">
        <v>728.82352941176464</v>
      </c>
      <c r="W1610" s="1">
        <v>5</v>
      </c>
    </row>
    <row r="1611" spans="1:23" x14ac:dyDescent="0.2">
      <c r="A1611">
        <v>2020</v>
      </c>
      <c r="B1611" t="s">
        <v>23</v>
      </c>
      <c r="C1611" t="s">
        <v>271</v>
      </c>
      <c r="D1611">
        <v>94</v>
      </c>
      <c r="E1611">
        <v>2</v>
      </c>
      <c r="F1611">
        <v>15</v>
      </c>
      <c r="G1611" t="s">
        <v>118</v>
      </c>
      <c r="H1611" s="1">
        <v>7</v>
      </c>
      <c r="I1611" s="1">
        <v>59</v>
      </c>
      <c r="J1611" s="1">
        <v>62</v>
      </c>
      <c r="K1611" s="1">
        <f t="shared" si="74"/>
        <v>3</v>
      </c>
      <c r="L1611" s="1">
        <v>127</v>
      </c>
      <c r="M1611" s="1">
        <v>63</v>
      </c>
      <c r="N1611" s="1">
        <v>2</v>
      </c>
      <c r="O1611" s="1">
        <v>3.5</v>
      </c>
      <c r="P1611" s="1">
        <v>4</v>
      </c>
      <c r="Q1611" s="2">
        <v>9.9600000000000008E-2</v>
      </c>
      <c r="R1611" s="1">
        <v>2</v>
      </c>
      <c r="S1611" s="1">
        <f t="shared" si="75"/>
        <v>0.5</v>
      </c>
      <c r="T1611" s="1">
        <v>5</v>
      </c>
      <c r="U1611" s="1">
        <v>7.9</v>
      </c>
      <c r="V1611" s="1">
        <v>383.71388235294114</v>
      </c>
      <c r="W1611" s="1">
        <v>4</v>
      </c>
    </row>
    <row r="1612" spans="1:23" x14ac:dyDescent="0.2">
      <c r="A1612">
        <v>2020</v>
      </c>
      <c r="B1612" t="s">
        <v>23</v>
      </c>
      <c r="C1612" t="s">
        <v>271</v>
      </c>
      <c r="D1612">
        <v>95</v>
      </c>
      <c r="E1612">
        <v>1</v>
      </c>
      <c r="F1612">
        <v>1</v>
      </c>
      <c r="G1612" t="s">
        <v>119</v>
      </c>
      <c r="H1612" s="1">
        <v>6</v>
      </c>
      <c r="I1612" s="1">
        <v>64</v>
      </c>
      <c r="J1612" s="1">
        <v>69</v>
      </c>
      <c r="K1612" s="1">
        <f t="shared" si="74"/>
        <v>5</v>
      </c>
      <c r="L1612" s="1">
        <v>35</v>
      </c>
      <c r="M1612" s="1">
        <v>15</v>
      </c>
      <c r="N1612" s="1">
        <v>3</v>
      </c>
      <c r="O1612" s="1">
        <v>5</v>
      </c>
      <c r="P1612" s="1">
        <v>2</v>
      </c>
      <c r="Q1612" s="2">
        <v>0.03</v>
      </c>
      <c r="R1612" s="1">
        <v>2</v>
      </c>
      <c r="S1612" s="1">
        <f t="shared" si="75"/>
        <v>1</v>
      </c>
      <c r="T1612" s="1">
        <v>5</v>
      </c>
      <c r="U1612" s="1">
        <v>12.5</v>
      </c>
      <c r="V1612" s="1">
        <v>109.80392156862746</v>
      </c>
      <c r="W1612" s="1">
        <v>6</v>
      </c>
    </row>
    <row r="1613" spans="1:23" x14ac:dyDescent="0.2">
      <c r="A1613">
        <v>2020</v>
      </c>
      <c r="B1613" t="s">
        <v>23</v>
      </c>
      <c r="C1613" t="s">
        <v>271</v>
      </c>
      <c r="D1613">
        <v>95</v>
      </c>
      <c r="E1613">
        <v>2</v>
      </c>
      <c r="F1613">
        <v>9</v>
      </c>
      <c r="G1613" t="s">
        <v>119</v>
      </c>
      <c r="H1613" s="1">
        <v>12</v>
      </c>
      <c r="I1613" s="1">
        <v>67</v>
      </c>
      <c r="J1613" s="1">
        <v>72</v>
      </c>
      <c r="K1613" s="1">
        <f t="shared" si="74"/>
        <v>5</v>
      </c>
      <c r="L1613" s="1">
        <v>135</v>
      </c>
      <c r="M1613" s="1">
        <v>88</v>
      </c>
      <c r="N1613" s="1">
        <v>2</v>
      </c>
      <c r="O1613" s="1">
        <v>1</v>
      </c>
      <c r="P1613" s="1">
        <v>10</v>
      </c>
      <c r="Q1613" s="2">
        <v>0.18794999999999998</v>
      </c>
      <c r="R1613" s="1">
        <v>8</v>
      </c>
      <c r="S1613" s="1">
        <f t="shared" si="75"/>
        <v>0.8</v>
      </c>
      <c r="T1613" s="1">
        <v>5</v>
      </c>
      <c r="U1613" s="1">
        <v>12.5</v>
      </c>
      <c r="V1613" s="1">
        <v>687.92156862745094</v>
      </c>
      <c r="W1613" s="1">
        <v>4</v>
      </c>
    </row>
    <row r="1614" spans="1:23" x14ac:dyDescent="0.2">
      <c r="A1614">
        <v>2020</v>
      </c>
      <c r="B1614" t="s">
        <v>23</v>
      </c>
      <c r="C1614" t="s">
        <v>271</v>
      </c>
      <c r="D1614">
        <v>96</v>
      </c>
      <c r="E1614">
        <v>1</v>
      </c>
      <c r="F1614">
        <v>14</v>
      </c>
      <c r="G1614" t="s">
        <v>120</v>
      </c>
      <c r="H1614">
        <v>1</v>
      </c>
      <c r="I1614">
        <v>59</v>
      </c>
      <c r="J1614">
        <v>63</v>
      </c>
      <c r="K1614">
        <v>4</v>
      </c>
      <c r="L1614">
        <v>114</v>
      </c>
      <c r="M1614">
        <v>50</v>
      </c>
      <c r="N1614">
        <v>3</v>
      </c>
      <c r="O1614">
        <v>3</v>
      </c>
      <c r="P1614">
        <v>1</v>
      </c>
      <c r="Q1614">
        <v>0.17100000000000001</v>
      </c>
      <c r="R1614">
        <v>1</v>
      </c>
      <c r="S1614">
        <v>1</v>
      </c>
      <c r="T1614">
        <v>3</v>
      </c>
      <c r="U1614">
        <v>12.5</v>
      </c>
      <c r="V1614">
        <v>625.88235294117646</v>
      </c>
      <c r="W1614">
        <v>1</v>
      </c>
    </row>
    <row r="1615" spans="1:23" x14ac:dyDescent="0.2">
      <c r="A1615">
        <v>2020</v>
      </c>
      <c r="B1615" t="s">
        <v>23</v>
      </c>
      <c r="C1615" t="s">
        <v>271</v>
      </c>
      <c r="D1615">
        <v>96</v>
      </c>
      <c r="E1615">
        <v>2</v>
      </c>
      <c r="F1615">
        <v>3</v>
      </c>
      <c r="G1615" t="s">
        <v>120</v>
      </c>
      <c r="H1615" s="1">
        <v>10</v>
      </c>
      <c r="I1615" s="1">
        <v>62</v>
      </c>
      <c r="J1615" s="1">
        <v>66</v>
      </c>
      <c r="K1615" s="1">
        <f>J1615-I1615</f>
        <v>4</v>
      </c>
      <c r="L1615" s="1">
        <v>162</v>
      </c>
      <c r="M1615" s="1">
        <v>110</v>
      </c>
      <c r="N1615" s="1">
        <v>2</v>
      </c>
      <c r="O1615" s="1">
        <v>3.5</v>
      </c>
      <c r="P1615" s="1">
        <v>8</v>
      </c>
      <c r="Q1615" s="2">
        <v>8.0250000000000002E-2</v>
      </c>
      <c r="R1615" s="1">
        <v>5</v>
      </c>
      <c r="S1615" s="1">
        <f>R1615/P1615</f>
        <v>0.625</v>
      </c>
      <c r="T1615" s="1">
        <v>5</v>
      </c>
      <c r="U1615" s="1">
        <v>12.5</v>
      </c>
      <c r="V1615" s="1">
        <v>293.72549019607845</v>
      </c>
      <c r="W1615" s="1">
        <v>3</v>
      </c>
    </row>
    <row r="1616" spans="1:23" x14ac:dyDescent="0.2">
      <c r="A1616">
        <v>2020</v>
      </c>
      <c r="B1616" t="s">
        <v>23</v>
      </c>
      <c r="C1616" t="s">
        <v>271</v>
      </c>
      <c r="D1616">
        <v>97</v>
      </c>
      <c r="E1616">
        <v>1</v>
      </c>
      <c r="F1616">
        <v>2</v>
      </c>
      <c r="G1616" t="s">
        <v>121</v>
      </c>
      <c r="H1616">
        <v>1</v>
      </c>
      <c r="I1616">
        <v>59</v>
      </c>
      <c r="J1616">
        <v>62</v>
      </c>
      <c r="K1616">
        <v>3</v>
      </c>
      <c r="L1616">
        <v>123</v>
      </c>
      <c r="M1616">
        <v>56</v>
      </c>
      <c r="N1616">
        <v>2</v>
      </c>
      <c r="O1616">
        <v>3</v>
      </c>
      <c r="P1616">
        <v>1</v>
      </c>
      <c r="Q1616">
        <v>0.1</v>
      </c>
      <c r="R1616">
        <v>1</v>
      </c>
      <c r="S1616">
        <v>1</v>
      </c>
      <c r="T1616">
        <v>2</v>
      </c>
      <c r="U1616">
        <v>12.5</v>
      </c>
      <c r="V1616">
        <v>366.01307189542484</v>
      </c>
      <c r="W1616">
        <v>2</v>
      </c>
    </row>
    <row r="1617" spans="1:23" x14ac:dyDescent="0.2">
      <c r="A1617">
        <v>2020</v>
      </c>
      <c r="B1617" t="s">
        <v>23</v>
      </c>
      <c r="C1617" t="s">
        <v>271</v>
      </c>
      <c r="D1617">
        <v>97</v>
      </c>
      <c r="E1617">
        <v>2</v>
      </c>
      <c r="F1617">
        <v>2</v>
      </c>
      <c r="G1617" t="s">
        <v>121</v>
      </c>
      <c r="H1617" s="1">
        <v>2</v>
      </c>
      <c r="I1617" s="1">
        <v>63</v>
      </c>
      <c r="J1617" s="1">
        <v>66</v>
      </c>
      <c r="K1617" s="1">
        <f t="shared" ref="K1617:K1625" si="76">J1617-I1617</f>
        <v>3</v>
      </c>
      <c r="L1617" s="1">
        <v>70</v>
      </c>
      <c r="M1617" s="1">
        <v>20</v>
      </c>
      <c r="N1617" s="1">
        <v>1.5</v>
      </c>
      <c r="O1617" s="1">
        <v>5</v>
      </c>
      <c r="P1617" s="1">
        <v>2</v>
      </c>
      <c r="Q1617" s="2">
        <v>2.2499999999999999E-2</v>
      </c>
      <c r="R1617" s="1">
        <v>2</v>
      </c>
      <c r="S1617" s="1">
        <f t="shared" ref="S1617:S1625" si="77">R1617/P1617</f>
        <v>1</v>
      </c>
      <c r="T1617" s="1">
        <v>5</v>
      </c>
      <c r="U1617" s="1">
        <v>12.5</v>
      </c>
      <c r="V1617" s="1">
        <v>82.35294117647058</v>
      </c>
      <c r="W1617" s="1">
        <v>6</v>
      </c>
    </row>
    <row r="1618" spans="1:23" x14ac:dyDescent="0.2">
      <c r="A1618">
        <v>2020</v>
      </c>
      <c r="B1618" t="s">
        <v>23</v>
      </c>
      <c r="C1618" t="s">
        <v>271</v>
      </c>
      <c r="D1618">
        <v>98</v>
      </c>
      <c r="E1618">
        <v>1</v>
      </c>
      <c r="F1618">
        <v>8</v>
      </c>
      <c r="G1618" t="s">
        <v>122</v>
      </c>
      <c r="H1618" s="3">
        <v>11</v>
      </c>
      <c r="I1618" s="3">
        <v>66</v>
      </c>
      <c r="J1618" s="3">
        <v>69</v>
      </c>
      <c r="K1618" s="3">
        <f t="shared" si="76"/>
        <v>3</v>
      </c>
      <c r="L1618" s="3">
        <v>160</v>
      </c>
      <c r="M1618" s="3">
        <v>62</v>
      </c>
      <c r="N1618" s="3">
        <v>2</v>
      </c>
      <c r="O1618" s="3">
        <v>3.5</v>
      </c>
      <c r="P1618" s="3">
        <f>H1618-1</f>
        <v>10</v>
      </c>
      <c r="Q1618" s="4">
        <v>0.13</v>
      </c>
      <c r="R1618" s="3">
        <v>9</v>
      </c>
      <c r="S1618" s="3">
        <f t="shared" si="77"/>
        <v>0.9</v>
      </c>
      <c r="T1618" s="3">
        <v>5</v>
      </c>
      <c r="U1618" s="3">
        <v>12.5</v>
      </c>
      <c r="V1618" s="3">
        <v>475.81699346405225</v>
      </c>
      <c r="W1618" s="3">
        <v>3</v>
      </c>
    </row>
    <row r="1619" spans="1:23" x14ac:dyDescent="0.2">
      <c r="A1619">
        <v>2020</v>
      </c>
      <c r="B1619" t="s">
        <v>23</v>
      </c>
      <c r="C1619" t="s">
        <v>271</v>
      </c>
      <c r="D1619">
        <v>98</v>
      </c>
      <c r="E1619">
        <v>2</v>
      </c>
      <c r="F1619">
        <v>11</v>
      </c>
      <c r="G1619" t="s">
        <v>122</v>
      </c>
      <c r="H1619" s="1">
        <v>6</v>
      </c>
      <c r="I1619" s="1">
        <v>68</v>
      </c>
      <c r="J1619" s="1">
        <v>72</v>
      </c>
      <c r="K1619" s="1">
        <f t="shared" si="76"/>
        <v>4</v>
      </c>
      <c r="L1619" s="1">
        <v>168</v>
      </c>
      <c r="M1619" s="1">
        <v>90</v>
      </c>
      <c r="N1619" s="1">
        <v>2</v>
      </c>
      <c r="O1619" s="1">
        <v>4</v>
      </c>
      <c r="P1619" s="1">
        <v>6</v>
      </c>
      <c r="Q1619" s="2">
        <v>0.37559999999999999</v>
      </c>
      <c r="R1619" s="1">
        <v>5</v>
      </c>
      <c r="S1619" s="1">
        <f t="shared" si="77"/>
        <v>0.83333333333333337</v>
      </c>
      <c r="T1619" s="1">
        <v>5</v>
      </c>
      <c r="U1619" s="1">
        <v>7.2</v>
      </c>
      <c r="V1619" s="1">
        <v>1458.0153725490195</v>
      </c>
      <c r="W1619" s="1">
        <v>6</v>
      </c>
    </row>
    <row r="1620" spans="1:23" x14ac:dyDescent="0.2">
      <c r="A1620">
        <v>2020</v>
      </c>
      <c r="B1620" t="s">
        <v>23</v>
      </c>
      <c r="C1620" t="s">
        <v>271</v>
      </c>
      <c r="D1620">
        <v>99</v>
      </c>
      <c r="E1620">
        <v>1</v>
      </c>
      <c r="F1620">
        <v>14</v>
      </c>
      <c r="G1620" t="s">
        <v>123</v>
      </c>
      <c r="H1620" s="1">
        <v>6</v>
      </c>
      <c r="I1620" s="1">
        <v>66</v>
      </c>
      <c r="J1620" s="1">
        <v>71</v>
      </c>
      <c r="K1620" s="1">
        <f t="shared" si="76"/>
        <v>5</v>
      </c>
      <c r="L1620" s="1">
        <v>109</v>
      </c>
      <c r="M1620" s="1">
        <v>36</v>
      </c>
      <c r="N1620" s="1">
        <v>1.5</v>
      </c>
      <c r="O1620" s="1">
        <v>4.5</v>
      </c>
      <c r="P1620" s="1">
        <v>4</v>
      </c>
      <c r="Q1620" s="2">
        <v>0.18</v>
      </c>
      <c r="R1620" s="1">
        <v>3</v>
      </c>
      <c r="S1620" s="1">
        <f t="shared" si="77"/>
        <v>0.75</v>
      </c>
      <c r="T1620" s="1">
        <v>4</v>
      </c>
      <c r="U1620" s="1">
        <v>12.5</v>
      </c>
      <c r="V1620" s="1">
        <v>658.82352941176464</v>
      </c>
      <c r="W1620" s="1">
        <v>5</v>
      </c>
    </row>
    <row r="1621" spans="1:23" x14ac:dyDescent="0.2">
      <c r="A1621">
        <v>2020</v>
      </c>
      <c r="B1621" t="s">
        <v>23</v>
      </c>
      <c r="C1621" t="s">
        <v>271</v>
      </c>
      <c r="D1621">
        <v>99</v>
      </c>
      <c r="E1621">
        <v>2</v>
      </c>
      <c r="F1621">
        <v>12</v>
      </c>
      <c r="G1621" t="s">
        <v>123</v>
      </c>
      <c r="H1621" s="3">
        <v>12</v>
      </c>
      <c r="I1621" s="3">
        <v>68</v>
      </c>
      <c r="J1621" s="3">
        <v>72</v>
      </c>
      <c r="K1621" s="3">
        <f t="shared" si="76"/>
        <v>4</v>
      </c>
      <c r="L1621" s="3">
        <v>179</v>
      </c>
      <c r="M1621" s="3">
        <v>64</v>
      </c>
      <c r="N1621" s="3">
        <v>2</v>
      </c>
      <c r="O1621" s="3">
        <v>2.5</v>
      </c>
      <c r="P1621" s="3">
        <f>H1621</f>
        <v>12</v>
      </c>
      <c r="Q1621" s="4">
        <v>0.13350000000000001</v>
      </c>
      <c r="R1621" s="3">
        <v>9</v>
      </c>
      <c r="S1621" s="3">
        <f t="shared" si="77"/>
        <v>0.75</v>
      </c>
      <c r="T1621" s="3">
        <v>5</v>
      </c>
      <c r="U1621" s="3">
        <v>12.5</v>
      </c>
      <c r="V1621" s="3">
        <v>488.62745098039221</v>
      </c>
      <c r="W1621" s="3">
        <v>4</v>
      </c>
    </row>
    <row r="1622" spans="1:23" x14ac:dyDescent="0.2">
      <c r="A1622">
        <v>2020</v>
      </c>
      <c r="B1622" t="s">
        <v>23</v>
      </c>
      <c r="C1622" t="s">
        <v>271</v>
      </c>
      <c r="D1622">
        <v>100</v>
      </c>
      <c r="E1622">
        <v>1</v>
      </c>
      <c r="F1622">
        <v>12</v>
      </c>
      <c r="G1622" t="s">
        <v>124</v>
      </c>
      <c r="H1622" s="1">
        <v>15</v>
      </c>
      <c r="I1622" s="1">
        <v>56</v>
      </c>
      <c r="J1622" s="1">
        <v>61</v>
      </c>
      <c r="K1622" s="1">
        <f t="shared" si="76"/>
        <v>5</v>
      </c>
      <c r="L1622" s="1">
        <v>117</v>
      </c>
      <c r="M1622" s="1">
        <v>63</v>
      </c>
      <c r="N1622" s="1">
        <v>2</v>
      </c>
      <c r="O1622" s="1">
        <v>3</v>
      </c>
      <c r="P1622" s="1">
        <f>H1622-2</f>
        <v>13</v>
      </c>
      <c r="Q1622" s="2">
        <v>0.62250000000000005</v>
      </c>
      <c r="R1622" s="1">
        <v>13</v>
      </c>
      <c r="S1622" s="1">
        <f t="shared" si="77"/>
        <v>1</v>
      </c>
      <c r="T1622" s="1">
        <v>5</v>
      </c>
      <c r="U1622" s="1">
        <v>12.5</v>
      </c>
      <c r="V1622" s="1">
        <v>2278.4313725490201</v>
      </c>
      <c r="W1622" s="1">
        <v>2</v>
      </c>
    </row>
    <row r="1623" spans="1:23" x14ac:dyDescent="0.2">
      <c r="A1623">
        <v>2020</v>
      </c>
      <c r="B1623" t="s">
        <v>23</v>
      </c>
      <c r="C1623" t="s">
        <v>271</v>
      </c>
      <c r="D1623">
        <v>100</v>
      </c>
      <c r="E1623">
        <v>2</v>
      </c>
      <c r="F1623">
        <v>14</v>
      </c>
      <c r="G1623" t="s">
        <v>124</v>
      </c>
      <c r="H1623" s="1">
        <v>6</v>
      </c>
      <c r="I1623" s="1">
        <v>63</v>
      </c>
      <c r="J1623" s="1">
        <v>67</v>
      </c>
      <c r="K1623" s="1">
        <f t="shared" si="76"/>
        <v>4</v>
      </c>
      <c r="L1623" s="1">
        <v>81</v>
      </c>
      <c r="M1623" s="1">
        <v>20</v>
      </c>
      <c r="N1623" s="1">
        <v>2</v>
      </c>
      <c r="O1623" s="1">
        <v>5</v>
      </c>
      <c r="P1623" s="1">
        <v>2</v>
      </c>
      <c r="Q1623" s="2">
        <v>7.1999999999999995E-2</v>
      </c>
      <c r="R1623" s="1">
        <v>2</v>
      </c>
      <c r="S1623" s="1">
        <f t="shared" si="77"/>
        <v>1</v>
      </c>
      <c r="T1623" s="1">
        <v>5</v>
      </c>
      <c r="U1623" s="1">
        <v>12.5</v>
      </c>
      <c r="V1623" s="1">
        <v>263.52941176470591</v>
      </c>
      <c r="W1623" s="1">
        <v>6</v>
      </c>
    </row>
    <row r="1624" spans="1:23" x14ac:dyDescent="0.2">
      <c r="A1624">
        <v>2020</v>
      </c>
      <c r="B1624" t="s">
        <v>23</v>
      </c>
      <c r="C1624" t="s">
        <v>271</v>
      </c>
      <c r="D1624">
        <v>101</v>
      </c>
      <c r="E1624">
        <v>1</v>
      </c>
      <c r="F1624">
        <v>3</v>
      </c>
      <c r="G1624" t="s">
        <v>125</v>
      </c>
      <c r="H1624" s="1">
        <v>5</v>
      </c>
      <c r="I1624" s="1">
        <v>64</v>
      </c>
      <c r="J1624" s="1">
        <v>68</v>
      </c>
      <c r="K1624" s="1">
        <f t="shared" si="76"/>
        <v>4</v>
      </c>
      <c r="L1624" s="1">
        <v>159</v>
      </c>
      <c r="M1624" s="1">
        <v>43</v>
      </c>
      <c r="N1624" s="1">
        <v>3</v>
      </c>
      <c r="O1624" s="1">
        <v>4.5</v>
      </c>
      <c r="P1624" s="1">
        <v>2</v>
      </c>
      <c r="Q1624" s="2">
        <v>6.2E-2</v>
      </c>
      <c r="R1624" s="1">
        <v>2</v>
      </c>
      <c r="S1624" s="1">
        <f t="shared" si="77"/>
        <v>1</v>
      </c>
      <c r="T1624" s="1">
        <v>5</v>
      </c>
      <c r="U1624" s="1">
        <v>12.5</v>
      </c>
      <c r="V1624" s="1">
        <v>226.92810457516339</v>
      </c>
      <c r="W1624" s="1">
        <v>5</v>
      </c>
    </row>
    <row r="1625" spans="1:23" x14ac:dyDescent="0.2">
      <c r="A1625">
        <v>2020</v>
      </c>
      <c r="B1625" t="s">
        <v>23</v>
      </c>
      <c r="C1625" t="s">
        <v>271</v>
      </c>
      <c r="D1625">
        <v>101</v>
      </c>
      <c r="E1625">
        <v>2</v>
      </c>
      <c r="F1625">
        <v>11</v>
      </c>
      <c r="G1625" t="s">
        <v>125</v>
      </c>
      <c r="H1625" s="1">
        <v>6</v>
      </c>
      <c r="I1625" s="1">
        <v>66</v>
      </c>
      <c r="J1625" s="1">
        <v>71</v>
      </c>
      <c r="K1625" s="1">
        <f t="shared" si="76"/>
        <v>5</v>
      </c>
      <c r="L1625" s="1">
        <v>123</v>
      </c>
      <c r="M1625" s="1">
        <v>82</v>
      </c>
      <c r="N1625" s="1">
        <v>2</v>
      </c>
      <c r="O1625" s="1">
        <v>3.5</v>
      </c>
      <c r="P1625" s="1">
        <v>3</v>
      </c>
      <c r="Q1625" s="2">
        <v>0.32739999999999997</v>
      </c>
      <c r="R1625" s="1">
        <v>3</v>
      </c>
      <c r="S1625" s="1">
        <f t="shared" si="77"/>
        <v>1</v>
      </c>
      <c r="T1625" s="1">
        <v>5</v>
      </c>
      <c r="U1625" s="1">
        <v>12.5</v>
      </c>
      <c r="V1625" s="1">
        <v>1198.3267973856209</v>
      </c>
      <c r="W1625" s="1">
        <v>5</v>
      </c>
    </row>
    <row r="1626" spans="1:23" x14ac:dyDescent="0.2">
      <c r="A1626">
        <v>2020</v>
      </c>
      <c r="B1626" t="s">
        <v>23</v>
      </c>
      <c r="C1626" t="s">
        <v>271</v>
      </c>
      <c r="D1626">
        <v>102</v>
      </c>
      <c r="E1626">
        <v>1</v>
      </c>
      <c r="F1626">
        <v>8</v>
      </c>
      <c r="G1626" t="s">
        <v>126</v>
      </c>
      <c r="H1626">
        <v>9</v>
      </c>
      <c r="I1626">
        <v>56</v>
      </c>
      <c r="J1626">
        <v>59</v>
      </c>
      <c r="K1626">
        <v>3</v>
      </c>
      <c r="L1626">
        <v>134</v>
      </c>
      <c r="M1626">
        <v>40</v>
      </c>
      <c r="N1626">
        <v>1.5</v>
      </c>
      <c r="O1626">
        <v>2</v>
      </c>
      <c r="P1626">
        <v>9</v>
      </c>
      <c r="Q1626">
        <v>0.4</v>
      </c>
      <c r="R1626">
        <v>9</v>
      </c>
      <c r="S1626">
        <v>1</v>
      </c>
      <c r="T1626">
        <v>2.5</v>
      </c>
      <c r="U1626">
        <v>12.5</v>
      </c>
      <c r="V1626">
        <v>1464.0522875816994</v>
      </c>
      <c r="W1626">
        <v>2</v>
      </c>
    </row>
    <row r="1627" spans="1:23" x14ac:dyDescent="0.2">
      <c r="A1627">
        <v>2020</v>
      </c>
      <c r="B1627" t="s">
        <v>23</v>
      </c>
      <c r="C1627" t="s">
        <v>271</v>
      </c>
      <c r="D1627">
        <v>102</v>
      </c>
      <c r="E1627">
        <v>2</v>
      </c>
      <c r="F1627">
        <v>4</v>
      </c>
      <c r="G1627" t="s">
        <v>126</v>
      </c>
      <c r="H1627">
        <v>16</v>
      </c>
      <c r="I1627">
        <v>50</v>
      </c>
      <c r="J1627">
        <v>53</v>
      </c>
      <c r="K1627">
        <v>3</v>
      </c>
      <c r="L1627">
        <v>147</v>
      </c>
      <c r="M1627">
        <v>79</v>
      </c>
      <c r="N1627">
        <v>2</v>
      </c>
      <c r="O1627">
        <v>2</v>
      </c>
      <c r="P1627">
        <v>12</v>
      </c>
      <c r="Q1627">
        <v>1.2</v>
      </c>
      <c r="R1627">
        <v>10</v>
      </c>
      <c r="S1627">
        <v>0.83333333333333337</v>
      </c>
      <c r="T1627">
        <v>3</v>
      </c>
      <c r="U1627">
        <v>12</v>
      </c>
      <c r="V1627">
        <v>4417.2549019607841</v>
      </c>
      <c r="W1627">
        <v>2</v>
      </c>
    </row>
    <row r="1628" spans="1:23" x14ac:dyDescent="0.2">
      <c r="A1628">
        <v>2020</v>
      </c>
      <c r="B1628" t="s">
        <v>23</v>
      </c>
      <c r="C1628" t="s">
        <v>271</v>
      </c>
      <c r="D1628">
        <v>103</v>
      </c>
      <c r="E1628">
        <v>1</v>
      </c>
      <c r="F1628">
        <v>8</v>
      </c>
      <c r="G1628" t="s">
        <v>127</v>
      </c>
      <c r="H1628">
        <v>7</v>
      </c>
      <c r="I1628">
        <v>55</v>
      </c>
      <c r="J1628">
        <v>59</v>
      </c>
      <c r="K1628">
        <v>4</v>
      </c>
      <c r="L1628">
        <v>72</v>
      </c>
      <c r="M1628">
        <v>43</v>
      </c>
      <c r="N1628">
        <v>2</v>
      </c>
      <c r="O1628">
        <v>3</v>
      </c>
      <c r="P1628">
        <v>7</v>
      </c>
      <c r="Q1628">
        <v>0.5</v>
      </c>
      <c r="R1628">
        <v>8</v>
      </c>
      <c r="S1628">
        <v>1.1428571428571428</v>
      </c>
      <c r="T1628">
        <v>3</v>
      </c>
      <c r="U1628">
        <v>12.5</v>
      </c>
      <c r="V1628">
        <v>1830.0653594771243</v>
      </c>
      <c r="W1628">
        <v>2</v>
      </c>
    </row>
    <row r="1629" spans="1:23" x14ac:dyDescent="0.2">
      <c r="A1629">
        <v>2020</v>
      </c>
      <c r="B1629" t="s">
        <v>23</v>
      </c>
      <c r="C1629" t="s">
        <v>271</v>
      </c>
      <c r="D1629">
        <v>103</v>
      </c>
      <c r="E1629">
        <v>2</v>
      </c>
      <c r="F1629">
        <v>4</v>
      </c>
      <c r="G1629" t="s">
        <v>127</v>
      </c>
      <c r="H1629" s="1">
        <v>5</v>
      </c>
      <c r="I1629" s="1">
        <v>64</v>
      </c>
      <c r="J1629" s="1">
        <v>69</v>
      </c>
      <c r="K1629" s="1">
        <f>J1629-I1629</f>
        <v>5</v>
      </c>
      <c r="L1629" s="1">
        <v>66</v>
      </c>
      <c r="M1629" s="1">
        <v>30</v>
      </c>
      <c r="N1629" s="1">
        <v>2</v>
      </c>
      <c r="O1629" s="1">
        <v>4.5</v>
      </c>
      <c r="P1629" s="1">
        <v>4</v>
      </c>
      <c r="Q1629" s="2">
        <v>9.1999999999999998E-2</v>
      </c>
      <c r="R1629" s="1">
        <v>3</v>
      </c>
      <c r="S1629" s="1">
        <f>R1629/P1629</f>
        <v>0.75</v>
      </c>
      <c r="T1629" s="1">
        <v>5</v>
      </c>
      <c r="U1629" s="1">
        <v>12.5</v>
      </c>
      <c r="V1629" s="1">
        <v>336.73202614379085</v>
      </c>
      <c r="W1629" s="1">
        <v>6</v>
      </c>
    </row>
    <row r="1630" spans="1:23" x14ac:dyDescent="0.2">
      <c r="A1630">
        <v>2020</v>
      </c>
      <c r="B1630" t="s">
        <v>23</v>
      </c>
      <c r="C1630" t="s">
        <v>271</v>
      </c>
      <c r="D1630">
        <v>104</v>
      </c>
      <c r="E1630">
        <v>1</v>
      </c>
      <c r="F1630">
        <v>4</v>
      </c>
      <c r="G1630" t="s">
        <v>128</v>
      </c>
      <c r="H1630" s="1">
        <v>12</v>
      </c>
      <c r="I1630" s="1">
        <v>62</v>
      </c>
      <c r="J1630" s="1">
        <v>67</v>
      </c>
      <c r="K1630" s="1">
        <f>J1630-I1630</f>
        <v>5</v>
      </c>
      <c r="L1630" s="1">
        <v>141</v>
      </c>
      <c r="M1630" s="1">
        <v>63</v>
      </c>
      <c r="N1630" s="1">
        <v>2</v>
      </c>
      <c r="O1630" s="1">
        <v>3.5</v>
      </c>
      <c r="P1630" s="1">
        <v>10</v>
      </c>
      <c r="Q1630" s="2">
        <v>0.82479999999999998</v>
      </c>
      <c r="R1630" s="1">
        <v>10</v>
      </c>
      <c r="S1630" s="1">
        <f>R1630/P1630</f>
        <v>1</v>
      </c>
      <c r="T1630" s="1">
        <v>5</v>
      </c>
      <c r="U1630" s="1">
        <v>9</v>
      </c>
      <c r="V1630" s="1">
        <v>3139.6308496732026</v>
      </c>
      <c r="W1630" s="1">
        <v>4</v>
      </c>
    </row>
    <row r="1631" spans="1:23" x14ac:dyDescent="0.2">
      <c r="A1631">
        <v>2020</v>
      </c>
      <c r="B1631" t="s">
        <v>23</v>
      </c>
      <c r="C1631" t="s">
        <v>271</v>
      </c>
      <c r="D1631">
        <v>104</v>
      </c>
      <c r="E1631">
        <v>2</v>
      </c>
      <c r="F1631">
        <v>7</v>
      </c>
      <c r="G1631" t="s">
        <v>128</v>
      </c>
      <c r="H1631">
        <v>9</v>
      </c>
      <c r="I1631">
        <v>60</v>
      </c>
      <c r="J1631">
        <v>63</v>
      </c>
      <c r="K1631">
        <v>3</v>
      </c>
      <c r="L1631">
        <v>150</v>
      </c>
      <c r="M1631">
        <v>60</v>
      </c>
      <c r="N1631">
        <v>1.5</v>
      </c>
      <c r="O1631">
        <v>4</v>
      </c>
      <c r="P1631">
        <v>9</v>
      </c>
      <c r="Q1631">
        <v>1</v>
      </c>
      <c r="R1631">
        <v>10</v>
      </c>
      <c r="S1631">
        <v>1.1111111111111112</v>
      </c>
      <c r="T1631">
        <v>3</v>
      </c>
      <c r="U1631">
        <v>12.5</v>
      </c>
      <c r="V1631">
        <v>3660.1307189542486</v>
      </c>
      <c r="W1631">
        <v>2</v>
      </c>
    </row>
    <row r="1632" spans="1:23" x14ac:dyDescent="0.2">
      <c r="A1632">
        <v>2020</v>
      </c>
      <c r="B1632" t="s">
        <v>23</v>
      </c>
      <c r="C1632" t="s">
        <v>271</v>
      </c>
      <c r="D1632">
        <v>105</v>
      </c>
      <c r="E1632">
        <v>1</v>
      </c>
      <c r="F1632">
        <v>3</v>
      </c>
      <c r="G1632" t="s">
        <v>129</v>
      </c>
      <c r="H1632" s="1">
        <v>12</v>
      </c>
      <c r="I1632" s="1">
        <v>66</v>
      </c>
      <c r="J1632" s="1">
        <v>71</v>
      </c>
      <c r="K1632" s="1">
        <f>J1632-I1632</f>
        <v>5</v>
      </c>
      <c r="L1632" s="1">
        <v>141</v>
      </c>
      <c r="M1632" s="1">
        <v>47</v>
      </c>
      <c r="N1632" s="1">
        <v>3.5</v>
      </c>
      <c r="O1632" s="1">
        <v>4</v>
      </c>
      <c r="P1632" s="1">
        <v>10</v>
      </c>
      <c r="Q1632" s="2">
        <v>0.60499999999999998</v>
      </c>
      <c r="R1632" s="1">
        <v>10</v>
      </c>
      <c r="S1632" s="1">
        <f>R1632/P1632</f>
        <v>1</v>
      </c>
      <c r="T1632" s="1">
        <v>2</v>
      </c>
      <c r="U1632" s="1">
        <v>12.5</v>
      </c>
      <c r="V1632" s="1">
        <v>2214.3790849673201</v>
      </c>
      <c r="W1632" s="1">
        <v>3</v>
      </c>
    </row>
    <row r="1633" spans="1:23" x14ac:dyDescent="0.2">
      <c r="A1633">
        <v>2020</v>
      </c>
      <c r="B1633" t="s">
        <v>23</v>
      </c>
      <c r="C1633" t="s">
        <v>271</v>
      </c>
      <c r="D1633">
        <v>105</v>
      </c>
      <c r="E1633">
        <v>2</v>
      </c>
      <c r="F1633">
        <v>11</v>
      </c>
      <c r="G1633" t="s">
        <v>129</v>
      </c>
      <c r="H1633">
        <v>6</v>
      </c>
      <c r="I1633">
        <v>62</v>
      </c>
      <c r="J1633">
        <v>65</v>
      </c>
      <c r="K1633">
        <v>3</v>
      </c>
      <c r="L1633">
        <v>83</v>
      </c>
      <c r="M1633">
        <v>20</v>
      </c>
      <c r="N1633">
        <v>4</v>
      </c>
      <c r="O1633">
        <v>5</v>
      </c>
      <c r="P1633">
        <v>5</v>
      </c>
      <c r="Q1633">
        <v>0.13500000000000001</v>
      </c>
      <c r="R1633">
        <v>3</v>
      </c>
      <c r="S1633">
        <v>0.6</v>
      </c>
      <c r="T1633">
        <v>3</v>
      </c>
      <c r="U1633">
        <v>12.5</v>
      </c>
      <c r="V1633">
        <v>494.11764705882354</v>
      </c>
      <c r="W1633">
        <v>1</v>
      </c>
    </row>
    <row r="1634" spans="1:23" x14ac:dyDescent="0.2">
      <c r="A1634">
        <v>2020</v>
      </c>
      <c r="B1634" t="s">
        <v>23</v>
      </c>
      <c r="C1634" t="s">
        <v>271</v>
      </c>
      <c r="D1634">
        <v>106</v>
      </c>
      <c r="E1634">
        <v>1</v>
      </c>
      <c r="F1634">
        <v>12</v>
      </c>
      <c r="G1634" t="s">
        <v>130</v>
      </c>
      <c r="H1634" s="3">
        <v>6</v>
      </c>
      <c r="I1634" s="3">
        <v>65</v>
      </c>
      <c r="J1634" s="3">
        <v>67</v>
      </c>
      <c r="K1634" s="3">
        <f t="shared" ref="K1634:K1639" si="78">J1634-I1634</f>
        <v>2</v>
      </c>
      <c r="L1634" s="3">
        <v>121</v>
      </c>
      <c r="M1634" s="3">
        <v>55</v>
      </c>
      <c r="N1634" s="3">
        <v>2</v>
      </c>
      <c r="O1634" s="3">
        <v>4</v>
      </c>
      <c r="P1634" s="3">
        <v>5</v>
      </c>
      <c r="Q1634" s="4">
        <v>0.12</v>
      </c>
      <c r="R1634" s="3">
        <v>5</v>
      </c>
      <c r="S1634" s="3">
        <f t="shared" ref="S1634:S1639" si="79">R1634/P1634</f>
        <v>1</v>
      </c>
      <c r="T1634" s="3">
        <v>4</v>
      </c>
      <c r="U1634" s="3">
        <v>12.5</v>
      </c>
      <c r="V1634" s="3">
        <v>439.21568627450984</v>
      </c>
      <c r="W1634" s="3">
        <v>4</v>
      </c>
    </row>
    <row r="1635" spans="1:23" x14ac:dyDescent="0.2">
      <c r="A1635">
        <v>2020</v>
      </c>
      <c r="B1635" t="s">
        <v>23</v>
      </c>
      <c r="C1635" t="s">
        <v>271</v>
      </c>
      <c r="D1635">
        <v>106</v>
      </c>
      <c r="E1635">
        <v>2</v>
      </c>
      <c r="F1635">
        <v>2</v>
      </c>
      <c r="G1635" t="s">
        <v>130</v>
      </c>
      <c r="H1635" s="1">
        <v>3</v>
      </c>
      <c r="I1635" s="1">
        <v>65</v>
      </c>
      <c r="J1635" s="1">
        <v>69</v>
      </c>
      <c r="K1635" s="1">
        <f t="shared" si="78"/>
        <v>4</v>
      </c>
      <c r="L1635" s="1">
        <v>115</v>
      </c>
      <c r="M1635" s="1">
        <v>58</v>
      </c>
      <c r="N1635" s="1">
        <v>2</v>
      </c>
      <c r="O1635" s="1">
        <v>2</v>
      </c>
      <c r="P1635" s="1">
        <v>2</v>
      </c>
      <c r="Q1635" s="2">
        <v>9.0150000000000008E-2</v>
      </c>
      <c r="R1635" s="1">
        <v>2</v>
      </c>
      <c r="S1635" s="1">
        <f t="shared" si="79"/>
        <v>1</v>
      </c>
      <c r="T1635" s="1">
        <v>3</v>
      </c>
      <c r="U1635" s="1">
        <v>12.5</v>
      </c>
      <c r="V1635" s="1">
        <v>329.96078431372547</v>
      </c>
      <c r="W1635" s="1">
        <v>4</v>
      </c>
    </row>
    <row r="1636" spans="1:23" x14ac:dyDescent="0.2">
      <c r="A1636">
        <v>2020</v>
      </c>
      <c r="B1636" t="s">
        <v>23</v>
      </c>
      <c r="C1636" t="s">
        <v>271</v>
      </c>
      <c r="D1636">
        <v>107</v>
      </c>
      <c r="E1636">
        <v>1</v>
      </c>
      <c r="F1636">
        <v>13</v>
      </c>
      <c r="G1636" t="s">
        <v>131</v>
      </c>
      <c r="H1636" s="1">
        <v>2</v>
      </c>
      <c r="I1636" s="1">
        <v>66</v>
      </c>
      <c r="J1636" s="1">
        <v>68</v>
      </c>
      <c r="K1636" s="1">
        <f t="shared" si="78"/>
        <v>2</v>
      </c>
      <c r="L1636" s="1">
        <v>59</v>
      </c>
      <c r="M1636" s="1">
        <v>20</v>
      </c>
      <c r="N1636" s="1">
        <v>2</v>
      </c>
      <c r="O1636" s="1">
        <v>4.5</v>
      </c>
      <c r="P1636" s="1">
        <v>2</v>
      </c>
      <c r="Q1636" s="2">
        <v>8.5999999999999993E-2</v>
      </c>
      <c r="R1636" s="1">
        <v>2</v>
      </c>
      <c r="S1636" s="1">
        <f t="shared" si="79"/>
        <v>1</v>
      </c>
      <c r="T1636" s="1">
        <v>5</v>
      </c>
      <c r="U1636" s="1">
        <v>12.5</v>
      </c>
      <c r="V1636" s="1">
        <v>314.77124183006538</v>
      </c>
      <c r="W1636" s="1">
        <v>6</v>
      </c>
    </row>
    <row r="1637" spans="1:23" x14ac:dyDescent="0.2">
      <c r="A1637">
        <v>2020</v>
      </c>
      <c r="B1637" t="s">
        <v>23</v>
      </c>
      <c r="C1637" t="s">
        <v>271</v>
      </c>
      <c r="D1637">
        <v>107</v>
      </c>
      <c r="E1637">
        <v>2</v>
      </c>
      <c r="F1637">
        <v>6</v>
      </c>
      <c r="G1637" t="s">
        <v>131</v>
      </c>
      <c r="H1637" s="1">
        <v>6</v>
      </c>
      <c r="I1637" s="1">
        <v>70</v>
      </c>
      <c r="J1637" s="1">
        <v>72</v>
      </c>
      <c r="K1637" s="1">
        <f t="shared" si="78"/>
        <v>2</v>
      </c>
      <c r="L1637" s="1">
        <v>78</v>
      </c>
      <c r="M1637" s="1">
        <v>37</v>
      </c>
      <c r="N1637" s="1">
        <v>2.5</v>
      </c>
      <c r="O1637" s="1">
        <v>4</v>
      </c>
      <c r="P1637" s="1">
        <v>1</v>
      </c>
      <c r="Q1637" s="2">
        <v>0.05</v>
      </c>
      <c r="R1637" s="1">
        <v>1</v>
      </c>
      <c r="S1637" s="1">
        <f t="shared" si="79"/>
        <v>1</v>
      </c>
      <c r="T1637" s="1">
        <v>5</v>
      </c>
      <c r="U1637" s="1">
        <v>12.5</v>
      </c>
      <c r="V1637" s="1">
        <v>183.00653594771242</v>
      </c>
      <c r="W1637" s="1">
        <v>6</v>
      </c>
    </row>
    <row r="1638" spans="1:23" x14ac:dyDescent="0.2">
      <c r="A1638">
        <v>2020</v>
      </c>
      <c r="B1638" t="s">
        <v>23</v>
      </c>
      <c r="C1638" t="s">
        <v>271</v>
      </c>
      <c r="D1638">
        <v>108</v>
      </c>
      <c r="E1638">
        <v>1</v>
      </c>
      <c r="F1638">
        <v>9</v>
      </c>
      <c r="G1638" t="s">
        <v>132</v>
      </c>
      <c r="H1638" s="1">
        <v>12</v>
      </c>
      <c r="I1638" s="1">
        <v>65</v>
      </c>
      <c r="J1638" s="1">
        <v>68</v>
      </c>
      <c r="K1638" s="1">
        <f t="shared" si="78"/>
        <v>3</v>
      </c>
      <c r="L1638" s="1">
        <v>155</v>
      </c>
      <c r="M1638" s="1">
        <v>53</v>
      </c>
      <c r="N1638" s="1">
        <v>2.5</v>
      </c>
      <c r="O1638" s="1">
        <v>3.5</v>
      </c>
      <c r="P1638" s="1">
        <v>12</v>
      </c>
      <c r="Q1638" s="2">
        <v>0.753</v>
      </c>
      <c r="R1638" s="1">
        <v>12</v>
      </c>
      <c r="S1638" s="1">
        <f t="shared" si="79"/>
        <v>1</v>
      </c>
      <c r="T1638" s="1">
        <v>3.5</v>
      </c>
      <c r="U1638" s="1">
        <v>12.5</v>
      </c>
      <c r="V1638" s="1">
        <v>2756.0784313725489</v>
      </c>
      <c r="W1638" s="1">
        <v>5</v>
      </c>
    </row>
    <row r="1639" spans="1:23" x14ac:dyDescent="0.2">
      <c r="A1639">
        <v>2020</v>
      </c>
      <c r="B1639" t="s">
        <v>23</v>
      </c>
      <c r="C1639" t="s">
        <v>271</v>
      </c>
      <c r="D1639">
        <v>108</v>
      </c>
      <c r="E1639">
        <v>2</v>
      </c>
      <c r="F1639">
        <v>15</v>
      </c>
      <c r="G1639" t="s">
        <v>132</v>
      </c>
      <c r="H1639" s="1">
        <v>6</v>
      </c>
      <c r="I1639" s="1">
        <v>72</v>
      </c>
      <c r="J1639" s="1">
        <v>76</v>
      </c>
      <c r="K1639" s="1">
        <f t="shared" si="78"/>
        <v>4</v>
      </c>
      <c r="L1639" s="1">
        <v>65</v>
      </c>
      <c r="M1639" s="1">
        <v>35</v>
      </c>
      <c r="N1639" s="1">
        <v>3</v>
      </c>
      <c r="O1639" s="1">
        <v>5</v>
      </c>
      <c r="P1639" s="1">
        <v>4</v>
      </c>
      <c r="Q1639" s="2">
        <v>8.72E-2</v>
      </c>
      <c r="R1639" s="1">
        <v>2</v>
      </c>
      <c r="S1639" s="1">
        <f t="shared" si="79"/>
        <v>0.5</v>
      </c>
      <c r="T1639" s="1">
        <v>4</v>
      </c>
      <c r="U1639" s="1">
        <v>12.5</v>
      </c>
      <c r="V1639" s="1">
        <v>319.16339869281046</v>
      </c>
      <c r="W1639" s="1">
        <v>4</v>
      </c>
    </row>
    <row r="1640" spans="1:23" x14ac:dyDescent="0.2">
      <c r="A1640">
        <v>2020</v>
      </c>
      <c r="B1640" t="s">
        <v>23</v>
      </c>
      <c r="C1640" t="s">
        <v>271</v>
      </c>
      <c r="D1640">
        <v>109</v>
      </c>
      <c r="E1640">
        <v>1</v>
      </c>
      <c r="F1640">
        <v>9</v>
      </c>
      <c r="G1640" t="s">
        <v>133</v>
      </c>
      <c r="H1640">
        <v>11</v>
      </c>
      <c r="I1640">
        <v>58</v>
      </c>
      <c r="J1640">
        <v>60</v>
      </c>
      <c r="K1640">
        <v>2</v>
      </c>
      <c r="L1640">
        <v>112</v>
      </c>
      <c r="M1640">
        <v>22</v>
      </c>
      <c r="N1640">
        <v>2</v>
      </c>
      <c r="O1640">
        <v>3</v>
      </c>
      <c r="P1640">
        <v>11</v>
      </c>
      <c r="Q1640">
        <v>1.4</v>
      </c>
      <c r="R1640">
        <v>10</v>
      </c>
      <c r="S1640">
        <v>0.90909090909090906</v>
      </c>
      <c r="T1640">
        <v>2.5</v>
      </c>
      <c r="U1640">
        <v>12.5</v>
      </c>
      <c r="V1640">
        <v>5124.1830065359472</v>
      </c>
      <c r="W1640">
        <v>1</v>
      </c>
    </row>
    <row r="1641" spans="1:23" x14ac:dyDescent="0.2">
      <c r="A1641">
        <v>2020</v>
      </c>
      <c r="B1641" t="s">
        <v>23</v>
      </c>
      <c r="C1641" t="s">
        <v>271</v>
      </c>
      <c r="D1641">
        <v>109</v>
      </c>
      <c r="E1641">
        <v>2</v>
      </c>
      <c r="F1641">
        <v>12</v>
      </c>
      <c r="G1641" t="s">
        <v>133</v>
      </c>
      <c r="H1641">
        <v>3</v>
      </c>
      <c r="I1641">
        <v>59</v>
      </c>
      <c r="J1641">
        <v>62</v>
      </c>
      <c r="K1641">
        <v>3</v>
      </c>
      <c r="L1641">
        <v>127</v>
      </c>
      <c r="M1641">
        <v>46</v>
      </c>
      <c r="N1641">
        <v>1.5</v>
      </c>
      <c r="O1641">
        <v>4</v>
      </c>
      <c r="P1641">
        <v>3</v>
      </c>
      <c r="Q1641">
        <v>0.4</v>
      </c>
      <c r="R1641">
        <v>2</v>
      </c>
      <c r="S1641">
        <v>0.66666666666666663</v>
      </c>
      <c r="T1641">
        <v>2.5</v>
      </c>
      <c r="U1641">
        <v>12.5</v>
      </c>
      <c r="V1641">
        <v>1464.0522875816994</v>
      </c>
      <c r="W1641">
        <v>2</v>
      </c>
    </row>
    <row r="1642" spans="1:23" x14ac:dyDescent="0.2">
      <c r="A1642">
        <v>2020</v>
      </c>
      <c r="B1642" t="s">
        <v>23</v>
      </c>
      <c r="C1642" t="s">
        <v>271</v>
      </c>
      <c r="D1642">
        <v>110</v>
      </c>
      <c r="E1642">
        <v>1</v>
      </c>
      <c r="F1642">
        <v>7</v>
      </c>
      <c r="G1642" t="s">
        <v>134</v>
      </c>
      <c r="H1642">
        <v>13</v>
      </c>
      <c r="I1642">
        <v>58</v>
      </c>
      <c r="J1642">
        <v>60</v>
      </c>
      <c r="K1642">
        <v>2</v>
      </c>
      <c r="L1642">
        <v>110</v>
      </c>
      <c r="M1642">
        <v>51</v>
      </c>
      <c r="N1642">
        <v>1.5</v>
      </c>
      <c r="O1642">
        <v>2</v>
      </c>
      <c r="P1642">
        <v>12</v>
      </c>
      <c r="Q1642">
        <v>0.8</v>
      </c>
      <c r="R1642">
        <v>12</v>
      </c>
      <c r="S1642">
        <v>1</v>
      </c>
      <c r="T1642">
        <v>2.5</v>
      </c>
      <c r="U1642">
        <v>12.5</v>
      </c>
      <c r="V1642">
        <v>2928.1045751633987</v>
      </c>
      <c r="W1642">
        <v>2</v>
      </c>
    </row>
    <row r="1643" spans="1:23" x14ac:dyDescent="0.2">
      <c r="A1643">
        <v>2020</v>
      </c>
      <c r="B1643" t="s">
        <v>23</v>
      </c>
      <c r="C1643" t="s">
        <v>271</v>
      </c>
      <c r="D1643">
        <v>110</v>
      </c>
      <c r="E1643">
        <v>2</v>
      </c>
      <c r="F1643">
        <v>10</v>
      </c>
      <c r="G1643" t="s">
        <v>134</v>
      </c>
      <c r="H1643">
        <v>10</v>
      </c>
      <c r="I1643">
        <v>56</v>
      </c>
      <c r="J1643">
        <v>60</v>
      </c>
      <c r="K1643">
        <v>4</v>
      </c>
      <c r="L1643">
        <v>64</v>
      </c>
      <c r="M1643">
        <v>19</v>
      </c>
      <c r="N1643">
        <v>3</v>
      </c>
      <c r="O1643">
        <v>3</v>
      </c>
      <c r="P1643">
        <v>8</v>
      </c>
      <c r="Q1643">
        <v>1.492</v>
      </c>
      <c r="R1643">
        <v>8</v>
      </c>
      <c r="S1643">
        <v>1</v>
      </c>
      <c r="T1643">
        <v>2</v>
      </c>
      <c r="U1643">
        <v>12.5</v>
      </c>
      <c r="V1643">
        <v>5460.9150326797389</v>
      </c>
      <c r="W1643">
        <v>2</v>
      </c>
    </row>
    <row r="1644" spans="1:23" x14ac:dyDescent="0.2">
      <c r="A1644">
        <v>2020</v>
      </c>
      <c r="B1644" t="s">
        <v>23</v>
      </c>
      <c r="C1644" t="s">
        <v>271</v>
      </c>
      <c r="D1644">
        <v>111</v>
      </c>
      <c r="E1644">
        <v>1</v>
      </c>
      <c r="F1644">
        <v>11</v>
      </c>
      <c r="G1644" t="s">
        <v>135</v>
      </c>
      <c r="H1644" s="1">
        <v>7</v>
      </c>
      <c r="I1644" s="1">
        <v>67</v>
      </c>
      <c r="J1644" s="1">
        <v>70</v>
      </c>
      <c r="K1644" s="1">
        <f>J1644-I1644</f>
        <v>3</v>
      </c>
      <c r="L1644" s="1">
        <v>193</v>
      </c>
      <c r="M1644" s="1">
        <v>100</v>
      </c>
      <c r="N1644" s="1">
        <v>2</v>
      </c>
      <c r="O1644" s="1">
        <v>2.5</v>
      </c>
      <c r="P1644" s="1">
        <v>7</v>
      </c>
      <c r="Q1644" s="2">
        <v>0.23799999999999999</v>
      </c>
      <c r="R1644" s="1">
        <v>7</v>
      </c>
      <c r="S1644" s="1">
        <f>R1644/P1644</f>
        <v>1</v>
      </c>
      <c r="T1644" s="1">
        <v>4</v>
      </c>
      <c r="U1644" s="1">
        <v>9.3000000000000007</v>
      </c>
      <c r="V1644" s="1">
        <v>902.96888888888907</v>
      </c>
      <c r="W1644" s="1">
        <v>4</v>
      </c>
    </row>
    <row r="1645" spans="1:23" x14ac:dyDescent="0.2">
      <c r="A1645">
        <v>2020</v>
      </c>
      <c r="B1645" t="s">
        <v>23</v>
      </c>
      <c r="C1645" t="s">
        <v>271</v>
      </c>
      <c r="D1645">
        <v>111</v>
      </c>
      <c r="E1645">
        <v>2</v>
      </c>
      <c r="F1645">
        <v>5</v>
      </c>
      <c r="G1645" t="s">
        <v>135</v>
      </c>
      <c r="H1645">
        <v>13</v>
      </c>
      <c r="I1645">
        <v>54</v>
      </c>
      <c r="J1645">
        <v>56</v>
      </c>
      <c r="K1645">
        <v>2</v>
      </c>
      <c r="L1645">
        <v>143</v>
      </c>
      <c r="M1645">
        <v>64</v>
      </c>
      <c r="N1645">
        <v>2</v>
      </c>
      <c r="O1645">
        <v>2</v>
      </c>
      <c r="P1645">
        <v>10</v>
      </c>
      <c r="Q1645">
        <v>0.7</v>
      </c>
      <c r="R1645">
        <v>7</v>
      </c>
      <c r="S1645">
        <v>0.7</v>
      </c>
      <c r="T1645">
        <v>4</v>
      </c>
      <c r="U1645">
        <v>8.9</v>
      </c>
      <c r="V1645">
        <v>2667.5032679738561</v>
      </c>
      <c r="W1645">
        <v>2</v>
      </c>
    </row>
    <row r="1646" spans="1:23" x14ac:dyDescent="0.2">
      <c r="A1646">
        <v>2020</v>
      </c>
      <c r="B1646" t="s">
        <v>23</v>
      </c>
      <c r="C1646" t="s">
        <v>271</v>
      </c>
      <c r="D1646">
        <v>112</v>
      </c>
      <c r="E1646">
        <v>1</v>
      </c>
      <c r="F1646">
        <v>1</v>
      </c>
      <c r="G1646" t="s">
        <v>136</v>
      </c>
      <c r="H1646" s="1">
        <v>10</v>
      </c>
      <c r="I1646" s="1">
        <v>68</v>
      </c>
      <c r="J1646" s="1">
        <v>73</v>
      </c>
      <c r="K1646" s="1">
        <f>J1646-I1646</f>
        <v>5</v>
      </c>
      <c r="L1646" s="1">
        <v>122</v>
      </c>
      <c r="M1646" s="1">
        <v>61</v>
      </c>
      <c r="N1646" s="1">
        <v>1.5</v>
      </c>
      <c r="O1646" s="1">
        <v>4.5</v>
      </c>
      <c r="P1646" s="1">
        <v>8</v>
      </c>
      <c r="Q1646" s="2">
        <v>0.16200000000000001</v>
      </c>
      <c r="R1646" s="1">
        <v>7</v>
      </c>
      <c r="S1646" s="1">
        <f>R1646/P1646</f>
        <v>0.875</v>
      </c>
      <c r="T1646" s="1">
        <v>5</v>
      </c>
      <c r="U1646" s="1">
        <v>12.5</v>
      </c>
      <c r="V1646" s="1">
        <v>592.94117647058818</v>
      </c>
      <c r="W1646" s="1">
        <v>4</v>
      </c>
    </row>
    <row r="1647" spans="1:23" x14ac:dyDescent="0.2">
      <c r="A1647">
        <v>2020</v>
      </c>
      <c r="B1647" t="s">
        <v>23</v>
      </c>
      <c r="C1647" t="s">
        <v>271</v>
      </c>
      <c r="D1647">
        <v>112</v>
      </c>
      <c r="E1647">
        <v>2</v>
      </c>
      <c r="F1647">
        <v>11</v>
      </c>
      <c r="G1647" t="s">
        <v>136</v>
      </c>
      <c r="H1647" s="1">
        <v>2</v>
      </c>
      <c r="I1647" s="1">
        <v>65</v>
      </c>
      <c r="J1647" s="1">
        <v>71</v>
      </c>
      <c r="K1647" s="1">
        <f>J1647-I1647</f>
        <v>6</v>
      </c>
      <c r="L1647" s="1">
        <v>98</v>
      </c>
      <c r="M1647" s="1">
        <v>43</v>
      </c>
      <c r="N1647" s="1">
        <v>2</v>
      </c>
      <c r="O1647" s="1">
        <v>3</v>
      </c>
      <c r="P1647" s="1">
        <v>2</v>
      </c>
      <c r="Q1647" s="2">
        <v>4.725E-2</v>
      </c>
      <c r="R1647" s="1">
        <v>1</v>
      </c>
      <c r="S1647" s="1">
        <f>R1647/P1647</f>
        <v>0.5</v>
      </c>
      <c r="T1647" s="1">
        <v>4</v>
      </c>
      <c r="U1647" s="1">
        <v>12.5</v>
      </c>
      <c r="V1647" s="1">
        <v>172.94117647058823</v>
      </c>
      <c r="W1647" s="1">
        <v>4</v>
      </c>
    </row>
    <row r="1648" spans="1:23" x14ac:dyDescent="0.2">
      <c r="A1648">
        <v>2020</v>
      </c>
      <c r="B1648" t="s">
        <v>23</v>
      </c>
      <c r="C1648" t="s">
        <v>271</v>
      </c>
      <c r="D1648">
        <v>113</v>
      </c>
      <c r="E1648">
        <v>1</v>
      </c>
      <c r="F1648">
        <v>12</v>
      </c>
      <c r="G1648" t="s">
        <v>137</v>
      </c>
      <c r="H1648">
        <v>13</v>
      </c>
      <c r="I1648">
        <v>63</v>
      </c>
      <c r="J1648">
        <v>65</v>
      </c>
      <c r="K1648">
        <v>2</v>
      </c>
      <c r="L1648">
        <v>160</v>
      </c>
      <c r="M1648">
        <v>60</v>
      </c>
      <c r="N1648">
        <v>1.5</v>
      </c>
      <c r="O1648">
        <v>2.5</v>
      </c>
      <c r="P1648">
        <v>13</v>
      </c>
      <c r="Q1648">
        <v>1.7</v>
      </c>
      <c r="R1648">
        <v>10</v>
      </c>
      <c r="S1648">
        <v>0.76923076923076927</v>
      </c>
      <c r="T1648" t="s">
        <v>273</v>
      </c>
      <c r="U1648">
        <v>12.5</v>
      </c>
      <c r="V1648">
        <v>6222.2222222222226</v>
      </c>
      <c r="W1648">
        <v>1</v>
      </c>
    </row>
    <row r="1649" spans="1:23" x14ac:dyDescent="0.2">
      <c r="A1649">
        <v>2020</v>
      </c>
      <c r="B1649" t="s">
        <v>23</v>
      </c>
      <c r="C1649" t="s">
        <v>271</v>
      </c>
      <c r="D1649">
        <v>113</v>
      </c>
      <c r="E1649">
        <v>2</v>
      </c>
      <c r="F1649">
        <v>14</v>
      </c>
      <c r="G1649" t="s">
        <v>137</v>
      </c>
      <c r="H1649" s="1">
        <v>10</v>
      </c>
      <c r="I1649" s="1">
        <v>58</v>
      </c>
      <c r="J1649" s="1">
        <v>63</v>
      </c>
      <c r="K1649" s="1">
        <f>J1649-I1649</f>
        <v>5</v>
      </c>
      <c r="L1649" s="1">
        <v>115</v>
      </c>
      <c r="M1649" s="1">
        <v>57</v>
      </c>
      <c r="N1649" s="1">
        <v>2</v>
      </c>
      <c r="O1649" s="1">
        <v>4.5</v>
      </c>
      <c r="P1649" s="1">
        <v>6</v>
      </c>
      <c r="Q1649" s="2">
        <v>0.19</v>
      </c>
      <c r="R1649" s="1">
        <v>3</v>
      </c>
      <c r="S1649" s="1">
        <f>R1649/P1649</f>
        <v>0.5</v>
      </c>
      <c r="T1649" s="1">
        <v>3</v>
      </c>
      <c r="U1649" s="1">
        <v>12.5</v>
      </c>
      <c r="V1649" s="1">
        <v>695.42483660130722</v>
      </c>
      <c r="W1649" s="1">
        <v>5</v>
      </c>
    </row>
    <row r="1650" spans="1:23" x14ac:dyDescent="0.2">
      <c r="A1650">
        <v>2020</v>
      </c>
      <c r="B1650" t="s">
        <v>23</v>
      </c>
      <c r="C1650" t="s">
        <v>271</v>
      </c>
      <c r="D1650">
        <v>114</v>
      </c>
      <c r="E1650">
        <v>1</v>
      </c>
      <c r="F1650">
        <v>11</v>
      </c>
      <c r="G1650" t="s">
        <v>138</v>
      </c>
      <c r="H1650" s="1">
        <v>9</v>
      </c>
      <c r="I1650" s="1">
        <v>65</v>
      </c>
      <c r="J1650" s="1">
        <v>70</v>
      </c>
      <c r="K1650" s="1">
        <f>J1650-I1650</f>
        <v>5</v>
      </c>
      <c r="L1650" s="1">
        <v>83</v>
      </c>
      <c r="M1650" s="1">
        <v>53</v>
      </c>
      <c r="N1650" s="1">
        <v>2</v>
      </c>
      <c r="O1650" s="1">
        <v>4</v>
      </c>
      <c r="P1650" s="1">
        <v>2</v>
      </c>
      <c r="Q1650" s="2">
        <v>0.2205</v>
      </c>
      <c r="R1650" s="1">
        <v>2</v>
      </c>
      <c r="S1650" s="1">
        <f>R1650/P1650</f>
        <v>1</v>
      </c>
      <c r="T1650" s="1">
        <v>5</v>
      </c>
      <c r="U1650" s="1">
        <v>12.5</v>
      </c>
      <c r="V1650" s="1">
        <v>807.05882352941182</v>
      </c>
      <c r="W1650" s="1">
        <v>5</v>
      </c>
    </row>
    <row r="1651" spans="1:23" x14ac:dyDescent="0.2">
      <c r="A1651">
        <v>2020</v>
      </c>
      <c r="B1651" t="s">
        <v>23</v>
      </c>
      <c r="C1651" t="s">
        <v>271</v>
      </c>
      <c r="D1651">
        <v>114</v>
      </c>
      <c r="E1651">
        <v>2</v>
      </c>
      <c r="F1651">
        <v>6</v>
      </c>
      <c r="G1651" t="s">
        <v>138</v>
      </c>
      <c r="H1651">
        <v>13</v>
      </c>
      <c r="I1651">
        <v>59</v>
      </c>
      <c r="J1651">
        <v>60</v>
      </c>
      <c r="K1651">
        <v>1</v>
      </c>
      <c r="L1651">
        <v>198</v>
      </c>
      <c r="M1651">
        <v>58</v>
      </c>
      <c r="N1651">
        <v>2</v>
      </c>
      <c r="O1651">
        <v>2</v>
      </c>
      <c r="P1651">
        <v>8</v>
      </c>
      <c r="Q1651">
        <v>0.2</v>
      </c>
      <c r="R1651">
        <v>7</v>
      </c>
      <c r="S1651">
        <v>0.875</v>
      </c>
      <c r="T1651">
        <v>4</v>
      </c>
      <c r="U1651">
        <v>11.8</v>
      </c>
      <c r="V1651">
        <v>737.88235294117646</v>
      </c>
      <c r="W1651">
        <v>1</v>
      </c>
    </row>
    <row r="1652" spans="1:23" x14ac:dyDescent="0.2">
      <c r="A1652">
        <v>2020</v>
      </c>
      <c r="B1652" t="s">
        <v>23</v>
      </c>
      <c r="C1652" t="s">
        <v>271</v>
      </c>
      <c r="D1652">
        <v>115</v>
      </c>
      <c r="E1652">
        <v>1</v>
      </c>
      <c r="F1652">
        <v>8</v>
      </c>
      <c r="G1652" t="s">
        <v>139</v>
      </c>
      <c r="H1652" s="1">
        <v>10</v>
      </c>
      <c r="I1652" s="1">
        <v>69</v>
      </c>
      <c r="J1652" s="1">
        <v>74</v>
      </c>
      <c r="K1652" s="1">
        <f>J1652-I1652</f>
        <v>5</v>
      </c>
      <c r="L1652" s="1">
        <v>72</v>
      </c>
      <c r="M1652" s="1">
        <v>35</v>
      </c>
      <c r="N1652" s="1">
        <v>2.5</v>
      </c>
      <c r="O1652" s="1">
        <v>4.5</v>
      </c>
      <c r="P1652" s="1">
        <v>6</v>
      </c>
      <c r="Q1652" s="2">
        <v>0.32</v>
      </c>
      <c r="R1652" s="1">
        <v>4</v>
      </c>
      <c r="S1652" s="1">
        <f>R1652/P1652</f>
        <v>0.66666666666666663</v>
      </c>
      <c r="T1652" s="1">
        <v>4</v>
      </c>
      <c r="U1652" s="1">
        <v>12.5</v>
      </c>
      <c r="V1652" s="1">
        <v>1171.2418300653596</v>
      </c>
      <c r="W1652" s="1">
        <v>5</v>
      </c>
    </row>
    <row r="1653" spans="1:23" x14ac:dyDescent="0.2">
      <c r="A1653">
        <v>2020</v>
      </c>
      <c r="B1653" t="s">
        <v>23</v>
      </c>
      <c r="C1653" t="s">
        <v>271</v>
      </c>
      <c r="D1653">
        <v>115</v>
      </c>
      <c r="E1653">
        <v>2</v>
      </c>
      <c r="F1653">
        <v>3</v>
      </c>
      <c r="G1653" t="s">
        <v>139</v>
      </c>
      <c r="H1653" s="1">
        <v>11</v>
      </c>
      <c r="I1653" s="1">
        <v>60</v>
      </c>
      <c r="J1653" s="1">
        <v>64</v>
      </c>
      <c r="K1653" s="1">
        <f>J1653-I1653</f>
        <v>4</v>
      </c>
      <c r="L1653" s="1">
        <v>193</v>
      </c>
      <c r="M1653" s="1">
        <v>87</v>
      </c>
      <c r="N1653" s="1">
        <v>2</v>
      </c>
      <c r="O1653" s="1">
        <v>3.5</v>
      </c>
      <c r="P1653" s="1">
        <v>7</v>
      </c>
      <c r="Q1653" s="2">
        <v>0.47320000000000001</v>
      </c>
      <c r="R1653" s="1">
        <v>6</v>
      </c>
      <c r="S1653" s="1">
        <f>R1653/P1653</f>
        <v>0.8571428571428571</v>
      </c>
      <c r="T1653" s="1">
        <v>5</v>
      </c>
      <c r="U1653" s="1">
        <v>11.5</v>
      </c>
      <c r="V1653" s="1">
        <v>1751.7678431372551</v>
      </c>
      <c r="W1653" s="1">
        <v>5</v>
      </c>
    </row>
    <row r="1654" spans="1:23" x14ac:dyDescent="0.2">
      <c r="A1654">
        <v>2020</v>
      </c>
      <c r="B1654" t="s">
        <v>23</v>
      </c>
      <c r="C1654" t="s">
        <v>271</v>
      </c>
      <c r="D1654">
        <v>116</v>
      </c>
      <c r="E1654">
        <v>1</v>
      </c>
      <c r="F1654">
        <v>14</v>
      </c>
      <c r="G1654" t="s">
        <v>140</v>
      </c>
      <c r="H1654" s="1">
        <v>5</v>
      </c>
      <c r="I1654" s="1">
        <v>66</v>
      </c>
      <c r="J1654" s="1">
        <v>69</v>
      </c>
      <c r="K1654" s="1">
        <f>J1654-I1654</f>
        <v>3</v>
      </c>
      <c r="L1654" s="1">
        <v>148</v>
      </c>
      <c r="M1654" s="1">
        <v>75</v>
      </c>
      <c r="N1654" s="1">
        <v>2</v>
      </c>
      <c r="O1654" s="1">
        <v>3</v>
      </c>
      <c r="P1654" s="1">
        <v>5</v>
      </c>
      <c r="Q1654" s="2">
        <v>0.2898</v>
      </c>
      <c r="R1654" s="1">
        <v>5</v>
      </c>
      <c r="S1654" s="1">
        <f>R1654/P1654</f>
        <v>1</v>
      </c>
      <c r="T1654" s="1">
        <v>4</v>
      </c>
      <c r="U1654" s="1">
        <v>12.5</v>
      </c>
      <c r="V1654" s="1">
        <v>1060.7058823529414</v>
      </c>
      <c r="W1654" s="1">
        <v>4</v>
      </c>
    </row>
    <row r="1655" spans="1:23" x14ac:dyDescent="0.2">
      <c r="A1655">
        <v>2020</v>
      </c>
      <c r="B1655" t="s">
        <v>23</v>
      </c>
      <c r="C1655" t="s">
        <v>271</v>
      </c>
      <c r="D1655">
        <v>116</v>
      </c>
      <c r="E1655">
        <v>2</v>
      </c>
      <c r="F1655">
        <v>13</v>
      </c>
      <c r="G1655" t="s">
        <v>140</v>
      </c>
      <c r="H1655">
        <v>14</v>
      </c>
      <c r="I1655">
        <v>57</v>
      </c>
      <c r="J1655">
        <v>62</v>
      </c>
      <c r="K1655">
        <v>5</v>
      </c>
      <c r="L1655">
        <v>167</v>
      </c>
      <c r="M1655">
        <v>89</v>
      </c>
      <c r="N1655">
        <v>2</v>
      </c>
      <c r="O1655">
        <v>2.5</v>
      </c>
      <c r="P1655">
        <v>14</v>
      </c>
      <c r="Q1655">
        <v>1.1000000000000001</v>
      </c>
      <c r="R1655">
        <v>14</v>
      </c>
      <c r="S1655">
        <v>1</v>
      </c>
      <c r="T1655">
        <v>2</v>
      </c>
      <c r="U1655">
        <v>10.4</v>
      </c>
      <c r="V1655">
        <v>4122.7712418300653</v>
      </c>
      <c r="W1655">
        <v>1</v>
      </c>
    </row>
    <row r="1656" spans="1:23" x14ac:dyDescent="0.2">
      <c r="A1656">
        <v>2020</v>
      </c>
      <c r="B1656" t="s">
        <v>23</v>
      </c>
      <c r="C1656" t="s">
        <v>271</v>
      </c>
      <c r="D1656">
        <v>117</v>
      </c>
      <c r="E1656">
        <v>1</v>
      </c>
      <c r="F1656">
        <v>15</v>
      </c>
      <c r="G1656" t="s">
        <v>141</v>
      </c>
      <c r="H1656" s="1">
        <v>11</v>
      </c>
      <c r="I1656" s="1">
        <v>68</v>
      </c>
      <c r="J1656" s="1">
        <v>71</v>
      </c>
      <c r="K1656" s="1">
        <f>J1656-I1656</f>
        <v>3</v>
      </c>
      <c r="L1656" s="1">
        <v>130</v>
      </c>
      <c r="M1656" s="1">
        <v>77</v>
      </c>
      <c r="N1656" s="1">
        <v>2</v>
      </c>
      <c r="O1656" s="1">
        <v>3.5</v>
      </c>
      <c r="P1656" s="1">
        <v>8</v>
      </c>
      <c r="Q1656" s="2">
        <v>0.32600000000000001</v>
      </c>
      <c r="R1656" s="1">
        <v>7</v>
      </c>
      <c r="S1656" s="1">
        <f>R1656/P1656</f>
        <v>0.875</v>
      </c>
      <c r="T1656" s="1">
        <v>4</v>
      </c>
      <c r="U1656" s="1">
        <v>7.9</v>
      </c>
      <c r="V1656" s="1">
        <v>1255.9309803921569</v>
      </c>
      <c r="W1656" s="1">
        <v>5</v>
      </c>
    </row>
    <row r="1657" spans="1:23" x14ac:dyDescent="0.2">
      <c r="A1657">
        <v>2020</v>
      </c>
      <c r="B1657" t="s">
        <v>23</v>
      </c>
      <c r="C1657" t="s">
        <v>271</v>
      </c>
      <c r="D1657">
        <v>117</v>
      </c>
      <c r="E1657">
        <v>2</v>
      </c>
      <c r="F1657">
        <v>4</v>
      </c>
      <c r="G1657" t="s">
        <v>141</v>
      </c>
      <c r="H1657" s="1">
        <v>12</v>
      </c>
      <c r="I1657" s="1">
        <v>59</v>
      </c>
      <c r="J1657" s="1">
        <v>64</v>
      </c>
      <c r="K1657" s="1">
        <f>J1657-I1657</f>
        <v>5</v>
      </c>
      <c r="L1657" s="1">
        <v>116</v>
      </c>
      <c r="M1657" s="1">
        <v>45</v>
      </c>
      <c r="N1657" s="1">
        <v>2</v>
      </c>
      <c r="O1657" s="1">
        <v>4</v>
      </c>
      <c r="P1657" s="1">
        <v>8</v>
      </c>
      <c r="Q1657" s="2">
        <v>0.2</v>
      </c>
      <c r="R1657" s="1">
        <v>6</v>
      </c>
      <c r="S1657" s="1">
        <f>R1657/P1657</f>
        <v>0.75</v>
      </c>
      <c r="T1657" s="1">
        <v>4</v>
      </c>
      <c r="U1657" s="1">
        <v>12.5</v>
      </c>
      <c r="V1657" s="1">
        <v>732.02614379084969</v>
      </c>
      <c r="W1657" s="1">
        <v>5</v>
      </c>
    </row>
    <row r="1658" spans="1:23" x14ac:dyDescent="0.2">
      <c r="A1658">
        <v>2020</v>
      </c>
      <c r="B1658" t="s">
        <v>23</v>
      </c>
      <c r="C1658" t="s">
        <v>271</v>
      </c>
      <c r="D1658">
        <v>118</v>
      </c>
      <c r="E1658">
        <v>1</v>
      </c>
      <c r="F1658">
        <v>4</v>
      </c>
      <c r="G1658" t="s">
        <v>142</v>
      </c>
      <c r="H1658">
        <v>13</v>
      </c>
      <c r="I1658">
        <v>55</v>
      </c>
      <c r="J1658">
        <v>60</v>
      </c>
      <c r="K1658">
        <v>5</v>
      </c>
      <c r="L1658">
        <v>149</v>
      </c>
      <c r="M1658">
        <v>83</v>
      </c>
      <c r="N1658">
        <v>1.5</v>
      </c>
      <c r="O1658">
        <v>3</v>
      </c>
      <c r="P1658">
        <v>12</v>
      </c>
      <c r="Q1658">
        <v>1</v>
      </c>
      <c r="R1658">
        <v>12</v>
      </c>
      <c r="S1658">
        <v>1</v>
      </c>
      <c r="T1658">
        <v>2.5</v>
      </c>
      <c r="U1658">
        <v>12.5</v>
      </c>
      <c r="V1658">
        <v>3660.1307189542486</v>
      </c>
      <c r="W1658">
        <v>2</v>
      </c>
    </row>
    <row r="1659" spans="1:23" x14ac:dyDescent="0.2">
      <c r="A1659">
        <v>2020</v>
      </c>
      <c r="B1659" t="s">
        <v>23</v>
      </c>
      <c r="C1659" t="s">
        <v>271</v>
      </c>
      <c r="D1659">
        <v>118</v>
      </c>
      <c r="E1659">
        <v>2</v>
      </c>
      <c r="F1659">
        <v>4</v>
      </c>
      <c r="G1659" t="s">
        <v>142</v>
      </c>
      <c r="H1659" s="1">
        <v>7</v>
      </c>
      <c r="I1659" s="1">
        <v>69</v>
      </c>
      <c r="J1659" s="1">
        <v>70</v>
      </c>
      <c r="K1659" s="1">
        <f>J1659-I1659</f>
        <v>1</v>
      </c>
      <c r="L1659" s="1">
        <v>157</v>
      </c>
      <c r="M1659" s="1">
        <v>88</v>
      </c>
      <c r="N1659" s="1">
        <v>2</v>
      </c>
      <c r="O1659" s="1">
        <v>2.5</v>
      </c>
      <c r="P1659" s="1">
        <v>6</v>
      </c>
      <c r="Q1659" s="2">
        <v>0.26910000000000001</v>
      </c>
      <c r="R1659" s="1">
        <v>3</v>
      </c>
      <c r="S1659" s="1">
        <f>R1659/P1659</f>
        <v>0.5</v>
      </c>
      <c r="T1659" s="1">
        <v>3</v>
      </c>
      <c r="U1659" s="1">
        <v>12.5</v>
      </c>
      <c r="V1659" s="1">
        <v>984.94117647058818</v>
      </c>
      <c r="W1659" s="1">
        <v>4</v>
      </c>
    </row>
    <row r="1660" spans="1:23" x14ac:dyDescent="0.2">
      <c r="A1660">
        <v>2020</v>
      </c>
      <c r="B1660" t="s">
        <v>23</v>
      </c>
      <c r="C1660" t="s">
        <v>271</v>
      </c>
      <c r="D1660">
        <v>119</v>
      </c>
      <c r="E1660">
        <v>1</v>
      </c>
      <c r="F1660">
        <v>3</v>
      </c>
      <c r="G1660" t="s">
        <v>143</v>
      </c>
      <c r="H1660" s="1">
        <v>6</v>
      </c>
      <c r="I1660" s="1">
        <v>68</v>
      </c>
      <c r="J1660" s="1">
        <v>71</v>
      </c>
      <c r="K1660" s="1">
        <f>J1660-I1660</f>
        <v>3</v>
      </c>
      <c r="L1660" s="1">
        <v>115</v>
      </c>
      <c r="M1660" s="1">
        <v>35</v>
      </c>
      <c r="N1660" s="1">
        <v>2.5</v>
      </c>
      <c r="O1660" s="1">
        <v>4.5</v>
      </c>
      <c r="P1660" s="1">
        <v>1</v>
      </c>
      <c r="Q1660" s="2">
        <v>4.2500000000000003E-2</v>
      </c>
      <c r="R1660" s="1">
        <v>1</v>
      </c>
      <c r="S1660" s="1">
        <f>R1660/P1660</f>
        <v>1</v>
      </c>
      <c r="T1660" s="1">
        <v>5</v>
      </c>
      <c r="U1660" s="1">
        <v>12.5</v>
      </c>
      <c r="V1660" s="1">
        <v>155.5555555555556</v>
      </c>
      <c r="W1660" s="1">
        <v>7</v>
      </c>
    </row>
    <row r="1661" spans="1:23" x14ac:dyDescent="0.2">
      <c r="A1661">
        <v>2020</v>
      </c>
      <c r="B1661" t="s">
        <v>23</v>
      </c>
      <c r="C1661" t="s">
        <v>271</v>
      </c>
      <c r="D1661">
        <v>119</v>
      </c>
      <c r="E1661">
        <v>2</v>
      </c>
      <c r="F1661">
        <v>15</v>
      </c>
      <c r="G1661" t="s">
        <v>143</v>
      </c>
      <c r="H1661">
        <v>15</v>
      </c>
      <c r="I1661">
        <v>50</v>
      </c>
      <c r="J1661">
        <v>53</v>
      </c>
      <c r="K1661">
        <v>3</v>
      </c>
      <c r="L1661">
        <v>145</v>
      </c>
      <c r="M1661">
        <v>73</v>
      </c>
      <c r="N1661">
        <v>2</v>
      </c>
      <c r="O1661">
        <v>2.5</v>
      </c>
      <c r="P1661">
        <v>12</v>
      </c>
      <c r="Q1661">
        <v>1</v>
      </c>
      <c r="R1661">
        <v>13</v>
      </c>
      <c r="S1661">
        <v>1.0833333333333333</v>
      </c>
      <c r="T1661">
        <v>2</v>
      </c>
      <c r="U1661">
        <v>8</v>
      </c>
      <c r="V1661">
        <v>3848.3660130718949</v>
      </c>
      <c r="W1661">
        <v>2</v>
      </c>
    </row>
    <row r="1662" spans="1:23" x14ac:dyDescent="0.2">
      <c r="A1662">
        <v>2020</v>
      </c>
      <c r="B1662" t="s">
        <v>23</v>
      </c>
      <c r="C1662" t="s">
        <v>271</v>
      </c>
      <c r="D1662">
        <v>120</v>
      </c>
      <c r="E1662">
        <v>1</v>
      </c>
      <c r="F1662">
        <v>14</v>
      </c>
      <c r="G1662" t="s">
        <v>144</v>
      </c>
      <c r="H1662" s="1">
        <v>1</v>
      </c>
      <c r="I1662" s="1">
        <v>61</v>
      </c>
      <c r="J1662" s="1">
        <v>66</v>
      </c>
      <c r="K1662" s="1">
        <f t="shared" ref="K1662:K1667" si="80">J1662-I1662</f>
        <v>5</v>
      </c>
      <c r="L1662" s="1">
        <v>142</v>
      </c>
      <c r="M1662" s="1">
        <v>55</v>
      </c>
      <c r="N1662" s="1">
        <v>2</v>
      </c>
      <c r="O1662" s="1">
        <v>3.5</v>
      </c>
      <c r="P1662" s="1">
        <v>1</v>
      </c>
      <c r="Q1662" s="2">
        <v>0.108</v>
      </c>
      <c r="R1662" s="1">
        <v>1</v>
      </c>
      <c r="S1662" s="1">
        <f t="shared" ref="S1662:S1667" si="81">R1662/P1662</f>
        <v>1</v>
      </c>
      <c r="T1662" s="1">
        <v>5</v>
      </c>
      <c r="U1662" s="1">
        <v>12.5</v>
      </c>
      <c r="V1662" s="1">
        <v>395.29411764705878</v>
      </c>
      <c r="W1662" s="1">
        <v>4</v>
      </c>
    </row>
    <row r="1663" spans="1:23" x14ac:dyDescent="0.2">
      <c r="A1663">
        <v>2020</v>
      </c>
      <c r="B1663" t="s">
        <v>23</v>
      </c>
      <c r="C1663" t="s">
        <v>271</v>
      </c>
      <c r="D1663">
        <v>120</v>
      </c>
      <c r="E1663">
        <v>2</v>
      </c>
      <c r="F1663">
        <v>8</v>
      </c>
      <c r="G1663" t="s">
        <v>144</v>
      </c>
      <c r="H1663" s="1">
        <v>13</v>
      </c>
      <c r="I1663" s="1">
        <v>66</v>
      </c>
      <c r="J1663" s="1">
        <v>68</v>
      </c>
      <c r="K1663" s="1">
        <f t="shared" si="80"/>
        <v>2</v>
      </c>
      <c r="L1663" s="1">
        <v>134</v>
      </c>
      <c r="M1663" s="1">
        <v>46</v>
      </c>
      <c r="N1663" s="1">
        <v>2</v>
      </c>
      <c r="O1663" s="1">
        <v>3.5</v>
      </c>
      <c r="P1663" s="1">
        <f>H1663</f>
        <v>13</v>
      </c>
      <c r="Q1663" s="2">
        <v>0.3</v>
      </c>
      <c r="R1663" s="1">
        <v>9</v>
      </c>
      <c r="S1663" s="1">
        <f t="shared" si="81"/>
        <v>0.69230769230769229</v>
      </c>
      <c r="T1663" s="1">
        <v>5</v>
      </c>
      <c r="U1663" s="1">
        <v>12.5</v>
      </c>
      <c r="V1663" s="1">
        <v>1098.0392156862745</v>
      </c>
      <c r="W1663" s="1">
        <v>4</v>
      </c>
    </row>
    <row r="1664" spans="1:23" x14ac:dyDescent="0.2">
      <c r="A1664">
        <v>2020</v>
      </c>
      <c r="B1664" t="s">
        <v>23</v>
      </c>
      <c r="C1664" t="s">
        <v>271</v>
      </c>
      <c r="D1664">
        <v>121</v>
      </c>
      <c r="E1664">
        <v>1</v>
      </c>
      <c r="F1664">
        <v>7</v>
      </c>
      <c r="G1664" t="s">
        <v>145</v>
      </c>
      <c r="H1664" s="1">
        <v>11</v>
      </c>
      <c r="I1664" s="1">
        <v>64</v>
      </c>
      <c r="J1664" s="1">
        <v>68</v>
      </c>
      <c r="K1664" s="1">
        <f t="shared" si="80"/>
        <v>4</v>
      </c>
      <c r="L1664" s="1">
        <v>175</v>
      </c>
      <c r="M1664" s="1">
        <v>87</v>
      </c>
      <c r="N1664" s="1">
        <v>2</v>
      </c>
      <c r="O1664" s="1">
        <v>3.5</v>
      </c>
      <c r="P1664" s="1">
        <f>H1664-1</f>
        <v>10</v>
      </c>
      <c r="Q1664" s="2">
        <v>8.2500000000000004E-2</v>
      </c>
      <c r="R1664" s="1">
        <v>9</v>
      </c>
      <c r="S1664" s="1">
        <f t="shared" si="81"/>
        <v>0.9</v>
      </c>
      <c r="T1664" s="1">
        <v>5</v>
      </c>
      <c r="U1664" s="1">
        <v>12.5</v>
      </c>
      <c r="V1664" s="1">
        <v>301.96078431372547</v>
      </c>
      <c r="W1664" s="1">
        <v>3</v>
      </c>
    </row>
    <row r="1665" spans="1:23" x14ac:dyDescent="0.2">
      <c r="A1665">
        <v>2020</v>
      </c>
      <c r="B1665" t="s">
        <v>23</v>
      </c>
      <c r="C1665" t="s">
        <v>271</v>
      </c>
      <c r="D1665">
        <v>121</v>
      </c>
      <c r="E1665">
        <v>2</v>
      </c>
      <c r="F1665">
        <v>5</v>
      </c>
      <c r="G1665" t="s">
        <v>145</v>
      </c>
      <c r="H1665" s="1">
        <v>11</v>
      </c>
      <c r="I1665" s="1">
        <v>67</v>
      </c>
      <c r="J1665" s="1">
        <v>72</v>
      </c>
      <c r="K1665" s="1">
        <f t="shared" si="80"/>
        <v>5</v>
      </c>
      <c r="L1665" s="1">
        <v>175</v>
      </c>
      <c r="M1665" s="1">
        <v>73</v>
      </c>
      <c r="N1665" s="1">
        <v>2</v>
      </c>
      <c r="O1665" s="1">
        <v>3.5</v>
      </c>
      <c r="P1665" s="1">
        <v>10</v>
      </c>
      <c r="Q1665" s="2">
        <v>0.36980000000000002</v>
      </c>
      <c r="R1665" s="1">
        <v>8</v>
      </c>
      <c r="S1665" s="1">
        <f t="shared" si="81"/>
        <v>0.8</v>
      </c>
      <c r="T1665" s="1">
        <v>5</v>
      </c>
      <c r="U1665" s="1">
        <v>12.5</v>
      </c>
      <c r="V1665" s="1">
        <v>1353.5163398692812</v>
      </c>
      <c r="W1665" s="1">
        <v>2</v>
      </c>
    </row>
    <row r="1666" spans="1:23" x14ac:dyDescent="0.2">
      <c r="A1666">
        <v>2020</v>
      </c>
      <c r="B1666" t="s">
        <v>23</v>
      </c>
      <c r="C1666" t="s">
        <v>271</v>
      </c>
      <c r="D1666">
        <v>122</v>
      </c>
      <c r="E1666">
        <v>1</v>
      </c>
      <c r="F1666">
        <v>10</v>
      </c>
      <c r="G1666" t="s">
        <v>146</v>
      </c>
      <c r="H1666" s="1">
        <v>2</v>
      </c>
      <c r="I1666" s="1">
        <v>66</v>
      </c>
      <c r="J1666" s="1">
        <v>71</v>
      </c>
      <c r="K1666" s="1">
        <f t="shared" si="80"/>
        <v>5</v>
      </c>
      <c r="L1666" s="1">
        <v>125</v>
      </c>
      <c r="M1666" s="1">
        <v>56</v>
      </c>
      <c r="N1666" s="1">
        <v>1.5</v>
      </c>
      <c r="O1666" s="1">
        <v>3</v>
      </c>
      <c r="P1666" s="1">
        <v>2</v>
      </c>
      <c r="Q1666" s="2">
        <v>0.17499999999999999</v>
      </c>
      <c r="R1666" s="1">
        <v>3</v>
      </c>
      <c r="S1666" s="1">
        <f t="shared" si="81"/>
        <v>1.5</v>
      </c>
      <c r="T1666" s="1">
        <v>3.5</v>
      </c>
      <c r="U1666" s="1">
        <v>12.5</v>
      </c>
      <c r="V1666" s="1">
        <v>640.52287581699341</v>
      </c>
      <c r="W1666" s="1">
        <v>3</v>
      </c>
    </row>
    <row r="1667" spans="1:23" x14ac:dyDescent="0.2">
      <c r="A1667">
        <v>2020</v>
      </c>
      <c r="B1667" t="s">
        <v>23</v>
      </c>
      <c r="C1667" t="s">
        <v>271</v>
      </c>
      <c r="D1667">
        <v>122</v>
      </c>
      <c r="E1667">
        <v>2</v>
      </c>
      <c r="F1667">
        <v>15</v>
      </c>
      <c r="G1667" t="s">
        <v>146</v>
      </c>
      <c r="H1667" s="1">
        <v>10</v>
      </c>
      <c r="I1667" s="1">
        <v>66</v>
      </c>
      <c r="J1667" s="1">
        <v>70</v>
      </c>
      <c r="K1667" s="1">
        <f t="shared" si="80"/>
        <v>4</v>
      </c>
      <c r="L1667" s="1">
        <v>165</v>
      </c>
      <c r="M1667" s="1">
        <v>77</v>
      </c>
      <c r="N1667" s="1">
        <v>2</v>
      </c>
      <c r="O1667" s="1">
        <v>3.5</v>
      </c>
      <c r="P1667" s="1">
        <f>H1667</f>
        <v>10</v>
      </c>
      <c r="Q1667" s="2">
        <v>0.37125000000000002</v>
      </c>
      <c r="R1667" s="1">
        <v>7</v>
      </c>
      <c r="S1667" s="1">
        <f t="shared" si="81"/>
        <v>0.7</v>
      </c>
      <c r="T1667" s="1">
        <v>5</v>
      </c>
      <c r="U1667" s="1">
        <v>12.5</v>
      </c>
      <c r="V1667" s="1">
        <v>1358.8235294117649</v>
      </c>
      <c r="W1667" s="1">
        <v>6</v>
      </c>
    </row>
    <row r="1668" spans="1:23" x14ac:dyDescent="0.2">
      <c r="A1668">
        <v>2020</v>
      </c>
      <c r="B1668" t="s">
        <v>23</v>
      </c>
      <c r="C1668" t="s">
        <v>271</v>
      </c>
      <c r="D1668">
        <v>123</v>
      </c>
      <c r="E1668">
        <v>1</v>
      </c>
      <c r="F1668">
        <v>6</v>
      </c>
      <c r="G1668" t="s">
        <v>147</v>
      </c>
      <c r="H1668">
        <v>5</v>
      </c>
      <c r="I1668">
        <v>55</v>
      </c>
      <c r="J1668">
        <v>57</v>
      </c>
      <c r="K1668">
        <v>2</v>
      </c>
      <c r="L1668">
        <v>146</v>
      </c>
      <c r="M1668">
        <v>67</v>
      </c>
      <c r="N1668">
        <v>2</v>
      </c>
      <c r="O1668">
        <v>2</v>
      </c>
      <c r="P1668">
        <v>5</v>
      </c>
      <c r="Q1668">
        <v>0.2</v>
      </c>
      <c r="R1668">
        <v>5</v>
      </c>
      <c r="S1668">
        <v>1</v>
      </c>
      <c r="T1668">
        <v>3</v>
      </c>
      <c r="U1668">
        <v>12.5</v>
      </c>
      <c r="V1668">
        <v>732.02614379084969</v>
      </c>
      <c r="W1668">
        <v>1</v>
      </c>
    </row>
    <row r="1669" spans="1:23" x14ac:dyDescent="0.2">
      <c r="A1669">
        <v>2020</v>
      </c>
      <c r="B1669" t="s">
        <v>23</v>
      </c>
      <c r="C1669" t="s">
        <v>271</v>
      </c>
      <c r="D1669">
        <v>123</v>
      </c>
      <c r="E1669">
        <v>2</v>
      </c>
      <c r="F1669">
        <v>3</v>
      </c>
      <c r="G1669" t="s">
        <v>147</v>
      </c>
      <c r="H1669" s="1">
        <v>4</v>
      </c>
      <c r="I1669" s="1">
        <v>68</v>
      </c>
      <c r="J1669" s="1">
        <v>71</v>
      </c>
      <c r="K1669" s="1">
        <f>J1669-I1669</f>
        <v>3</v>
      </c>
      <c r="L1669" s="1">
        <v>122</v>
      </c>
      <c r="M1669" s="1">
        <v>42</v>
      </c>
      <c r="N1669" s="1">
        <v>4</v>
      </c>
      <c r="O1669" s="1">
        <v>5</v>
      </c>
      <c r="P1669" s="1">
        <v>1</v>
      </c>
      <c r="Q1669" s="2">
        <v>5.3999999999999999E-2</v>
      </c>
      <c r="R1669" s="1">
        <v>1</v>
      </c>
      <c r="S1669" s="1">
        <f>R1669/P1669</f>
        <v>1</v>
      </c>
      <c r="T1669" s="1">
        <v>5</v>
      </c>
      <c r="U1669" s="1">
        <v>12.5</v>
      </c>
      <c r="V1669" s="1">
        <v>197.64705882352939</v>
      </c>
      <c r="W1669" s="1">
        <v>6</v>
      </c>
    </row>
    <row r="1670" spans="1:23" x14ac:dyDescent="0.2">
      <c r="A1670">
        <v>2020</v>
      </c>
      <c r="B1670" t="s">
        <v>23</v>
      </c>
      <c r="C1670" t="s">
        <v>271</v>
      </c>
      <c r="D1670">
        <v>124</v>
      </c>
      <c r="E1670">
        <v>1</v>
      </c>
      <c r="F1670">
        <v>12</v>
      </c>
      <c r="G1670" t="s">
        <v>148</v>
      </c>
      <c r="H1670" s="1">
        <v>10</v>
      </c>
      <c r="I1670" s="1">
        <v>58</v>
      </c>
      <c r="J1670" s="1">
        <v>61</v>
      </c>
      <c r="K1670" s="1">
        <f>J1670-I1670</f>
        <v>3</v>
      </c>
      <c r="L1670" s="1">
        <v>100</v>
      </c>
      <c r="M1670" s="1">
        <v>36</v>
      </c>
      <c r="N1670" s="1">
        <v>2</v>
      </c>
      <c r="O1670" s="1">
        <v>4.5</v>
      </c>
      <c r="P1670" s="1">
        <v>5</v>
      </c>
      <c r="Q1670" s="2">
        <v>6.8250000000000005E-2</v>
      </c>
      <c r="R1670" s="1">
        <v>2</v>
      </c>
      <c r="S1670" s="1">
        <f>R1670/P1670</f>
        <v>0.4</v>
      </c>
      <c r="T1670" s="1">
        <v>4</v>
      </c>
      <c r="U1670" s="1">
        <v>12.5</v>
      </c>
      <c r="V1670" s="1">
        <v>249.80392156862749</v>
      </c>
      <c r="W1670" s="1">
        <v>4</v>
      </c>
    </row>
    <row r="1671" spans="1:23" x14ac:dyDescent="0.2">
      <c r="A1671">
        <v>2020</v>
      </c>
      <c r="B1671" t="s">
        <v>23</v>
      </c>
      <c r="C1671" t="s">
        <v>271</v>
      </c>
      <c r="D1671">
        <v>124</v>
      </c>
      <c r="E1671">
        <v>2</v>
      </c>
      <c r="F1671">
        <v>4</v>
      </c>
      <c r="G1671" t="s">
        <v>148</v>
      </c>
      <c r="H1671" s="1">
        <v>12</v>
      </c>
      <c r="I1671" s="1">
        <v>55</v>
      </c>
      <c r="J1671" s="1">
        <v>58</v>
      </c>
      <c r="K1671" s="1">
        <f>J1671-I1671</f>
        <v>3</v>
      </c>
      <c r="L1671" s="1">
        <v>88</v>
      </c>
      <c r="M1671" s="1">
        <v>50</v>
      </c>
      <c r="N1671" s="1">
        <v>2</v>
      </c>
      <c r="O1671" s="1">
        <v>3</v>
      </c>
      <c r="P1671" s="1">
        <v>12</v>
      </c>
      <c r="Q1671" s="2">
        <v>0.66</v>
      </c>
      <c r="R1671" s="1">
        <v>13</v>
      </c>
      <c r="S1671" s="1">
        <f>R1671/P1671</f>
        <v>1.0833333333333333</v>
      </c>
      <c r="T1671" s="1">
        <v>2</v>
      </c>
      <c r="U1671" s="1">
        <v>12.5</v>
      </c>
      <c r="V1671" s="1">
        <v>2415.6862745098038</v>
      </c>
      <c r="W1671" s="1">
        <v>3</v>
      </c>
    </row>
    <row r="1672" spans="1:23" x14ac:dyDescent="0.2">
      <c r="A1672">
        <v>2020</v>
      </c>
      <c r="B1672" t="s">
        <v>23</v>
      </c>
      <c r="C1672" t="s">
        <v>271</v>
      </c>
      <c r="D1672">
        <v>125</v>
      </c>
      <c r="E1672">
        <v>1</v>
      </c>
      <c r="F1672">
        <v>7</v>
      </c>
      <c r="G1672" t="s">
        <v>149</v>
      </c>
      <c r="H1672" s="1">
        <v>13</v>
      </c>
      <c r="I1672" s="1">
        <v>63</v>
      </c>
      <c r="J1672" s="1">
        <v>66</v>
      </c>
      <c r="K1672" s="1">
        <f>J1672-I1672</f>
        <v>3</v>
      </c>
      <c r="L1672" s="1">
        <v>145</v>
      </c>
      <c r="M1672" s="1">
        <v>56</v>
      </c>
      <c r="N1672" s="1">
        <v>3</v>
      </c>
      <c r="O1672" s="1">
        <v>5</v>
      </c>
      <c r="P1672" s="1">
        <v>8</v>
      </c>
      <c r="Q1672" s="2">
        <v>6.6000000000000003E-2</v>
      </c>
      <c r="R1672" s="1">
        <v>5</v>
      </c>
      <c r="S1672" s="1">
        <f>R1672/P1672</f>
        <v>0.625</v>
      </c>
      <c r="T1672" s="1">
        <v>5</v>
      </c>
      <c r="U1672" s="1">
        <v>12.5</v>
      </c>
      <c r="V1672" s="1">
        <v>241.56862745098039</v>
      </c>
      <c r="W1672" s="1">
        <v>6</v>
      </c>
    </row>
    <row r="1673" spans="1:23" x14ac:dyDescent="0.2">
      <c r="A1673">
        <v>2020</v>
      </c>
      <c r="B1673" t="s">
        <v>23</v>
      </c>
      <c r="C1673" t="s">
        <v>271</v>
      </c>
      <c r="D1673">
        <v>125</v>
      </c>
      <c r="E1673">
        <v>2</v>
      </c>
      <c r="F1673">
        <v>6</v>
      </c>
      <c r="G1673" t="s">
        <v>149</v>
      </c>
      <c r="H1673">
        <v>10</v>
      </c>
      <c r="I1673">
        <v>65</v>
      </c>
      <c r="J1673">
        <v>68</v>
      </c>
      <c r="K1673">
        <v>3</v>
      </c>
      <c r="L1673">
        <v>145</v>
      </c>
      <c r="M1673">
        <v>85</v>
      </c>
      <c r="N1673">
        <v>1.5</v>
      </c>
      <c r="O1673">
        <v>2</v>
      </c>
      <c r="P1673">
        <v>10</v>
      </c>
      <c r="Q1673">
        <v>1.2</v>
      </c>
      <c r="R1673">
        <v>10</v>
      </c>
      <c r="S1673">
        <v>1</v>
      </c>
      <c r="T1673">
        <v>3</v>
      </c>
      <c r="U1673">
        <v>12.5</v>
      </c>
      <c r="V1673">
        <v>4392.1568627450979</v>
      </c>
      <c r="W1673">
        <v>1</v>
      </c>
    </row>
    <row r="1674" spans="1:23" x14ac:dyDescent="0.2">
      <c r="A1674">
        <v>2020</v>
      </c>
      <c r="B1674" t="s">
        <v>23</v>
      </c>
      <c r="C1674" t="s">
        <v>271</v>
      </c>
      <c r="D1674">
        <v>126</v>
      </c>
      <c r="E1674">
        <v>1</v>
      </c>
      <c r="F1674">
        <v>15</v>
      </c>
      <c r="G1674" t="s">
        <v>150</v>
      </c>
      <c r="H1674" s="1">
        <v>9</v>
      </c>
      <c r="I1674" s="1">
        <v>64</v>
      </c>
      <c r="J1674" s="1">
        <v>67</v>
      </c>
      <c r="K1674" s="1">
        <f>J1674-I1674</f>
        <v>3</v>
      </c>
      <c r="L1674" s="1">
        <v>93</v>
      </c>
      <c r="M1674" s="1">
        <v>10</v>
      </c>
      <c r="N1674" s="1">
        <v>3</v>
      </c>
      <c r="O1674" s="1">
        <v>4</v>
      </c>
      <c r="P1674" s="1">
        <v>5</v>
      </c>
      <c r="Q1674" s="2">
        <v>4.8599999999999997E-2</v>
      </c>
      <c r="R1674" s="1">
        <v>1</v>
      </c>
      <c r="S1674" s="1">
        <f>R1674/P1674</f>
        <v>0.2</v>
      </c>
      <c r="T1674" s="1">
        <v>5</v>
      </c>
      <c r="U1674" s="1">
        <v>12.5</v>
      </c>
      <c r="V1674" s="1">
        <v>177.88235294117644</v>
      </c>
      <c r="W1674" s="1">
        <v>6</v>
      </c>
    </row>
    <row r="1675" spans="1:23" x14ac:dyDescent="0.2">
      <c r="A1675">
        <v>2020</v>
      </c>
      <c r="B1675" t="s">
        <v>23</v>
      </c>
      <c r="C1675" t="s">
        <v>271</v>
      </c>
      <c r="D1675">
        <v>126</v>
      </c>
      <c r="E1675">
        <v>2</v>
      </c>
      <c r="F1675">
        <v>10</v>
      </c>
      <c r="G1675" t="s">
        <v>150</v>
      </c>
      <c r="H1675" s="1">
        <v>4</v>
      </c>
      <c r="I1675" s="1">
        <v>65</v>
      </c>
      <c r="J1675" s="1">
        <v>68</v>
      </c>
      <c r="K1675" s="1">
        <f>J1675-I1675</f>
        <v>3</v>
      </c>
      <c r="L1675" s="1">
        <v>80</v>
      </c>
      <c r="M1675" s="1">
        <v>32</v>
      </c>
      <c r="N1675" s="1">
        <v>2</v>
      </c>
      <c r="O1675" s="1">
        <v>4</v>
      </c>
      <c r="P1675" s="1">
        <v>4</v>
      </c>
      <c r="Q1675" s="2">
        <v>0.28999999999999998</v>
      </c>
      <c r="R1675" s="1">
        <v>6</v>
      </c>
      <c r="S1675" s="1">
        <f>R1675/P1675</f>
        <v>1.5</v>
      </c>
      <c r="T1675" s="1">
        <v>2.5</v>
      </c>
      <c r="U1675" s="1">
        <v>12.5</v>
      </c>
      <c r="V1675" s="1">
        <v>1061.437908496732</v>
      </c>
      <c r="W1675" s="1">
        <v>2</v>
      </c>
    </row>
    <row r="1676" spans="1:23" x14ac:dyDescent="0.2">
      <c r="A1676">
        <v>2020</v>
      </c>
      <c r="B1676" t="s">
        <v>23</v>
      </c>
      <c r="C1676" t="s">
        <v>271</v>
      </c>
      <c r="D1676">
        <v>127</v>
      </c>
      <c r="E1676">
        <v>1</v>
      </c>
      <c r="F1676">
        <v>10</v>
      </c>
      <c r="G1676" t="s">
        <v>151</v>
      </c>
      <c r="H1676" s="1">
        <v>7</v>
      </c>
      <c r="I1676" s="1">
        <v>66</v>
      </c>
      <c r="J1676" s="1">
        <v>70</v>
      </c>
      <c r="K1676" s="1">
        <f>J1676-I1676</f>
        <v>4</v>
      </c>
      <c r="L1676" s="1">
        <v>150</v>
      </c>
      <c r="M1676" s="1">
        <v>78</v>
      </c>
      <c r="N1676" s="1">
        <v>2</v>
      </c>
      <c r="O1676" s="1">
        <v>3.5</v>
      </c>
      <c r="P1676" s="1">
        <v>7</v>
      </c>
      <c r="Q1676" s="2">
        <v>0.3</v>
      </c>
      <c r="R1676" s="1">
        <v>6</v>
      </c>
      <c r="S1676" s="1">
        <f>R1676/P1676</f>
        <v>0.8571428571428571</v>
      </c>
      <c r="T1676" s="1">
        <v>4</v>
      </c>
      <c r="U1676" s="1">
        <v>12.5</v>
      </c>
      <c r="V1676" s="1">
        <v>1098.0392156862745</v>
      </c>
      <c r="W1676" s="1">
        <v>4</v>
      </c>
    </row>
    <row r="1677" spans="1:23" x14ac:dyDescent="0.2">
      <c r="A1677">
        <v>2020</v>
      </c>
      <c r="B1677" t="s">
        <v>23</v>
      </c>
      <c r="C1677" t="s">
        <v>271</v>
      </c>
      <c r="D1677">
        <v>127</v>
      </c>
      <c r="E1677">
        <v>2</v>
      </c>
      <c r="F1677">
        <v>12</v>
      </c>
      <c r="G1677" t="s">
        <v>151</v>
      </c>
      <c r="H1677" s="1">
        <v>6</v>
      </c>
      <c r="I1677" s="1">
        <v>66</v>
      </c>
      <c r="J1677" s="1">
        <v>68</v>
      </c>
      <c r="K1677" s="1">
        <f>J1677-I1677</f>
        <v>2</v>
      </c>
      <c r="L1677" s="1">
        <v>206</v>
      </c>
      <c r="M1677" s="1">
        <v>101</v>
      </c>
      <c r="N1677" s="1">
        <v>2.5</v>
      </c>
      <c r="O1677" s="1">
        <v>3.5</v>
      </c>
      <c r="P1677" s="1">
        <v>4</v>
      </c>
      <c r="Q1677" s="2">
        <v>0.23760000000000001</v>
      </c>
      <c r="R1677" s="1">
        <v>4</v>
      </c>
      <c r="S1677" s="1">
        <f>R1677/P1677</f>
        <v>1</v>
      </c>
      <c r="T1677" s="1">
        <v>2.5</v>
      </c>
      <c r="U1677" s="1">
        <v>12.5</v>
      </c>
      <c r="V1677" s="1">
        <v>869.64705882352939</v>
      </c>
      <c r="W1677" s="1">
        <v>3</v>
      </c>
    </row>
    <row r="1678" spans="1:23" x14ac:dyDescent="0.2">
      <c r="A1678">
        <v>2020</v>
      </c>
      <c r="B1678" t="s">
        <v>23</v>
      </c>
      <c r="C1678" t="s">
        <v>271</v>
      </c>
      <c r="D1678">
        <v>128</v>
      </c>
      <c r="E1678">
        <v>1</v>
      </c>
      <c r="F1678">
        <v>10</v>
      </c>
      <c r="G1678" t="s">
        <v>152</v>
      </c>
      <c r="H1678">
        <v>11</v>
      </c>
      <c r="I1678">
        <v>50</v>
      </c>
      <c r="J1678">
        <v>52</v>
      </c>
      <c r="K1678">
        <v>2</v>
      </c>
      <c r="L1678">
        <v>181</v>
      </c>
      <c r="M1678">
        <v>65</v>
      </c>
      <c r="N1678">
        <v>2</v>
      </c>
      <c r="O1678">
        <v>2.5</v>
      </c>
      <c r="P1678">
        <v>8</v>
      </c>
      <c r="Q1678">
        <v>0.6</v>
      </c>
      <c r="R1678">
        <v>8</v>
      </c>
      <c r="S1678">
        <v>1</v>
      </c>
      <c r="T1678">
        <v>2</v>
      </c>
      <c r="U1678">
        <v>11.2</v>
      </c>
      <c r="V1678">
        <v>2228.705882352941</v>
      </c>
      <c r="W1678">
        <v>2</v>
      </c>
    </row>
    <row r="1679" spans="1:23" x14ac:dyDescent="0.2">
      <c r="A1679">
        <v>2020</v>
      </c>
      <c r="B1679" t="s">
        <v>23</v>
      </c>
      <c r="C1679" t="s">
        <v>271</v>
      </c>
      <c r="D1679">
        <v>128</v>
      </c>
      <c r="E1679">
        <v>2</v>
      </c>
      <c r="F1679">
        <v>13</v>
      </c>
      <c r="G1679" t="s">
        <v>152</v>
      </c>
      <c r="H1679" s="1">
        <v>9</v>
      </c>
      <c r="I1679" s="1">
        <v>67</v>
      </c>
      <c r="J1679" s="1">
        <v>72</v>
      </c>
      <c r="K1679" s="1">
        <f>J1679-I1679</f>
        <v>5</v>
      </c>
      <c r="L1679" s="1">
        <v>132</v>
      </c>
      <c r="M1679" s="1">
        <v>45</v>
      </c>
      <c r="N1679" s="1">
        <v>2</v>
      </c>
      <c r="O1679" s="1">
        <v>3.5</v>
      </c>
      <c r="P1679" s="1">
        <v>7</v>
      </c>
      <c r="Q1679" s="2">
        <v>4.4999999999999998E-2</v>
      </c>
      <c r="R1679" s="1">
        <v>2</v>
      </c>
      <c r="S1679" s="1">
        <f>R1679/P1679</f>
        <v>0.2857142857142857</v>
      </c>
      <c r="T1679" s="1">
        <v>5</v>
      </c>
      <c r="U1679" s="1">
        <v>12.5</v>
      </c>
      <c r="V1679" s="1">
        <v>164.70588235294116</v>
      </c>
      <c r="W1679" s="1">
        <v>6</v>
      </c>
    </row>
    <row r="1680" spans="1:23" x14ac:dyDescent="0.2">
      <c r="A1680">
        <v>2020</v>
      </c>
      <c r="B1680" t="s">
        <v>23</v>
      </c>
      <c r="C1680" t="s">
        <v>271</v>
      </c>
      <c r="D1680">
        <v>129</v>
      </c>
      <c r="E1680">
        <v>1</v>
      </c>
      <c r="F1680">
        <v>5</v>
      </c>
      <c r="G1680" t="s">
        <v>153</v>
      </c>
      <c r="H1680" s="1">
        <v>8</v>
      </c>
      <c r="I1680" s="1">
        <v>65</v>
      </c>
      <c r="J1680" s="1">
        <v>68</v>
      </c>
      <c r="K1680" s="1">
        <f>J1680-I1680</f>
        <v>3</v>
      </c>
      <c r="L1680" s="1">
        <v>120</v>
      </c>
      <c r="M1680" s="1">
        <v>40</v>
      </c>
      <c r="N1680" s="1">
        <v>3</v>
      </c>
      <c r="O1680" s="1">
        <v>4</v>
      </c>
      <c r="P1680" s="1">
        <v>4</v>
      </c>
      <c r="Q1680" s="2">
        <v>0.24299999999999999</v>
      </c>
      <c r="R1680" s="1">
        <v>4</v>
      </c>
      <c r="S1680" s="1">
        <f>R1680/P1680</f>
        <v>1</v>
      </c>
      <c r="T1680" s="1">
        <v>4</v>
      </c>
      <c r="U1680" s="1">
        <v>12.5</v>
      </c>
      <c r="V1680" s="1">
        <v>889.41176470588243</v>
      </c>
      <c r="W1680" s="1">
        <v>3</v>
      </c>
    </row>
    <row r="1681" spans="1:23" x14ac:dyDescent="0.2">
      <c r="A1681">
        <v>2020</v>
      </c>
      <c r="B1681" t="s">
        <v>23</v>
      </c>
      <c r="C1681" t="s">
        <v>271</v>
      </c>
      <c r="D1681">
        <v>129</v>
      </c>
      <c r="E1681">
        <v>2</v>
      </c>
      <c r="F1681">
        <v>8</v>
      </c>
      <c r="G1681" t="s">
        <v>153</v>
      </c>
      <c r="H1681" s="1">
        <v>15</v>
      </c>
      <c r="I1681" s="1">
        <v>62</v>
      </c>
      <c r="J1681" s="1">
        <v>66</v>
      </c>
      <c r="K1681" s="1">
        <f>J1681-I1681</f>
        <v>4</v>
      </c>
      <c r="L1681" s="1">
        <v>107</v>
      </c>
      <c r="M1681" s="1">
        <v>66</v>
      </c>
      <c r="N1681" s="1">
        <v>2</v>
      </c>
      <c r="O1681" s="1">
        <v>3.5</v>
      </c>
      <c r="P1681" s="1">
        <f>H1681</f>
        <v>15</v>
      </c>
      <c r="Q1681" s="2">
        <v>0.23489999999999997</v>
      </c>
      <c r="R1681" s="1">
        <v>11</v>
      </c>
      <c r="S1681" s="1">
        <f>R1681/P1681</f>
        <v>0.73333333333333328</v>
      </c>
      <c r="T1681" s="1">
        <v>5</v>
      </c>
      <c r="U1681" s="1">
        <v>12.5</v>
      </c>
      <c r="V1681" s="1">
        <v>859.76470588235293</v>
      </c>
      <c r="W1681" s="1">
        <v>5</v>
      </c>
    </row>
    <row r="1682" spans="1:23" x14ac:dyDescent="0.2">
      <c r="A1682">
        <v>2020</v>
      </c>
      <c r="B1682" t="s">
        <v>23</v>
      </c>
      <c r="C1682" t="s">
        <v>271</v>
      </c>
      <c r="D1682">
        <v>130</v>
      </c>
      <c r="E1682">
        <v>1</v>
      </c>
      <c r="F1682">
        <v>12</v>
      </c>
      <c r="G1682" t="s">
        <v>154</v>
      </c>
      <c r="H1682">
        <v>6</v>
      </c>
      <c r="I1682">
        <v>66</v>
      </c>
      <c r="J1682">
        <v>69</v>
      </c>
      <c r="K1682">
        <v>3</v>
      </c>
      <c r="L1682">
        <v>140</v>
      </c>
      <c r="M1682">
        <v>70</v>
      </c>
      <c r="N1682">
        <v>1.5</v>
      </c>
      <c r="O1682">
        <v>2</v>
      </c>
      <c r="P1682">
        <v>6</v>
      </c>
      <c r="Q1682">
        <v>0.8</v>
      </c>
      <c r="R1682">
        <v>7</v>
      </c>
      <c r="S1682">
        <v>1.1666666666666667</v>
      </c>
      <c r="T1682">
        <v>2.5</v>
      </c>
      <c r="U1682">
        <v>12.5</v>
      </c>
      <c r="V1682">
        <v>2928.1045751633987</v>
      </c>
      <c r="W1682">
        <v>1</v>
      </c>
    </row>
    <row r="1683" spans="1:23" x14ac:dyDescent="0.2">
      <c r="A1683">
        <v>2020</v>
      </c>
      <c r="B1683" t="s">
        <v>23</v>
      </c>
      <c r="C1683" t="s">
        <v>271</v>
      </c>
      <c r="D1683">
        <v>130</v>
      </c>
      <c r="E1683">
        <v>2</v>
      </c>
      <c r="F1683">
        <v>5</v>
      </c>
      <c r="G1683" t="s">
        <v>154</v>
      </c>
      <c r="H1683" s="1">
        <v>6</v>
      </c>
      <c r="I1683" s="1">
        <v>57</v>
      </c>
      <c r="J1683" s="1">
        <v>61</v>
      </c>
      <c r="K1683" s="1">
        <f>J1683-I1683</f>
        <v>4</v>
      </c>
      <c r="L1683" s="1">
        <v>153</v>
      </c>
      <c r="M1683" s="1">
        <v>68</v>
      </c>
      <c r="N1683" s="1">
        <v>2</v>
      </c>
      <c r="O1683" s="1">
        <v>2.5</v>
      </c>
      <c r="P1683" s="1">
        <v>6</v>
      </c>
      <c r="Q1683" s="2">
        <v>0.20243999999999998</v>
      </c>
      <c r="R1683" s="1">
        <v>2</v>
      </c>
      <c r="S1683" s="1">
        <f>R1683/P1683</f>
        <v>0.33333333333333331</v>
      </c>
      <c r="T1683" s="1">
        <v>5</v>
      </c>
      <c r="U1683" s="1">
        <v>8.6</v>
      </c>
      <c r="V1683" s="1">
        <v>773.98236862745091</v>
      </c>
      <c r="W1683" s="1">
        <v>5</v>
      </c>
    </row>
    <row r="1684" spans="1:23" x14ac:dyDescent="0.2">
      <c r="A1684">
        <v>2020</v>
      </c>
      <c r="B1684" t="s">
        <v>23</v>
      </c>
      <c r="C1684" t="s">
        <v>271</v>
      </c>
      <c r="D1684">
        <v>131</v>
      </c>
      <c r="E1684">
        <v>1</v>
      </c>
      <c r="F1684">
        <v>4</v>
      </c>
      <c r="G1684" t="s">
        <v>155</v>
      </c>
      <c r="H1684">
        <v>14</v>
      </c>
      <c r="I1684">
        <v>52</v>
      </c>
      <c r="J1684">
        <v>55</v>
      </c>
      <c r="K1684">
        <v>3</v>
      </c>
      <c r="L1684">
        <v>140</v>
      </c>
      <c r="M1684">
        <v>61</v>
      </c>
      <c r="N1684">
        <v>2</v>
      </c>
      <c r="O1684">
        <v>2</v>
      </c>
      <c r="P1684">
        <v>8</v>
      </c>
      <c r="Q1684">
        <v>0.4</v>
      </c>
      <c r="R1684">
        <v>7</v>
      </c>
      <c r="S1684">
        <v>0.875</v>
      </c>
      <c r="T1684">
        <v>2</v>
      </c>
      <c r="U1684">
        <v>17.600000000000001</v>
      </c>
      <c r="V1684">
        <v>1378.7189542483659</v>
      </c>
      <c r="W1684">
        <v>2</v>
      </c>
    </row>
    <row r="1685" spans="1:23" x14ac:dyDescent="0.2">
      <c r="A1685">
        <v>2020</v>
      </c>
      <c r="B1685" t="s">
        <v>23</v>
      </c>
      <c r="C1685" t="s">
        <v>271</v>
      </c>
      <c r="D1685">
        <v>131</v>
      </c>
      <c r="E1685">
        <v>2</v>
      </c>
      <c r="F1685">
        <v>7</v>
      </c>
      <c r="G1685" t="s">
        <v>155</v>
      </c>
      <c r="H1685">
        <v>8</v>
      </c>
      <c r="I1685">
        <v>56</v>
      </c>
      <c r="J1685">
        <v>57</v>
      </c>
      <c r="K1685">
        <v>1</v>
      </c>
      <c r="L1685">
        <v>164</v>
      </c>
      <c r="M1685">
        <v>60</v>
      </c>
      <c r="N1685">
        <v>3</v>
      </c>
      <c r="O1685">
        <v>3</v>
      </c>
      <c r="P1685">
        <v>8</v>
      </c>
      <c r="Q1685">
        <v>1.4119999999999999</v>
      </c>
      <c r="R1685">
        <v>8</v>
      </c>
      <c r="S1685">
        <v>1</v>
      </c>
      <c r="T1685">
        <v>3</v>
      </c>
      <c r="U1685">
        <v>12.5</v>
      </c>
      <c r="V1685">
        <v>5168.1045751633983</v>
      </c>
      <c r="W1685">
        <v>2</v>
      </c>
    </row>
    <row r="1686" spans="1:23" x14ac:dyDescent="0.2">
      <c r="A1686">
        <v>2020</v>
      </c>
      <c r="B1686" t="s">
        <v>23</v>
      </c>
      <c r="C1686" t="s">
        <v>271</v>
      </c>
      <c r="D1686">
        <v>132</v>
      </c>
      <c r="E1686">
        <v>1</v>
      </c>
      <c r="F1686">
        <v>1</v>
      </c>
      <c r="G1686" t="s">
        <v>156</v>
      </c>
      <c r="H1686">
        <v>16</v>
      </c>
      <c r="I1686">
        <v>57</v>
      </c>
      <c r="J1686">
        <v>59</v>
      </c>
      <c r="K1686">
        <v>2</v>
      </c>
      <c r="L1686">
        <v>164</v>
      </c>
      <c r="M1686">
        <v>70</v>
      </c>
      <c r="N1686">
        <v>2</v>
      </c>
      <c r="O1686">
        <v>2</v>
      </c>
      <c r="P1686">
        <v>10</v>
      </c>
      <c r="Q1686">
        <v>0.5</v>
      </c>
      <c r="R1686">
        <v>10</v>
      </c>
      <c r="S1686">
        <v>1</v>
      </c>
      <c r="T1686">
        <v>2</v>
      </c>
      <c r="U1686">
        <v>9.1</v>
      </c>
      <c r="V1686">
        <v>1901.1764705882354</v>
      </c>
      <c r="W1686">
        <v>2</v>
      </c>
    </row>
    <row r="1687" spans="1:23" x14ac:dyDescent="0.2">
      <c r="A1687">
        <v>2020</v>
      </c>
      <c r="B1687" t="s">
        <v>23</v>
      </c>
      <c r="C1687" t="s">
        <v>271</v>
      </c>
      <c r="D1687">
        <v>132</v>
      </c>
      <c r="E1687">
        <v>2</v>
      </c>
      <c r="F1687">
        <v>11</v>
      </c>
      <c r="G1687" t="s">
        <v>156</v>
      </c>
      <c r="H1687" s="1">
        <v>5</v>
      </c>
      <c r="I1687" s="1">
        <v>70</v>
      </c>
      <c r="J1687" s="1">
        <v>74</v>
      </c>
      <c r="K1687" s="1">
        <f>J1687-I1687</f>
        <v>4</v>
      </c>
      <c r="L1687" s="1">
        <v>173</v>
      </c>
      <c r="M1687" s="1">
        <v>88</v>
      </c>
      <c r="N1687" s="1">
        <v>2</v>
      </c>
      <c r="O1687" s="1">
        <v>3</v>
      </c>
      <c r="P1687" s="1">
        <v>4</v>
      </c>
      <c r="Q1687" s="2">
        <v>0.86399999999999999</v>
      </c>
      <c r="R1687" s="1">
        <v>6</v>
      </c>
      <c r="S1687" s="1">
        <f>R1687/P1687</f>
        <v>1.5</v>
      </c>
      <c r="T1687" s="1">
        <v>5</v>
      </c>
      <c r="U1687" s="1">
        <v>12.5</v>
      </c>
      <c r="V1687" s="1">
        <v>3162.3529411764703</v>
      </c>
      <c r="W1687" s="1">
        <v>4</v>
      </c>
    </row>
    <row r="1688" spans="1:23" x14ac:dyDescent="0.2">
      <c r="A1688">
        <v>2020</v>
      </c>
      <c r="B1688" t="s">
        <v>23</v>
      </c>
      <c r="C1688" t="s">
        <v>271</v>
      </c>
      <c r="D1688">
        <v>133</v>
      </c>
      <c r="E1688">
        <v>1</v>
      </c>
      <c r="F1688">
        <v>3</v>
      </c>
      <c r="G1688" t="s">
        <v>157</v>
      </c>
      <c r="H1688">
        <v>5</v>
      </c>
      <c r="I1688">
        <v>60</v>
      </c>
      <c r="J1688">
        <v>64</v>
      </c>
      <c r="K1688">
        <v>4</v>
      </c>
      <c r="L1688">
        <v>145</v>
      </c>
      <c r="M1688">
        <v>60</v>
      </c>
      <c r="N1688">
        <v>1.5</v>
      </c>
      <c r="O1688">
        <v>2</v>
      </c>
      <c r="P1688">
        <v>5</v>
      </c>
      <c r="Q1688">
        <v>0.3</v>
      </c>
      <c r="R1688">
        <v>5</v>
      </c>
      <c r="S1688">
        <v>1</v>
      </c>
      <c r="T1688">
        <v>2.5</v>
      </c>
      <c r="U1688">
        <v>12.5</v>
      </c>
      <c r="V1688">
        <v>1098.0392156862745</v>
      </c>
      <c r="W1688">
        <v>1</v>
      </c>
    </row>
    <row r="1689" spans="1:23" x14ac:dyDescent="0.2">
      <c r="A1689">
        <v>2020</v>
      </c>
      <c r="B1689" t="s">
        <v>23</v>
      </c>
      <c r="C1689" t="s">
        <v>271</v>
      </c>
      <c r="D1689">
        <v>133</v>
      </c>
      <c r="E1689">
        <v>2</v>
      </c>
      <c r="F1689">
        <v>10</v>
      </c>
      <c r="G1689" t="s">
        <v>157</v>
      </c>
      <c r="H1689" s="1">
        <v>11</v>
      </c>
      <c r="I1689" s="1">
        <v>65</v>
      </c>
      <c r="J1689" s="1">
        <v>70</v>
      </c>
      <c r="K1689" s="1">
        <f>J1689-I1689</f>
        <v>5</v>
      </c>
      <c r="L1689" s="1">
        <v>143</v>
      </c>
      <c r="M1689" s="1">
        <v>63</v>
      </c>
      <c r="N1689" s="1">
        <v>2</v>
      </c>
      <c r="O1689" s="1">
        <v>3</v>
      </c>
      <c r="P1689" s="1">
        <f>H1689-2</f>
        <v>9</v>
      </c>
      <c r="Q1689" s="2">
        <v>8.1000000000000003E-2</v>
      </c>
      <c r="R1689" s="1">
        <v>6</v>
      </c>
      <c r="S1689" s="1">
        <f>R1689/P1689</f>
        <v>0.66666666666666663</v>
      </c>
      <c r="T1689" s="1">
        <v>2</v>
      </c>
      <c r="U1689" s="1">
        <v>12.5</v>
      </c>
      <c r="V1689" s="1">
        <v>296.47058823529409</v>
      </c>
      <c r="W1689" s="1">
        <v>4</v>
      </c>
    </row>
    <row r="1690" spans="1:23" x14ac:dyDescent="0.2">
      <c r="A1690">
        <v>2020</v>
      </c>
      <c r="B1690" t="s">
        <v>23</v>
      </c>
      <c r="C1690" t="s">
        <v>271</v>
      </c>
      <c r="D1690">
        <v>134</v>
      </c>
      <c r="E1690">
        <v>1</v>
      </c>
      <c r="F1690">
        <v>13</v>
      </c>
      <c r="G1690" t="s">
        <v>158</v>
      </c>
      <c r="H1690" s="1">
        <v>15</v>
      </c>
      <c r="I1690" s="1">
        <v>67</v>
      </c>
      <c r="J1690" s="1">
        <v>70</v>
      </c>
      <c r="K1690" s="1">
        <f>J1690-I1690</f>
        <v>3</v>
      </c>
      <c r="L1690" s="1">
        <v>193</v>
      </c>
      <c r="M1690" s="1">
        <v>76</v>
      </c>
      <c r="N1690" s="1">
        <v>3</v>
      </c>
      <c r="O1690" s="1">
        <v>3.5</v>
      </c>
      <c r="P1690" s="1">
        <f>H1690</f>
        <v>15</v>
      </c>
      <c r="Q1690" s="2">
        <v>0.17685000000000003</v>
      </c>
      <c r="R1690" s="1">
        <v>12</v>
      </c>
      <c r="S1690" s="1">
        <f>R1690/P1690</f>
        <v>0.8</v>
      </c>
      <c r="T1690" s="1">
        <v>5</v>
      </c>
      <c r="U1690" s="1">
        <v>12.5</v>
      </c>
      <c r="V1690" s="1">
        <v>647.29411764705901</v>
      </c>
      <c r="W1690" s="1">
        <v>5</v>
      </c>
    </row>
    <row r="1691" spans="1:23" x14ac:dyDescent="0.2">
      <c r="A1691">
        <v>2020</v>
      </c>
      <c r="B1691" t="s">
        <v>23</v>
      </c>
      <c r="C1691" t="s">
        <v>271</v>
      </c>
      <c r="D1691">
        <v>134</v>
      </c>
      <c r="E1691">
        <v>2</v>
      </c>
      <c r="F1691">
        <v>1</v>
      </c>
      <c r="G1691" t="s">
        <v>159</v>
      </c>
      <c r="H1691" s="1">
        <v>12</v>
      </c>
      <c r="I1691" s="1">
        <v>64</v>
      </c>
      <c r="J1691" s="1">
        <v>68</v>
      </c>
      <c r="K1691" s="1">
        <f>J1691-I1691</f>
        <v>4</v>
      </c>
      <c r="L1691" s="1">
        <v>177</v>
      </c>
      <c r="M1691" s="1">
        <v>85</v>
      </c>
      <c r="N1691" s="1">
        <v>2</v>
      </c>
      <c r="O1691" s="1">
        <v>3</v>
      </c>
      <c r="P1691" s="1">
        <v>10</v>
      </c>
      <c r="Q1691" s="2">
        <v>0.18479999999999999</v>
      </c>
      <c r="R1691" s="1">
        <v>8</v>
      </c>
      <c r="S1691" s="1">
        <f>R1691/P1691</f>
        <v>0.8</v>
      </c>
      <c r="T1691" s="1">
        <v>5</v>
      </c>
      <c r="U1691" s="1">
        <v>7.8</v>
      </c>
      <c r="V1691" s="1">
        <v>712.72407843137262</v>
      </c>
      <c r="W1691" s="1">
        <v>4</v>
      </c>
    </row>
    <row r="1692" spans="1:23" x14ac:dyDescent="0.2">
      <c r="A1692">
        <v>2020</v>
      </c>
      <c r="B1692" t="s">
        <v>23</v>
      </c>
      <c r="C1692" t="s">
        <v>271</v>
      </c>
      <c r="D1692">
        <v>135</v>
      </c>
      <c r="E1692">
        <v>1</v>
      </c>
      <c r="F1692">
        <v>10</v>
      </c>
      <c r="G1692" t="s">
        <v>160</v>
      </c>
      <c r="H1692" s="3">
        <v>10</v>
      </c>
      <c r="I1692" s="3">
        <v>67</v>
      </c>
      <c r="J1692" s="3">
        <v>70</v>
      </c>
      <c r="K1692" s="3">
        <f>J1692-I1692</f>
        <v>3</v>
      </c>
      <c r="L1692" s="3">
        <v>120</v>
      </c>
      <c r="M1692" s="3">
        <v>56</v>
      </c>
      <c r="N1692" s="3">
        <v>2</v>
      </c>
      <c r="O1692" s="3">
        <v>4.5</v>
      </c>
      <c r="P1692" s="3">
        <v>6</v>
      </c>
      <c r="Q1692" s="4">
        <v>0.08</v>
      </c>
      <c r="R1692" s="3">
        <v>5</v>
      </c>
      <c r="S1692" s="3">
        <f>R1692/P1692</f>
        <v>0.83333333333333337</v>
      </c>
      <c r="T1692" s="3">
        <v>5</v>
      </c>
      <c r="U1692" s="3">
        <v>12.5</v>
      </c>
      <c r="V1692" s="3">
        <v>292.81045751633991</v>
      </c>
      <c r="W1692" s="3">
        <v>4</v>
      </c>
    </row>
    <row r="1693" spans="1:23" x14ac:dyDescent="0.2">
      <c r="A1693">
        <v>2020</v>
      </c>
      <c r="B1693" t="s">
        <v>23</v>
      </c>
      <c r="C1693" t="s">
        <v>271</v>
      </c>
      <c r="D1693">
        <v>135</v>
      </c>
      <c r="E1693">
        <v>2</v>
      </c>
      <c r="F1693">
        <v>7</v>
      </c>
      <c r="G1693" t="s">
        <v>160</v>
      </c>
      <c r="H1693">
        <v>10</v>
      </c>
      <c r="I1693">
        <v>55</v>
      </c>
      <c r="J1693">
        <v>59</v>
      </c>
      <c r="K1693">
        <v>4</v>
      </c>
      <c r="L1693">
        <v>174</v>
      </c>
      <c r="M1693">
        <v>89</v>
      </c>
      <c r="N1693">
        <v>1</v>
      </c>
      <c r="O1693">
        <v>2</v>
      </c>
      <c r="P1693">
        <v>9</v>
      </c>
      <c r="Q1693">
        <v>1</v>
      </c>
      <c r="R1693">
        <v>9</v>
      </c>
      <c r="S1693">
        <v>1</v>
      </c>
      <c r="T1693">
        <v>3</v>
      </c>
      <c r="U1693">
        <v>9.9</v>
      </c>
      <c r="V1693">
        <v>3768.8888888888887</v>
      </c>
      <c r="W1693">
        <v>2</v>
      </c>
    </row>
    <row r="1694" spans="1:23" x14ac:dyDescent="0.2">
      <c r="A1694">
        <v>2020</v>
      </c>
      <c r="B1694" t="s">
        <v>23</v>
      </c>
      <c r="C1694" t="s">
        <v>271</v>
      </c>
      <c r="D1694">
        <v>136</v>
      </c>
      <c r="E1694">
        <v>1</v>
      </c>
      <c r="F1694">
        <v>10</v>
      </c>
      <c r="G1694" t="s">
        <v>161</v>
      </c>
      <c r="H1694" s="1">
        <v>6</v>
      </c>
      <c r="I1694" s="1">
        <v>65</v>
      </c>
      <c r="J1694" s="1">
        <v>69</v>
      </c>
      <c r="K1694" s="1">
        <f>J1694-I1694</f>
        <v>4</v>
      </c>
      <c r="L1694" s="1">
        <v>87</v>
      </c>
      <c r="M1694" s="1">
        <v>37</v>
      </c>
      <c r="N1694" s="1">
        <v>2.5</v>
      </c>
      <c r="O1694" s="1">
        <v>4</v>
      </c>
      <c r="P1694" s="1">
        <v>1</v>
      </c>
      <c r="Q1694" s="2">
        <v>3.7999999999999999E-2</v>
      </c>
      <c r="R1694" s="1">
        <v>1</v>
      </c>
      <c r="S1694" s="1">
        <f>R1694/P1694</f>
        <v>1</v>
      </c>
      <c r="T1694" s="1">
        <v>5</v>
      </c>
      <c r="U1694" s="1">
        <v>12.5</v>
      </c>
      <c r="V1694" s="1">
        <v>139.08496732026143</v>
      </c>
      <c r="W1694" s="1">
        <v>6</v>
      </c>
    </row>
    <row r="1695" spans="1:23" x14ac:dyDescent="0.2">
      <c r="A1695">
        <v>2020</v>
      </c>
      <c r="B1695" t="s">
        <v>23</v>
      </c>
      <c r="C1695" t="s">
        <v>271</v>
      </c>
      <c r="D1695">
        <v>136</v>
      </c>
      <c r="E1695">
        <v>2</v>
      </c>
      <c r="F1695">
        <v>6</v>
      </c>
      <c r="G1695" t="s">
        <v>161</v>
      </c>
      <c r="H1695" s="1">
        <v>6</v>
      </c>
      <c r="I1695" s="1">
        <v>69</v>
      </c>
      <c r="J1695" s="1">
        <v>70</v>
      </c>
      <c r="K1695" s="1">
        <f>J1695-I1695</f>
        <v>1</v>
      </c>
      <c r="L1695" s="1">
        <v>121</v>
      </c>
      <c r="M1695" s="1">
        <v>43</v>
      </c>
      <c r="N1695" s="1">
        <v>2</v>
      </c>
      <c r="O1695" s="1">
        <v>4</v>
      </c>
      <c r="P1695" s="1">
        <v>4</v>
      </c>
      <c r="Q1695" s="2">
        <v>0.126</v>
      </c>
      <c r="R1695" s="1">
        <v>3</v>
      </c>
      <c r="S1695" s="1">
        <f>R1695/P1695</f>
        <v>0.75</v>
      </c>
      <c r="T1695" s="1">
        <v>3.5</v>
      </c>
      <c r="U1695" s="1">
        <v>12.5</v>
      </c>
      <c r="V1695" s="1">
        <v>461.17647058823536</v>
      </c>
      <c r="W1695" s="1">
        <v>3</v>
      </c>
    </row>
    <row r="1696" spans="1:23" x14ac:dyDescent="0.2">
      <c r="A1696">
        <v>2020</v>
      </c>
      <c r="B1696" t="s">
        <v>23</v>
      </c>
      <c r="C1696" t="s">
        <v>271</v>
      </c>
      <c r="D1696">
        <v>137</v>
      </c>
      <c r="E1696">
        <v>1</v>
      </c>
      <c r="F1696">
        <v>5</v>
      </c>
      <c r="G1696" t="s">
        <v>162</v>
      </c>
      <c r="H1696">
        <v>3</v>
      </c>
      <c r="I1696">
        <v>57</v>
      </c>
      <c r="J1696">
        <v>63</v>
      </c>
      <c r="K1696">
        <v>6</v>
      </c>
      <c r="L1696">
        <v>163</v>
      </c>
      <c r="M1696">
        <v>27</v>
      </c>
      <c r="N1696">
        <v>4</v>
      </c>
      <c r="O1696">
        <v>4</v>
      </c>
      <c r="P1696">
        <v>3</v>
      </c>
      <c r="Q1696">
        <v>0.13500000000000001</v>
      </c>
      <c r="R1696">
        <v>3</v>
      </c>
      <c r="S1696">
        <v>1</v>
      </c>
      <c r="T1696">
        <v>4</v>
      </c>
      <c r="U1696">
        <v>12.5</v>
      </c>
      <c r="V1696">
        <v>494.11764705882354</v>
      </c>
      <c r="W1696">
        <v>2</v>
      </c>
    </row>
    <row r="1697" spans="1:23" x14ac:dyDescent="0.2">
      <c r="A1697">
        <v>2020</v>
      </c>
      <c r="B1697" t="s">
        <v>23</v>
      </c>
      <c r="C1697" t="s">
        <v>271</v>
      </c>
      <c r="D1697">
        <v>137</v>
      </c>
      <c r="E1697">
        <v>2</v>
      </c>
      <c r="F1697">
        <v>4</v>
      </c>
      <c r="G1697" t="s">
        <v>162</v>
      </c>
      <c r="H1697" s="1">
        <v>11</v>
      </c>
      <c r="I1697" s="1">
        <v>63</v>
      </c>
      <c r="J1697" s="1">
        <v>67</v>
      </c>
      <c r="K1697" s="1">
        <f t="shared" ref="K1697:K1703" si="82">J1697-I1697</f>
        <v>4</v>
      </c>
      <c r="L1697" s="1">
        <v>118</v>
      </c>
      <c r="M1697" s="1">
        <v>90</v>
      </c>
      <c r="N1697" s="1">
        <v>2</v>
      </c>
      <c r="O1697" s="1">
        <v>3</v>
      </c>
      <c r="P1697" s="1">
        <v>11</v>
      </c>
      <c r="Q1697" s="2">
        <v>0.27539999999999998</v>
      </c>
      <c r="R1697" s="1">
        <v>9</v>
      </c>
      <c r="S1697" s="1">
        <f t="shared" ref="S1697:S1703" si="83">R1697/P1697</f>
        <v>0.81818181818181823</v>
      </c>
      <c r="T1697" s="1">
        <v>5</v>
      </c>
      <c r="U1697" s="1">
        <v>12.5</v>
      </c>
      <c r="V1697" s="1">
        <v>1008</v>
      </c>
      <c r="W1697" s="1">
        <v>5</v>
      </c>
    </row>
    <row r="1698" spans="1:23" x14ac:dyDescent="0.2">
      <c r="A1698">
        <v>2020</v>
      </c>
      <c r="B1698" t="s">
        <v>23</v>
      </c>
      <c r="C1698" t="s">
        <v>271</v>
      </c>
      <c r="D1698">
        <v>138</v>
      </c>
      <c r="E1698">
        <v>1</v>
      </c>
      <c r="F1698">
        <v>4</v>
      </c>
      <c r="G1698" t="s">
        <v>163</v>
      </c>
      <c r="H1698" s="1">
        <v>7</v>
      </c>
      <c r="I1698" s="1">
        <v>67</v>
      </c>
      <c r="J1698" s="1">
        <v>70</v>
      </c>
      <c r="K1698" s="1">
        <f t="shared" si="82"/>
        <v>3</v>
      </c>
      <c r="L1698" s="1">
        <v>71</v>
      </c>
      <c r="M1698" s="1">
        <v>26</v>
      </c>
      <c r="N1698" s="1">
        <v>3</v>
      </c>
      <c r="O1698" s="1">
        <v>5</v>
      </c>
      <c r="P1698" s="1">
        <v>3</v>
      </c>
      <c r="Q1698" s="2">
        <v>5.1999999999999998E-2</v>
      </c>
      <c r="R1698" s="1">
        <v>2</v>
      </c>
      <c r="S1698" s="1">
        <f t="shared" si="83"/>
        <v>0.66666666666666663</v>
      </c>
      <c r="T1698" s="1">
        <v>5</v>
      </c>
      <c r="U1698" s="1">
        <v>12.5</v>
      </c>
      <c r="V1698" s="1">
        <v>190.32679738562092</v>
      </c>
      <c r="W1698" s="1">
        <v>5</v>
      </c>
    </row>
    <row r="1699" spans="1:23" x14ac:dyDescent="0.2">
      <c r="A1699">
        <v>2020</v>
      </c>
      <c r="B1699" t="s">
        <v>23</v>
      </c>
      <c r="C1699" t="s">
        <v>271</v>
      </c>
      <c r="D1699">
        <v>138</v>
      </c>
      <c r="E1699">
        <v>2</v>
      </c>
      <c r="F1699">
        <v>14</v>
      </c>
      <c r="G1699" t="s">
        <v>163</v>
      </c>
      <c r="H1699" s="3">
        <v>4</v>
      </c>
      <c r="I1699" s="3">
        <v>68</v>
      </c>
      <c r="J1699" s="3">
        <v>71</v>
      </c>
      <c r="K1699" s="3">
        <f t="shared" si="82"/>
        <v>3</v>
      </c>
      <c r="L1699" s="3">
        <v>84</v>
      </c>
      <c r="M1699" s="3">
        <v>39</v>
      </c>
      <c r="N1699" s="3">
        <v>2</v>
      </c>
      <c r="O1699" s="3">
        <v>3</v>
      </c>
      <c r="P1699" s="3">
        <f>H1699</f>
        <v>4</v>
      </c>
      <c r="Q1699" s="4">
        <v>6.5250000000000002E-2</v>
      </c>
      <c r="R1699" s="3">
        <v>2</v>
      </c>
      <c r="S1699" s="3">
        <f t="shared" si="83"/>
        <v>0.5</v>
      </c>
      <c r="T1699" s="3">
        <v>4</v>
      </c>
      <c r="U1699" s="3">
        <v>12.5</v>
      </c>
      <c r="V1699" s="3">
        <v>238.82352941176475</v>
      </c>
      <c r="W1699" s="3">
        <v>3</v>
      </c>
    </row>
    <row r="1700" spans="1:23" x14ac:dyDescent="0.2">
      <c r="A1700">
        <v>2020</v>
      </c>
      <c r="B1700" t="s">
        <v>23</v>
      </c>
      <c r="C1700" t="s">
        <v>271</v>
      </c>
      <c r="D1700">
        <v>139</v>
      </c>
      <c r="E1700">
        <v>1</v>
      </c>
      <c r="F1700">
        <v>1</v>
      </c>
      <c r="G1700" t="s">
        <v>164</v>
      </c>
      <c r="H1700" s="1">
        <v>7</v>
      </c>
      <c r="I1700" s="1">
        <v>57</v>
      </c>
      <c r="J1700" s="1">
        <v>62</v>
      </c>
      <c r="K1700" s="1">
        <f t="shared" si="82"/>
        <v>5</v>
      </c>
      <c r="L1700" s="1">
        <v>83</v>
      </c>
      <c r="M1700" s="1">
        <v>50</v>
      </c>
      <c r="N1700" s="1">
        <v>3</v>
      </c>
      <c r="O1700" s="1">
        <v>4.5</v>
      </c>
      <c r="P1700" s="1">
        <v>6</v>
      </c>
      <c r="Q1700" s="2">
        <v>0.28199999999999997</v>
      </c>
      <c r="R1700" s="1">
        <v>6</v>
      </c>
      <c r="S1700" s="1">
        <f t="shared" si="83"/>
        <v>1</v>
      </c>
      <c r="T1700" s="1">
        <v>3</v>
      </c>
      <c r="U1700" s="1">
        <v>12.5</v>
      </c>
      <c r="V1700" s="1">
        <v>1032.1568627450981</v>
      </c>
      <c r="W1700" s="1">
        <v>5</v>
      </c>
    </row>
    <row r="1701" spans="1:23" x14ac:dyDescent="0.2">
      <c r="A1701">
        <v>2020</v>
      </c>
      <c r="B1701" t="s">
        <v>23</v>
      </c>
      <c r="C1701" t="s">
        <v>271</v>
      </c>
      <c r="D1701">
        <v>139</v>
      </c>
      <c r="E1701">
        <v>2</v>
      </c>
      <c r="F1701">
        <v>10</v>
      </c>
      <c r="G1701" t="s">
        <v>164</v>
      </c>
      <c r="H1701" s="1">
        <v>14</v>
      </c>
      <c r="I1701" s="1">
        <v>65</v>
      </c>
      <c r="J1701" s="1">
        <v>69</v>
      </c>
      <c r="K1701" s="1">
        <f t="shared" si="82"/>
        <v>4</v>
      </c>
      <c r="L1701" s="1">
        <v>163</v>
      </c>
      <c r="M1701" s="1">
        <v>95</v>
      </c>
      <c r="N1701" s="1">
        <v>2</v>
      </c>
      <c r="O1701" s="1">
        <v>3</v>
      </c>
      <c r="P1701" s="1">
        <f>H1701-1</f>
        <v>13</v>
      </c>
      <c r="Q1701" s="2">
        <v>0.156</v>
      </c>
      <c r="R1701" s="1">
        <v>8</v>
      </c>
      <c r="S1701" s="1">
        <f t="shared" si="83"/>
        <v>0.61538461538461542</v>
      </c>
      <c r="T1701" s="1">
        <v>5</v>
      </c>
      <c r="U1701" s="1">
        <v>12.5</v>
      </c>
      <c r="V1701" s="1">
        <v>570.98039215686276</v>
      </c>
      <c r="W1701" s="1">
        <v>5</v>
      </c>
    </row>
    <row r="1702" spans="1:23" x14ac:dyDescent="0.2">
      <c r="A1702">
        <v>2020</v>
      </c>
      <c r="B1702" t="s">
        <v>23</v>
      </c>
      <c r="C1702" t="s">
        <v>271</v>
      </c>
      <c r="D1702">
        <v>140</v>
      </c>
      <c r="E1702">
        <v>1</v>
      </c>
      <c r="F1702">
        <v>7</v>
      </c>
      <c r="G1702" t="s">
        <v>165</v>
      </c>
      <c r="H1702" s="1">
        <v>9</v>
      </c>
      <c r="I1702" s="1">
        <v>66</v>
      </c>
      <c r="J1702" s="1">
        <v>68</v>
      </c>
      <c r="K1702" s="1">
        <f t="shared" si="82"/>
        <v>2</v>
      </c>
      <c r="L1702" s="1">
        <v>119</v>
      </c>
      <c r="M1702" s="1">
        <v>31</v>
      </c>
      <c r="N1702" s="1">
        <v>2</v>
      </c>
      <c r="O1702" s="1">
        <v>4.5</v>
      </c>
      <c r="P1702" s="1">
        <v>6</v>
      </c>
      <c r="Q1702" s="2">
        <v>0.16200000000000001</v>
      </c>
      <c r="R1702" s="1">
        <v>5</v>
      </c>
      <c r="S1702" s="1">
        <f t="shared" si="83"/>
        <v>0.83333333333333337</v>
      </c>
      <c r="T1702" s="1">
        <v>3.5</v>
      </c>
      <c r="U1702" s="1">
        <v>12.5</v>
      </c>
      <c r="V1702" s="1">
        <v>592.94117647058818</v>
      </c>
      <c r="W1702" s="1">
        <v>4</v>
      </c>
    </row>
    <row r="1703" spans="1:23" x14ac:dyDescent="0.2">
      <c r="A1703">
        <v>2020</v>
      </c>
      <c r="B1703" t="s">
        <v>23</v>
      </c>
      <c r="C1703" t="s">
        <v>271</v>
      </c>
      <c r="D1703">
        <v>140</v>
      </c>
      <c r="E1703">
        <v>2</v>
      </c>
      <c r="F1703">
        <v>1</v>
      </c>
      <c r="G1703" t="s">
        <v>165</v>
      </c>
      <c r="H1703" s="1">
        <v>7</v>
      </c>
      <c r="I1703" s="1">
        <v>61</v>
      </c>
      <c r="J1703" s="1">
        <v>66</v>
      </c>
      <c r="K1703" s="1">
        <f t="shared" si="82"/>
        <v>5</v>
      </c>
      <c r="L1703" s="1">
        <v>70</v>
      </c>
      <c r="M1703" s="1">
        <v>25</v>
      </c>
      <c r="N1703" s="1">
        <v>2</v>
      </c>
      <c r="O1703" s="1">
        <v>4</v>
      </c>
      <c r="P1703" s="1">
        <v>5</v>
      </c>
      <c r="Q1703" s="2">
        <v>0.124</v>
      </c>
      <c r="R1703" s="1">
        <v>4</v>
      </c>
      <c r="S1703" s="1">
        <f t="shared" si="83"/>
        <v>0.8</v>
      </c>
      <c r="T1703" s="1">
        <v>5</v>
      </c>
      <c r="U1703" s="1">
        <v>12.5</v>
      </c>
      <c r="V1703" s="1">
        <v>453.85620915032678</v>
      </c>
      <c r="W1703" s="1">
        <v>6</v>
      </c>
    </row>
    <row r="1704" spans="1:23" x14ac:dyDescent="0.2">
      <c r="A1704">
        <v>2020</v>
      </c>
      <c r="B1704" t="s">
        <v>23</v>
      </c>
      <c r="C1704" t="s">
        <v>271</v>
      </c>
      <c r="D1704">
        <v>141</v>
      </c>
      <c r="E1704">
        <v>1</v>
      </c>
      <c r="F1704">
        <v>2</v>
      </c>
      <c r="G1704" t="s">
        <v>166</v>
      </c>
      <c r="H1704">
        <v>12</v>
      </c>
      <c r="I1704">
        <v>60</v>
      </c>
      <c r="J1704">
        <v>63</v>
      </c>
      <c r="K1704">
        <v>3</v>
      </c>
      <c r="L1704">
        <v>88</v>
      </c>
      <c r="M1704">
        <v>32</v>
      </c>
      <c r="N1704">
        <v>2</v>
      </c>
      <c r="O1704">
        <v>3</v>
      </c>
      <c r="P1704">
        <v>12</v>
      </c>
      <c r="Q1704">
        <v>0.6</v>
      </c>
      <c r="R1704">
        <v>10</v>
      </c>
      <c r="S1704">
        <v>0.83333333333333337</v>
      </c>
      <c r="T1704">
        <v>3</v>
      </c>
      <c r="U1704">
        <v>12.5</v>
      </c>
      <c r="V1704">
        <v>2196.0784313725489</v>
      </c>
      <c r="W1704">
        <v>1</v>
      </c>
    </row>
    <row r="1705" spans="1:23" x14ac:dyDescent="0.2">
      <c r="A1705">
        <v>2020</v>
      </c>
      <c r="B1705" t="s">
        <v>23</v>
      </c>
      <c r="C1705" t="s">
        <v>271</v>
      </c>
      <c r="D1705">
        <v>141</v>
      </c>
      <c r="E1705">
        <v>2</v>
      </c>
      <c r="F1705">
        <v>12</v>
      </c>
      <c r="G1705" t="s">
        <v>166</v>
      </c>
      <c r="H1705">
        <v>14</v>
      </c>
      <c r="I1705">
        <v>57</v>
      </c>
      <c r="J1705">
        <v>60</v>
      </c>
      <c r="K1705">
        <v>3</v>
      </c>
      <c r="L1705">
        <v>142</v>
      </c>
      <c r="M1705">
        <v>93</v>
      </c>
      <c r="N1705">
        <v>2</v>
      </c>
      <c r="O1705">
        <v>2</v>
      </c>
      <c r="P1705">
        <v>11</v>
      </c>
      <c r="Q1705">
        <v>0.5</v>
      </c>
      <c r="R1705">
        <v>8</v>
      </c>
      <c r="S1705">
        <v>0.72727272727272729</v>
      </c>
      <c r="T1705">
        <v>3</v>
      </c>
      <c r="U1705">
        <v>12</v>
      </c>
      <c r="V1705">
        <v>1840.5228758169933</v>
      </c>
      <c r="W1705">
        <v>1</v>
      </c>
    </row>
    <row r="1706" spans="1:23" x14ac:dyDescent="0.2">
      <c r="A1706">
        <v>2020</v>
      </c>
      <c r="B1706" t="s">
        <v>23</v>
      </c>
      <c r="C1706" t="s">
        <v>271</v>
      </c>
      <c r="D1706">
        <v>142</v>
      </c>
      <c r="E1706">
        <v>1</v>
      </c>
      <c r="F1706">
        <v>10</v>
      </c>
      <c r="G1706" t="s">
        <v>167</v>
      </c>
      <c r="H1706" s="1">
        <v>6</v>
      </c>
      <c r="I1706" s="1">
        <v>62</v>
      </c>
      <c r="J1706" s="1">
        <v>67</v>
      </c>
      <c r="K1706" s="1">
        <f>J1706-I1706</f>
        <v>5</v>
      </c>
      <c r="L1706" s="1">
        <v>105</v>
      </c>
      <c r="M1706" s="1">
        <v>21</v>
      </c>
      <c r="N1706" s="1">
        <v>2</v>
      </c>
      <c r="O1706" s="1">
        <v>4</v>
      </c>
      <c r="P1706" s="1">
        <v>2</v>
      </c>
      <c r="Q1706" s="2">
        <v>0.09</v>
      </c>
      <c r="R1706" s="1">
        <v>2</v>
      </c>
      <c r="S1706" s="1">
        <f>R1706/P1706</f>
        <v>1</v>
      </c>
      <c r="T1706" s="1">
        <v>4</v>
      </c>
      <c r="U1706" s="1">
        <v>12.5</v>
      </c>
      <c r="V1706" s="1">
        <v>329.41176470588232</v>
      </c>
      <c r="W1706" s="1">
        <v>5</v>
      </c>
    </row>
    <row r="1707" spans="1:23" x14ac:dyDescent="0.2">
      <c r="A1707">
        <v>2020</v>
      </c>
      <c r="B1707" t="s">
        <v>23</v>
      </c>
      <c r="C1707" t="s">
        <v>271</v>
      </c>
      <c r="D1707">
        <v>142</v>
      </c>
      <c r="E1707">
        <v>2</v>
      </c>
      <c r="F1707">
        <v>10</v>
      </c>
      <c r="G1707" t="s">
        <v>167</v>
      </c>
      <c r="H1707">
        <v>16</v>
      </c>
      <c r="I1707">
        <v>55</v>
      </c>
      <c r="J1707">
        <v>58</v>
      </c>
      <c r="K1707">
        <v>3</v>
      </c>
      <c r="L1707">
        <v>155</v>
      </c>
      <c r="M1707">
        <v>82</v>
      </c>
      <c r="N1707">
        <v>2</v>
      </c>
      <c r="O1707">
        <v>2.5</v>
      </c>
      <c r="P1707">
        <v>11</v>
      </c>
      <c r="Q1707">
        <v>0.3</v>
      </c>
      <c r="R1707">
        <v>12</v>
      </c>
      <c r="S1707">
        <v>1.0909090909090908</v>
      </c>
      <c r="T1707">
        <v>2</v>
      </c>
      <c r="U1707">
        <v>9.4</v>
      </c>
      <c r="V1707">
        <v>1136.9411764705881</v>
      </c>
      <c r="W1707">
        <v>2</v>
      </c>
    </row>
    <row r="1708" spans="1:23" x14ac:dyDescent="0.2">
      <c r="A1708">
        <v>2020</v>
      </c>
      <c r="B1708" t="s">
        <v>23</v>
      </c>
      <c r="C1708" t="s">
        <v>271</v>
      </c>
      <c r="D1708">
        <v>143</v>
      </c>
      <c r="E1708">
        <v>1</v>
      </c>
      <c r="F1708">
        <v>14</v>
      </c>
      <c r="G1708" t="s">
        <v>168</v>
      </c>
      <c r="H1708" s="1">
        <v>12</v>
      </c>
      <c r="I1708" s="1">
        <v>65</v>
      </c>
      <c r="J1708" s="1">
        <v>69</v>
      </c>
      <c r="K1708" s="1">
        <f>J1708-I1708</f>
        <v>4</v>
      </c>
      <c r="L1708" s="1">
        <v>170</v>
      </c>
      <c r="M1708" s="1">
        <v>46</v>
      </c>
      <c r="N1708" s="1">
        <v>2</v>
      </c>
      <c r="O1708" s="1">
        <v>3</v>
      </c>
      <c r="P1708" s="1">
        <v>8</v>
      </c>
      <c r="Q1708" s="2">
        <v>0.24079999999999999</v>
      </c>
      <c r="R1708" s="1">
        <v>6</v>
      </c>
      <c r="S1708" s="1">
        <f>R1708/P1708</f>
        <v>0.75</v>
      </c>
      <c r="T1708" s="1">
        <v>4</v>
      </c>
      <c r="U1708" s="1">
        <v>12.5</v>
      </c>
      <c r="V1708" s="1">
        <v>881.35947712418294</v>
      </c>
      <c r="W1708" s="1">
        <v>6</v>
      </c>
    </row>
    <row r="1709" spans="1:23" x14ac:dyDescent="0.2">
      <c r="A1709">
        <v>2020</v>
      </c>
      <c r="B1709" t="s">
        <v>23</v>
      </c>
      <c r="C1709" t="s">
        <v>271</v>
      </c>
      <c r="D1709">
        <v>143</v>
      </c>
      <c r="E1709">
        <v>2</v>
      </c>
      <c r="F1709">
        <v>8</v>
      </c>
      <c r="G1709" t="s">
        <v>168</v>
      </c>
      <c r="H1709">
        <v>2</v>
      </c>
      <c r="I1709">
        <v>55</v>
      </c>
      <c r="J1709">
        <v>57</v>
      </c>
      <c r="K1709">
        <v>2</v>
      </c>
      <c r="L1709">
        <v>186</v>
      </c>
      <c r="M1709">
        <v>71</v>
      </c>
      <c r="N1709">
        <v>2</v>
      </c>
      <c r="O1709">
        <v>2</v>
      </c>
      <c r="P1709">
        <v>2</v>
      </c>
      <c r="Q1709">
        <v>0.22</v>
      </c>
      <c r="R1709">
        <v>2</v>
      </c>
      <c r="S1709">
        <v>1</v>
      </c>
      <c r="T1709">
        <v>3</v>
      </c>
      <c r="U1709">
        <v>12.5</v>
      </c>
      <c r="V1709">
        <v>805.22875816993462</v>
      </c>
      <c r="W1709">
        <v>1</v>
      </c>
    </row>
    <row r="1710" spans="1:23" x14ac:dyDescent="0.2">
      <c r="A1710">
        <v>2020</v>
      </c>
      <c r="B1710" t="s">
        <v>23</v>
      </c>
      <c r="C1710" t="s">
        <v>271</v>
      </c>
      <c r="D1710">
        <v>144</v>
      </c>
      <c r="E1710">
        <v>1</v>
      </c>
      <c r="F1710">
        <v>13</v>
      </c>
      <c r="G1710" t="s">
        <v>169</v>
      </c>
      <c r="H1710" s="1">
        <v>4</v>
      </c>
      <c r="I1710" s="1">
        <v>60</v>
      </c>
      <c r="J1710" s="1">
        <v>65</v>
      </c>
      <c r="K1710" s="1">
        <f>J1710-I1710</f>
        <v>5</v>
      </c>
      <c r="L1710" s="1">
        <v>146</v>
      </c>
      <c r="M1710" s="1">
        <v>52</v>
      </c>
      <c r="N1710" s="1">
        <v>2</v>
      </c>
      <c r="O1710" s="1">
        <v>3</v>
      </c>
      <c r="P1710" s="1">
        <v>3</v>
      </c>
      <c r="Q1710" s="2">
        <v>0.27239999999999998</v>
      </c>
      <c r="R1710" s="1">
        <v>2</v>
      </c>
      <c r="S1710" s="1">
        <f>R1710/P1710</f>
        <v>0.66666666666666663</v>
      </c>
      <c r="T1710" s="1">
        <v>3</v>
      </c>
      <c r="U1710" s="1">
        <v>9.3000000000000007</v>
      </c>
      <c r="V1710" s="1">
        <v>1033.4820392156862</v>
      </c>
      <c r="W1710" s="1">
        <v>2</v>
      </c>
    </row>
    <row r="1711" spans="1:23" x14ac:dyDescent="0.2">
      <c r="A1711">
        <v>2020</v>
      </c>
      <c r="B1711" t="s">
        <v>23</v>
      </c>
      <c r="C1711" t="s">
        <v>271</v>
      </c>
      <c r="D1711">
        <v>144</v>
      </c>
      <c r="E1711">
        <v>2</v>
      </c>
      <c r="F1711">
        <v>12</v>
      </c>
      <c r="G1711" t="s">
        <v>169</v>
      </c>
      <c r="H1711">
        <v>4</v>
      </c>
      <c r="I1711">
        <v>62</v>
      </c>
      <c r="J1711">
        <v>65</v>
      </c>
      <c r="K1711">
        <v>3</v>
      </c>
      <c r="L1711">
        <v>165</v>
      </c>
      <c r="M1711">
        <v>75</v>
      </c>
      <c r="N1711">
        <v>1.5</v>
      </c>
      <c r="O1711">
        <v>3.5</v>
      </c>
      <c r="P1711">
        <v>4</v>
      </c>
      <c r="Q1711">
        <v>0.3</v>
      </c>
      <c r="R1711">
        <v>4</v>
      </c>
      <c r="S1711">
        <v>1</v>
      </c>
      <c r="T1711">
        <v>3.5</v>
      </c>
      <c r="U1711">
        <v>12.5</v>
      </c>
      <c r="V1711">
        <v>1098.0392156862745</v>
      </c>
      <c r="W1711">
        <v>1</v>
      </c>
    </row>
    <row r="1712" spans="1:23" x14ac:dyDescent="0.2">
      <c r="A1712">
        <v>2020</v>
      </c>
      <c r="B1712" t="s">
        <v>23</v>
      </c>
      <c r="C1712" t="s">
        <v>271</v>
      </c>
      <c r="D1712">
        <v>145</v>
      </c>
      <c r="E1712">
        <v>1</v>
      </c>
      <c r="F1712">
        <v>8</v>
      </c>
      <c r="G1712" t="s">
        <v>170</v>
      </c>
      <c r="H1712">
        <v>7</v>
      </c>
      <c r="I1712">
        <v>55</v>
      </c>
      <c r="J1712">
        <v>58</v>
      </c>
      <c r="K1712">
        <v>3</v>
      </c>
      <c r="L1712">
        <v>180</v>
      </c>
      <c r="M1712">
        <v>85</v>
      </c>
      <c r="N1712">
        <v>2</v>
      </c>
      <c r="O1712">
        <v>2</v>
      </c>
      <c r="P1712">
        <v>1</v>
      </c>
      <c r="Q1712">
        <v>0.1</v>
      </c>
      <c r="R1712">
        <v>1</v>
      </c>
      <c r="S1712">
        <v>1</v>
      </c>
      <c r="T1712">
        <v>1</v>
      </c>
      <c r="U1712">
        <v>12.5</v>
      </c>
      <c r="V1712">
        <v>366.01307189542484</v>
      </c>
      <c r="W1712">
        <v>2</v>
      </c>
    </row>
    <row r="1713" spans="1:23" x14ac:dyDescent="0.2">
      <c r="A1713">
        <v>2020</v>
      </c>
      <c r="B1713" t="s">
        <v>23</v>
      </c>
      <c r="C1713" t="s">
        <v>271</v>
      </c>
      <c r="D1713">
        <v>145</v>
      </c>
      <c r="E1713">
        <v>2</v>
      </c>
      <c r="F1713">
        <v>4</v>
      </c>
      <c r="G1713" t="s">
        <v>170</v>
      </c>
      <c r="H1713" s="1">
        <v>5</v>
      </c>
      <c r="I1713" s="1">
        <v>60</v>
      </c>
      <c r="J1713" s="1">
        <v>64</v>
      </c>
      <c r="K1713" s="1">
        <f>J1713-I1713</f>
        <v>4</v>
      </c>
      <c r="L1713" s="1">
        <v>103</v>
      </c>
      <c r="M1713" s="1">
        <v>25</v>
      </c>
      <c r="N1713" s="1">
        <v>2</v>
      </c>
      <c r="O1713" s="1">
        <v>4.5</v>
      </c>
      <c r="P1713" s="1">
        <v>3</v>
      </c>
      <c r="Q1713" s="2">
        <v>0.09</v>
      </c>
      <c r="R1713" s="1">
        <v>3</v>
      </c>
      <c r="S1713" s="1">
        <f>R1713/P1713</f>
        <v>1</v>
      </c>
      <c r="T1713" s="1">
        <v>5</v>
      </c>
      <c r="U1713" s="1">
        <v>12.5</v>
      </c>
      <c r="V1713" s="1">
        <v>329.41176470588232</v>
      </c>
      <c r="W1713" s="1">
        <v>5</v>
      </c>
    </row>
    <row r="1714" spans="1:23" x14ac:dyDescent="0.2">
      <c r="A1714">
        <v>2020</v>
      </c>
      <c r="B1714" t="s">
        <v>23</v>
      </c>
      <c r="C1714" t="s">
        <v>271</v>
      </c>
      <c r="D1714">
        <v>146</v>
      </c>
      <c r="E1714">
        <v>1</v>
      </c>
      <c r="F1714">
        <v>4</v>
      </c>
      <c r="G1714" t="s">
        <v>171</v>
      </c>
      <c r="H1714">
        <v>12</v>
      </c>
      <c r="I1714">
        <v>50</v>
      </c>
      <c r="J1714">
        <v>53</v>
      </c>
      <c r="K1714">
        <v>3</v>
      </c>
      <c r="L1714">
        <v>118</v>
      </c>
      <c r="M1714">
        <v>64</v>
      </c>
      <c r="N1714">
        <v>2</v>
      </c>
      <c r="O1714">
        <v>2.5</v>
      </c>
      <c r="P1714">
        <v>9</v>
      </c>
      <c r="Q1714">
        <v>1</v>
      </c>
      <c r="R1714">
        <v>7</v>
      </c>
      <c r="S1714">
        <v>0.77777777777777779</v>
      </c>
      <c r="T1714">
        <v>2</v>
      </c>
      <c r="U1714">
        <v>10.1</v>
      </c>
      <c r="V1714">
        <v>3760.5228758169937</v>
      </c>
      <c r="W1714">
        <v>1</v>
      </c>
    </row>
    <row r="1715" spans="1:23" x14ac:dyDescent="0.2">
      <c r="A1715">
        <v>2020</v>
      </c>
      <c r="B1715" t="s">
        <v>23</v>
      </c>
      <c r="C1715" t="s">
        <v>271</v>
      </c>
      <c r="D1715">
        <v>146</v>
      </c>
      <c r="E1715">
        <v>2</v>
      </c>
      <c r="F1715">
        <v>15</v>
      </c>
      <c r="G1715" t="s">
        <v>171</v>
      </c>
      <c r="H1715">
        <v>2</v>
      </c>
      <c r="I1715">
        <v>57</v>
      </c>
      <c r="J1715">
        <v>62</v>
      </c>
      <c r="K1715">
        <v>5</v>
      </c>
      <c r="L1715">
        <v>181</v>
      </c>
      <c r="M1715">
        <v>41</v>
      </c>
      <c r="N1715">
        <v>5</v>
      </c>
      <c r="O1715">
        <v>4</v>
      </c>
      <c r="P1715">
        <v>2</v>
      </c>
      <c r="Q1715">
        <v>0.14599999999999999</v>
      </c>
      <c r="R1715">
        <v>1</v>
      </c>
      <c r="S1715">
        <v>0.5</v>
      </c>
      <c r="T1715">
        <v>3</v>
      </c>
      <c r="U1715">
        <v>12.5</v>
      </c>
      <c r="V1715">
        <v>534.37908496732018</v>
      </c>
      <c r="W1715">
        <v>1</v>
      </c>
    </row>
    <row r="1716" spans="1:23" x14ac:dyDescent="0.2">
      <c r="A1716">
        <v>2020</v>
      </c>
      <c r="B1716" t="s">
        <v>23</v>
      </c>
      <c r="C1716" t="s">
        <v>271</v>
      </c>
      <c r="D1716">
        <v>147</v>
      </c>
      <c r="E1716">
        <v>1</v>
      </c>
      <c r="F1716">
        <v>1</v>
      </c>
      <c r="G1716" t="s">
        <v>172</v>
      </c>
      <c r="H1716" s="1">
        <v>9</v>
      </c>
      <c r="I1716" s="1">
        <v>57</v>
      </c>
      <c r="J1716" s="1">
        <v>62</v>
      </c>
      <c r="K1716" s="1">
        <f t="shared" ref="K1716:K1722" si="84">J1716-I1716</f>
        <v>5</v>
      </c>
      <c r="L1716" s="1">
        <v>153</v>
      </c>
      <c r="M1716" s="1">
        <v>90</v>
      </c>
      <c r="N1716" s="1">
        <v>2</v>
      </c>
      <c r="O1716" s="1">
        <v>2.5</v>
      </c>
      <c r="P1716" s="1">
        <v>9</v>
      </c>
      <c r="Q1716" s="2">
        <v>0.49839999999999995</v>
      </c>
      <c r="R1716" s="1">
        <v>9</v>
      </c>
      <c r="S1716" s="1">
        <f t="shared" ref="S1716:S1722" si="85">R1716/P1716</f>
        <v>1</v>
      </c>
      <c r="T1716" s="1">
        <v>4</v>
      </c>
      <c r="U1716" s="1">
        <v>10.6</v>
      </c>
      <c r="V1716" s="1">
        <v>1863.8205490196078</v>
      </c>
      <c r="W1716" s="1">
        <v>4</v>
      </c>
    </row>
    <row r="1717" spans="1:23" x14ac:dyDescent="0.2">
      <c r="A1717">
        <v>2020</v>
      </c>
      <c r="B1717" t="s">
        <v>23</v>
      </c>
      <c r="C1717" t="s">
        <v>271</v>
      </c>
      <c r="D1717">
        <v>147</v>
      </c>
      <c r="E1717">
        <v>2</v>
      </c>
      <c r="F1717">
        <v>9</v>
      </c>
      <c r="G1717" t="s">
        <v>172</v>
      </c>
      <c r="H1717" s="1">
        <v>12</v>
      </c>
      <c r="I1717" s="1">
        <v>61</v>
      </c>
      <c r="J1717" s="1">
        <v>66</v>
      </c>
      <c r="K1717" s="1">
        <f t="shared" si="84"/>
        <v>5</v>
      </c>
      <c r="L1717" s="1">
        <v>183</v>
      </c>
      <c r="M1717" s="1">
        <v>90</v>
      </c>
      <c r="N1717" s="1">
        <v>2</v>
      </c>
      <c r="O1717" s="1">
        <v>3.5</v>
      </c>
      <c r="P1717" s="1">
        <v>12</v>
      </c>
      <c r="Q1717" s="2">
        <v>0.59399999999999997</v>
      </c>
      <c r="R1717" s="1">
        <v>5</v>
      </c>
      <c r="S1717" s="1">
        <f t="shared" si="85"/>
        <v>0.41666666666666669</v>
      </c>
      <c r="T1717" s="1">
        <v>5</v>
      </c>
      <c r="U1717" s="1">
        <v>22.5</v>
      </c>
      <c r="V1717" s="1">
        <v>1925.6470588235295</v>
      </c>
      <c r="W1717" s="1">
        <v>6</v>
      </c>
    </row>
    <row r="1718" spans="1:23" x14ac:dyDescent="0.2">
      <c r="A1718">
        <v>2020</v>
      </c>
      <c r="B1718" t="s">
        <v>23</v>
      </c>
      <c r="C1718" t="s">
        <v>271</v>
      </c>
      <c r="D1718">
        <v>148</v>
      </c>
      <c r="E1718">
        <v>1</v>
      </c>
      <c r="F1718">
        <v>11</v>
      </c>
      <c r="G1718" t="s">
        <v>173</v>
      </c>
      <c r="H1718" s="1">
        <v>4</v>
      </c>
      <c r="I1718" s="1">
        <v>62</v>
      </c>
      <c r="J1718" s="1">
        <v>64</v>
      </c>
      <c r="K1718" s="1">
        <f t="shared" si="84"/>
        <v>2</v>
      </c>
      <c r="L1718" s="1">
        <v>133</v>
      </c>
      <c r="M1718" s="1">
        <v>51</v>
      </c>
      <c r="N1718" s="1">
        <v>2</v>
      </c>
      <c r="O1718" s="1">
        <v>3.5</v>
      </c>
      <c r="P1718" s="1">
        <v>4</v>
      </c>
      <c r="Q1718" s="2">
        <v>0.505</v>
      </c>
      <c r="R1718" s="1">
        <v>5</v>
      </c>
      <c r="S1718" s="1">
        <f t="shared" si="85"/>
        <v>1.25</v>
      </c>
      <c r="T1718" s="1">
        <v>4</v>
      </c>
      <c r="U1718" s="1">
        <v>12.5</v>
      </c>
      <c r="V1718" s="1">
        <v>1848.3660130718954</v>
      </c>
      <c r="W1718" s="1">
        <v>4</v>
      </c>
    </row>
    <row r="1719" spans="1:23" x14ac:dyDescent="0.2">
      <c r="A1719">
        <v>2020</v>
      </c>
      <c r="B1719" t="s">
        <v>23</v>
      </c>
      <c r="C1719" t="s">
        <v>271</v>
      </c>
      <c r="D1719">
        <v>148</v>
      </c>
      <c r="E1719">
        <v>2</v>
      </c>
      <c r="F1719">
        <v>7</v>
      </c>
      <c r="G1719" t="s">
        <v>173</v>
      </c>
      <c r="H1719" s="1">
        <v>12</v>
      </c>
      <c r="I1719" s="1">
        <v>67</v>
      </c>
      <c r="J1719" s="1">
        <v>72</v>
      </c>
      <c r="K1719" s="1">
        <f t="shared" si="84"/>
        <v>5</v>
      </c>
      <c r="L1719" s="1">
        <v>130</v>
      </c>
      <c r="M1719" s="1">
        <v>47</v>
      </c>
      <c r="N1719" s="1">
        <v>2.5</v>
      </c>
      <c r="O1719" s="1">
        <v>4</v>
      </c>
      <c r="P1719" s="1">
        <v>8</v>
      </c>
      <c r="Q1719" s="2">
        <v>0.309</v>
      </c>
      <c r="R1719" s="1">
        <v>8</v>
      </c>
      <c r="S1719" s="1">
        <f t="shared" si="85"/>
        <v>1</v>
      </c>
      <c r="T1719" s="1">
        <v>3</v>
      </c>
      <c r="U1719" s="1">
        <v>12.5</v>
      </c>
      <c r="V1719" s="1">
        <v>1130.9803921568628</v>
      </c>
      <c r="W1719" s="1">
        <v>4</v>
      </c>
    </row>
    <row r="1720" spans="1:23" x14ac:dyDescent="0.2">
      <c r="A1720">
        <v>2020</v>
      </c>
      <c r="B1720" t="s">
        <v>23</v>
      </c>
      <c r="C1720" t="s">
        <v>271</v>
      </c>
      <c r="D1720">
        <v>149</v>
      </c>
      <c r="E1720">
        <v>1</v>
      </c>
      <c r="F1720">
        <v>9</v>
      </c>
      <c r="G1720" t="s">
        <v>174</v>
      </c>
      <c r="H1720" s="1">
        <v>10</v>
      </c>
      <c r="I1720" s="1">
        <v>57</v>
      </c>
      <c r="J1720" s="1">
        <v>61</v>
      </c>
      <c r="K1720" s="1">
        <f t="shared" si="84"/>
        <v>4</v>
      </c>
      <c r="L1720" s="1">
        <v>136</v>
      </c>
      <c r="M1720" s="1">
        <v>33</v>
      </c>
      <c r="N1720" s="1">
        <v>3</v>
      </c>
      <c r="O1720" s="1">
        <v>4.5</v>
      </c>
      <c r="P1720" s="1">
        <v>6</v>
      </c>
      <c r="Q1720" s="2">
        <v>0.16379999999999997</v>
      </c>
      <c r="R1720" s="1">
        <v>4</v>
      </c>
      <c r="S1720" s="1">
        <f t="shared" si="85"/>
        <v>0.66666666666666663</v>
      </c>
      <c r="T1720" s="1">
        <v>5</v>
      </c>
      <c r="U1720" s="1">
        <v>12.5</v>
      </c>
      <c r="V1720" s="1">
        <v>599.52941176470586</v>
      </c>
      <c r="W1720" s="1">
        <v>6</v>
      </c>
    </row>
    <row r="1721" spans="1:23" x14ac:dyDescent="0.2">
      <c r="A1721">
        <v>2020</v>
      </c>
      <c r="B1721" t="s">
        <v>23</v>
      </c>
      <c r="C1721" t="s">
        <v>271</v>
      </c>
      <c r="D1721">
        <v>149</v>
      </c>
      <c r="E1721">
        <v>2</v>
      </c>
      <c r="F1721">
        <v>8</v>
      </c>
      <c r="G1721" t="s">
        <v>174</v>
      </c>
      <c r="H1721" s="1">
        <v>10</v>
      </c>
      <c r="I1721" s="1">
        <v>69</v>
      </c>
      <c r="J1721" s="1">
        <v>74</v>
      </c>
      <c r="K1721" s="1">
        <f t="shared" si="84"/>
        <v>5</v>
      </c>
      <c r="L1721" s="1">
        <v>77</v>
      </c>
      <c r="M1721" s="1">
        <v>40</v>
      </c>
      <c r="N1721" s="1">
        <v>2</v>
      </c>
      <c r="O1721" s="1">
        <v>3.5</v>
      </c>
      <c r="P1721" s="1">
        <v>8</v>
      </c>
      <c r="Q1721" s="2">
        <v>0.36799999999999999</v>
      </c>
      <c r="R1721" s="1">
        <v>7</v>
      </c>
      <c r="S1721" s="1">
        <f t="shared" si="85"/>
        <v>0.875</v>
      </c>
      <c r="T1721" s="1">
        <v>2.5</v>
      </c>
      <c r="U1721" s="1">
        <v>12.5</v>
      </c>
      <c r="V1721" s="1">
        <v>1346.9281045751634</v>
      </c>
      <c r="W1721" s="1">
        <v>6</v>
      </c>
    </row>
    <row r="1722" spans="1:23" x14ac:dyDescent="0.2">
      <c r="A1722">
        <v>2020</v>
      </c>
      <c r="B1722" t="s">
        <v>23</v>
      </c>
      <c r="C1722" t="s">
        <v>271</v>
      </c>
      <c r="D1722">
        <v>150</v>
      </c>
      <c r="E1722">
        <v>1</v>
      </c>
      <c r="F1722">
        <v>5</v>
      </c>
      <c r="G1722" t="s">
        <v>175</v>
      </c>
      <c r="H1722" s="1">
        <v>2</v>
      </c>
      <c r="I1722" s="1">
        <v>68</v>
      </c>
      <c r="J1722" s="1">
        <v>72</v>
      </c>
      <c r="K1722" s="1">
        <f t="shared" si="84"/>
        <v>4</v>
      </c>
      <c r="L1722" s="1">
        <v>92</v>
      </c>
      <c r="M1722" s="1">
        <v>29</v>
      </c>
      <c r="N1722" s="1">
        <v>2</v>
      </c>
      <c r="O1722" s="1">
        <v>4</v>
      </c>
      <c r="P1722" s="1">
        <v>1</v>
      </c>
      <c r="Q1722" s="2">
        <v>8.5999999999999993E-2</v>
      </c>
      <c r="R1722" s="1">
        <v>1</v>
      </c>
      <c r="S1722" s="1">
        <f t="shared" si="85"/>
        <v>1</v>
      </c>
      <c r="T1722" s="1">
        <v>4</v>
      </c>
      <c r="U1722" s="1">
        <v>12.5</v>
      </c>
      <c r="V1722" s="1">
        <v>314.77124183006538</v>
      </c>
      <c r="W1722" s="1">
        <v>5</v>
      </c>
    </row>
    <row r="1723" spans="1:23" x14ac:dyDescent="0.2">
      <c r="A1723">
        <v>2020</v>
      </c>
      <c r="B1723" t="s">
        <v>23</v>
      </c>
      <c r="C1723" t="s">
        <v>271</v>
      </c>
      <c r="D1723">
        <v>150</v>
      </c>
      <c r="E1723">
        <v>2</v>
      </c>
      <c r="F1723">
        <v>15</v>
      </c>
      <c r="G1723" t="s">
        <v>175</v>
      </c>
      <c r="H1723">
        <v>16</v>
      </c>
      <c r="I1723">
        <v>54</v>
      </c>
      <c r="J1723">
        <v>55</v>
      </c>
      <c r="K1723">
        <v>1</v>
      </c>
      <c r="L1723">
        <v>128</v>
      </c>
      <c r="M1723">
        <v>76</v>
      </c>
      <c r="N1723">
        <v>2</v>
      </c>
      <c r="O1723">
        <v>2</v>
      </c>
      <c r="P1723">
        <v>13</v>
      </c>
      <c r="Q1723">
        <v>0.3</v>
      </c>
      <c r="R1723">
        <v>11</v>
      </c>
      <c r="S1723">
        <v>0.84615384615384615</v>
      </c>
      <c r="T1723">
        <v>4</v>
      </c>
      <c r="U1723">
        <v>7.9</v>
      </c>
      <c r="V1723">
        <v>1155.7647058823529</v>
      </c>
      <c r="W1723">
        <v>1</v>
      </c>
    </row>
    <row r="1724" spans="1:23" x14ac:dyDescent="0.2">
      <c r="A1724">
        <v>2020</v>
      </c>
      <c r="B1724" t="s">
        <v>23</v>
      </c>
      <c r="C1724" t="s">
        <v>271</v>
      </c>
      <c r="D1724">
        <v>151</v>
      </c>
      <c r="E1724">
        <v>1</v>
      </c>
      <c r="F1724">
        <v>6</v>
      </c>
      <c r="G1724" t="s">
        <v>176</v>
      </c>
      <c r="H1724" s="1">
        <v>11</v>
      </c>
      <c r="I1724" s="1">
        <v>67</v>
      </c>
      <c r="J1724" s="1">
        <v>72</v>
      </c>
      <c r="K1724" s="1">
        <f>J1724-I1724</f>
        <v>5</v>
      </c>
      <c r="L1724" s="1">
        <v>175</v>
      </c>
      <c r="M1724" s="1">
        <v>73</v>
      </c>
      <c r="N1724" s="1">
        <v>2</v>
      </c>
      <c r="O1724" s="1">
        <v>3.5</v>
      </c>
      <c r="P1724" s="1">
        <v>10</v>
      </c>
      <c r="Q1724" s="2">
        <v>0.36980000000000002</v>
      </c>
      <c r="R1724" s="1">
        <v>8</v>
      </c>
      <c r="S1724" s="1">
        <f>R1724/P1724</f>
        <v>0.8</v>
      </c>
      <c r="T1724" s="1">
        <v>5</v>
      </c>
      <c r="U1724" s="1">
        <v>12.5</v>
      </c>
      <c r="V1724" s="1">
        <v>1353.5163398692812</v>
      </c>
      <c r="W1724" s="1">
        <v>2</v>
      </c>
    </row>
    <row r="1725" spans="1:23" x14ac:dyDescent="0.2">
      <c r="A1725">
        <v>2020</v>
      </c>
      <c r="B1725" t="s">
        <v>23</v>
      </c>
      <c r="C1725" t="s">
        <v>271</v>
      </c>
      <c r="D1725">
        <v>151</v>
      </c>
      <c r="E1725">
        <v>2</v>
      </c>
      <c r="F1725">
        <v>13</v>
      </c>
      <c r="G1725" t="s">
        <v>176</v>
      </c>
      <c r="H1725">
        <v>14</v>
      </c>
      <c r="I1725">
        <v>52</v>
      </c>
      <c r="J1725">
        <v>58</v>
      </c>
      <c r="K1725">
        <v>6</v>
      </c>
      <c r="L1725">
        <v>185</v>
      </c>
      <c r="M1725">
        <v>100</v>
      </c>
      <c r="N1725">
        <v>2</v>
      </c>
      <c r="O1725">
        <v>2.5</v>
      </c>
      <c r="P1725">
        <v>12</v>
      </c>
      <c r="Q1725">
        <v>1</v>
      </c>
      <c r="R1725">
        <v>12</v>
      </c>
      <c r="S1725">
        <v>1</v>
      </c>
      <c r="T1725">
        <v>2</v>
      </c>
      <c r="U1725">
        <v>7.7</v>
      </c>
      <c r="V1725">
        <v>3860.9150326797389</v>
      </c>
      <c r="W1725">
        <v>2</v>
      </c>
    </row>
    <row r="1726" spans="1:23" x14ac:dyDescent="0.2">
      <c r="A1726">
        <v>2020</v>
      </c>
      <c r="B1726" t="s">
        <v>23</v>
      </c>
      <c r="C1726" t="s">
        <v>271</v>
      </c>
      <c r="D1726">
        <v>152</v>
      </c>
      <c r="E1726">
        <v>1</v>
      </c>
      <c r="F1726">
        <v>1</v>
      </c>
      <c r="G1726" t="s">
        <v>177</v>
      </c>
      <c r="H1726" s="1">
        <v>11</v>
      </c>
      <c r="I1726" s="1">
        <v>65</v>
      </c>
      <c r="J1726" s="1">
        <v>69</v>
      </c>
      <c r="K1726" s="1">
        <f>J1726-I1726</f>
        <v>4</v>
      </c>
      <c r="L1726" s="1">
        <v>172</v>
      </c>
      <c r="M1726" s="1">
        <v>85</v>
      </c>
      <c r="N1726" s="1">
        <v>2</v>
      </c>
      <c r="O1726" s="1">
        <v>3.5</v>
      </c>
      <c r="P1726" s="1">
        <v>7</v>
      </c>
      <c r="Q1726" s="2">
        <v>0.31656000000000001</v>
      </c>
      <c r="R1726" s="1">
        <v>8</v>
      </c>
      <c r="S1726" s="1">
        <f>R1726/P1726</f>
        <v>1.1428571428571428</v>
      </c>
      <c r="T1726" s="1">
        <v>5</v>
      </c>
      <c r="U1726" s="1">
        <v>12.5</v>
      </c>
      <c r="V1726" s="1">
        <v>1158.650980392157</v>
      </c>
      <c r="W1726" s="1">
        <v>6</v>
      </c>
    </row>
    <row r="1727" spans="1:23" x14ac:dyDescent="0.2">
      <c r="A1727">
        <v>2020</v>
      </c>
      <c r="B1727" t="s">
        <v>23</v>
      </c>
      <c r="C1727" t="s">
        <v>271</v>
      </c>
      <c r="D1727">
        <v>152</v>
      </c>
      <c r="E1727">
        <v>2</v>
      </c>
      <c r="F1727">
        <v>14</v>
      </c>
      <c r="G1727" t="s">
        <v>177</v>
      </c>
      <c r="H1727" s="1">
        <v>12</v>
      </c>
      <c r="I1727" s="1">
        <v>64</v>
      </c>
      <c r="J1727" s="1">
        <v>69</v>
      </c>
      <c r="K1727" s="1">
        <f>J1727-I1727</f>
        <v>5</v>
      </c>
      <c r="L1727" s="1">
        <v>102</v>
      </c>
      <c r="M1727" s="1">
        <v>30</v>
      </c>
      <c r="N1727" s="1">
        <v>3</v>
      </c>
      <c r="O1727" s="1">
        <v>4.5</v>
      </c>
      <c r="P1727" s="1">
        <v>6</v>
      </c>
      <c r="Q1727" s="2">
        <v>0.28000000000000003</v>
      </c>
      <c r="R1727" s="1">
        <v>4</v>
      </c>
      <c r="S1727" s="1">
        <f>R1727/P1727</f>
        <v>0.66666666666666663</v>
      </c>
      <c r="T1727" s="1">
        <v>4</v>
      </c>
      <c r="U1727" s="1">
        <v>12.5</v>
      </c>
      <c r="V1727" s="1">
        <v>1024.8366013071898</v>
      </c>
      <c r="W1727" s="1">
        <v>4</v>
      </c>
    </row>
    <row r="1728" spans="1:23" x14ac:dyDescent="0.2">
      <c r="A1728">
        <v>2020</v>
      </c>
      <c r="B1728" t="s">
        <v>23</v>
      </c>
      <c r="C1728" t="s">
        <v>271</v>
      </c>
      <c r="D1728">
        <v>153</v>
      </c>
      <c r="E1728">
        <v>1</v>
      </c>
      <c r="F1728">
        <v>11</v>
      </c>
      <c r="G1728" t="s">
        <v>178</v>
      </c>
      <c r="H1728">
        <v>4</v>
      </c>
      <c r="I1728">
        <v>56</v>
      </c>
      <c r="J1728">
        <v>58</v>
      </c>
      <c r="K1728">
        <v>2</v>
      </c>
      <c r="L1728">
        <v>134</v>
      </c>
      <c r="M1728">
        <v>72</v>
      </c>
      <c r="N1728">
        <v>1.5</v>
      </c>
      <c r="O1728">
        <v>3.5</v>
      </c>
      <c r="P1728">
        <v>4</v>
      </c>
      <c r="Q1728">
        <v>0.3</v>
      </c>
      <c r="R1728">
        <v>4</v>
      </c>
      <c r="S1728">
        <v>1</v>
      </c>
      <c r="T1728">
        <v>3.5</v>
      </c>
      <c r="U1728">
        <v>12.5</v>
      </c>
      <c r="V1728">
        <v>1098.0392156862745</v>
      </c>
      <c r="W1728">
        <v>1</v>
      </c>
    </row>
    <row r="1729" spans="1:23" x14ac:dyDescent="0.2">
      <c r="A1729">
        <v>2020</v>
      </c>
      <c r="B1729" t="s">
        <v>23</v>
      </c>
      <c r="C1729" t="s">
        <v>271</v>
      </c>
      <c r="D1729">
        <v>153</v>
      </c>
      <c r="E1729">
        <v>2</v>
      </c>
      <c r="F1729">
        <v>11</v>
      </c>
      <c r="G1729" t="s">
        <v>178</v>
      </c>
      <c r="H1729" s="1">
        <v>7</v>
      </c>
      <c r="I1729" s="1">
        <v>62</v>
      </c>
      <c r="J1729" s="1">
        <v>66</v>
      </c>
      <c r="K1729" s="1">
        <f t="shared" ref="K1729:K1735" si="86">J1729-I1729</f>
        <v>4</v>
      </c>
      <c r="L1729" s="1">
        <v>154</v>
      </c>
      <c r="M1729" s="1">
        <v>73</v>
      </c>
      <c r="N1729" s="1">
        <v>2</v>
      </c>
      <c r="O1729" s="1">
        <v>2.5</v>
      </c>
      <c r="P1729" s="1">
        <v>5</v>
      </c>
      <c r="Q1729" s="2">
        <v>0.73859999999999992</v>
      </c>
      <c r="R1729" s="1">
        <v>4</v>
      </c>
      <c r="S1729" s="1">
        <f t="shared" ref="S1729:S1735" si="87">R1729/P1729</f>
        <v>0.8</v>
      </c>
      <c r="T1729" s="1">
        <v>2</v>
      </c>
      <c r="U1729" s="1">
        <v>6.9</v>
      </c>
      <c r="V1729" s="1">
        <v>2876.3883921568622</v>
      </c>
      <c r="W1729" s="1">
        <v>2</v>
      </c>
    </row>
    <row r="1730" spans="1:23" x14ac:dyDescent="0.2">
      <c r="A1730">
        <v>2020</v>
      </c>
      <c r="B1730" t="s">
        <v>23</v>
      </c>
      <c r="C1730" t="s">
        <v>271</v>
      </c>
      <c r="D1730">
        <v>154</v>
      </c>
      <c r="E1730">
        <v>1</v>
      </c>
      <c r="F1730">
        <v>7</v>
      </c>
      <c r="G1730" t="s">
        <v>179</v>
      </c>
      <c r="H1730" s="1">
        <v>5</v>
      </c>
      <c r="I1730" s="1">
        <v>66</v>
      </c>
      <c r="J1730" s="1">
        <v>71</v>
      </c>
      <c r="K1730" s="1">
        <f t="shared" si="86"/>
        <v>5</v>
      </c>
      <c r="L1730" s="1">
        <v>124</v>
      </c>
      <c r="M1730" s="1">
        <v>46</v>
      </c>
      <c r="N1730" s="1">
        <v>2</v>
      </c>
      <c r="O1730" s="1">
        <v>4</v>
      </c>
      <c r="P1730" s="1">
        <v>3</v>
      </c>
      <c r="Q1730" s="2">
        <v>6.5000000000000002E-2</v>
      </c>
      <c r="R1730" s="1">
        <v>2</v>
      </c>
      <c r="S1730" s="1">
        <f t="shared" si="87"/>
        <v>0.66666666666666663</v>
      </c>
      <c r="T1730" s="1">
        <v>4.5</v>
      </c>
      <c r="U1730" s="1">
        <v>12.5</v>
      </c>
      <c r="V1730" s="1">
        <v>237.90849673202612</v>
      </c>
      <c r="W1730" s="1">
        <v>4</v>
      </c>
    </row>
    <row r="1731" spans="1:23" x14ac:dyDescent="0.2">
      <c r="A1731">
        <v>2020</v>
      </c>
      <c r="B1731" t="s">
        <v>23</v>
      </c>
      <c r="C1731" t="s">
        <v>271</v>
      </c>
      <c r="D1731">
        <v>154</v>
      </c>
      <c r="E1731">
        <v>2</v>
      </c>
      <c r="F1731">
        <v>1</v>
      </c>
      <c r="G1731" t="s">
        <v>179</v>
      </c>
      <c r="H1731" s="1">
        <v>8</v>
      </c>
      <c r="I1731" s="1">
        <v>61</v>
      </c>
      <c r="J1731" s="1">
        <v>64</v>
      </c>
      <c r="K1731" s="1">
        <f t="shared" si="86"/>
        <v>3</v>
      </c>
      <c r="L1731" s="1">
        <v>102</v>
      </c>
      <c r="M1731" s="1">
        <v>25</v>
      </c>
      <c r="N1731" s="1">
        <v>1.5</v>
      </c>
      <c r="O1731" s="1">
        <v>5</v>
      </c>
      <c r="P1731" s="1">
        <v>5</v>
      </c>
      <c r="Q1731" s="2">
        <v>6.6500000000000004E-2</v>
      </c>
      <c r="R1731" s="1">
        <v>3</v>
      </c>
      <c r="S1731" s="1">
        <f t="shared" si="87"/>
        <v>0.6</v>
      </c>
      <c r="T1731" s="1">
        <v>5</v>
      </c>
      <c r="U1731" s="1">
        <v>12.5</v>
      </c>
      <c r="V1731" s="1">
        <v>243.39869281045756</v>
      </c>
      <c r="W1731" s="1">
        <v>6</v>
      </c>
    </row>
    <row r="1732" spans="1:23" x14ac:dyDescent="0.2">
      <c r="A1732">
        <v>2020</v>
      </c>
      <c r="B1732" t="s">
        <v>23</v>
      </c>
      <c r="C1732" t="s">
        <v>271</v>
      </c>
      <c r="D1732">
        <v>155</v>
      </c>
      <c r="E1732">
        <v>1</v>
      </c>
      <c r="F1732">
        <v>15</v>
      </c>
      <c r="G1732" t="s">
        <v>180</v>
      </c>
      <c r="H1732" s="1">
        <v>5</v>
      </c>
      <c r="I1732" s="1">
        <v>66</v>
      </c>
      <c r="J1732" s="1">
        <v>68</v>
      </c>
      <c r="K1732" s="1">
        <f t="shared" si="86"/>
        <v>2</v>
      </c>
      <c r="L1732" s="1">
        <v>80</v>
      </c>
      <c r="M1732" s="1">
        <v>15</v>
      </c>
      <c r="N1732" s="1">
        <v>2</v>
      </c>
      <c r="O1732" s="1">
        <v>4</v>
      </c>
      <c r="P1732" s="1">
        <v>2</v>
      </c>
      <c r="Q1732" s="2">
        <v>6.4000000000000001E-2</v>
      </c>
      <c r="R1732" s="1">
        <v>2</v>
      </c>
      <c r="S1732" s="1">
        <f t="shared" si="87"/>
        <v>1</v>
      </c>
      <c r="T1732" s="1">
        <v>5</v>
      </c>
      <c r="U1732" s="1">
        <v>12.5</v>
      </c>
      <c r="V1732" s="1">
        <v>234.24836601307192</v>
      </c>
      <c r="W1732" s="1">
        <v>6</v>
      </c>
    </row>
    <row r="1733" spans="1:23" x14ac:dyDescent="0.2">
      <c r="A1733">
        <v>2020</v>
      </c>
      <c r="B1733" t="s">
        <v>23</v>
      </c>
      <c r="C1733" t="s">
        <v>271</v>
      </c>
      <c r="D1733">
        <v>155</v>
      </c>
      <c r="E1733">
        <v>2</v>
      </c>
      <c r="F1733">
        <v>10</v>
      </c>
      <c r="G1733" t="s">
        <v>180</v>
      </c>
      <c r="H1733" s="1">
        <v>8</v>
      </c>
      <c r="I1733" s="1">
        <v>72</v>
      </c>
      <c r="J1733" s="1">
        <v>73</v>
      </c>
      <c r="K1733" s="1">
        <f t="shared" si="86"/>
        <v>1</v>
      </c>
      <c r="L1733" s="1">
        <v>91</v>
      </c>
      <c r="M1733" s="1">
        <v>36</v>
      </c>
      <c r="N1733" s="1">
        <v>3</v>
      </c>
      <c r="O1733" s="1">
        <v>5</v>
      </c>
      <c r="P1733" s="1">
        <v>1</v>
      </c>
      <c r="Q1733" s="2">
        <v>1.9199999999999998E-2</v>
      </c>
      <c r="R1733" s="1">
        <v>1</v>
      </c>
      <c r="S1733" s="1">
        <f t="shared" si="87"/>
        <v>1</v>
      </c>
      <c r="T1733" s="1">
        <v>5</v>
      </c>
      <c r="U1733" s="1">
        <v>12.5</v>
      </c>
      <c r="V1733" s="1">
        <v>70.274509803921575</v>
      </c>
      <c r="W1733" s="1">
        <v>6</v>
      </c>
    </row>
    <row r="1734" spans="1:23" x14ac:dyDescent="0.2">
      <c r="A1734">
        <v>2020</v>
      </c>
      <c r="B1734" t="s">
        <v>23</v>
      </c>
      <c r="C1734" t="s">
        <v>271</v>
      </c>
      <c r="D1734">
        <v>156</v>
      </c>
      <c r="E1734">
        <v>1</v>
      </c>
      <c r="F1734">
        <v>6</v>
      </c>
      <c r="G1734" t="s">
        <v>181</v>
      </c>
      <c r="H1734" s="1">
        <v>7</v>
      </c>
      <c r="I1734" s="1">
        <v>62</v>
      </c>
      <c r="J1734" s="1">
        <v>67</v>
      </c>
      <c r="K1734" s="1">
        <f t="shared" si="86"/>
        <v>5</v>
      </c>
      <c r="L1734" s="1">
        <v>106</v>
      </c>
      <c r="M1734" s="1">
        <v>32</v>
      </c>
      <c r="N1734" s="1">
        <v>3.5</v>
      </c>
      <c r="O1734" s="1">
        <v>4.5</v>
      </c>
      <c r="P1734" s="1">
        <v>3</v>
      </c>
      <c r="Q1734" s="2">
        <v>0.13600000000000001</v>
      </c>
      <c r="R1734" s="1">
        <v>3</v>
      </c>
      <c r="S1734" s="1">
        <f t="shared" si="87"/>
        <v>1</v>
      </c>
      <c r="T1734" s="1">
        <v>5</v>
      </c>
      <c r="U1734" s="1">
        <v>12.5</v>
      </c>
      <c r="V1734" s="1">
        <v>497.77777777777777</v>
      </c>
      <c r="W1734" s="1">
        <v>4</v>
      </c>
    </row>
    <row r="1735" spans="1:23" x14ac:dyDescent="0.2">
      <c r="A1735">
        <v>2020</v>
      </c>
      <c r="B1735" t="s">
        <v>23</v>
      </c>
      <c r="C1735" t="s">
        <v>271</v>
      </c>
      <c r="D1735">
        <v>156</v>
      </c>
      <c r="E1735">
        <v>2</v>
      </c>
      <c r="F1735">
        <v>3</v>
      </c>
      <c r="G1735" t="s">
        <v>181</v>
      </c>
      <c r="H1735" s="1">
        <v>7</v>
      </c>
      <c r="I1735" s="1">
        <v>64</v>
      </c>
      <c r="J1735" s="1">
        <v>69</v>
      </c>
      <c r="K1735" s="1">
        <f t="shared" si="86"/>
        <v>5</v>
      </c>
      <c r="L1735" s="1">
        <v>152</v>
      </c>
      <c r="M1735" s="1">
        <v>67</v>
      </c>
      <c r="N1735" s="1">
        <v>2</v>
      </c>
      <c r="O1735" s="1">
        <v>3</v>
      </c>
      <c r="P1735" s="1">
        <v>7</v>
      </c>
      <c r="Q1735" s="2">
        <v>0.78</v>
      </c>
      <c r="R1735" s="1">
        <v>5</v>
      </c>
      <c r="S1735" s="1">
        <f t="shared" si="87"/>
        <v>0.7142857142857143</v>
      </c>
      <c r="T1735" s="1">
        <v>3</v>
      </c>
      <c r="U1735" s="1">
        <v>7.1</v>
      </c>
      <c r="V1735" s="1">
        <v>3031.0901960784313</v>
      </c>
      <c r="W1735" s="1">
        <v>5</v>
      </c>
    </row>
    <row r="1736" spans="1:23" x14ac:dyDescent="0.2">
      <c r="A1736">
        <v>2020</v>
      </c>
      <c r="B1736" t="s">
        <v>23</v>
      </c>
      <c r="C1736" t="s">
        <v>271</v>
      </c>
      <c r="D1736">
        <v>157</v>
      </c>
      <c r="E1736">
        <v>1</v>
      </c>
      <c r="F1736">
        <v>10</v>
      </c>
      <c r="G1736" t="s">
        <v>182</v>
      </c>
      <c r="H1736">
        <v>3</v>
      </c>
      <c r="I1736">
        <v>55</v>
      </c>
      <c r="J1736">
        <v>58</v>
      </c>
      <c r="K1736">
        <v>3</v>
      </c>
      <c r="L1736">
        <v>102</v>
      </c>
      <c r="M1736">
        <v>36</v>
      </c>
      <c r="N1736">
        <v>4</v>
      </c>
      <c r="O1736">
        <v>4</v>
      </c>
      <c r="P1736">
        <v>2</v>
      </c>
      <c r="Q1736">
        <v>0.154</v>
      </c>
      <c r="R1736">
        <v>4</v>
      </c>
      <c r="S1736">
        <v>2</v>
      </c>
      <c r="T1736">
        <v>3</v>
      </c>
      <c r="U1736">
        <v>12.5</v>
      </c>
      <c r="V1736">
        <v>563.66013071895429</v>
      </c>
      <c r="W1736">
        <v>1</v>
      </c>
    </row>
    <row r="1737" spans="1:23" x14ac:dyDescent="0.2">
      <c r="A1737">
        <v>2020</v>
      </c>
      <c r="B1737" t="s">
        <v>23</v>
      </c>
      <c r="C1737" t="s">
        <v>271</v>
      </c>
      <c r="D1737">
        <v>157</v>
      </c>
      <c r="E1737">
        <v>2</v>
      </c>
      <c r="F1737">
        <v>1</v>
      </c>
      <c r="G1737" t="s">
        <v>182</v>
      </c>
      <c r="H1737" s="1">
        <v>4</v>
      </c>
      <c r="I1737" s="1">
        <v>64</v>
      </c>
      <c r="J1737" s="1">
        <v>67</v>
      </c>
      <c r="K1737" s="1">
        <f>J1737-I1737</f>
        <v>3</v>
      </c>
      <c r="L1737" s="1">
        <v>144</v>
      </c>
      <c r="M1737" s="1">
        <v>50</v>
      </c>
      <c r="N1737" s="1">
        <v>2</v>
      </c>
      <c r="O1737" s="1">
        <v>3.5</v>
      </c>
      <c r="P1737" s="1">
        <v>4</v>
      </c>
      <c r="Q1737" s="2">
        <v>0.32300000000000001</v>
      </c>
      <c r="R1737" s="1">
        <v>5</v>
      </c>
      <c r="S1737" s="1">
        <f>R1737/P1737</f>
        <v>1.25</v>
      </c>
      <c r="T1737" s="1">
        <v>4</v>
      </c>
      <c r="U1737" s="1">
        <v>12.5</v>
      </c>
      <c r="V1737" s="1">
        <v>1182.2222222222222</v>
      </c>
      <c r="W1737" s="1">
        <v>4</v>
      </c>
    </row>
    <row r="1738" spans="1:23" x14ac:dyDescent="0.2">
      <c r="A1738">
        <v>2020</v>
      </c>
      <c r="B1738" t="s">
        <v>23</v>
      </c>
      <c r="C1738" t="s">
        <v>271</v>
      </c>
      <c r="D1738">
        <v>158</v>
      </c>
      <c r="E1738">
        <v>1</v>
      </c>
      <c r="F1738">
        <v>1</v>
      </c>
      <c r="G1738" t="s">
        <v>183</v>
      </c>
      <c r="H1738" s="1">
        <v>6</v>
      </c>
      <c r="I1738" s="1">
        <v>72</v>
      </c>
      <c r="J1738" s="1">
        <v>73</v>
      </c>
      <c r="K1738" s="1">
        <f>J1738-I1738</f>
        <v>1</v>
      </c>
      <c r="L1738" s="1">
        <v>117</v>
      </c>
      <c r="M1738" s="1">
        <v>31</v>
      </c>
      <c r="N1738" s="1">
        <v>2</v>
      </c>
      <c r="O1738" s="1">
        <v>5</v>
      </c>
      <c r="P1738" s="1">
        <v>1</v>
      </c>
      <c r="Q1738" s="2">
        <v>4.6799999999999994E-2</v>
      </c>
      <c r="R1738" s="1">
        <v>1</v>
      </c>
      <c r="S1738" s="1">
        <f>R1738/P1738</f>
        <v>1</v>
      </c>
      <c r="T1738" s="1">
        <v>5</v>
      </c>
      <c r="U1738" s="1">
        <v>12.5</v>
      </c>
      <c r="V1738" s="1">
        <v>171.29411764705884</v>
      </c>
      <c r="W1738" s="1">
        <v>7</v>
      </c>
    </row>
    <row r="1739" spans="1:23" x14ac:dyDescent="0.2">
      <c r="A1739">
        <v>2020</v>
      </c>
      <c r="B1739" t="s">
        <v>23</v>
      </c>
      <c r="C1739" t="s">
        <v>271</v>
      </c>
      <c r="D1739">
        <v>158</v>
      </c>
      <c r="E1739">
        <v>2</v>
      </c>
      <c r="F1739">
        <v>1</v>
      </c>
      <c r="G1739" t="s">
        <v>183</v>
      </c>
      <c r="H1739" s="1">
        <v>7</v>
      </c>
      <c r="I1739" s="1">
        <v>67</v>
      </c>
      <c r="J1739" s="1">
        <v>69</v>
      </c>
      <c r="K1739" s="1">
        <f>J1739-I1739</f>
        <v>2</v>
      </c>
      <c r="L1739" s="1">
        <v>122</v>
      </c>
      <c r="M1739" s="1">
        <v>87</v>
      </c>
      <c r="N1739" s="1">
        <v>2</v>
      </c>
      <c r="O1739" s="1">
        <v>3.5</v>
      </c>
      <c r="P1739" s="1">
        <v>7</v>
      </c>
      <c r="Q1739" s="2">
        <v>0.82840000000000003</v>
      </c>
      <c r="R1739" s="1">
        <v>6</v>
      </c>
      <c r="S1739" s="1">
        <f>R1739/P1739</f>
        <v>0.8571428571428571</v>
      </c>
      <c r="T1739" s="1">
        <v>3</v>
      </c>
      <c r="U1739" s="1">
        <v>12.5</v>
      </c>
      <c r="V1739" s="1">
        <v>3032.0522875816991</v>
      </c>
      <c r="W1739" s="1">
        <v>6</v>
      </c>
    </row>
    <row r="1740" spans="1:23" x14ac:dyDescent="0.2">
      <c r="A1740">
        <v>2020</v>
      </c>
      <c r="B1740" t="s">
        <v>23</v>
      </c>
      <c r="C1740" t="s">
        <v>271</v>
      </c>
      <c r="D1740">
        <v>159</v>
      </c>
      <c r="E1740">
        <v>1</v>
      </c>
      <c r="F1740">
        <v>6</v>
      </c>
      <c r="G1740" t="s">
        <v>184</v>
      </c>
      <c r="H1740" s="1">
        <v>6</v>
      </c>
      <c r="I1740" s="1">
        <v>67</v>
      </c>
      <c r="J1740" s="1">
        <v>71</v>
      </c>
      <c r="K1740" s="1">
        <f>J1740-I1740</f>
        <v>4</v>
      </c>
      <c r="L1740" s="1">
        <v>108</v>
      </c>
      <c r="M1740" s="1">
        <v>92</v>
      </c>
      <c r="N1740" s="1">
        <v>2</v>
      </c>
      <c r="O1740" s="1">
        <v>3.5</v>
      </c>
      <c r="P1740" s="1">
        <f>H1740-2</f>
        <v>4</v>
      </c>
      <c r="Q1740" s="2">
        <v>0.06</v>
      </c>
      <c r="R1740" s="1">
        <v>2</v>
      </c>
      <c r="S1740" s="1">
        <f>R1740/P1740</f>
        <v>0.5</v>
      </c>
      <c r="T1740" s="1">
        <v>5</v>
      </c>
      <c r="U1740" s="1">
        <v>12.5</v>
      </c>
      <c r="V1740" s="1">
        <v>219.60784313725492</v>
      </c>
      <c r="W1740" s="1">
        <v>2</v>
      </c>
    </row>
    <row r="1741" spans="1:23" x14ac:dyDescent="0.2">
      <c r="A1741">
        <v>2020</v>
      </c>
      <c r="B1741" t="s">
        <v>23</v>
      </c>
      <c r="C1741" t="s">
        <v>271</v>
      </c>
      <c r="D1741">
        <v>159</v>
      </c>
      <c r="E1741">
        <v>2</v>
      </c>
      <c r="F1741">
        <v>1</v>
      </c>
      <c r="G1741" t="s">
        <v>184</v>
      </c>
      <c r="H1741" s="1">
        <v>7</v>
      </c>
      <c r="I1741" s="1">
        <v>64</v>
      </c>
      <c r="J1741" s="1">
        <v>67</v>
      </c>
      <c r="K1741" s="1">
        <f>J1741-I1741</f>
        <v>3</v>
      </c>
      <c r="L1741" s="1">
        <v>141</v>
      </c>
      <c r="M1741" s="1">
        <v>66</v>
      </c>
      <c r="N1741" s="1">
        <v>3</v>
      </c>
      <c r="O1741" s="1">
        <v>3.5</v>
      </c>
      <c r="P1741" s="1">
        <v>6</v>
      </c>
      <c r="Q1741" s="2">
        <v>0.42299999999999999</v>
      </c>
      <c r="R1741" s="1">
        <v>7</v>
      </c>
      <c r="S1741" s="1">
        <f>R1741/P1741</f>
        <v>1.1666666666666667</v>
      </c>
      <c r="T1741" s="1">
        <v>3</v>
      </c>
      <c r="U1741" s="1">
        <v>12.5</v>
      </c>
      <c r="V1741" s="1">
        <v>1548.2352941176468</v>
      </c>
      <c r="W1741" s="1">
        <v>5</v>
      </c>
    </row>
    <row r="1742" spans="1:23" x14ac:dyDescent="0.2">
      <c r="A1742">
        <v>2020</v>
      </c>
      <c r="B1742" t="s">
        <v>23</v>
      </c>
      <c r="C1742" t="s">
        <v>271</v>
      </c>
      <c r="D1742">
        <v>160</v>
      </c>
      <c r="E1742">
        <v>1</v>
      </c>
      <c r="F1742">
        <v>11</v>
      </c>
      <c r="G1742" t="s">
        <v>185</v>
      </c>
      <c r="H1742">
        <v>4</v>
      </c>
      <c r="I1742">
        <v>62</v>
      </c>
      <c r="J1742">
        <v>66</v>
      </c>
      <c r="K1742">
        <v>4</v>
      </c>
      <c r="L1742">
        <v>190</v>
      </c>
      <c r="M1742">
        <v>48</v>
      </c>
      <c r="N1742">
        <v>1</v>
      </c>
      <c r="O1742">
        <v>5</v>
      </c>
      <c r="P1742">
        <v>4</v>
      </c>
      <c r="Q1742">
        <v>0.222</v>
      </c>
      <c r="R1742">
        <v>6</v>
      </c>
      <c r="S1742">
        <v>1.5</v>
      </c>
      <c r="T1742">
        <v>2</v>
      </c>
      <c r="U1742">
        <v>12.5</v>
      </c>
      <c r="V1742">
        <v>812.54901960784309</v>
      </c>
      <c r="W1742">
        <v>2</v>
      </c>
    </row>
    <row r="1743" spans="1:23" x14ac:dyDescent="0.2">
      <c r="A1743">
        <v>2020</v>
      </c>
      <c r="B1743" t="s">
        <v>23</v>
      </c>
      <c r="C1743" t="s">
        <v>271</v>
      </c>
      <c r="D1743">
        <v>160</v>
      </c>
      <c r="E1743">
        <v>2</v>
      </c>
      <c r="F1743">
        <v>8</v>
      </c>
      <c r="G1743" t="s">
        <v>185</v>
      </c>
      <c r="H1743" s="1">
        <v>10</v>
      </c>
      <c r="I1743" s="1">
        <v>62</v>
      </c>
      <c r="J1743" s="1">
        <v>67</v>
      </c>
      <c r="K1743" s="1">
        <f>J1743-I1743</f>
        <v>5</v>
      </c>
      <c r="L1743" s="1">
        <v>163</v>
      </c>
      <c r="M1743" s="1">
        <v>103</v>
      </c>
      <c r="N1743" s="1">
        <v>2</v>
      </c>
      <c r="O1743" s="1">
        <v>2.5</v>
      </c>
      <c r="P1743" s="1">
        <v>8</v>
      </c>
      <c r="Q1743" s="2">
        <v>0.3392</v>
      </c>
      <c r="R1743" s="1">
        <v>3</v>
      </c>
      <c r="S1743" s="1">
        <f>R1743/P1743</f>
        <v>0.375</v>
      </c>
      <c r="T1743" s="1">
        <v>5</v>
      </c>
      <c r="U1743" s="1">
        <v>9.1</v>
      </c>
      <c r="V1743" s="1">
        <v>1289.758117647059</v>
      </c>
      <c r="W1743" s="1">
        <v>5</v>
      </c>
    </row>
    <row r="1744" spans="1:23" x14ac:dyDescent="0.2">
      <c r="A1744">
        <v>2020</v>
      </c>
      <c r="B1744" t="s">
        <v>23</v>
      </c>
      <c r="C1744" t="s">
        <v>271</v>
      </c>
      <c r="D1744">
        <v>161</v>
      </c>
      <c r="E1744">
        <v>1</v>
      </c>
      <c r="F1744">
        <v>2</v>
      </c>
      <c r="G1744" t="s">
        <v>186</v>
      </c>
      <c r="H1744" s="1">
        <v>5</v>
      </c>
      <c r="I1744" s="1">
        <v>62</v>
      </c>
      <c r="J1744" s="1">
        <v>67</v>
      </c>
      <c r="K1744" s="1">
        <f>J1744-I1744</f>
        <v>5</v>
      </c>
      <c r="L1744" s="1">
        <v>128</v>
      </c>
      <c r="M1744" s="1">
        <v>98</v>
      </c>
      <c r="N1744" s="1">
        <v>2</v>
      </c>
      <c r="O1744" s="1">
        <v>2</v>
      </c>
      <c r="P1744" s="1">
        <v>3</v>
      </c>
      <c r="Q1744" s="2">
        <v>0.16800000000000001</v>
      </c>
      <c r="R1744" s="1">
        <v>4</v>
      </c>
      <c r="S1744" s="1">
        <f>R1744/P1744</f>
        <v>1.3333333333333333</v>
      </c>
      <c r="T1744" s="1">
        <v>5</v>
      </c>
      <c r="U1744" s="1">
        <v>12.5</v>
      </c>
      <c r="V1744" s="1">
        <v>614.9019607843137</v>
      </c>
      <c r="W1744" s="1">
        <v>3</v>
      </c>
    </row>
    <row r="1745" spans="1:23" x14ac:dyDescent="0.2">
      <c r="A1745">
        <v>2020</v>
      </c>
      <c r="B1745" t="s">
        <v>23</v>
      </c>
      <c r="C1745" t="s">
        <v>271</v>
      </c>
      <c r="D1745">
        <v>161</v>
      </c>
      <c r="E1745">
        <v>2</v>
      </c>
      <c r="F1745">
        <v>15</v>
      </c>
      <c r="G1745" t="s">
        <v>186</v>
      </c>
      <c r="H1745">
        <v>1</v>
      </c>
      <c r="I1745">
        <v>62</v>
      </c>
      <c r="J1745">
        <v>66</v>
      </c>
      <c r="K1745">
        <v>4</v>
      </c>
      <c r="L1745">
        <v>150</v>
      </c>
      <c r="M1745">
        <v>70</v>
      </c>
      <c r="N1745">
        <v>2</v>
      </c>
      <c r="O1745">
        <v>3</v>
      </c>
      <c r="P1745">
        <v>1</v>
      </c>
      <c r="Q1745">
        <v>0.1</v>
      </c>
      <c r="R1745">
        <v>1</v>
      </c>
      <c r="S1745">
        <v>1</v>
      </c>
      <c r="T1745">
        <v>3</v>
      </c>
      <c r="U1745">
        <v>12.5</v>
      </c>
      <c r="V1745">
        <v>366.01307189542484</v>
      </c>
      <c r="W1745">
        <v>2</v>
      </c>
    </row>
    <row r="1746" spans="1:23" x14ac:dyDescent="0.2">
      <c r="A1746">
        <v>2020</v>
      </c>
      <c r="B1746" t="s">
        <v>23</v>
      </c>
      <c r="C1746" t="s">
        <v>271</v>
      </c>
      <c r="D1746">
        <v>162</v>
      </c>
      <c r="E1746">
        <v>1</v>
      </c>
      <c r="F1746">
        <v>13</v>
      </c>
      <c r="G1746" t="s">
        <v>187</v>
      </c>
      <c r="H1746">
        <v>11</v>
      </c>
      <c r="I1746">
        <v>54</v>
      </c>
      <c r="J1746">
        <v>58</v>
      </c>
      <c r="K1746">
        <v>4</v>
      </c>
      <c r="L1746">
        <v>151</v>
      </c>
      <c r="M1746">
        <v>100</v>
      </c>
      <c r="N1746">
        <v>2</v>
      </c>
      <c r="O1746">
        <v>2</v>
      </c>
      <c r="P1746">
        <v>10</v>
      </c>
      <c r="Q1746">
        <v>0.6</v>
      </c>
      <c r="R1746">
        <v>9</v>
      </c>
      <c r="S1746">
        <v>0.9</v>
      </c>
      <c r="T1746">
        <v>3</v>
      </c>
      <c r="U1746">
        <v>8.8000000000000007</v>
      </c>
      <c r="V1746">
        <v>2288.9411764705883</v>
      </c>
      <c r="W1746">
        <v>2</v>
      </c>
    </row>
    <row r="1747" spans="1:23" x14ac:dyDescent="0.2">
      <c r="A1747">
        <v>2020</v>
      </c>
      <c r="B1747" t="s">
        <v>23</v>
      </c>
      <c r="C1747" t="s">
        <v>271</v>
      </c>
      <c r="D1747">
        <v>162</v>
      </c>
      <c r="E1747">
        <v>2</v>
      </c>
      <c r="F1747">
        <v>9</v>
      </c>
      <c r="G1747" t="s">
        <v>187</v>
      </c>
      <c r="H1747" s="1">
        <v>8</v>
      </c>
      <c r="I1747" s="1">
        <v>61</v>
      </c>
      <c r="J1747" s="1">
        <v>65</v>
      </c>
      <c r="K1747" s="1">
        <f>J1747-I1747</f>
        <v>4</v>
      </c>
      <c r="L1747" s="1">
        <v>123</v>
      </c>
      <c r="M1747" s="1">
        <v>51</v>
      </c>
      <c r="N1747" s="1">
        <v>3.5</v>
      </c>
      <c r="O1747" s="1">
        <v>4</v>
      </c>
      <c r="P1747" s="1">
        <v>6</v>
      </c>
      <c r="Q1747" s="2">
        <v>9.8000000000000004E-2</v>
      </c>
      <c r="R1747" s="1">
        <v>5</v>
      </c>
      <c r="S1747" s="1">
        <f>R1747/P1747</f>
        <v>0.83333333333333337</v>
      </c>
      <c r="T1747" s="1">
        <v>5</v>
      </c>
      <c r="U1747" s="1">
        <v>12.5</v>
      </c>
      <c r="V1747" s="1">
        <v>358.69281045751643</v>
      </c>
      <c r="W1747" s="1">
        <v>5</v>
      </c>
    </row>
    <row r="1748" spans="1:23" x14ac:dyDescent="0.2">
      <c r="A1748">
        <v>2020</v>
      </c>
      <c r="B1748" t="s">
        <v>23</v>
      </c>
      <c r="C1748" t="s">
        <v>271</v>
      </c>
      <c r="D1748">
        <v>163</v>
      </c>
      <c r="E1748">
        <v>1</v>
      </c>
      <c r="F1748">
        <v>11</v>
      </c>
      <c r="G1748" t="s">
        <v>188</v>
      </c>
      <c r="H1748">
        <v>4</v>
      </c>
      <c r="I1748">
        <v>63</v>
      </c>
      <c r="J1748">
        <v>67</v>
      </c>
      <c r="K1748">
        <v>4</v>
      </c>
      <c r="L1748">
        <v>115</v>
      </c>
      <c r="M1748">
        <v>61</v>
      </c>
      <c r="N1748">
        <v>1.5</v>
      </c>
      <c r="O1748">
        <v>4</v>
      </c>
      <c r="P1748">
        <v>4</v>
      </c>
      <c r="Q1748">
        <v>0.2</v>
      </c>
      <c r="R1748">
        <v>4</v>
      </c>
      <c r="S1748">
        <v>1</v>
      </c>
      <c r="T1748">
        <v>2.5</v>
      </c>
      <c r="U1748">
        <v>12.5</v>
      </c>
      <c r="V1748">
        <v>732.02614379084969</v>
      </c>
      <c r="W1748">
        <v>2</v>
      </c>
    </row>
    <row r="1749" spans="1:23" x14ac:dyDescent="0.2">
      <c r="A1749">
        <v>2020</v>
      </c>
      <c r="B1749" t="s">
        <v>23</v>
      </c>
      <c r="C1749" t="s">
        <v>271</v>
      </c>
      <c r="D1749">
        <v>163</v>
      </c>
      <c r="E1749">
        <v>2</v>
      </c>
      <c r="F1749">
        <v>9</v>
      </c>
      <c r="G1749" t="s">
        <v>188</v>
      </c>
      <c r="H1749" s="1">
        <v>5</v>
      </c>
      <c r="I1749" s="1">
        <v>65</v>
      </c>
      <c r="J1749" s="1">
        <v>69</v>
      </c>
      <c r="K1749" s="1">
        <f>J1749-I1749</f>
        <v>4</v>
      </c>
      <c r="L1749" s="1">
        <v>163</v>
      </c>
      <c r="M1749" s="1">
        <v>83</v>
      </c>
      <c r="N1749" s="1">
        <v>2</v>
      </c>
      <c r="O1749" s="1">
        <v>2</v>
      </c>
      <c r="P1749" s="1">
        <v>5</v>
      </c>
      <c r="Q1749" s="2">
        <v>0.46872000000000003</v>
      </c>
      <c r="R1749" s="1">
        <v>4</v>
      </c>
      <c r="S1749" s="1">
        <f>R1749/P1749</f>
        <v>0.8</v>
      </c>
      <c r="T1749" s="1">
        <v>3</v>
      </c>
      <c r="U1749" s="1">
        <v>12.5</v>
      </c>
      <c r="V1749" s="1">
        <v>1715.5764705882357</v>
      </c>
      <c r="W1749" s="1">
        <v>4</v>
      </c>
    </row>
    <row r="1750" spans="1:23" x14ac:dyDescent="0.2">
      <c r="A1750">
        <v>2020</v>
      </c>
      <c r="B1750" t="s">
        <v>23</v>
      </c>
      <c r="C1750" t="s">
        <v>271</v>
      </c>
      <c r="D1750">
        <v>164</v>
      </c>
      <c r="E1750">
        <v>1</v>
      </c>
      <c r="F1750">
        <v>8</v>
      </c>
      <c r="G1750" t="s">
        <v>189</v>
      </c>
      <c r="H1750" s="1">
        <v>12</v>
      </c>
      <c r="I1750" s="1">
        <v>62</v>
      </c>
      <c r="J1750" s="1">
        <v>66</v>
      </c>
      <c r="K1750" s="1">
        <f>J1750-I1750</f>
        <v>4</v>
      </c>
      <c r="L1750" s="1">
        <v>148</v>
      </c>
      <c r="M1750" s="1">
        <v>60</v>
      </c>
      <c r="N1750" s="1">
        <v>2</v>
      </c>
      <c r="O1750" s="1">
        <v>3.5</v>
      </c>
      <c r="P1750" s="1">
        <f>H1750-2</f>
        <v>10</v>
      </c>
      <c r="Q1750" s="2">
        <v>0.4088</v>
      </c>
      <c r="R1750" s="1">
        <v>10</v>
      </c>
      <c r="S1750" s="1">
        <f>R1750/P1750</f>
        <v>1</v>
      </c>
      <c r="T1750" s="1">
        <v>3</v>
      </c>
      <c r="U1750" s="1">
        <v>12.5</v>
      </c>
      <c r="V1750" s="1">
        <v>1496.2614379084971</v>
      </c>
      <c r="W1750" s="1">
        <v>5</v>
      </c>
    </row>
    <row r="1751" spans="1:23" x14ac:dyDescent="0.2">
      <c r="A1751">
        <v>2020</v>
      </c>
      <c r="B1751" t="s">
        <v>23</v>
      </c>
      <c r="C1751" t="s">
        <v>271</v>
      </c>
      <c r="D1751">
        <v>164</v>
      </c>
      <c r="E1751">
        <v>2</v>
      </c>
      <c r="F1751">
        <v>5</v>
      </c>
      <c r="G1751" t="s">
        <v>189</v>
      </c>
      <c r="H1751">
        <v>16</v>
      </c>
      <c r="I1751">
        <v>58</v>
      </c>
      <c r="J1751">
        <v>60</v>
      </c>
      <c r="K1751">
        <v>2</v>
      </c>
      <c r="L1751">
        <v>170</v>
      </c>
      <c r="M1751">
        <v>70</v>
      </c>
      <c r="N1751">
        <v>1.5</v>
      </c>
      <c r="O1751">
        <v>2</v>
      </c>
      <c r="P1751">
        <v>15</v>
      </c>
      <c r="Q1751">
        <v>1.2</v>
      </c>
      <c r="R1751">
        <v>15</v>
      </c>
      <c r="S1751">
        <v>1</v>
      </c>
      <c r="T1751">
        <v>3</v>
      </c>
      <c r="U1751">
        <v>12.5</v>
      </c>
      <c r="V1751">
        <v>4392.1568627450979</v>
      </c>
      <c r="W1751">
        <v>2</v>
      </c>
    </row>
    <row r="1752" spans="1:23" x14ac:dyDescent="0.2">
      <c r="A1752">
        <v>2020</v>
      </c>
      <c r="B1752" t="s">
        <v>23</v>
      </c>
      <c r="C1752" t="s">
        <v>271</v>
      </c>
      <c r="D1752">
        <v>165</v>
      </c>
      <c r="E1752">
        <v>1</v>
      </c>
      <c r="F1752">
        <v>12</v>
      </c>
      <c r="G1752" t="s">
        <v>190</v>
      </c>
      <c r="H1752" s="1">
        <v>4</v>
      </c>
      <c r="I1752" s="1">
        <v>66</v>
      </c>
      <c r="J1752" s="1">
        <v>69</v>
      </c>
      <c r="K1752" s="1">
        <f>J1752-I1752</f>
        <v>3</v>
      </c>
      <c r="L1752" s="1">
        <v>167</v>
      </c>
      <c r="M1752" s="1">
        <v>73</v>
      </c>
      <c r="N1752" s="1">
        <v>2</v>
      </c>
      <c r="O1752" s="1">
        <v>3.5</v>
      </c>
      <c r="P1752" s="1">
        <v>2</v>
      </c>
      <c r="Q1752" s="2">
        <v>0.18680000000000002</v>
      </c>
      <c r="R1752" s="1">
        <v>2</v>
      </c>
      <c r="S1752" s="1">
        <f>R1752/P1752</f>
        <v>1</v>
      </c>
      <c r="T1752" s="1">
        <v>5</v>
      </c>
      <c r="U1752" s="1">
        <v>10.5</v>
      </c>
      <c r="V1752" s="1">
        <v>699.34013071895436</v>
      </c>
      <c r="W1752" s="1">
        <v>4</v>
      </c>
    </row>
    <row r="1753" spans="1:23" x14ac:dyDescent="0.2">
      <c r="A1753">
        <v>2020</v>
      </c>
      <c r="B1753" t="s">
        <v>23</v>
      </c>
      <c r="C1753" t="s">
        <v>271</v>
      </c>
      <c r="D1753">
        <v>165</v>
      </c>
      <c r="E1753">
        <v>2</v>
      </c>
      <c r="F1753">
        <v>7</v>
      </c>
      <c r="G1753" t="s">
        <v>190</v>
      </c>
      <c r="H1753" s="1">
        <v>5</v>
      </c>
      <c r="I1753" s="1">
        <v>65</v>
      </c>
      <c r="J1753" s="1">
        <v>70</v>
      </c>
      <c r="K1753" s="1">
        <f>J1753-I1753</f>
        <v>5</v>
      </c>
      <c r="L1753" s="1">
        <v>106</v>
      </c>
      <c r="M1753" s="1">
        <v>45</v>
      </c>
      <c r="N1753" s="1">
        <v>2</v>
      </c>
      <c r="O1753" s="1">
        <v>4.5</v>
      </c>
      <c r="P1753" s="1">
        <v>3</v>
      </c>
      <c r="Q1753" s="2">
        <v>5.1999999999999998E-2</v>
      </c>
      <c r="R1753" s="1">
        <v>1</v>
      </c>
      <c r="S1753" s="1">
        <f>R1753/P1753</f>
        <v>0.33333333333333331</v>
      </c>
      <c r="T1753" s="1">
        <v>5</v>
      </c>
      <c r="U1753" s="1">
        <v>12.5</v>
      </c>
      <c r="V1753" s="1">
        <v>190.32679738562092</v>
      </c>
      <c r="W1753" s="1">
        <v>5</v>
      </c>
    </row>
    <row r="1754" spans="1:23" x14ac:dyDescent="0.2">
      <c r="A1754">
        <v>2020</v>
      </c>
      <c r="B1754" t="s">
        <v>23</v>
      </c>
      <c r="C1754" t="s">
        <v>271</v>
      </c>
      <c r="D1754">
        <v>166</v>
      </c>
      <c r="E1754">
        <v>1</v>
      </c>
      <c r="F1754">
        <v>5</v>
      </c>
      <c r="G1754" t="s">
        <v>191</v>
      </c>
      <c r="H1754" s="1">
        <v>4</v>
      </c>
      <c r="I1754" s="1">
        <v>67</v>
      </c>
      <c r="J1754" s="1">
        <v>68</v>
      </c>
      <c r="K1754" s="1">
        <f>J1754-I1754</f>
        <v>1</v>
      </c>
      <c r="L1754" s="1">
        <v>115</v>
      </c>
      <c r="M1754" s="1">
        <v>57</v>
      </c>
      <c r="N1754" s="1">
        <v>1.5</v>
      </c>
      <c r="O1754" s="1">
        <v>4</v>
      </c>
      <c r="P1754" s="1">
        <v>4</v>
      </c>
      <c r="Q1754" s="2">
        <v>0.16400000000000001</v>
      </c>
      <c r="R1754" s="1">
        <v>4</v>
      </c>
      <c r="S1754" s="1">
        <f>R1754/P1754</f>
        <v>1</v>
      </c>
      <c r="T1754" s="1">
        <v>4</v>
      </c>
      <c r="U1754" s="1">
        <v>12.5</v>
      </c>
      <c r="V1754" s="1">
        <v>600.26143790849665</v>
      </c>
      <c r="W1754" s="1">
        <v>4</v>
      </c>
    </row>
    <row r="1755" spans="1:23" x14ac:dyDescent="0.2">
      <c r="A1755">
        <v>2020</v>
      </c>
      <c r="B1755" t="s">
        <v>23</v>
      </c>
      <c r="C1755" t="s">
        <v>271</v>
      </c>
      <c r="D1755">
        <v>166</v>
      </c>
      <c r="E1755">
        <v>2</v>
      </c>
      <c r="F1755">
        <v>7</v>
      </c>
      <c r="G1755" t="s">
        <v>191</v>
      </c>
      <c r="H1755" s="1">
        <v>10</v>
      </c>
      <c r="I1755" s="1">
        <v>63</v>
      </c>
      <c r="J1755" s="1">
        <v>67</v>
      </c>
      <c r="K1755" s="1">
        <f>J1755-I1755</f>
        <v>4</v>
      </c>
      <c r="L1755" s="1">
        <v>103</v>
      </c>
      <c r="M1755" s="1">
        <v>40</v>
      </c>
      <c r="N1755" s="1">
        <v>2</v>
      </c>
      <c r="O1755" s="1">
        <v>4.5</v>
      </c>
      <c r="P1755" s="1">
        <v>6</v>
      </c>
      <c r="Q1755" s="2">
        <v>0.23200000000000001</v>
      </c>
      <c r="R1755" s="1">
        <v>5</v>
      </c>
      <c r="S1755" s="1">
        <f>R1755/P1755</f>
        <v>0.83333333333333337</v>
      </c>
      <c r="T1755" s="1">
        <v>5</v>
      </c>
      <c r="U1755" s="1">
        <v>12.5</v>
      </c>
      <c r="V1755" s="1">
        <v>849.15032679738556</v>
      </c>
      <c r="W1755" s="1">
        <v>5</v>
      </c>
    </row>
    <row r="1756" spans="1:23" x14ac:dyDescent="0.2">
      <c r="A1756">
        <v>2020</v>
      </c>
      <c r="B1756" t="s">
        <v>23</v>
      </c>
      <c r="C1756" t="s">
        <v>271</v>
      </c>
      <c r="D1756">
        <v>167</v>
      </c>
      <c r="E1756">
        <v>1</v>
      </c>
      <c r="F1756">
        <v>5</v>
      </c>
      <c r="G1756" t="s">
        <v>192</v>
      </c>
      <c r="H1756" s="1">
        <v>6</v>
      </c>
      <c r="I1756" s="1">
        <v>60</v>
      </c>
      <c r="J1756" s="1">
        <v>63</v>
      </c>
      <c r="K1756" s="1">
        <f>J1756-I1756</f>
        <v>3</v>
      </c>
      <c r="L1756" s="1">
        <v>161</v>
      </c>
      <c r="M1756" s="1">
        <v>65</v>
      </c>
      <c r="N1756" s="1">
        <v>2</v>
      </c>
      <c r="O1756" s="1">
        <v>2</v>
      </c>
      <c r="P1756" s="1">
        <f>H1756</f>
        <v>6</v>
      </c>
      <c r="Q1756" s="2">
        <v>0.3</v>
      </c>
      <c r="R1756" s="1">
        <v>6</v>
      </c>
      <c r="S1756" s="1">
        <f>R1756/P1756</f>
        <v>1</v>
      </c>
      <c r="T1756" s="1">
        <v>5</v>
      </c>
      <c r="U1756" s="1">
        <v>12.5</v>
      </c>
      <c r="V1756" s="1">
        <v>1098.0392156862745</v>
      </c>
      <c r="W1756" s="1">
        <v>3</v>
      </c>
    </row>
    <row r="1757" spans="1:23" x14ac:dyDescent="0.2">
      <c r="A1757">
        <v>2020</v>
      </c>
      <c r="B1757" t="s">
        <v>23</v>
      </c>
      <c r="C1757" t="s">
        <v>271</v>
      </c>
      <c r="D1757">
        <v>167</v>
      </c>
      <c r="E1757">
        <v>2</v>
      </c>
      <c r="F1757">
        <v>8</v>
      </c>
      <c r="G1757" t="s">
        <v>192</v>
      </c>
      <c r="H1757">
        <v>4</v>
      </c>
      <c r="I1757">
        <v>55</v>
      </c>
      <c r="J1757">
        <v>57</v>
      </c>
      <c r="K1757">
        <v>2</v>
      </c>
      <c r="L1757">
        <v>146</v>
      </c>
      <c r="M1757">
        <v>67</v>
      </c>
      <c r="N1757">
        <v>2.5</v>
      </c>
      <c r="O1757">
        <v>3</v>
      </c>
      <c r="P1757">
        <v>4</v>
      </c>
      <c r="Q1757">
        <v>0.3</v>
      </c>
      <c r="R1757">
        <v>4</v>
      </c>
      <c r="S1757">
        <v>1</v>
      </c>
      <c r="T1757">
        <v>3</v>
      </c>
      <c r="U1757">
        <v>12.5</v>
      </c>
      <c r="V1757">
        <v>1098.0392156862745</v>
      </c>
      <c r="W1757">
        <v>2</v>
      </c>
    </row>
    <row r="1758" spans="1:23" x14ac:dyDescent="0.2">
      <c r="A1758">
        <v>2020</v>
      </c>
      <c r="B1758" t="s">
        <v>23</v>
      </c>
      <c r="C1758" t="s">
        <v>271</v>
      </c>
      <c r="D1758">
        <v>168</v>
      </c>
      <c r="E1758">
        <v>1</v>
      </c>
      <c r="F1758">
        <v>12</v>
      </c>
      <c r="G1758" t="s">
        <v>193</v>
      </c>
      <c r="H1758">
        <v>9</v>
      </c>
      <c r="I1758">
        <v>60</v>
      </c>
      <c r="J1758">
        <v>63</v>
      </c>
      <c r="K1758">
        <v>3</v>
      </c>
      <c r="L1758">
        <v>83</v>
      </c>
      <c r="M1758">
        <v>22</v>
      </c>
      <c r="N1758">
        <v>2</v>
      </c>
      <c r="O1758">
        <v>3</v>
      </c>
      <c r="P1758">
        <v>9</v>
      </c>
      <c r="Q1758">
        <v>0.6</v>
      </c>
      <c r="R1758">
        <v>10</v>
      </c>
      <c r="S1758">
        <v>1.1111111111111112</v>
      </c>
      <c r="T1758">
        <v>2</v>
      </c>
      <c r="U1758">
        <v>12.5</v>
      </c>
      <c r="V1758">
        <v>2196.0784313725489</v>
      </c>
      <c r="W1758">
        <v>1</v>
      </c>
    </row>
    <row r="1759" spans="1:23" x14ac:dyDescent="0.2">
      <c r="A1759">
        <v>2020</v>
      </c>
      <c r="B1759" t="s">
        <v>23</v>
      </c>
      <c r="C1759" t="s">
        <v>271</v>
      </c>
      <c r="D1759">
        <v>168</v>
      </c>
      <c r="E1759">
        <v>2</v>
      </c>
      <c r="F1759">
        <v>10</v>
      </c>
      <c r="G1759" t="s">
        <v>193</v>
      </c>
      <c r="H1759" s="1">
        <v>1</v>
      </c>
      <c r="I1759" s="1">
        <v>68</v>
      </c>
      <c r="J1759" s="1">
        <v>70</v>
      </c>
      <c r="K1759" s="1">
        <f>J1759-I1759</f>
        <v>2</v>
      </c>
      <c r="L1759" s="1">
        <v>92</v>
      </c>
      <c r="M1759" s="1">
        <v>40</v>
      </c>
      <c r="N1759" s="1">
        <v>2</v>
      </c>
      <c r="O1759" s="1">
        <v>5</v>
      </c>
      <c r="P1759" s="1">
        <v>1</v>
      </c>
      <c r="Q1759" s="2">
        <v>0.06</v>
      </c>
      <c r="R1759" s="1">
        <v>1</v>
      </c>
      <c r="S1759" s="1">
        <f>R1759/P1759</f>
        <v>1</v>
      </c>
      <c r="T1759" s="1">
        <v>5</v>
      </c>
      <c r="U1759" s="1">
        <v>12.5</v>
      </c>
      <c r="V1759" s="1">
        <v>219.60784313725492</v>
      </c>
      <c r="W1759" s="1">
        <v>6</v>
      </c>
    </row>
    <row r="1760" spans="1:23" x14ac:dyDescent="0.2">
      <c r="A1760">
        <v>2020</v>
      </c>
      <c r="B1760" t="s">
        <v>23</v>
      </c>
      <c r="C1760" t="s">
        <v>271</v>
      </c>
      <c r="D1760">
        <v>169</v>
      </c>
      <c r="E1760">
        <v>1</v>
      </c>
      <c r="F1760">
        <v>13</v>
      </c>
      <c r="G1760" t="s">
        <v>194</v>
      </c>
      <c r="H1760" s="1">
        <v>7</v>
      </c>
      <c r="I1760" s="1">
        <v>62</v>
      </c>
      <c r="J1760" s="1">
        <v>66</v>
      </c>
      <c r="K1760" s="1">
        <f>J1760-I1760</f>
        <v>4</v>
      </c>
      <c r="L1760" s="1">
        <v>120</v>
      </c>
      <c r="M1760" s="1">
        <v>50</v>
      </c>
      <c r="N1760" s="1">
        <v>2</v>
      </c>
      <c r="O1760" s="1">
        <v>4</v>
      </c>
      <c r="P1760" s="1">
        <v>3</v>
      </c>
      <c r="Q1760" s="2">
        <v>0.26400000000000001</v>
      </c>
      <c r="R1760" s="1">
        <v>3</v>
      </c>
      <c r="S1760" s="1">
        <f>R1760/P1760</f>
        <v>1</v>
      </c>
      <c r="T1760" s="1">
        <v>3.5</v>
      </c>
      <c r="U1760" s="1">
        <v>12.5</v>
      </c>
      <c r="V1760" s="1">
        <v>966.27450980392155</v>
      </c>
      <c r="W1760" s="1">
        <v>5</v>
      </c>
    </row>
    <row r="1761" spans="1:23" x14ac:dyDescent="0.2">
      <c r="A1761">
        <v>2020</v>
      </c>
      <c r="B1761" t="s">
        <v>23</v>
      </c>
      <c r="C1761" t="s">
        <v>271</v>
      </c>
      <c r="D1761">
        <v>169</v>
      </c>
      <c r="E1761">
        <v>2</v>
      </c>
      <c r="F1761">
        <v>13</v>
      </c>
      <c r="G1761" t="s">
        <v>194</v>
      </c>
      <c r="H1761" s="1">
        <v>9</v>
      </c>
      <c r="I1761" s="1">
        <v>62</v>
      </c>
      <c r="J1761" s="1">
        <v>66</v>
      </c>
      <c r="K1761" s="1">
        <f>J1761-I1761</f>
        <v>4</v>
      </c>
      <c r="L1761" s="1">
        <v>177</v>
      </c>
      <c r="M1761" s="1">
        <v>80</v>
      </c>
      <c r="N1761" s="1">
        <v>2</v>
      </c>
      <c r="O1761" s="1">
        <v>2.5</v>
      </c>
      <c r="P1761" s="1">
        <v>8</v>
      </c>
      <c r="Q1761" s="2">
        <v>0.68291999999999997</v>
      </c>
      <c r="R1761" s="1">
        <v>8</v>
      </c>
      <c r="S1761" s="1">
        <f>R1761/P1761</f>
        <v>1</v>
      </c>
      <c r="T1761" s="1">
        <v>5</v>
      </c>
      <c r="U1761" s="1">
        <v>11.5</v>
      </c>
      <c r="V1761" s="1">
        <v>2528.1430588235294</v>
      </c>
      <c r="W1761" s="1">
        <v>6</v>
      </c>
    </row>
    <row r="1762" spans="1:23" x14ac:dyDescent="0.2">
      <c r="A1762">
        <v>2020</v>
      </c>
      <c r="B1762" t="s">
        <v>23</v>
      </c>
      <c r="C1762" t="s">
        <v>271</v>
      </c>
      <c r="D1762">
        <v>170</v>
      </c>
      <c r="E1762">
        <v>1</v>
      </c>
      <c r="F1762">
        <v>12</v>
      </c>
      <c r="G1762" t="s">
        <v>195</v>
      </c>
      <c r="H1762">
        <v>2</v>
      </c>
      <c r="I1762">
        <v>58</v>
      </c>
      <c r="J1762">
        <v>63</v>
      </c>
      <c r="K1762">
        <v>5</v>
      </c>
      <c r="L1762">
        <v>82</v>
      </c>
      <c r="M1762">
        <v>23</v>
      </c>
      <c r="N1762">
        <v>1</v>
      </c>
      <c r="O1762">
        <v>5</v>
      </c>
      <c r="P1762">
        <v>2</v>
      </c>
      <c r="Q1762">
        <v>0.1</v>
      </c>
      <c r="R1762">
        <v>2</v>
      </c>
      <c r="S1762">
        <v>1</v>
      </c>
      <c r="T1762">
        <v>4</v>
      </c>
      <c r="U1762">
        <v>12.5</v>
      </c>
      <c r="V1762">
        <v>366.01307189542484</v>
      </c>
      <c r="W1762">
        <v>2</v>
      </c>
    </row>
    <row r="1763" spans="1:23" x14ac:dyDescent="0.2">
      <c r="A1763">
        <v>2020</v>
      </c>
      <c r="B1763" t="s">
        <v>23</v>
      </c>
      <c r="C1763" t="s">
        <v>271</v>
      </c>
      <c r="D1763">
        <v>170</v>
      </c>
      <c r="E1763">
        <v>2</v>
      </c>
      <c r="F1763">
        <v>6</v>
      </c>
      <c r="G1763" t="s">
        <v>195</v>
      </c>
      <c r="H1763">
        <v>3</v>
      </c>
      <c r="I1763">
        <v>56</v>
      </c>
      <c r="J1763">
        <v>60</v>
      </c>
      <c r="K1763">
        <v>4</v>
      </c>
      <c r="L1763">
        <v>71</v>
      </c>
      <c r="M1763">
        <v>23</v>
      </c>
      <c r="N1763">
        <v>1.5</v>
      </c>
      <c r="O1763">
        <v>4</v>
      </c>
      <c r="P1763">
        <v>3</v>
      </c>
      <c r="Q1763">
        <v>0.1</v>
      </c>
      <c r="R1763">
        <v>3</v>
      </c>
      <c r="S1763">
        <v>1</v>
      </c>
      <c r="T1763">
        <v>2.5</v>
      </c>
      <c r="U1763">
        <v>12.5</v>
      </c>
      <c r="V1763">
        <v>366.01307189542484</v>
      </c>
      <c r="W1763">
        <v>1</v>
      </c>
    </row>
    <row r="1764" spans="1:23" x14ac:dyDescent="0.2">
      <c r="A1764">
        <v>2020</v>
      </c>
      <c r="B1764" t="s">
        <v>23</v>
      </c>
      <c r="C1764" t="s">
        <v>271</v>
      </c>
      <c r="D1764">
        <v>171</v>
      </c>
      <c r="E1764">
        <v>1</v>
      </c>
      <c r="F1764">
        <v>3</v>
      </c>
      <c r="G1764" t="s">
        <v>196</v>
      </c>
      <c r="H1764" s="1">
        <v>16</v>
      </c>
      <c r="I1764" s="1">
        <v>57</v>
      </c>
      <c r="J1764" s="1">
        <v>60</v>
      </c>
      <c r="K1764" s="1">
        <f>J1764-I1764</f>
        <v>3</v>
      </c>
      <c r="L1764" s="1">
        <v>155</v>
      </c>
      <c r="M1764" s="1">
        <v>68</v>
      </c>
      <c r="N1764" s="1">
        <v>2</v>
      </c>
      <c r="O1764" s="1">
        <v>3</v>
      </c>
      <c r="P1764" s="1">
        <f>H1764</f>
        <v>16</v>
      </c>
      <c r="Q1764" s="2">
        <v>0.58050000000000002</v>
      </c>
      <c r="R1764" s="1">
        <v>16</v>
      </c>
      <c r="S1764" s="1">
        <f>R1764/P1764</f>
        <v>1</v>
      </c>
      <c r="T1764" s="1">
        <v>5</v>
      </c>
      <c r="U1764" s="1">
        <v>12.5</v>
      </c>
      <c r="V1764" s="1">
        <v>2124.7058823529414</v>
      </c>
      <c r="W1764" s="1">
        <v>4</v>
      </c>
    </row>
    <row r="1765" spans="1:23" x14ac:dyDescent="0.2">
      <c r="A1765">
        <v>2020</v>
      </c>
      <c r="B1765" t="s">
        <v>23</v>
      </c>
      <c r="C1765" t="s">
        <v>271</v>
      </c>
      <c r="D1765">
        <v>171</v>
      </c>
      <c r="E1765">
        <v>2</v>
      </c>
      <c r="F1765">
        <v>2</v>
      </c>
      <c r="G1765" t="s">
        <v>196</v>
      </c>
      <c r="H1765" s="1">
        <v>10</v>
      </c>
      <c r="I1765" s="1">
        <v>66</v>
      </c>
      <c r="J1765" s="1">
        <v>71</v>
      </c>
      <c r="K1765" s="1">
        <f>J1765-I1765</f>
        <v>5</v>
      </c>
      <c r="L1765" s="1">
        <v>123</v>
      </c>
      <c r="M1765" s="1">
        <v>41</v>
      </c>
      <c r="N1765" s="1">
        <v>2</v>
      </c>
      <c r="O1765" s="1">
        <v>4</v>
      </c>
      <c r="P1765" s="1">
        <v>8</v>
      </c>
      <c r="Q1765" s="2">
        <v>0.44400000000000001</v>
      </c>
      <c r="R1765" s="1">
        <v>8</v>
      </c>
      <c r="S1765" s="1">
        <f>R1765/P1765</f>
        <v>1</v>
      </c>
      <c r="T1765" s="1">
        <v>3.5</v>
      </c>
      <c r="U1765" s="1">
        <v>12.5</v>
      </c>
      <c r="V1765" s="1">
        <v>1625.0980392156862</v>
      </c>
      <c r="W1765" s="1">
        <v>3</v>
      </c>
    </row>
    <row r="1766" spans="1:23" x14ac:dyDescent="0.2">
      <c r="A1766">
        <v>2020</v>
      </c>
      <c r="B1766" t="s">
        <v>23</v>
      </c>
      <c r="C1766" t="s">
        <v>271</v>
      </c>
      <c r="D1766">
        <v>172</v>
      </c>
      <c r="E1766">
        <v>1</v>
      </c>
      <c r="F1766">
        <v>15</v>
      </c>
      <c r="G1766" t="s">
        <v>197</v>
      </c>
      <c r="H1766" s="1">
        <v>7</v>
      </c>
      <c r="I1766" s="1">
        <v>62</v>
      </c>
      <c r="J1766" s="1">
        <v>67</v>
      </c>
      <c r="K1766" s="1">
        <f>J1766-I1766</f>
        <v>5</v>
      </c>
      <c r="L1766" s="1">
        <v>165</v>
      </c>
      <c r="M1766" s="1">
        <v>73</v>
      </c>
      <c r="N1766" s="1">
        <v>1</v>
      </c>
      <c r="O1766" s="1">
        <v>3.5</v>
      </c>
      <c r="P1766" s="1">
        <v>6</v>
      </c>
      <c r="Q1766" s="2">
        <v>0.6008</v>
      </c>
      <c r="R1766" s="1">
        <v>6</v>
      </c>
      <c r="S1766" s="1">
        <f>R1766/P1766</f>
        <v>1</v>
      </c>
      <c r="T1766" s="1">
        <v>5</v>
      </c>
      <c r="U1766" s="1">
        <v>12.5</v>
      </c>
      <c r="V1766" s="1">
        <v>2199.0065359477126</v>
      </c>
      <c r="W1766" s="1">
        <v>4</v>
      </c>
    </row>
    <row r="1767" spans="1:23" x14ac:dyDescent="0.2">
      <c r="A1767">
        <v>2020</v>
      </c>
      <c r="B1767" t="s">
        <v>23</v>
      </c>
      <c r="C1767" t="s">
        <v>271</v>
      </c>
      <c r="D1767">
        <v>172</v>
      </c>
      <c r="E1767">
        <v>2</v>
      </c>
      <c r="F1767">
        <v>1</v>
      </c>
      <c r="G1767" t="s">
        <v>197</v>
      </c>
      <c r="H1767" s="1">
        <v>7</v>
      </c>
      <c r="I1767" s="1">
        <v>70</v>
      </c>
      <c r="J1767" s="1">
        <v>74</v>
      </c>
      <c r="K1767" s="1">
        <f>J1767-I1767</f>
        <v>4</v>
      </c>
      <c r="L1767" s="1">
        <v>132</v>
      </c>
      <c r="M1767" s="1">
        <v>55</v>
      </c>
      <c r="N1767" s="1">
        <v>1.5</v>
      </c>
      <c r="O1767" s="1">
        <v>3</v>
      </c>
      <c r="P1767" s="1">
        <v>6</v>
      </c>
      <c r="Q1767" s="2">
        <v>0.33200000000000002</v>
      </c>
      <c r="R1767" s="1">
        <v>5</v>
      </c>
      <c r="S1767" s="1">
        <f>R1767/P1767</f>
        <v>0.83333333333333337</v>
      </c>
      <c r="T1767" s="1">
        <v>3</v>
      </c>
      <c r="U1767" s="1">
        <v>12.5</v>
      </c>
      <c r="V1767" s="1">
        <v>1215.1633986928105</v>
      </c>
      <c r="W1767" s="1">
        <v>3</v>
      </c>
    </row>
    <row r="1768" spans="1:23" x14ac:dyDescent="0.2">
      <c r="A1768">
        <v>2020</v>
      </c>
      <c r="B1768" t="s">
        <v>23</v>
      </c>
      <c r="C1768" t="s">
        <v>271</v>
      </c>
      <c r="D1768">
        <v>173</v>
      </c>
      <c r="E1768">
        <v>1</v>
      </c>
      <c r="F1768">
        <v>7</v>
      </c>
      <c r="G1768" t="s">
        <v>198</v>
      </c>
      <c r="H1768">
        <v>2</v>
      </c>
      <c r="I1768">
        <v>55</v>
      </c>
      <c r="J1768">
        <v>57</v>
      </c>
      <c r="K1768">
        <v>2</v>
      </c>
      <c r="L1768">
        <v>163</v>
      </c>
      <c r="M1768">
        <v>56</v>
      </c>
      <c r="N1768">
        <v>2</v>
      </c>
      <c r="O1768">
        <v>3</v>
      </c>
      <c r="P1768">
        <v>2</v>
      </c>
      <c r="Q1768">
        <v>0.14799999999999999</v>
      </c>
      <c r="R1768">
        <v>2</v>
      </c>
      <c r="S1768">
        <v>1</v>
      </c>
      <c r="T1768">
        <v>3</v>
      </c>
      <c r="U1768">
        <v>12.5</v>
      </c>
      <c r="V1768">
        <v>541.69934640522877</v>
      </c>
      <c r="W1768">
        <v>1</v>
      </c>
    </row>
    <row r="1769" spans="1:23" x14ac:dyDescent="0.2">
      <c r="A1769">
        <v>2020</v>
      </c>
      <c r="B1769" t="s">
        <v>23</v>
      </c>
      <c r="C1769" t="s">
        <v>271</v>
      </c>
      <c r="D1769">
        <v>173</v>
      </c>
      <c r="E1769">
        <v>2</v>
      </c>
      <c r="F1769">
        <v>5</v>
      </c>
      <c r="G1769" t="s">
        <v>198</v>
      </c>
      <c r="H1769" s="1">
        <v>6</v>
      </c>
      <c r="I1769" s="1">
        <v>60</v>
      </c>
      <c r="J1769" s="1">
        <v>63</v>
      </c>
      <c r="K1769" s="1">
        <f>J1769-I1769</f>
        <v>3</v>
      </c>
      <c r="L1769" s="1">
        <v>99</v>
      </c>
      <c r="M1769" s="1">
        <v>35</v>
      </c>
      <c r="N1769" s="1">
        <v>2</v>
      </c>
      <c r="O1769" s="1">
        <v>5</v>
      </c>
      <c r="P1769" s="1">
        <v>4</v>
      </c>
      <c r="Q1769" s="2">
        <v>0.111</v>
      </c>
      <c r="R1769" s="1">
        <v>4</v>
      </c>
      <c r="S1769" s="1">
        <f>R1769/P1769</f>
        <v>1</v>
      </c>
      <c r="T1769" s="1">
        <v>5</v>
      </c>
      <c r="U1769" s="1">
        <v>12.5</v>
      </c>
      <c r="V1769" s="1">
        <v>406.27450980392155</v>
      </c>
      <c r="W1769" s="1">
        <v>7</v>
      </c>
    </row>
    <row r="1770" spans="1:23" x14ac:dyDescent="0.2">
      <c r="A1770">
        <v>2020</v>
      </c>
      <c r="B1770" t="s">
        <v>23</v>
      </c>
      <c r="C1770" t="s">
        <v>271</v>
      </c>
      <c r="D1770">
        <v>174</v>
      </c>
      <c r="E1770">
        <v>1</v>
      </c>
      <c r="F1770">
        <v>2</v>
      </c>
      <c r="G1770" t="s">
        <v>199</v>
      </c>
      <c r="H1770">
        <v>10</v>
      </c>
      <c r="I1770">
        <v>53</v>
      </c>
      <c r="J1770">
        <v>55</v>
      </c>
      <c r="K1770">
        <v>2</v>
      </c>
      <c r="L1770">
        <v>158</v>
      </c>
      <c r="M1770">
        <v>55</v>
      </c>
      <c r="N1770">
        <v>1</v>
      </c>
      <c r="O1770">
        <v>2</v>
      </c>
      <c r="P1770">
        <v>14</v>
      </c>
      <c r="Q1770">
        <v>1.2</v>
      </c>
      <c r="R1770">
        <v>9</v>
      </c>
      <c r="S1770">
        <v>0.6428571428571429</v>
      </c>
      <c r="T1770">
        <v>4</v>
      </c>
      <c r="U1770">
        <v>14.2</v>
      </c>
      <c r="V1770">
        <v>4306.8235294117649</v>
      </c>
      <c r="W1770">
        <v>1</v>
      </c>
    </row>
    <row r="1771" spans="1:23" x14ac:dyDescent="0.2">
      <c r="A1771">
        <v>2020</v>
      </c>
      <c r="B1771" t="s">
        <v>23</v>
      </c>
      <c r="C1771" t="s">
        <v>271</v>
      </c>
      <c r="D1771">
        <v>174</v>
      </c>
      <c r="E1771">
        <v>2</v>
      </c>
      <c r="F1771">
        <v>2</v>
      </c>
      <c r="G1771" t="s">
        <v>199</v>
      </c>
      <c r="H1771" s="1">
        <v>3</v>
      </c>
      <c r="I1771" s="1">
        <v>62</v>
      </c>
      <c r="J1771" s="1">
        <v>67</v>
      </c>
      <c r="K1771" s="1">
        <f>J1771-I1771</f>
        <v>5</v>
      </c>
      <c r="L1771" s="1">
        <v>71</v>
      </c>
      <c r="M1771" s="1">
        <v>52</v>
      </c>
      <c r="N1771" s="1">
        <v>2</v>
      </c>
      <c r="O1771" s="1">
        <v>3.5</v>
      </c>
      <c r="P1771" s="1">
        <v>3</v>
      </c>
      <c r="Q1771" s="2">
        <v>7.6799999999999993E-2</v>
      </c>
      <c r="R1771" s="1">
        <v>5</v>
      </c>
      <c r="S1771" s="1">
        <f>R1771/P1771</f>
        <v>1.6666666666666667</v>
      </c>
      <c r="T1771" s="1">
        <v>5</v>
      </c>
      <c r="U1771" s="1">
        <v>10.6</v>
      </c>
      <c r="V1771" s="1">
        <v>287.2018823529412</v>
      </c>
      <c r="W1771" s="1">
        <v>4</v>
      </c>
    </row>
    <row r="1772" spans="1:23" x14ac:dyDescent="0.2">
      <c r="A1772">
        <v>2020</v>
      </c>
      <c r="B1772" t="s">
        <v>23</v>
      </c>
      <c r="C1772" t="s">
        <v>271</v>
      </c>
      <c r="D1772">
        <v>175</v>
      </c>
      <c r="E1772">
        <v>1</v>
      </c>
      <c r="F1772">
        <v>6</v>
      </c>
      <c r="G1772" t="s">
        <v>200</v>
      </c>
      <c r="H1772" s="1">
        <v>8</v>
      </c>
      <c r="I1772" s="1">
        <v>63</v>
      </c>
      <c r="J1772" s="1">
        <v>66</v>
      </c>
      <c r="K1772" s="1">
        <f>J1772-I1772</f>
        <v>3</v>
      </c>
      <c r="L1772" s="1">
        <v>116</v>
      </c>
      <c r="M1772" s="1">
        <v>52</v>
      </c>
      <c r="N1772" s="1">
        <v>1.5</v>
      </c>
      <c r="O1772" s="1">
        <v>4.5</v>
      </c>
      <c r="P1772" s="1">
        <v>5</v>
      </c>
      <c r="Q1772" s="2">
        <v>0.12</v>
      </c>
      <c r="R1772" s="1">
        <v>3</v>
      </c>
      <c r="S1772" s="1">
        <f>R1772/P1772</f>
        <v>0.6</v>
      </c>
      <c r="T1772" s="1">
        <v>4</v>
      </c>
      <c r="U1772" s="1">
        <v>12.5</v>
      </c>
      <c r="V1772" s="1">
        <v>439.21568627450984</v>
      </c>
      <c r="W1772" s="1">
        <v>5</v>
      </c>
    </row>
    <row r="1773" spans="1:23" x14ac:dyDescent="0.2">
      <c r="A1773">
        <v>2020</v>
      </c>
      <c r="B1773" t="s">
        <v>23</v>
      </c>
      <c r="C1773" t="s">
        <v>271</v>
      </c>
      <c r="D1773">
        <v>175</v>
      </c>
      <c r="E1773">
        <v>2</v>
      </c>
      <c r="F1773">
        <v>14</v>
      </c>
      <c r="G1773" t="s">
        <v>200</v>
      </c>
      <c r="H1773">
        <v>10</v>
      </c>
      <c r="I1773">
        <v>58</v>
      </c>
      <c r="J1773">
        <v>60</v>
      </c>
      <c r="K1773">
        <v>2</v>
      </c>
      <c r="L1773">
        <v>117</v>
      </c>
      <c r="M1773">
        <v>32</v>
      </c>
      <c r="N1773">
        <v>2</v>
      </c>
      <c r="O1773">
        <v>3</v>
      </c>
      <c r="P1773">
        <v>10</v>
      </c>
      <c r="Q1773">
        <v>0.7</v>
      </c>
      <c r="R1773">
        <v>10</v>
      </c>
      <c r="S1773">
        <v>1</v>
      </c>
      <c r="T1773">
        <v>3</v>
      </c>
      <c r="U1773">
        <v>12.5</v>
      </c>
      <c r="V1773">
        <v>2562.0915032679736</v>
      </c>
      <c r="W1773">
        <v>1</v>
      </c>
    </row>
    <row r="1774" spans="1:23" x14ac:dyDescent="0.2">
      <c r="A1774">
        <v>2020</v>
      </c>
      <c r="B1774" t="s">
        <v>23</v>
      </c>
      <c r="C1774" t="s">
        <v>271</v>
      </c>
      <c r="D1774">
        <v>176</v>
      </c>
      <c r="E1774">
        <v>1</v>
      </c>
      <c r="F1774">
        <v>8</v>
      </c>
      <c r="G1774" t="s">
        <v>201</v>
      </c>
      <c r="H1774">
        <v>13</v>
      </c>
      <c r="I1774">
        <v>63</v>
      </c>
      <c r="J1774">
        <v>65</v>
      </c>
      <c r="K1774">
        <v>2</v>
      </c>
      <c r="L1774">
        <v>145</v>
      </c>
      <c r="M1774">
        <v>75</v>
      </c>
      <c r="N1774">
        <v>2</v>
      </c>
      <c r="O1774">
        <v>3</v>
      </c>
      <c r="P1774">
        <v>13</v>
      </c>
      <c r="Q1774">
        <v>1.2</v>
      </c>
      <c r="R1774">
        <v>13</v>
      </c>
      <c r="S1774">
        <v>1</v>
      </c>
      <c r="T1774">
        <v>3</v>
      </c>
      <c r="U1774">
        <v>12.5</v>
      </c>
      <c r="V1774">
        <v>4392.1568627450979</v>
      </c>
      <c r="W1774">
        <v>2</v>
      </c>
    </row>
    <row r="1775" spans="1:23" x14ac:dyDescent="0.2">
      <c r="A1775">
        <v>2020</v>
      </c>
      <c r="B1775" t="s">
        <v>23</v>
      </c>
      <c r="C1775" t="s">
        <v>271</v>
      </c>
      <c r="D1775">
        <v>176</v>
      </c>
      <c r="E1775">
        <v>2</v>
      </c>
      <c r="F1775">
        <v>8</v>
      </c>
      <c r="G1775" t="s">
        <v>201</v>
      </c>
      <c r="H1775" s="1">
        <v>12</v>
      </c>
      <c r="I1775" s="1">
        <v>58</v>
      </c>
      <c r="J1775" s="1">
        <v>63</v>
      </c>
      <c r="K1775" s="1">
        <f>J1775-I1775</f>
        <v>5</v>
      </c>
      <c r="L1775" s="1">
        <v>120</v>
      </c>
      <c r="M1775" s="1">
        <v>67</v>
      </c>
      <c r="N1775" s="1">
        <v>3</v>
      </c>
      <c r="O1775" s="1">
        <v>3.5</v>
      </c>
      <c r="P1775" s="1">
        <v>8</v>
      </c>
      <c r="Q1775" s="2">
        <v>0.80840000000000001</v>
      </c>
      <c r="R1775" s="1">
        <v>5</v>
      </c>
      <c r="S1775" s="1">
        <f>R1775/P1775</f>
        <v>0.625</v>
      </c>
      <c r="T1775" s="1">
        <v>5</v>
      </c>
      <c r="U1775" s="1">
        <v>12.5</v>
      </c>
      <c r="V1775" s="1">
        <v>2958.8496732026142</v>
      </c>
      <c r="W1775" s="1">
        <v>3</v>
      </c>
    </row>
    <row r="1776" spans="1:23" x14ac:dyDescent="0.2">
      <c r="A1776">
        <v>2020</v>
      </c>
      <c r="B1776" t="s">
        <v>23</v>
      </c>
      <c r="C1776" t="s">
        <v>271</v>
      </c>
      <c r="D1776">
        <v>177</v>
      </c>
      <c r="E1776">
        <v>1</v>
      </c>
      <c r="F1776">
        <v>4</v>
      </c>
      <c r="G1776" t="s">
        <v>202</v>
      </c>
      <c r="H1776">
        <v>3</v>
      </c>
      <c r="I1776">
        <v>63</v>
      </c>
      <c r="J1776">
        <v>65</v>
      </c>
      <c r="K1776">
        <v>2</v>
      </c>
      <c r="L1776">
        <v>137</v>
      </c>
      <c r="M1776">
        <v>60</v>
      </c>
      <c r="N1776">
        <v>1.5</v>
      </c>
      <c r="O1776">
        <v>3.5</v>
      </c>
      <c r="P1776">
        <v>3</v>
      </c>
      <c r="Q1776">
        <v>0.2</v>
      </c>
      <c r="R1776">
        <v>2</v>
      </c>
      <c r="S1776">
        <v>0.66666666666666663</v>
      </c>
      <c r="T1776">
        <v>3.5</v>
      </c>
      <c r="U1776">
        <v>12.5</v>
      </c>
      <c r="V1776">
        <v>732.02614379084969</v>
      </c>
      <c r="W1776">
        <v>1</v>
      </c>
    </row>
    <row r="1777" spans="1:23" x14ac:dyDescent="0.2">
      <c r="A1777">
        <v>2020</v>
      </c>
      <c r="B1777" t="s">
        <v>23</v>
      </c>
      <c r="C1777" t="s">
        <v>271</v>
      </c>
      <c r="D1777">
        <v>177</v>
      </c>
      <c r="E1777">
        <v>2</v>
      </c>
      <c r="F1777">
        <v>2</v>
      </c>
      <c r="G1777" t="s">
        <v>202</v>
      </c>
      <c r="H1777">
        <v>4</v>
      </c>
      <c r="I1777">
        <v>56</v>
      </c>
      <c r="J1777">
        <v>58</v>
      </c>
      <c r="K1777">
        <v>2</v>
      </c>
      <c r="L1777">
        <v>133</v>
      </c>
      <c r="M1777">
        <v>47</v>
      </c>
      <c r="N1777">
        <v>3</v>
      </c>
      <c r="O1777">
        <v>4</v>
      </c>
      <c r="P1777">
        <v>4</v>
      </c>
      <c r="Q1777">
        <v>0.14099999999999999</v>
      </c>
      <c r="R1777">
        <v>4</v>
      </c>
      <c r="S1777">
        <v>1</v>
      </c>
      <c r="T1777">
        <v>4</v>
      </c>
      <c r="U1777">
        <v>12.5</v>
      </c>
      <c r="V1777">
        <v>516.07843137254906</v>
      </c>
      <c r="W1777">
        <v>1</v>
      </c>
    </row>
    <row r="1778" spans="1:23" x14ac:dyDescent="0.2">
      <c r="A1778">
        <v>2020</v>
      </c>
      <c r="B1778" t="s">
        <v>23</v>
      </c>
      <c r="C1778" t="s">
        <v>271</v>
      </c>
      <c r="D1778">
        <v>178</v>
      </c>
      <c r="E1778">
        <v>1</v>
      </c>
      <c r="F1778">
        <v>9</v>
      </c>
      <c r="G1778" t="s">
        <v>203</v>
      </c>
      <c r="H1778" s="1">
        <v>11</v>
      </c>
      <c r="I1778" s="1">
        <v>62</v>
      </c>
      <c r="J1778" s="1">
        <v>66</v>
      </c>
      <c r="K1778" s="1">
        <f>J1778-I1778</f>
        <v>4</v>
      </c>
      <c r="L1778" s="1">
        <v>194</v>
      </c>
      <c r="M1778" s="1">
        <v>95</v>
      </c>
      <c r="N1778" s="1">
        <v>2</v>
      </c>
      <c r="O1778" s="1">
        <v>3.5</v>
      </c>
      <c r="P1778" s="1">
        <f>H1778-1</f>
        <v>10</v>
      </c>
      <c r="Q1778" s="2">
        <v>0.17639999999999997</v>
      </c>
      <c r="R1778" s="1">
        <v>7</v>
      </c>
      <c r="S1778" s="1">
        <f>R1778/P1778</f>
        <v>0.7</v>
      </c>
      <c r="T1778" s="1">
        <v>5</v>
      </c>
      <c r="U1778" s="1">
        <v>12.5</v>
      </c>
      <c r="V1778" s="1">
        <v>645.64705882352928</v>
      </c>
      <c r="W1778" s="1">
        <v>6</v>
      </c>
    </row>
    <row r="1779" spans="1:23" x14ac:dyDescent="0.2">
      <c r="A1779">
        <v>2020</v>
      </c>
      <c r="B1779" t="s">
        <v>23</v>
      </c>
      <c r="C1779" t="s">
        <v>271</v>
      </c>
      <c r="D1779">
        <v>178</v>
      </c>
      <c r="E1779">
        <v>2</v>
      </c>
      <c r="F1779">
        <v>12</v>
      </c>
      <c r="G1779" t="s">
        <v>203</v>
      </c>
      <c r="H1779">
        <v>4</v>
      </c>
      <c r="I1779">
        <v>55</v>
      </c>
      <c r="J1779">
        <v>61</v>
      </c>
      <c r="K1779">
        <v>6</v>
      </c>
      <c r="L1779">
        <v>126</v>
      </c>
      <c r="M1779">
        <v>56</v>
      </c>
      <c r="N1779">
        <v>3</v>
      </c>
      <c r="O1779">
        <v>4</v>
      </c>
      <c r="P1779">
        <v>4</v>
      </c>
      <c r="Q1779">
        <v>0.21099999999999999</v>
      </c>
      <c r="R1779">
        <v>3</v>
      </c>
      <c r="S1779">
        <v>0.75</v>
      </c>
      <c r="T1779">
        <v>4</v>
      </c>
      <c r="U1779">
        <v>12.5</v>
      </c>
      <c r="V1779">
        <v>772.28758169934645</v>
      </c>
      <c r="W1779">
        <v>1</v>
      </c>
    </row>
    <row r="1780" spans="1:23" x14ac:dyDescent="0.2">
      <c r="A1780">
        <v>2020</v>
      </c>
      <c r="B1780" t="s">
        <v>23</v>
      </c>
      <c r="C1780" t="s">
        <v>271</v>
      </c>
      <c r="D1780">
        <v>179</v>
      </c>
      <c r="E1780">
        <v>1</v>
      </c>
      <c r="F1780">
        <v>14</v>
      </c>
      <c r="G1780" t="s">
        <v>204</v>
      </c>
      <c r="H1780" s="1">
        <v>8</v>
      </c>
      <c r="I1780" s="1">
        <v>68</v>
      </c>
      <c r="J1780" s="1">
        <v>71</v>
      </c>
      <c r="K1780" s="1">
        <f>J1780-I1780</f>
        <v>3</v>
      </c>
      <c r="L1780" s="1">
        <v>137</v>
      </c>
      <c r="M1780" s="1">
        <v>58</v>
      </c>
      <c r="N1780" s="1">
        <v>1.5</v>
      </c>
      <c r="O1780" s="1">
        <v>4.5</v>
      </c>
      <c r="P1780" s="1">
        <v>6</v>
      </c>
      <c r="Q1780" s="2">
        <v>4.8500000000000001E-2</v>
      </c>
      <c r="R1780" s="1">
        <v>4</v>
      </c>
      <c r="S1780" s="1">
        <f>R1780/P1780</f>
        <v>0.66666666666666663</v>
      </c>
      <c r="T1780" s="1">
        <v>5</v>
      </c>
      <c r="U1780" s="1">
        <v>12.5</v>
      </c>
      <c r="V1780" s="1">
        <v>177.51633986928107</v>
      </c>
      <c r="W1780" s="1">
        <v>6</v>
      </c>
    </row>
    <row r="1781" spans="1:23" x14ac:dyDescent="0.2">
      <c r="A1781">
        <v>2020</v>
      </c>
      <c r="B1781" t="s">
        <v>23</v>
      </c>
      <c r="C1781" t="s">
        <v>271</v>
      </c>
      <c r="D1781">
        <v>179</v>
      </c>
      <c r="E1781">
        <v>2</v>
      </c>
      <c r="F1781">
        <v>11</v>
      </c>
      <c r="G1781" t="s">
        <v>204</v>
      </c>
      <c r="H1781">
        <v>7</v>
      </c>
      <c r="I1781">
        <v>55</v>
      </c>
      <c r="J1781">
        <v>58</v>
      </c>
      <c r="K1781">
        <v>3</v>
      </c>
      <c r="L1781">
        <v>153</v>
      </c>
      <c r="M1781">
        <v>56</v>
      </c>
      <c r="N1781">
        <v>3</v>
      </c>
      <c r="O1781">
        <v>4</v>
      </c>
      <c r="P1781">
        <v>6</v>
      </c>
      <c r="Q1781">
        <v>0.16300000000000001</v>
      </c>
      <c r="R1781">
        <v>3</v>
      </c>
      <c r="S1781">
        <v>0.5</v>
      </c>
      <c r="T1781">
        <v>4</v>
      </c>
      <c r="U1781">
        <v>12.5</v>
      </c>
      <c r="V1781">
        <v>596.60130718954247</v>
      </c>
      <c r="W1781">
        <v>1</v>
      </c>
    </row>
    <row r="1782" spans="1:23" x14ac:dyDescent="0.2">
      <c r="A1782">
        <v>2020</v>
      </c>
      <c r="B1782" t="s">
        <v>23</v>
      </c>
      <c r="C1782" t="s">
        <v>271</v>
      </c>
      <c r="D1782">
        <v>180</v>
      </c>
      <c r="E1782">
        <v>1</v>
      </c>
      <c r="F1782">
        <v>6</v>
      </c>
      <c r="G1782" t="s">
        <v>205</v>
      </c>
      <c r="H1782">
        <v>14</v>
      </c>
      <c r="I1782">
        <v>55</v>
      </c>
      <c r="J1782">
        <v>57</v>
      </c>
      <c r="K1782">
        <v>2</v>
      </c>
      <c r="L1782">
        <v>180</v>
      </c>
      <c r="M1782">
        <v>21</v>
      </c>
      <c r="N1782">
        <v>3</v>
      </c>
      <c r="O1782">
        <v>3</v>
      </c>
      <c r="P1782">
        <v>12</v>
      </c>
      <c r="Q1782">
        <v>1.331</v>
      </c>
      <c r="R1782">
        <v>8</v>
      </c>
      <c r="S1782">
        <v>0.66666666666666663</v>
      </c>
      <c r="T1782">
        <v>3</v>
      </c>
      <c r="U1782">
        <v>12.5</v>
      </c>
      <c r="V1782">
        <v>4871.6339869281046</v>
      </c>
      <c r="W1782">
        <v>1</v>
      </c>
    </row>
    <row r="1783" spans="1:23" x14ac:dyDescent="0.2">
      <c r="A1783">
        <v>2020</v>
      </c>
      <c r="B1783" t="s">
        <v>23</v>
      </c>
      <c r="C1783" t="s">
        <v>271</v>
      </c>
      <c r="D1783">
        <v>180</v>
      </c>
      <c r="E1783">
        <v>2</v>
      </c>
      <c r="F1783">
        <v>6</v>
      </c>
      <c r="G1783" t="s">
        <v>205</v>
      </c>
      <c r="H1783" s="1">
        <v>12</v>
      </c>
      <c r="I1783" s="1">
        <v>63</v>
      </c>
      <c r="J1783" s="1">
        <v>66</v>
      </c>
      <c r="K1783" s="1">
        <f>J1783-I1783</f>
        <v>3</v>
      </c>
      <c r="L1783" s="1">
        <v>118</v>
      </c>
      <c r="M1783" s="1">
        <v>43</v>
      </c>
      <c r="N1783" s="1">
        <v>2</v>
      </c>
      <c r="O1783" s="1">
        <v>3.5</v>
      </c>
      <c r="P1783" s="1">
        <f>H1783</f>
        <v>12</v>
      </c>
      <c r="Q1783" s="2">
        <v>0.46462500000000001</v>
      </c>
      <c r="R1783" s="1">
        <v>9</v>
      </c>
      <c r="S1783" s="1">
        <f>R1783/P1783</f>
        <v>0.75</v>
      </c>
      <c r="T1783" s="1">
        <v>5</v>
      </c>
      <c r="U1783" s="1">
        <v>12.5</v>
      </c>
      <c r="V1783" s="1">
        <v>1700.5882352941178</v>
      </c>
      <c r="W1783" s="1">
        <v>3</v>
      </c>
    </row>
    <row r="1784" spans="1:23" x14ac:dyDescent="0.2">
      <c r="A1784">
        <v>2020</v>
      </c>
      <c r="B1784" t="s">
        <v>23</v>
      </c>
      <c r="C1784" t="s">
        <v>271</v>
      </c>
      <c r="D1784">
        <v>181</v>
      </c>
      <c r="E1784">
        <v>1</v>
      </c>
      <c r="F1784">
        <v>2</v>
      </c>
      <c r="G1784" t="s">
        <v>206</v>
      </c>
      <c r="H1784" s="1">
        <v>6</v>
      </c>
      <c r="I1784" s="1">
        <v>63</v>
      </c>
      <c r="J1784" s="1">
        <v>67</v>
      </c>
      <c r="K1784" s="1">
        <f>J1784-I1784</f>
        <v>4</v>
      </c>
      <c r="L1784" s="1">
        <v>130</v>
      </c>
      <c r="M1784" s="1">
        <v>55</v>
      </c>
      <c r="N1784" s="1">
        <v>3</v>
      </c>
      <c r="O1784" s="1">
        <v>4</v>
      </c>
      <c r="P1784" s="1">
        <v>1</v>
      </c>
      <c r="Q1784" s="2">
        <v>1.2E-2</v>
      </c>
      <c r="R1784" s="1">
        <v>1</v>
      </c>
      <c r="S1784" s="1">
        <f>R1784/P1784</f>
        <v>1</v>
      </c>
      <c r="T1784" s="1">
        <v>5</v>
      </c>
      <c r="U1784" s="1">
        <v>12.5</v>
      </c>
      <c r="V1784" s="1">
        <v>43.921568627450981</v>
      </c>
      <c r="W1784" s="1">
        <v>6</v>
      </c>
    </row>
    <row r="1785" spans="1:23" x14ac:dyDescent="0.2">
      <c r="A1785">
        <v>2020</v>
      </c>
      <c r="B1785" t="s">
        <v>23</v>
      </c>
      <c r="C1785" t="s">
        <v>271</v>
      </c>
      <c r="D1785">
        <v>181</v>
      </c>
      <c r="E1785">
        <v>2</v>
      </c>
      <c r="F1785">
        <v>2</v>
      </c>
      <c r="G1785" t="s">
        <v>206</v>
      </c>
      <c r="H1785" s="1">
        <v>4</v>
      </c>
      <c r="I1785" s="1">
        <v>62</v>
      </c>
      <c r="J1785" s="1">
        <v>65</v>
      </c>
      <c r="K1785" s="1">
        <f>J1785-I1785</f>
        <v>3</v>
      </c>
      <c r="L1785" s="1">
        <v>185</v>
      </c>
      <c r="M1785" s="1">
        <v>68</v>
      </c>
      <c r="N1785" s="1">
        <v>2</v>
      </c>
      <c r="O1785" s="1">
        <v>3</v>
      </c>
      <c r="P1785" s="1">
        <v>4</v>
      </c>
      <c r="Q1785" s="2">
        <v>0.45839999999999997</v>
      </c>
      <c r="R1785" s="1">
        <v>4</v>
      </c>
      <c r="S1785" s="1">
        <f>R1785/P1785</f>
        <v>1</v>
      </c>
      <c r="T1785" s="1">
        <v>2</v>
      </c>
      <c r="U1785" s="1">
        <v>10.199999999999999</v>
      </c>
      <c r="V1785" s="1">
        <v>1721.9061960784313</v>
      </c>
      <c r="W1785" s="1">
        <v>2</v>
      </c>
    </row>
    <row r="1786" spans="1:23" x14ac:dyDescent="0.2">
      <c r="A1786">
        <v>2020</v>
      </c>
      <c r="B1786" t="s">
        <v>23</v>
      </c>
      <c r="C1786" t="s">
        <v>271</v>
      </c>
      <c r="D1786">
        <v>182</v>
      </c>
      <c r="E1786">
        <v>1</v>
      </c>
      <c r="F1786">
        <v>7</v>
      </c>
      <c r="G1786" t="s">
        <v>207</v>
      </c>
      <c r="H1786" s="1">
        <v>6</v>
      </c>
      <c r="I1786" s="1">
        <v>62</v>
      </c>
      <c r="J1786" s="1">
        <v>65</v>
      </c>
      <c r="K1786" s="1">
        <f>J1786-I1786</f>
        <v>3</v>
      </c>
      <c r="L1786" s="1">
        <v>99</v>
      </c>
      <c r="M1786" s="1">
        <v>30</v>
      </c>
      <c r="N1786" s="1">
        <v>1.5</v>
      </c>
      <c r="O1786" s="1">
        <v>4.5</v>
      </c>
      <c r="P1786" s="1">
        <v>5</v>
      </c>
      <c r="Q1786" s="2">
        <v>0.08</v>
      </c>
      <c r="R1786" s="1">
        <v>5</v>
      </c>
      <c r="S1786" s="1">
        <f>R1786/P1786</f>
        <v>1</v>
      </c>
      <c r="T1786" s="1">
        <v>5</v>
      </c>
      <c r="U1786" s="1">
        <v>12.5</v>
      </c>
      <c r="V1786" s="1">
        <v>292.81045751633991</v>
      </c>
      <c r="W1786" s="1">
        <v>5</v>
      </c>
    </row>
    <row r="1787" spans="1:23" x14ac:dyDescent="0.2">
      <c r="A1787">
        <v>2020</v>
      </c>
      <c r="B1787" t="s">
        <v>23</v>
      </c>
      <c r="C1787" t="s">
        <v>271</v>
      </c>
      <c r="D1787">
        <v>182</v>
      </c>
      <c r="E1787">
        <v>2</v>
      </c>
      <c r="F1787">
        <v>9</v>
      </c>
      <c r="G1787" t="s">
        <v>207</v>
      </c>
      <c r="H1787">
        <v>4</v>
      </c>
      <c r="I1787">
        <v>54</v>
      </c>
      <c r="J1787">
        <v>58</v>
      </c>
      <c r="K1787">
        <v>4</v>
      </c>
      <c r="L1787">
        <v>100</v>
      </c>
      <c r="M1787">
        <v>40</v>
      </c>
      <c r="N1787">
        <v>3</v>
      </c>
      <c r="O1787">
        <v>3</v>
      </c>
      <c r="P1787">
        <v>4</v>
      </c>
      <c r="Q1787">
        <v>0.151</v>
      </c>
      <c r="R1787">
        <v>3</v>
      </c>
      <c r="S1787">
        <v>0.75</v>
      </c>
      <c r="T1787">
        <v>5</v>
      </c>
      <c r="U1787">
        <v>12.5</v>
      </c>
      <c r="V1787">
        <v>552.67973856209153</v>
      </c>
      <c r="W1787">
        <v>2</v>
      </c>
    </row>
    <row r="1788" spans="1:23" x14ac:dyDescent="0.2">
      <c r="A1788">
        <v>2020</v>
      </c>
      <c r="B1788" t="s">
        <v>23</v>
      </c>
      <c r="C1788" t="s">
        <v>271</v>
      </c>
      <c r="D1788">
        <v>183</v>
      </c>
      <c r="E1788">
        <v>1</v>
      </c>
      <c r="F1788">
        <v>8</v>
      </c>
      <c r="G1788" t="s">
        <v>208</v>
      </c>
      <c r="H1788" s="1">
        <v>5</v>
      </c>
      <c r="I1788" s="1">
        <v>67</v>
      </c>
      <c r="J1788" s="1">
        <v>69</v>
      </c>
      <c r="K1788" s="1">
        <f>J1788-I1788</f>
        <v>2</v>
      </c>
      <c r="L1788" s="1">
        <v>117</v>
      </c>
      <c r="M1788" s="1">
        <v>45</v>
      </c>
      <c r="N1788" s="1">
        <v>2</v>
      </c>
      <c r="O1788" s="1">
        <v>4.5</v>
      </c>
      <c r="P1788" s="1">
        <v>4</v>
      </c>
      <c r="Q1788" s="2">
        <v>0.26120000000000004</v>
      </c>
      <c r="R1788" s="1">
        <v>4</v>
      </c>
      <c r="S1788" s="1">
        <f>R1788/P1788</f>
        <v>1</v>
      </c>
      <c r="T1788" s="1">
        <v>3.5</v>
      </c>
      <c r="U1788" s="1">
        <v>12.5</v>
      </c>
      <c r="V1788" s="1">
        <v>956.0261437908498</v>
      </c>
      <c r="W1788" s="1">
        <v>4</v>
      </c>
    </row>
    <row r="1789" spans="1:23" x14ac:dyDescent="0.2">
      <c r="A1789">
        <v>2020</v>
      </c>
      <c r="B1789" t="s">
        <v>23</v>
      </c>
      <c r="C1789" t="s">
        <v>271</v>
      </c>
      <c r="D1789">
        <v>183</v>
      </c>
      <c r="E1789">
        <v>2</v>
      </c>
      <c r="F1789">
        <v>10</v>
      </c>
      <c r="G1789" t="s">
        <v>208</v>
      </c>
      <c r="H1789">
        <v>13</v>
      </c>
      <c r="I1789">
        <v>64</v>
      </c>
      <c r="J1789">
        <v>67</v>
      </c>
      <c r="K1789">
        <v>3</v>
      </c>
      <c r="L1789">
        <v>122</v>
      </c>
      <c r="M1789">
        <v>55</v>
      </c>
      <c r="N1789">
        <v>1.5</v>
      </c>
      <c r="O1789">
        <v>3.5</v>
      </c>
      <c r="P1789">
        <v>13</v>
      </c>
      <c r="Q1789">
        <v>0.8</v>
      </c>
      <c r="R1789">
        <v>10</v>
      </c>
      <c r="S1789">
        <v>0.76923076923076927</v>
      </c>
      <c r="T1789">
        <v>3.5</v>
      </c>
      <c r="U1789">
        <v>12.5</v>
      </c>
      <c r="V1789">
        <v>2928.1045751633987</v>
      </c>
      <c r="W1789">
        <v>1</v>
      </c>
    </row>
    <row r="1790" spans="1:23" x14ac:dyDescent="0.2">
      <c r="A1790">
        <v>2020</v>
      </c>
      <c r="B1790" t="s">
        <v>23</v>
      </c>
      <c r="C1790" t="s">
        <v>271</v>
      </c>
      <c r="D1790">
        <v>184</v>
      </c>
      <c r="E1790">
        <v>1</v>
      </c>
      <c r="F1790">
        <v>5</v>
      </c>
      <c r="G1790" t="s">
        <v>209</v>
      </c>
      <c r="H1790" s="1">
        <v>8</v>
      </c>
      <c r="I1790" s="1">
        <v>64</v>
      </c>
      <c r="J1790" s="1">
        <v>69</v>
      </c>
      <c r="K1790" s="1">
        <f>J1790-I1790</f>
        <v>5</v>
      </c>
      <c r="L1790" s="1">
        <v>120</v>
      </c>
      <c r="M1790" s="1">
        <v>75</v>
      </c>
      <c r="N1790" s="1">
        <v>2</v>
      </c>
      <c r="O1790" s="1">
        <v>3.5</v>
      </c>
      <c r="P1790" s="1">
        <v>7</v>
      </c>
      <c r="Q1790" s="2">
        <v>0.27639999999999998</v>
      </c>
      <c r="R1790" s="1">
        <v>6</v>
      </c>
      <c r="S1790" s="1">
        <f>R1790/P1790</f>
        <v>0.8571428571428571</v>
      </c>
      <c r="T1790" s="1">
        <v>5</v>
      </c>
      <c r="U1790" s="1">
        <v>8.5</v>
      </c>
      <c r="V1790" s="1">
        <v>1057.907450980392</v>
      </c>
      <c r="W1790" s="1">
        <v>4</v>
      </c>
    </row>
    <row r="1791" spans="1:23" x14ac:dyDescent="0.2">
      <c r="A1791">
        <v>2020</v>
      </c>
      <c r="B1791" t="s">
        <v>23</v>
      </c>
      <c r="C1791" t="s">
        <v>271</v>
      </c>
      <c r="D1791">
        <v>184</v>
      </c>
      <c r="E1791">
        <v>2</v>
      </c>
      <c r="F1791">
        <v>5</v>
      </c>
      <c r="G1791" t="s">
        <v>209</v>
      </c>
      <c r="H1791" s="1">
        <v>10</v>
      </c>
      <c r="I1791" s="1">
        <v>67</v>
      </c>
      <c r="J1791" s="1">
        <v>72</v>
      </c>
      <c r="K1791" s="1">
        <f>J1791-I1791</f>
        <v>5</v>
      </c>
      <c r="L1791" s="1">
        <v>135</v>
      </c>
      <c r="M1791" s="1">
        <v>47</v>
      </c>
      <c r="N1791" s="1">
        <v>2</v>
      </c>
      <c r="O1791" s="1">
        <v>4</v>
      </c>
      <c r="P1791" s="1">
        <v>6</v>
      </c>
      <c r="Q1791" s="2">
        <v>0.192</v>
      </c>
      <c r="R1791" s="1">
        <v>6</v>
      </c>
      <c r="S1791" s="1">
        <f>R1791/P1791</f>
        <v>1</v>
      </c>
      <c r="T1791" s="1">
        <v>4</v>
      </c>
      <c r="U1791" s="1">
        <v>12.5</v>
      </c>
      <c r="V1791" s="1">
        <v>702.74509803921569</v>
      </c>
      <c r="W1791" s="1">
        <v>4</v>
      </c>
    </row>
    <row r="1792" spans="1:23" x14ac:dyDescent="0.2">
      <c r="A1792">
        <v>2020</v>
      </c>
      <c r="B1792" t="s">
        <v>23</v>
      </c>
      <c r="C1792" t="s">
        <v>271</v>
      </c>
      <c r="D1792">
        <v>185</v>
      </c>
      <c r="E1792">
        <v>1</v>
      </c>
      <c r="F1792">
        <v>1</v>
      </c>
      <c r="G1792" t="s">
        <v>210</v>
      </c>
      <c r="H1792">
        <v>6</v>
      </c>
      <c r="I1792">
        <v>56</v>
      </c>
      <c r="J1792">
        <v>60</v>
      </c>
      <c r="K1792">
        <v>4</v>
      </c>
      <c r="L1792">
        <v>132</v>
      </c>
      <c r="M1792">
        <v>41</v>
      </c>
      <c r="N1792">
        <v>3</v>
      </c>
      <c r="O1792">
        <v>3</v>
      </c>
      <c r="P1792">
        <v>5</v>
      </c>
      <c r="Q1792">
        <v>0.17199999999999999</v>
      </c>
      <c r="R1792">
        <v>4</v>
      </c>
      <c r="S1792">
        <v>0.8</v>
      </c>
      <c r="T1792">
        <v>5</v>
      </c>
      <c r="U1792">
        <v>12.5</v>
      </c>
      <c r="V1792">
        <v>629.54248366013076</v>
      </c>
      <c r="W1792">
        <v>2</v>
      </c>
    </row>
    <row r="1793" spans="1:23" x14ac:dyDescent="0.2">
      <c r="A1793">
        <v>2020</v>
      </c>
      <c r="B1793" t="s">
        <v>23</v>
      </c>
      <c r="C1793" t="s">
        <v>271</v>
      </c>
      <c r="D1793">
        <v>185</v>
      </c>
      <c r="E1793">
        <v>2</v>
      </c>
      <c r="F1793">
        <v>13</v>
      </c>
      <c r="G1793" t="s">
        <v>210</v>
      </c>
      <c r="H1793">
        <v>16</v>
      </c>
      <c r="I1793">
        <v>55</v>
      </c>
      <c r="J1793">
        <v>58</v>
      </c>
      <c r="K1793">
        <v>3</v>
      </c>
      <c r="L1793">
        <v>170</v>
      </c>
      <c r="M1793">
        <v>65</v>
      </c>
      <c r="N1793">
        <v>2</v>
      </c>
      <c r="O1793">
        <v>2</v>
      </c>
      <c r="P1793">
        <v>10</v>
      </c>
      <c r="Q1793">
        <v>0.5</v>
      </c>
      <c r="R1793">
        <v>9</v>
      </c>
      <c r="S1793">
        <v>0.9</v>
      </c>
      <c r="T1793">
        <v>3</v>
      </c>
      <c r="U1793">
        <v>12.1</v>
      </c>
      <c r="V1793">
        <v>1838.4313725490194</v>
      </c>
      <c r="W1793">
        <v>2</v>
      </c>
    </row>
    <row r="1794" spans="1:23" x14ac:dyDescent="0.2">
      <c r="A1794">
        <v>2020</v>
      </c>
      <c r="B1794" t="s">
        <v>23</v>
      </c>
      <c r="C1794" t="s">
        <v>271</v>
      </c>
      <c r="D1794">
        <v>186</v>
      </c>
      <c r="E1794">
        <v>1</v>
      </c>
      <c r="F1794">
        <v>13</v>
      </c>
      <c r="G1794" t="s">
        <v>211</v>
      </c>
      <c r="H1794" s="1">
        <v>15</v>
      </c>
      <c r="I1794" s="1">
        <v>62</v>
      </c>
      <c r="J1794" s="1">
        <v>67</v>
      </c>
      <c r="K1794" s="1">
        <f>J1794-I1794</f>
        <v>5</v>
      </c>
      <c r="L1794" s="1">
        <v>155</v>
      </c>
      <c r="M1794" s="1">
        <v>107</v>
      </c>
      <c r="N1794" s="1">
        <v>2</v>
      </c>
      <c r="O1794" s="1">
        <v>3.5</v>
      </c>
      <c r="P1794" s="1">
        <f>H1794</f>
        <v>15</v>
      </c>
      <c r="Q1794" s="2">
        <v>0.24</v>
      </c>
      <c r="R1794" s="1">
        <v>9</v>
      </c>
      <c r="S1794" s="1">
        <f>R1794/P1794</f>
        <v>0.6</v>
      </c>
      <c r="T1794" s="1">
        <v>5</v>
      </c>
      <c r="U1794" s="1">
        <v>12.5</v>
      </c>
      <c r="V1794" s="1">
        <v>878.43137254901967</v>
      </c>
      <c r="W1794" s="1">
        <v>3</v>
      </c>
    </row>
    <row r="1795" spans="1:23" x14ac:dyDescent="0.2">
      <c r="A1795">
        <v>2020</v>
      </c>
      <c r="B1795" t="s">
        <v>23</v>
      </c>
      <c r="C1795" t="s">
        <v>271</v>
      </c>
      <c r="D1795">
        <v>186</v>
      </c>
      <c r="E1795">
        <v>2</v>
      </c>
      <c r="F1795">
        <v>8</v>
      </c>
      <c r="G1795" t="s">
        <v>211</v>
      </c>
      <c r="H1795" s="1">
        <v>2</v>
      </c>
      <c r="I1795" s="1">
        <v>62</v>
      </c>
      <c r="J1795" s="1">
        <v>66</v>
      </c>
      <c r="K1795" s="1">
        <f>J1795-I1795</f>
        <v>4</v>
      </c>
      <c r="L1795" s="1">
        <v>79</v>
      </c>
      <c r="M1795" s="1">
        <v>31</v>
      </c>
      <c r="N1795" s="1">
        <v>2</v>
      </c>
      <c r="O1795" s="1">
        <v>3</v>
      </c>
      <c r="P1795" s="1">
        <v>2</v>
      </c>
      <c r="Q1795" s="2">
        <v>2.76E-2</v>
      </c>
      <c r="R1795" s="1">
        <v>1</v>
      </c>
      <c r="S1795" s="1">
        <f>R1795/P1795</f>
        <v>0.5</v>
      </c>
      <c r="T1795" s="1">
        <v>4</v>
      </c>
      <c r="U1795" s="1">
        <v>12.5</v>
      </c>
      <c r="V1795" s="1">
        <v>101.01960784313725</v>
      </c>
      <c r="W1795" s="1">
        <v>2</v>
      </c>
    </row>
    <row r="1796" spans="1:23" x14ac:dyDescent="0.2">
      <c r="A1796">
        <v>2020</v>
      </c>
      <c r="B1796" t="s">
        <v>23</v>
      </c>
      <c r="C1796" t="s">
        <v>271</v>
      </c>
      <c r="D1796">
        <v>187</v>
      </c>
      <c r="E1796">
        <v>1</v>
      </c>
      <c r="F1796">
        <v>2</v>
      </c>
      <c r="G1796" t="s">
        <v>212</v>
      </c>
      <c r="H1796" s="1">
        <v>7</v>
      </c>
      <c r="I1796" s="1">
        <v>64</v>
      </c>
      <c r="J1796" s="1">
        <v>68</v>
      </c>
      <c r="K1796" s="1">
        <f>J1796-I1796</f>
        <v>4</v>
      </c>
      <c r="L1796" s="1">
        <v>173</v>
      </c>
      <c r="M1796" s="1">
        <v>97</v>
      </c>
      <c r="N1796" s="1">
        <v>2</v>
      </c>
      <c r="O1796" s="1">
        <v>3</v>
      </c>
      <c r="P1796" s="1">
        <f>H1796-2</f>
        <v>5</v>
      </c>
      <c r="Q1796" s="2">
        <v>0.24299999999999999</v>
      </c>
      <c r="R1796" s="1">
        <v>4</v>
      </c>
      <c r="S1796" s="1">
        <f>R1796/P1796</f>
        <v>0.8</v>
      </c>
      <c r="T1796" s="1">
        <v>3</v>
      </c>
      <c r="U1796" s="1">
        <v>12.5</v>
      </c>
      <c r="V1796" s="1">
        <v>889.41176470588243</v>
      </c>
      <c r="W1796" s="1">
        <v>3</v>
      </c>
    </row>
    <row r="1797" spans="1:23" x14ac:dyDescent="0.2">
      <c r="A1797">
        <v>2020</v>
      </c>
      <c r="B1797" t="s">
        <v>23</v>
      </c>
      <c r="C1797" t="s">
        <v>271</v>
      </c>
      <c r="D1797">
        <v>187</v>
      </c>
      <c r="E1797">
        <v>2</v>
      </c>
      <c r="F1797">
        <v>12</v>
      </c>
      <c r="G1797" t="s">
        <v>212</v>
      </c>
      <c r="H1797" s="3">
        <v>4</v>
      </c>
      <c r="I1797" s="3">
        <v>68</v>
      </c>
      <c r="J1797" s="3">
        <v>71</v>
      </c>
      <c r="K1797" s="3">
        <f>J1797-I1797</f>
        <v>3</v>
      </c>
      <c r="L1797" s="3">
        <v>84</v>
      </c>
      <c r="M1797" s="3">
        <v>39</v>
      </c>
      <c r="N1797" s="3">
        <v>2</v>
      </c>
      <c r="O1797" s="3">
        <v>3</v>
      </c>
      <c r="P1797" s="3">
        <f>H1797</f>
        <v>4</v>
      </c>
      <c r="Q1797" s="4">
        <v>6.5250000000000002E-2</v>
      </c>
      <c r="R1797" s="3">
        <v>2</v>
      </c>
      <c r="S1797" s="3">
        <f>R1797/P1797</f>
        <v>0.5</v>
      </c>
      <c r="T1797" s="3">
        <v>4</v>
      </c>
      <c r="U1797" s="3">
        <v>12.5</v>
      </c>
      <c r="V1797" s="3">
        <v>238.82352941176475</v>
      </c>
      <c r="W1797" s="3">
        <v>3</v>
      </c>
    </row>
    <row r="1798" spans="1:23" x14ac:dyDescent="0.2">
      <c r="A1798">
        <v>2020</v>
      </c>
      <c r="B1798" t="s">
        <v>23</v>
      </c>
      <c r="C1798" t="s">
        <v>271</v>
      </c>
      <c r="D1798">
        <v>188</v>
      </c>
      <c r="E1798">
        <v>1</v>
      </c>
      <c r="F1798">
        <v>12</v>
      </c>
      <c r="G1798" t="s">
        <v>213</v>
      </c>
      <c r="H1798">
        <v>4</v>
      </c>
      <c r="I1798">
        <v>57</v>
      </c>
      <c r="J1798">
        <v>62</v>
      </c>
      <c r="K1798">
        <v>5</v>
      </c>
      <c r="L1798">
        <v>167</v>
      </c>
      <c r="M1798">
        <v>46</v>
      </c>
      <c r="N1798">
        <v>2</v>
      </c>
      <c r="O1798">
        <v>5</v>
      </c>
      <c r="P1798">
        <v>4</v>
      </c>
      <c r="Q1798">
        <v>6.2E-2</v>
      </c>
      <c r="R1798">
        <v>1</v>
      </c>
      <c r="S1798">
        <v>0.25</v>
      </c>
      <c r="T1798">
        <v>2</v>
      </c>
      <c r="U1798">
        <v>12.5</v>
      </c>
      <c r="V1798">
        <v>226.92810457516339</v>
      </c>
      <c r="W1798">
        <v>1</v>
      </c>
    </row>
    <row r="1799" spans="1:23" x14ac:dyDescent="0.2">
      <c r="A1799">
        <v>2020</v>
      </c>
      <c r="B1799" t="s">
        <v>23</v>
      </c>
      <c r="C1799" t="s">
        <v>271</v>
      </c>
      <c r="D1799">
        <v>188</v>
      </c>
      <c r="E1799">
        <v>2</v>
      </c>
      <c r="F1799">
        <v>10</v>
      </c>
      <c r="G1799" t="s">
        <v>213</v>
      </c>
      <c r="H1799" s="1">
        <v>13</v>
      </c>
      <c r="I1799" s="1">
        <v>61</v>
      </c>
      <c r="J1799" s="1">
        <v>66</v>
      </c>
      <c r="K1799" s="1">
        <f>J1799-I1799</f>
        <v>5</v>
      </c>
      <c r="L1799" s="1">
        <v>163</v>
      </c>
      <c r="M1799" s="1">
        <v>70</v>
      </c>
      <c r="N1799" s="1">
        <v>3</v>
      </c>
      <c r="O1799" s="1">
        <v>4</v>
      </c>
      <c r="P1799" s="1">
        <f>H1799-2</f>
        <v>11</v>
      </c>
      <c r="Q1799" s="2">
        <v>0.18</v>
      </c>
      <c r="R1799" s="1">
        <v>8</v>
      </c>
      <c r="S1799" s="1">
        <f>R1799/P1799</f>
        <v>0.72727272727272729</v>
      </c>
      <c r="T1799" s="1">
        <v>5</v>
      </c>
      <c r="U1799" s="1">
        <v>12.5</v>
      </c>
      <c r="V1799" s="1">
        <v>658.82352941176464</v>
      </c>
      <c r="W1799" s="1">
        <v>5</v>
      </c>
    </row>
    <row r="1800" spans="1:23" x14ac:dyDescent="0.2">
      <c r="A1800">
        <v>2020</v>
      </c>
      <c r="B1800" t="s">
        <v>23</v>
      </c>
      <c r="C1800" t="s">
        <v>271</v>
      </c>
      <c r="D1800">
        <v>189</v>
      </c>
      <c r="E1800">
        <v>1</v>
      </c>
      <c r="F1800">
        <v>1</v>
      </c>
      <c r="G1800" t="s">
        <v>214</v>
      </c>
      <c r="H1800" s="1">
        <v>6</v>
      </c>
      <c r="I1800" s="1">
        <v>61</v>
      </c>
      <c r="J1800" s="1">
        <v>65</v>
      </c>
      <c r="K1800" s="1">
        <f>J1800-I1800</f>
        <v>4</v>
      </c>
      <c r="L1800" s="1">
        <v>107</v>
      </c>
      <c r="M1800" s="1">
        <v>77</v>
      </c>
      <c r="N1800" s="1">
        <v>2</v>
      </c>
      <c r="O1800" s="1">
        <v>2.5</v>
      </c>
      <c r="P1800" s="1">
        <v>5</v>
      </c>
      <c r="Q1800" s="2">
        <v>0.98480000000000001</v>
      </c>
      <c r="R1800" s="1">
        <v>3</v>
      </c>
      <c r="S1800" s="1">
        <f>R1800/P1800</f>
        <v>0.6</v>
      </c>
      <c r="T1800" s="1">
        <v>3</v>
      </c>
      <c r="U1800" s="1">
        <v>12.5</v>
      </c>
      <c r="V1800" s="1">
        <v>3604.4967320261439</v>
      </c>
      <c r="W1800" s="1">
        <v>4</v>
      </c>
    </row>
    <row r="1801" spans="1:23" x14ac:dyDescent="0.2">
      <c r="A1801">
        <v>2020</v>
      </c>
      <c r="B1801" t="s">
        <v>23</v>
      </c>
      <c r="C1801" t="s">
        <v>271</v>
      </c>
      <c r="D1801">
        <v>189</v>
      </c>
      <c r="E1801">
        <v>2</v>
      </c>
      <c r="F1801">
        <v>3</v>
      </c>
      <c r="G1801" t="s">
        <v>214</v>
      </c>
      <c r="H1801" s="1">
        <v>7</v>
      </c>
      <c r="I1801" s="1">
        <v>72</v>
      </c>
      <c r="J1801" s="1">
        <v>73</v>
      </c>
      <c r="K1801" s="1">
        <f>J1801-I1801</f>
        <v>1</v>
      </c>
      <c r="L1801" s="1">
        <v>123</v>
      </c>
      <c r="M1801" s="1">
        <v>37</v>
      </c>
      <c r="N1801" s="1">
        <v>3</v>
      </c>
      <c r="O1801" s="1">
        <v>4.5</v>
      </c>
      <c r="P1801" s="1">
        <v>5</v>
      </c>
      <c r="Q1801" s="2">
        <v>0.12239999999999999</v>
      </c>
      <c r="R1801" s="1">
        <v>5</v>
      </c>
      <c r="S1801" s="1">
        <f>R1801/P1801</f>
        <v>1</v>
      </c>
      <c r="T1801" s="1">
        <v>4.5</v>
      </c>
      <c r="U1801" s="1">
        <v>12.5</v>
      </c>
      <c r="V1801" s="1">
        <v>448</v>
      </c>
      <c r="W1801" s="1">
        <v>5</v>
      </c>
    </row>
    <row r="1802" spans="1:23" x14ac:dyDescent="0.2">
      <c r="A1802">
        <v>2020</v>
      </c>
      <c r="B1802" t="s">
        <v>23</v>
      </c>
      <c r="C1802" t="s">
        <v>271</v>
      </c>
      <c r="D1802">
        <v>190</v>
      </c>
      <c r="E1802">
        <v>1</v>
      </c>
      <c r="F1802">
        <v>12</v>
      </c>
      <c r="G1802" t="s">
        <v>215</v>
      </c>
      <c r="H1802" s="1">
        <v>7</v>
      </c>
      <c r="I1802" s="1">
        <v>69</v>
      </c>
      <c r="J1802" s="1">
        <v>70</v>
      </c>
      <c r="K1802" s="1">
        <f>J1802-I1802</f>
        <v>1</v>
      </c>
      <c r="L1802" s="1">
        <v>107</v>
      </c>
      <c r="M1802" s="1">
        <v>36</v>
      </c>
      <c r="N1802" s="1">
        <v>3</v>
      </c>
      <c r="O1802" s="1">
        <v>4.5</v>
      </c>
      <c r="P1802" s="1">
        <v>5</v>
      </c>
      <c r="Q1802" s="2">
        <v>0.122</v>
      </c>
      <c r="R1802" s="1">
        <v>5</v>
      </c>
      <c r="S1802" s="1">
        <f>R1802/P1802</f>
        <v>1</v>
      </c>
      <c r="T1802" s="1">
        <v>4.5</v>
      </c>
      <c r="U1802" s="1">
        <v>12.5</v>
      </c>
      <c r="V1802" s="1">
        <v>446.53594771241831</v>
      </c>
      <c r="W1802" s="1">
        <v>5</v>
      </c>
    </row>
    <row r="1803" spans="1:23" x14ac:dyDescent="0.2">
      <c r="A1803">
        <v>2020</v>
      </c>
      <c r="B1803" t="s">
        <v>23</v>
      </c>
      <c r="C1803" t="s">
        <v>271</v>
      </c>
      <c r="D1803">
        <v>190</v>
      </c>
      <c r="E1803">
        <v>2</v>
      </c>
      <c r="F1803">
        <v>14</v>
      </c>
      <c r="G1803" t="s">
        <v>215</v>
      </c>
      <c r="H1803">
        <v>7</v>
      </c>
      <c r="I1803">
        <v>63</v>
      </c>
      <c r="J1803">
        <v>65</v>
      </c>
      <c r="K1803">
        <v>2</v>
      </c>
      <c r="L1803">
        <v>125</v>
      </c>
      <c r="M1803">
        <v>71</v>
      </c>
      <c r="N1803">
        <v>1.5</v>
      </c>
      <c r="O1803">
        <v>3.5</v>
      </c>
      <c r="P1803">
        <v>7</v>
      </c>
      <c r="Q1803">
        <v>1</v>
      </c>
      <c r="R1803">
        <v>6</v>
      </c>
      <c r="S1803">
        <v>0.8571428571428571</v>
      </c>
      <c r="T1803">
        <v>2.5</v>
      </c>
      <c r="U1803">
        <v>12.5</v>
      </c>
      <c r="V1803">
        <v>3660.1307189542486</v>
      </c>
      <c r="W1803">
        <v>1</v>
      </c>
    </row>
    <row r="1804" spans="1:23" x14ac:dyDescent="0.2">
      <c r="A1804">
        <v>2020</v>
      </c>
      <c r="B1804" t="s">
        <v>23</v>
      </c>
      <c r="C1804" t="s">
        <v>271</v>
      </c>
      <c r="D1804">
        <v>191</v>
      </c>
      <c r="E1804">
        <v>1</v>
      </c>
      <c r="F1804">
        <v>7</v>
      </c>
      <c r="G1804" t="s">
        <v>216</v>
      </c>
      <c r="H1804">
        <v>4</v>
      </c>
      <c r="I1804">
        <v>55</v>
      </c>
      <c r="J1804">
        <v>60</v>
      </c>
      <c r="K1804">
        <v>5</v>
      </c>
      <c r="L1804">
        <v>177</v>
      </c>
      <c r="M1804">
        <v>65</v>
      </c>
      <c r="N1804">
        <v>4</v>
      </c>
      <c r="O1804">
        <v>5</v>
      </c>
      <c r="P1804">
        <v>4</v>
      </c>
      <c r="Q1804">
        <v>0.108</v>
      </c>
      <c r="R1804">
        <v>4</v>
      </c>
      <c r="S1804">
        <v>1</v>
      </c>
      <c r="T1804">
        <v>4</v>
      </c>
      <c r="U1804">
        <v>12.5</v>
      </c>
      <c r="V1804">
        <v>395.29411764705878</v>
      </c>
      <c r="W1804">
        <v>1</v>
      </c>
    </row>
    <row r="1805" spans="1:23" x14ac:dyDescent="0.2">
      <c r="A1805">
        <v>2020</v>
      </c>
      <c r="B1805" t="s">
        <v>23</v>
      </c>
      <c r="C1805" t="s">
        <v>271</v>
      </c>
      <c r="D1805">
        <v>191</v>
      </c>
      <c r="E1805">
        <v>2</v>
      </c>
      <c r="F1805">
        <v>9</v>
      </c>
      <c r="G1805" t="s">
        <v>216</v>
      </c>
      <c r="H1805" s="1">
        <v>4</v>
      </c>
      <c r="I1805" s="1">
        <v>66</v>
      </c>
      <c r="J1805" s="1">
        <v>71</v>
      </c>
      <c r="K1805" s="1">
        <f>J1805-I1805</f>
        <v>5</v>
      </c>
      <c r="L1805" s="1">
        <v>139</v>
      </c>
      <c r="M1805" s="1">
        <v>53</v>
      </c>
      <c r="N1805" s="1">
        <v>2</v>
      </c>
      <c r="O1805" s="1">
        <v>4</v>
      </c>
      <c r="P1805" s="1">
        <v>3</v>
      </c>
      <c r="Q1805" s="2">
        <v>9.1999999999999998E-2</v>
      </c>
      <c r="R1805" s="1">
        <v>3</v>
      </c>
      <c r="S1805" s="1">
        <f>R1805/P1805</f>
        <v>1</v>
      </c>
      <c r="T1805" s="1">
        <v>5</v>
      </c>
      <c r="U1805" s="1">
        <v>12.5</v>
      </c>
      <c r="V1805" s="1">
        <v>336.73202614379085</v>
      </c>
      <c r="W1805" s="1">
        <v>5</v>
      </c>
    </row>
    <row r="1806" spans="1:23" x14ac:dyDescent="0.2">
      <c r="A1806">
        <v>2020</v>
      </c>
      <c r="B1806" t="s">
        <v>23</v>
      </c>
      <c r="C1806" t="s">
        <v>271</v>
      </c>
      <c r="D1806">
        <v>192</v>
      </c>
      <c r="E1806">
        <v>1</v>
      </c>
      <c r="F1806">
        <v>1</v>
      </c>
      <c r="G1806" t="s">
        <v>217</v>
      </c>
      <c r="H1806" s="1">
        <v>3</v>
      </c>
      <c r="I1806" s="1">
        <v>66</v>
      </c>
      <c r="J1806" s="1">
        <v>67</v>
      </c>
      <c r="K1806" s="1">
        <f>J1806-I1806</f>
        <v>1</v>
      </c>
      <c r="L1806" s="1">
        <v>47</v>
      </c>
      <c r="M1806" s="1">
        <v>43</v>
      </c>
      <c r="N1806" s="1">
        <v>2</v>
      </c>
      <c r="O1806" s="1">
        <v>3.5</v>
      </c>
      <c r="P1806" s="1">
        <v>3</v>
      </c>
      <c r="Q1806" s="2">
        <v>0.12</v>
      </c>
      <c r="R1806" s="1">
        <v>5</v>
      </c>
      <c r="S1806" s="1">
        <f>R1806/P1806</f>
        <v>1.6666666666666667</v>
      </c>
      <c r="T1806" s="1">
        <v>4</v>
      </c>
      <c r="U1806" s="1">
        <v>12.2</v>
      </c>
      <c r="V1806" s="1">
        <v>440.72156862745101</v>
      </c>
      <c r="W1806" s="1">
        <v>5</v>
      </c>
    </row>
    <row r="1807" spans="1:23" x14ac:dyDescent="0.2">
      <c r="A1807">
        <v>2020</v>
      </c>
      <c r="B1807" t="s">
        <v>23</v>
      </c>
      <c r="C1807" t="s">
        <v>271</v>
      </c>
      <c r="D1807">
        <v>192</v>
      </c>
      <c r="E1807">
        <v>2</v>
      </c>
      <c r="F1807">
        <v>9</v>
      </c>
      <c r="G1807" t="s">
        <v>217</v>
      </c>
      <c r="H1807" s="1">
        <v>8</v>
      </c>
      <c r="I1807" s="1">
        <v>60</v>
      </c>
      <c r="J1807" s="1">
        <v>65</v>
      </c>
      <c r="K1807" s="1">
        <f>J1807-I1807</f>
        <v>5</v>
      </c>
      <c r="L1807" s="1">
        <v>116</v>
      </c>
      <c r="M1807" s="1">
        <v>56</v>
      </c>
      <c r="N1807" s="1">
        <v>2.5</v>
      </c>
      <c r="O1807" s="1">
        <v>4</v>
      </c>
      <c r="P1807" s="1">
        <v>8</v>
      </c>
      <c r="Q1807" s="2">
        <v>0.11899999999999999</v>
      </c>
      <c r="R1807" s="1">
        <v>8</v>
      </c>
      <c r="S1807" s="1">
        <f>R1807/P1807</f>
        <v>1</v>
      </c>
      <c r="T1807" s="1">
        <v>4.5</v>
      </c>
      <c r="U1807" s="1">
        <v>12.5</v>
      </c>
      <c r="V1807" s="1">
        <v>435.55555555555554</v>
      </c>
      <c r="W1807" s="1">
        <v>5</v>
      </c>
    </row>
    <row r="1808" spans="1:23" x14ac:dyDescent="0.2">
      <c r="A1808">
        <v>2020</v>
      </c>
      <c r="B1808" t="s">
        <v>23</v>
      </c>
      <c r="C1808" t="s">
        <v>271</v>
      </c>
      <c r="D1808">
        <v>193</v>
      </c>
      <c r="E1808">
        <v>1</v>
      </c>
      <c r="F1808">
        <v>6</v>
      </c>
      <c r="G1808" t="s">
        <v>218</v>
      </c>
      <c r="H1808">
        <v>15</v>
      </c>
      <c r="I1808">
        <v>55</v>
      </c>
      <c r="J1808">
        <v>60</v>
      </c>
      <c r="K1808">
        <v>5</v>
      </c>
      <c r="L1808">
        <v>174</v>
      </c>
      <c r="M1808">
        <v>80</v>
      </c>
      <c r="N1808">
        <v>2</v>
      </c>
      <c r="O1808">
        <v>2</v>
      </c>
      <c r="P1808">
        <v>14</v>
      </c>
      <c r="Q1808">
        <v>0.8</v>
      </c>
      <c r="R1808">
        <v>14</v>
      </c>
      <c r="S1808">
        <v>1</v>
      </c>
      <c r="T1808">
        <v>3</v>
      </c>
      <c r="U1808">
        <v>10.3</v>
      </c>
      <c r="V1808">
        <v>3001.7254901960787</v>
      </c>
      <c r="W1808">
        <v>2</v>
      </c>
    </row>
    <row r="1809" spans="1:23" x14ac:dyDescent="0.2">
      <c r="A1809">
        <v>2020</v>
      </c>
      <c r="B1809" t="s">
        <v>23</v>
      </c>
      <c r="C1809" t="s">
        <v>271</v>
      </c>
      <c r="D1809">
        <v>193</v>
      </c>
      <c r="E1809">
        <v>2</v>
      </c>
      <c r="F1809">
        <v>3</v>
      </c>
      <c r="G1809" t="s">
        <v>218</v>
      </c>
      <c r="H1809" s="3">
        <v>11</v>
      </c>
      <c r="I1809" s="3">
        <v>66</v>
      </c>
      <c r="J1809" s="3">
        <v>69</v>
      </c>
      <c r="K1809" s="3">
        <f>J1809-I1809</f>
        <v>3</v>
      </c>
      <c r="L1809" s="3">
        <v>160</v>
      </c>
      <c r="M1809" s="3">
        <v>62</v>
      </c>
      <c r="N1809" s="3">
        <v>2</v>
      </c>
      <c r="O1809" s="3">
        <v>3.5</v>
      </c>
      <c r="P1809" s="3">
        <f>H1809-1</f>
        <v>10</v>
      </c>
      <c r="Q1809" s="4">
        <v>0.13</v>
      </c>
      <c r="R1809" s="3">
        <v>9</v>
      </c>
      <c r="S1809" s="3">
        <f>R1809/P1809</f>
        <v>0.9</v>
      </c>
      <c r="T1809" s="3">
        <v>5</v>
      </c>
      <c r="U1809" s="3">
        <v>12.5</v>
      </c>
      <c r="V1809" s="3">
        <v>475.81699346405225</v>
      </c>
      <c r="W1809" s="3">
        <v>3</v>
      </c>
    </row>
    <row r="1810" spans="1:23" x14ac:dyDescent="0.2">
      <c r="A1810">
        <v>2020</v>
      </c>
      <c r="B1810" t="s">
        <v>23</v>
      </c>
      <c r="C1810" t="s">
        <v>271</v>
      </c>
      <c r="D1810">
        <v>194</v>
      </c>
      <c r="E1810">
        <v>1</v>
      </c>
      <c r="F1810">
        <v>14</v>
      </c>
      <c r="G1810" t="s">
        <v>219</v>
      </c>
      <c r="H1810" s="1">
        <v>10</v>
      </c>
      <c r="I1810" s="1">
        <v>62</v>
      </c>
      <c r="J1810" s="1">
        <v>65</v>
      </c>
      <c r="K1810" s="1">
        <f>J1810-I1810</f>
        <v>3</v>
      </c>
      <c r="L1810" s="1">
        <v>132</v>
      </c>
      <c r="M1810" s="1">
        <v>35</v>
      </c>
      <c r="N1810" s="1">
        <v>3</v>
      </c>
      <c r="O1810" s="1">
        <v>4</v>
      </c>
      <c r="P1810" s="1">
        <v>6</v>
      </c>
      <c r="Q1810" s="2">
        <v>0.25800000000000001</v>
      </c>
      <c r="R1810" s="1">
        <v>6</v>
      </c>
      <c r="S1810" s="1">
        <f>R1810/P1810</f>
        <v>1</v>
      </c>
      <c r="T1810" s="1">
        <v>3.5</v>
      </c>
      <c r="U1810" s="1">
        <v>12.5</v>
      </c>
      <c r="V1810" s="1">
        <v>944.31372549019602</v>
      </c>
      <c r="W1810" s="1">
        <v>5</v>
      </c>
    </row>
    <row r="1811" spans="1:23" x14ac:dyDescent="0.2">
      <c r="A1811">
        <v>2020</v>
      </c>
      <c r="B1811" t="s">
        <v>23</v>
      </c>
      <c r="C1811" t="s">
        <v>271</v>
      </c>
      <c r="D1811">
        <v>194</v>
      </c>
      <c r="E1811">
        <v>2</v>
      </c>
      <c r="F1811">
        <v>9</v>
      </c>
      <c r="G1811" t="s">
        <v>219</v>
      </c>
      <c r="H1811">
        <v>1</v>
      </c>
      <c r="I1811">
        <v>55</v>
      </c>
      <c r="J1811">
        <v>58</v>
      </c>
      <c r="K1811">
        <v>3</v>
      </c>
      <c r="L1811">
        <v>44</v>
      </c>
      <c r="M1811">
        <v>37</v>
      </c>
      <c r="N1811">
        <v>3</v>
      </c>
      <c r="O1811">
        <v>3</v>
      </c>
      <c r="P1811">
        <v>1</v>
      </c>
      <c r="Q1811">
        <v>0.11799999999999999</v>
      </c>
      <c r="R1811">
        <v>2</v>
      </c>
      <c r="S1811">
        <v>2</v>
      </c>
      <c r="T1811">
        <v>2</v>
      </c>
      <c r="U1811">
        <v>12.5</v>
      </c>
      <c r="V1811">
        <v>431.89542483660131</v>
      </c>
      <c r="W1811">
        <v>2</v>
      </c>
    </row>
    <row r="1812" spans="1:23" x14ac:dyDescent="0.2">
      <c r="A1812">
        <v>2020</v>
      </c>
      <c r="B1812" t="s">
        <v>23</v>
      </c>
      <c r="C1812" t="s">
        <v>271</v>
      </c>
      <c r="D1812">
        <v>195</v>
      </c>
      <c r="E1812">
        <v>1</v>
      </c>
      <c r="F1812">
        <v>6</v>
      </c>
      <c r="G1812" t="s">
        <v>220</v>
      </c>
      <c r="H1812">
        <v>12</v>
      </c>
      <c r="I1812">
        <v>64</v>
      </c>
      <c r="J1812">
        <v>67</v>
      </c>
      <c r="K1812">
        <v>3</v>
      </c>
      <c r="L1812">
        <v>110</v>
      </c>
      <c r="M1812">
        <v>66</v>
      </c>
      <c r="N1812">
        <v>2.5</v>
      </c>
      <c r="O1812">
        <v>3</v>
      </c>
      <c r="P1812">
        <v>12</v>
      </c>
      <c r="Q1812">
        <v>1</v>
      </c>
      <c r="R1812">
        <v>12</v>
      </c>
      <c r="S1812">
        <v>1</v>
      </c>
      <c r="T1812">
        <v>3</v>
      </c>
      <c r="U1812">
        <v>12.5</v>
      </c>
      <c r="V1812">
        <v>3660.1307189542486</v>
      </c>
      <c r="W1812">
        <v>1</v>
      </c>
    </row>
    <row r="1813" spans="1:23" x14ac:dyDescent="0.2">
      <c r="A1813">
        <v>2020</v>
      </c>
      <c r="B1813" t="s">
        <v>23</v>
      </c>
      <c r="C1813" t="s">
        <v>271</v>
      </c>
      <c r="D1813">
        <v>195</v>
      </c>
      <c r="E1813">
        <v>2</v>
      </c>
      <c r="F1813">
        <v>2</v>
      </c>
      <c r="G1813" t="s">
        <v>220</v>
      </c>
      <c r="H1813" s="1">
        <v>13</v>
      </c>
      <c r="I1813" s="1">
        <v>69</v>
      </c>
      <c r="J1813" s="1">
        <v>72</v>
      </c>
      <c r="K1813" s="1">
        <f>J1813-I1813</f>
        <v>3</v>
      </c>
      <c r="L1813" s="1">
        <v>186</v>
      </c>
      <c r="M1813" s="1">
        <v>71</v>
      </c>
      <c r="N1813" s="1">
        <v>2</v>
      </c>
      <c r="O1813" s="1">
        <v>2.5</v>
      </c>
      <c r="P1813" s="1">
        <v>11</v>
      </c>
      <c r="Q1813" s="2">
        <v>0.6853499999999999</v>
      </c>
      <c r="R1813" s="1">
        <v>10</v>
      </c>
      <c r="S1813" s="1">
        <f>R1813/P1813</f>
        <v>0.90909090909090906</v>
      </c>
      <c r="T1813" s="1">
        <v>3</v>
      </c>
      <c r="U1813" s="1">
        <v>12.5</v>
      </c>
      <c r="V1813" s="1">
        <v>2508.4705882352937</v>
      </c>
      <c r="W1813" s="1">
        <v>5</v>
      </c>
    </row>
    <row r="1814" spans="1:23" x14ac:dyDescent="0.2">
      <c r="A1814">
        <v>2020</v>
      </c>
      <c r="B1814" t="s">
        <v>23</v>
      </c>
      <c r="C1814" t="s">
        <v>271</v>
      </c>
      <c r="D1814">
        <v>196</v>
      </c>
      <c r="E1814">
        <v>1</v>
      </c>
      <c r="F1814">
        <v>3</v>
      </c>
      <c r="G1814" t="s">
        <v>221</v>
      </c>
      <c r="H1814" s="1">
        <v>6</v>
      </c>
      <c r="I1814" s="1">
        <v>64</v>
      </c>
      <c r="J1814" s="1">
        <v>69</v>
      </c>
      <c r="K1814" s="1">
        <f>J1814-I1814</f>
        <v>5</v>
      </c>
      <c r="L1814" s="1">
        <v>115</v>
      </c>
      <c r="M1814" s="1">
        <v>71</v>
      </c>
      <c r="N1814" s="1">
        <v>2.5</v>
      </c>
      <c r="O1814" s="1">
        <v>4.5</v>
      </c>
      <c r="P1814" s="1">
        <v>6</v>
      </c>
      <c r="Q1814" s="2">
        <v>0.16400000000000001</v>
      </c>
      <c r="R1814" s="1">
        <v>3</v>
      </c>
      <c r="S1814" s="1">
        <f>R1814/P1814</f>
        <v>0.5</v>
      </c>
      <c r="T1814" s="1">
        <v>3.5</v>
      </c>
      <c r="U1814" s="1">
        <v>12.5</v>
      </c>
      <c r="V1814" s="1">
        <v>600.26143790849665</v>
      </c>
      <c r="W1814" s="1">
        <v>6</v>
      </c>
    </row>
    <row r="1815" spans="1:23" x14ac:dyDescent="0.2">
      <c r="A1815">
        <v>2020</v>
      </c>
      <c r="B1815" t="s">
        <v>23</v>
      </c>
      <c r="C1815" t="s">
        <v>271</v>
      </c>
      <c r="D1815">
        <v>196</v>
      </c>
      <c r="E1815">
        <v>2</v>
      </c>
      <c r="F1815">
        <v>10</v>
      </c>
      <c r="G1815" t="s">
        <v>221</v>
      </c>
      <c r="H1815">
        <v>1</v>
      </c>
      <c r="I1815">
        <v>55</v>
      </c>
      <c r="J1815">
        <v>58</v>
      </c>
      <c r="K1815">
        <v>3</v>
      </c>
      <c r="L1815">
        <v>110</v>
      </c>
      <c r="M1815">
        <v>26</v>
      </c>
      <c r="N1815">
        <v>3</v>
      </c>
      <c r="O1815">
        <v>4</v>
      </c>
      <c r="P1815">
        <v>1</v>
      </c>
      <c r="Q1815">
        <v>0.152</v>
      </c>
      <c r="R1815">
        <v>2</v>
      </c>
      <c r="S1815">
        <v>2</v>
      </c>
      <c r="T1815">
        <v>2</v>
      </c>
      <c r="U1815">
        <v>12.5</v>
      </c>
      <c r="V1815">
        <v>556.33986928104571</v>
      </c>
      <c r="W1815">
        <v>1</v>
      </c>
    </row>
    <row r="1816" spans="1:23" x14ac:dyDescent="0.2">
      <c r="A1816">
        <v>2020</v>
      </c>
      <c r="B1816" t="s">
        <v>23</v>
      </c>
      <c r="C1816" t="s">
        <v>271</v>
      </c>
      <c r="D1816">
        <v>197</v>
      </c>
      <c r="E1816">
        <v>1</v>
      </c>
      <c r="F1816">
        <v>13</v>
      </c>
      <c r="G1816" t="s">
        <v>222</v>
      </c>
      <c r="H1816">
        <v>14</v>
      </c>
      <c r="I1816">
        <v>55</v>
      </c>
      <c r="J1816">
        <v>57</v>
      </c>
      <c r="K1816">
        <v>2</v>
      </c>
      <c r="L1816">
        <v>145</v>
      </c>
      <c r="M1816">
        <v>86</v>
      </c>
      <c r="N1816">
        <v>1</v>
      </c>
      <c r="O1816">
        <v>1.5</v>
      </c>
      <c r="P1816">
        <v>16</v>
      </c>
      <c r="Q1816">
        <v>1</v>
      </c>
      <c r="R1816">
        <v>14</v>
      </c>
      <c r="S1816">
        <v>0.875</v>
      </c>
      <c r="T1816">
        <v>2</v>
      </c>
      <c r="U1816">
        <v>10.1</v>
      </c>
      <c r="V1816">
        <v>3760.5228758169937</v>
      </c>
      <c r="W1816">
        <v>2</v>
      </c>
    </row>
    <row r="1817" spans="1:23" x14ac:dyDescent="0.2">
      <c r="A1817">
        <v>2020</v>
      </c>
      <c r="B1817" t="s">
        <v>23</v>
      </c>
      <c r="C1817" t="s">
        <v>271</v>
      </c>
      <c r="D1817">
        <v>197</v>
      </c>
      <c r="E1817">
        <v>2</v>
      </c>
      <c r="F1817">
        <v>8</v>
      </c>
      <c r="G1817" t="s">
        <v>222</v>
      </c>
      <c r="H1817">
        <v>5</v>
      </c>
      <c r="I1817">
        <v>55</v>
      </c>
      <c r="J1817">
        <v>57</v>
      </c>
      <c r="K1817">
        <v>2</v>
      </c>
      <c r="L1817">
        <v>151</v>
      </c>
      <c r="M1817">
        <v>62</v>
      </c>
      <c r="N1817">
        <v>4</v>
      </c>
      <c r="O1817">
        <v>4</v>
      </c>
      <c r="P1817">
        <v>4</v>
      </c>
      <c r="Q1817">
        <v>0.21099999999999999</v>
      </c>
      <c r="R1817">
        <v>3</v>
      </c>
      <c r="S1817">
        <v>0.75</v>
      </c>
      <c r="T1817">
        <v>5</v>
      </c>
      <c r="U1817">
        <v>12.5</v>
      </c>
      <c r="V1817">
        <v>772.28758169934645</v>
      </c>
      <c r="W1817">
        <v>1</v>
      </c>
    </row>
    <row r="1818" spans="1:23" x14ac:dyDescent="0.2">
      <c r="A1818">
        <v>2020</v>
      </c>
      <c r="B1818" t="s">
        <v>23</v>
      </c>
      <c r="C1818" t="s">
        <v>271</v>
      </c>
      <c r="D1818">
        <v>198</v>
      </c>
      <c r="E1818">
        <v>1</v>
      </c>
      <c r="F1818">
        <v>5</v>
      </c>
      <c r="G1818" t="s">
        <v>223</v>
      </c>
      <c r="H1818">
        <v>12</v>
      </c>
      <c r="I1818">
        <v>56</v>
      </c>
      <c r="J1818">
        <v>58</v>
      </c>
      <c r="K1818">
        <v>2</v>
      </c>
      <c r="L1818">
        <v>170</v>
      </c>
      <c r="M1818">
        <v>83</v>
      </c>
      <c r="N1818">
        <v>2</v>
      </c>
      <c r="O1818">
        <v>2</v>
      </c>
      <c r="P1818">
        <v>11</v>
      </c>
      <c r="Q1818">
        <v>1</v>
      </c>
      <c r="R1818">
        <v>11</v>
      </c>
      <c r="S1818">
        <v>1</v>
      </c>
      <c r="T1818">
        <v>2.5</v>
      </c>
      <c r="U1818">
        <v>12.5</v>
      </c>
      <c r="V1818">
        <v>3660.1307189542486</v>
      </c>
      <c r="W1818">
        <v>2</v>
      </c>
    </row>
    <row r="1819" spans="1:23" x14ac:dyDescent="0.2">
      <c r="A1819">
        <v>2020</v>
      </c>
      <c r="B1819" t="s">
        <v>23</v>
      </c>
      <c r="C1819" t="s">
        <v>271</v>
      </c>
      <c r="D1819">
        <v>198</v>
      </c>
      <c r="E1819">
        <v>2</v>
      </c>
      <c r="F1819">
        <v>14</v>
      </c>
      <c r="G1819" t="s">
        <v>223</v>
      </c>
      <c r="H1819" s="1">
        <v>10</v>
      </c>
      <c r="I1819" s="1">
        <v>70</v>
      </c>
      <c r="J1819" s="1">
        <v>71</v>
      </c>
      <c r="K1819" s="1">
        <f>J1819-I1819</f>
        <v>1</v>
      </c>
      <c r="L1819" s="1">
        <v>150</v>
      </c>
      <c r="M1819" s="1">
        <v>73</v>
      </c>
      <c r="N1819" s="1">
        <v>2</v>
      </c>
      <c r="O1819" s="1">
        <v>3.5</v>
      </c>
      <c r="P1819" s="1">
        <v>6</v>
      </c>
      <c r="Q1819" s="2">
        <v>0.21672000000000002</v>
      </c>
      <c r="R1819" s="1">
        <v>4</v>
      </c>
      <c r="S1819" s="1">
        <f>R1819/P1819</f>
        <v>0.66666666666666663</v>
      </c>
      <c r="T1819" s="1">
        <v>5</v>
      </c>
      <c r="U1819" s="1">
        <v>12.5</v>
      </c>
      <c r="V1819" s="1">
        <v>793.22352941176473</v>
      </c>
      <c r="W1819" s="1">
        <v>7</v>
      </c>
    </row>
    <row r="1820" spans="1:23" x14ac:dyDescent="0.2">
      <c r="A1820">
        <v>2020</v>
      </c>
      <c r="B1820" t="s">
        <v>23</v>
      </c>
      <c r="C1820" t="s">
        <v>271</v>
      </c>
      <c r="D1820">
        <v>199</v>
      </c>
      <c r="E1820">
        <v>1</v>
      </c>
      <c r="F1820">
        <v>6</v>
      </c>
      <c r="G1820" t="s">
        <v>224</v>
      </c>
      <c r="H1820">
        <v>12</v>
      </c>
      <c r="I1820">
        <v>63</v>
      </c>
      <c r="J1820">
        <v>67</v>
      </c>
      <c r="K1820">
        <v>4</v>
      </c>
      <c r="L1820">
        <v>135</v>
      </c>
      <c r="M1820">
        <v>61</v>
      </c>
      <c r="N1820">
        <v>1.5</v>
      </c>
      <c r="O1820">
        <v>4</v>
      </c>
      <c r="P1820">
        <v>12</v>
      </c>
      <c r="Q1820">
        <v>1.4</v>
      </c>
      <c r="R1820">
        <v>15</v>
      </c>
      <c r="S1820">
        <v>1.25</v>
      </c>
      <c r="T1820">
        <v>2.5</v>
      </c>
      <c r="U1820">
        <v>12.5</v>
      </c>
      <c r="V1820">
        <v>5124.1830065359472</v>
      </c>
      <c r="W1820">
        <v>1</v>
      </c>
    </row>
    <row r="1821" spans="1:23" x14ac:dyDescent="0.2">
      <c r="A1821">
        <v>2020</v>
      </c>
      <c r="B1821" t="s">
        <v>23</v>
      </c>
      <c r="C1821" t="s">
        <v>271</v>
      </c>
      <c r="D1821">
        <v>199</v>
      </c>
      <c r="E1821">
        <v>2</v>
      </c>
      <c r="F1821">
        <v>5</v>
      </c>
      <c r="G1821" t="s">
        <v>224</v>
      </c>
      <c r="H1821" s="1">
        <v>8</v>
      </c>
      <c r="I1821" s="1">
        <v>62</v>
      </c>
      <c r="J1821" s="1">
        <v>65</v>
      </c>
      <c r="K1821" s="1">
        <f>J1821-I1821</f>
        <v>3</v>
      </c>
      <c r="L1821" s="1">
        <v>143</v>
      </c>
      <c r="M1821" s="1">
        <v>41</v>
      </c>
      <c r="N1821" s="1">
        <v>2</v>
      </c>
      <c r="O1821" s="1">
        <v>4.5</v>
      </c>
      <c r="P1821" s="1">
        <v>6</v>
      </c>
      <c r="Q1821" s="2">
        <v>0.10625</v>
      </c>
      <c r="R1821" s="1">
        <v>5</v>
      </c>
      <c r="S1821" s="1">
        <f>R1821/P1821</f>
        <v>0.83333333333333337</v>
      </c>
      <c r="T1821" s="1">
        <v>3</v>
      </c>
      <c r="U1821" s="1">
        <v>12.5</v>
      </c>
      <c r="V1821" s="1">
        <v>388.88888888888891</v>
      </c>
      <c r="W1821" s="1">
        <v>5</v>
      </c>
    </row>
    <row r="1822" spans="1:23" x14ac:dyDescent="0.2">
      <c r="A1822">
        <v>2020</v>
      </c>
      <c r="B1822" t="s">
        <v>23</v>
      </c>
      <c r="C1822" t="s">
        <v>271</v>
      </c>
      <c r="D1822">
        <v>200</v>
      </c>
      <c r="E1822">
        <v>1</v>
      </c>
      <c r="F1822">
        <v>13</v>
      </c>
      <c r="G1822" t="s">
        <v>225</v>
      </c>
      <c r="H1822" s="1">
        <v>1</v>
      </c>
      <c r="I1822" s="1">
        <v>66</v>
      </c>
      <c r="J1822" s="1">
        <v>68</v>
      </c>
      <c r="K1822" s="1">
        <f>J1822-I1822</f>
        <v>2</v>
      </c>
      <c r="L1822" s="1">
        <v>53</v>
      </c>
      <c r="M1822" s="1">
        <v>40</v>
      </c>
      <c r="N1822" s="1">
        <v>1.5</v>
      </c>
      <c r="O1822" s="1">
        <v>4</v>
      </c>
      <c r="P1822" s="1">
        <v>1</v>
      </c>
      <c r="Q1822" s="2">
        <v>6.2E-2</v>
      </c>
      <c r="R1822" s="1">
        <v>1</v>
      </c>
      <c r="S1822" s="1">
        <f>R1822/P1822</f>
        <v>1</v>
      </c>
      <c r="T1822" s="1">
        <v>4</v>
      </c>
      <c r="U1822" s="1">
        <v>12.5</v>
      </c>
      <c r="V1822" s="1">
        <v>226.92810457516339</v>
      </c>
      <c r="W1822" s="1">
        <v>3</v>
      </c>
    </row>
    <row r="1823" spans="1:23" x14ac:dyDescent="0.2">
      <c r="A1823">
        <v>2020</v>
      </c>
      <c r="B1823" t="s">
        <v>23</v>
      </c>
      <c r="C1823" t="s">
        <v>271</v>
      </c>
      <c r="D1823">
        <v>200</v>
      </c>
      <c r="E1823">
        <v>2</v>
      </c>
      <c r="F1823">
        <v>2</v>
      </c>
      <c r="G1823" t="s">
        <v>225</v>
      </c>
      <c r="H1823" s="1">
        <v>9</v>
      </c>
      <c r="I1823" s="1">
        <v>62</v>
      </c>
      <c r="J1823" s="1">
        <v>67</v>
      </c>
      <c r="K1823" s="1">
        <f>J1823-I1823</f>
        <v>5</v>
      </c>
      <c r="L1823" s="1">
        <v>175</v>
      </c>
      <c r="M1823" s="1">
        <v>102</v>
      </c>
      <c r="N1823" s="1">
        <v>2</v>
      </c>
      <c r="O1823" s="1">
        <v>3.5</v>
      </c>
      <c r="P1823" s="1">
        <v>8</v>
      </c>
      <c r="Q1823" s="2">
        <v>0.28060000000000002</v>
      </c>
      <c r="R1823" s="1">
        <v>5</v>
      </c>
      <c r="S1823" s="1">
        <f>R1823/P1823</f>
        <v>0.625</v>
      </c>
      <c r="T1823" s="1">
        <v>5</v>
      </c>
      <c r="U1823" s="1">
        <v>11.6</v>
      </c>
      <c r="V1823" s="1">
        <v>1037.5964444444446</v>
      </c>
      <c r="W1823" s="1">
        <v>3</v>
      </c>
    </row>
    <row r="1824" spans="1:23" x14ac:dyDescent="0.2">
      <c r="A1824">
        <v>2020</v>
      </c>
      <c r="B1824" t="s">
        <v>23</v>
      </c>
      <c r="C1824" t="s">
        <v>271</v>
      </c>
      <c r="D1824">
        <v>201</v>
      </c>
      <c r="E1824">
        <v>1</v>
      </c>
      <c r="F1824">
        <v>2</v>
      </c>
      <c r="G1824" t="s">
        <v>226</v>
      </c>
      <c r="H1824">
        <v>2</v>
      </c>
      <c r="I1824">
        <v>56</v>
      </c>
      <c r="J1824">
        <v>58</v>
      </c>
      <c r="K1824">
        <v>2</v>
      </c>
      <c r="L1824">
        <v>134</v>
      </c>
      <c r="M1824">
        <v>72</v>
      </c>
      <c r="N1824">
        <v>2.5</v>
      </c>
      <c r="O1824">
        <v>3</v>
      </c>
      <c r="P1824">
        <v>2</v>
      </c>
      <c r="Q1824">
        <v>0.2</v>
      </c>
      <c r="R1824">
        <v>2</v>
      </c>
      <c r="S1824">
        <v>1</v>
      </c>
      <c r="T1824" t="s">
        <v>273</v>
      </c>
      <c r="U1824">
        <v>12.5</v>
      </c>
      <c r="V1824">
        <v>732.02614379084969</v>
      </c>
      <c r="W1824">
        <v>1</v>
      </c>
    </row>
    <row r="1825" spans="1:23" x14ac:dyDescent="0.2">
      <c r="A1825">
        <v>2020</v>
      </c>
      <c r="B1825" t="s">
        <v>23</v>
      </c>
      <c r="C1825" t="s">
        <v>271</v>
      </c>
      <c r="D1825">
        <v>201</v>
      </c>
      <c r="E1825">
        <v>2</v>
      </c>
      <c r="F1825">
        <v>15</v>
      </c>
      <c r="G1825" t="s">
        <v>226</v>
      </c>
      <c r="H1825">
        <v>16</v>
      </c>
      <c r="I1825">
        <v>54</v>
      </c>
      <c r="J1825">
        <v>57</v>
      </c>
      <c r="K1825">
        <v>3</v>
      </c>
      <c r="L1825">
        <v>157</v>
      </c>
      <c r="M1825">
        <v>75</v>
      </c>
      <c r="N1825">
        <v>2</v>
      </c>
      <c r="O1825">
        <v>2.5</v>
      </c>
      <c r="P1825">
        <v>13</v>
      </c>
      <c r="Q1825">
        <v>0.6</v>
      </c>
      <c r="R1825">
        <v>11</v>
      </c>
      <c r="S1825">
        <v>0.84615384615384615</v>
      </c>
      <c r="T1825">
        <v>4</v>
      </c>
      <c r="U1825">
        <v>10.7</v>
      </c>
      <c r="V1825">
        <v>2241.2549019607845</v>
      </c>
      <c r="W1825">
        <v>2</v>
      </c>
    </row>
    <row r="1826" spans="1:23" x14ac:dyDescent="0.2">
      <c r="A1826">
        <v>2020</v>
      </c>
      <c r="B1826" t="s">
        <v>23</v>
      </c>
      <c r="C1826" t="s">
        <v>271</v>
      </c>
      <c r="D1826">
        <v>202</v>
      </c>
      <c r="E1826">
        <v>1</v>
      </c>
      <c r="F1826">
        <v>10</v>
      </c>
      <c r="G1826" t="s">
        <v>227</v>
      </c>
      <c r="H1826">
        <v>10</v>
      </c>
      <c r="I1826">
        <v>54</v>
      </c>
      <c r="J1826">
        <v>56</v>
      </c>
      <c r="K1826">
        <v>2</v>
      </c>
      <c r="L1826">
        <v>185</v>
      </c>
      <c r="M1826">
        <v>60</v>
      </c>
      <c r="N1826">
        <v>2</v>
      </c>
      <c r="O1826">
        <v>2</v>
      </c>
      <c r="P1826">
        <v>8</v>
      </c>
      <c r="Q1826">
        <v>0.5</v>
      </c>
      <c r="R1826">
        <v>7</v>
      </c>
      <c r="S1826">
        <v>0.875</v>
      </c>
      <c r="T1826">
        <v>4</v>
      </c>
      <c r="U1826">
        <v>13.7</v>
      </c>
      <c r="V1826">
        <v>1804.9673202614379</v>
      </c>
      <c r="W1826">
        <v>1</v>
      </c>
    </row>
    <row r="1827" spans="1:23" x14ac:dyDescent="0.2">
      <c r="A1827">
        <v>2020</v>
      </c>
      <c r="B1827" t="s">
        <v>23</v>
      </c>
      <c r="C1827" t="s">
        <v>271</v>
      </c>
      <c r="D1827">
        <v>202</v>
      </c>
      <c r="E1827">
        <v>2</v>
      </c>
      <c r="F1827">
        <v>15</v>
      </c>
      <c r="G1827" t="s">
        <v>227</v>
      </c>
      <c r="H1827" s="1">
        <v>7</v>
      </c>
      <c r="I1827" s="1">
        <v>65</v>
      </c>
      <c r="J1827" s="1">
        <v>68</v>
      </c>
      <c r="K1827" s="1">
        <f>J1827-I1827</f>
        <v>3</v>
      </c>
      <c r="L1827" s="1">
        <v>147</v>
      </c>
      <c r="M1827" s="1">
        <v>55</v>
      </c>
      <c r="N1827" s="1">
        <v>2</v>
      </c>
      <c r="O1827" s="1">
        <v>3</v>
      </c>
      <c r="P1827" s="1">
        <v>7</v>
      </c>
      <c r="Q1827" s="2">
        <v>0.64549999999999996</v>
      </c>
      <c r="R1827" s="1">
        <v>7</v>
      </c>
      <c r="S1827" s="1">
        <f>R1827/P1827</f>
        <v>1</v>
      </c>
      <c r="T1827" s="1">
        <v>3.5</v>
      </c>
      <c r="U1827" s="1">
        <v>12.5</v>
      </c>
      <c r="V1827" s="1">
        <v>2362.6143790849674</v>
      </c>
      <c r="W1827" s="1">
        <v>3</v>
      </c>
    </row>
    <row r="1828" spans="1:23" x14ac:dyDescent="0.2">
      <c r="A1828">
        <v>2020</v>
      </c>
      <c r="B1828" t="s">
        <v>23</v>
      </c>
      <c r="C1828" t="s">
        <v>271</v>
      </c>
      <c r="D1828">
        <v>203</v>
      </c>
      <c r="E1828">
        <v>1</v>
      </c>
      <c r="F1828">
        <v>5</v>
      </c>
      <c r="G1828" t="s">
        <v>228</v>
      </c>
      <c r="H1828" s="1">
        <v>8</v>
      </c>
      <c r="I1828" s="1">
        <v>54</v>
      </c>
      <c r="J1828" s="1">
        <v>58</v>
      </c>
      <c r="K1828" s="1">
        <f>J1828-I1828</f>
        <v>4</v>
      </c>
      <c r="L1828" s="1">
        <v>133</v>
      </c>
      <c r="M1828" s="1">
        <v>73</v>
      </c>
      <c r="N1828" s="1">
        <v>2</v>
      </c>
      <c r="O1828" s="1">
        <v>3.5</v>
      </c>
      <c r="P1828" s="1">
        <v>4</v>
      </c>
      <c r="Q1828" s="2">
        <v>0.10071000000000001</v>
      </c>
      <c r="R1828" s="1">
        <v>4</v>
      </c>
      <c r="S1828" s="1">
        <f>R1828/P1828</f>
        <v>1</v>
      </c>
      <c r="T1828" s="1">
        <v>3</v>
      </c>
      <c r="U1828" s="1">
        <v>12.5</v>
      </c>
      <c r="V1828" s="1">
        <v>368.61176470588236</v>
      </c>
      <c r="W1828" s="1">
        <v>5</v>
      </c>
    </row>
    <row r="1829" spans="1:23" x14ac:dyDescent="0.2">
      <c r="A1829">
        <v>2020</v>
      </c>
      <c r="B1829" t="s">
        <v>23</v>
      </c>
      <c r="C1829" t="s">
        <v>271</v>
      </c>
      <c r="D1829">
        <v>203</v>
      </c>
      <c r="E1829">
        <v>2</v>
      </c>
      <c r="F1829">
        <v>7</v>
      </c>
      <c r="G1829" t="s">
        <v>228</v>
      </c>
      <c r="H1829" s="1">
        <v>11</v>
      </c>
      <c r="I1829" s="1">
        <v>66</v>
      </c>
      <c r="J1829" s="1">
        <v>70</v>
      </c>
      <c r="K1829" s="1">
        <f>J1829-I1829</f>
        <v>4</v>
      </c>
      <c r="L1829" s="1">
        <v>217</v>
      </c>
      <c r="M1829" s="1">
        <v>103</v>
      </c>
      <c r="N1829" s="1">
        <v>2</v>
      </c>
      <c r="O1829" s="1">
        <v>2.5</v>
      </c>
      <c r="P1829" s="1">
        <v>10</v>
      </c>
      <c r="Q1829" s="2">
        <v>0.86699999999999999</v>
      </c>
      <c r="R1829" s="1">
        <v>8</v>
      </c>
      <c r="S1829" s="1">
        <f>R1829/P1829</f>
        <v>0.8</v>
      </c>
      <c r="T1829" s="1">
        <v>5</v>
      </c>
      <c r="U1829" s="1">
        <v>8.6999999999999993</v>
      </c>
      <c r="V1829" s="1">
        <v>3311.146666666667</v>
      </c>
      <c r="W1829" s="1">
        <v>4</v>
      </c>
    </row>
    <row r="1830" spans="1:23" x14ac:dyDescent="0.2">
      <c r="A1830">
        <v>2020</v>
      </c>
      <c r="B1830" t="s">
        <v>23</v>
      </c>
      <c r="C1830" t="s">
        <v>271</v>
      </c>
      <c r="D1830">
        <v>204</v>
      </c>
      <c r="E1830">
        <v>1</v>
      </c>
      <c r="F1830">
        <v>9</v>
      </c>
      <c r="G1830" t="s">
        <v>229</v>
      </c>
      <c r="H1830" s="1">
        <v>14</v>
      </c>
      <c r="I1830" s="1">
        <v>65</v>
      </c>
      <c r="J1830" s="1">
        <v>69</v>
      </c>
      <c r="K1830" s="1">
        <f>J1830-I1830</f>
        <v>4</v>
      </c>
      <c r="L1830" s="1">
        <v>178</v>
      </c>
      <c r="M1830" s="1">
        <v>78</v>
      </c>
      <c r="N1830" s="1">
        <v>2</v>
      </c>
      <c r="O1830" s="1">
        <v>3.5</v>
      </c>
      <c r="P1830" s="1">
        <f>H1830-2</f>
        <v>12</v>
      </c>
      <c r="Q1830" s="2">
        <v>0.27750000000000002</v>
      </c>
      <c r="R1830" s="1">
        <v>9</v>
      </c>
      <c r="S1830" s="1">
        <f>R1830/P1830</f>
        <v>0.75</v>
      </c>
      <c r="T1830" s="1">
        <v>5</v>
      </c>
      <c r="U1830" s="1">
        <v>12.5</v>
      </c>
      <c r="V1830" s="1">
        <v>1015.686274509804</v>
      </c>
      <c r="W1830" s="1">
        <v>4</v>
      </c>
    </row>
    <row r="1831" spans="1:23" x14ac:dyDescent="0.2">
      <c r="A1831">
        <v>2020</v>
      </c>
      <c r="B1831" t="s">
        <v>23</v>
      </c>
      <c r="C1831" t="s">
        <v>271</v>
      </c>
      <c r="D1831">
        <v>204</v>
      </c>
      <c r="E1831">
        <v>2</v>
      </c>
      <c r="F1831">
        <v>15</v>
      </c>
      <c r="G1831" t="s">
        <v>229</v>
      </c>
      <c r="H1831">
        <v>9</v>
      </c>
      <c r="I1831">
        <v>53</v>
      </c>
      <c r="J1831">
        <v>57</v>
      </c>
      <c r="K1831">
        <v>4</v>
      </c>
      <c r="L1831">
        <v>96</v>
      </c>
      <c r="M1831">
        <v>24</v>
      </c>
      <c r="N1831">
        <v>1</v>
      </c>
      <c r="O1831">
        <v>2</v>
      </c>
      <c r="P1831">
        <v>9</v>
      </c>
      <c r="Q1831">
        <v>1.2</v>
      </c>
      <c r="R1831">
        <v>9</v>
      </c>
      <c r="S1831">
        <v>1</v>
      </c>
      <c r="T1831">
        <v>3</v>
      </c>
      <c r="U1831">
        <v>12.5</v>
      </c>
      <c r="V1831">
        <v>4392.1568627450979</v>
      </c>
      <c r="W1831">
        <v>2</v>
      </c>
    </row>
    <row r="1832" spans="1:23" x14ac:dyDescent="0.2">
      <c r="A1832">
        <v>2020</v>
      </c>
      <c r="B1832" t="s">
        <v>23</v>
      </c>
      <c r="C1832" t="s">
        <v>271</v>
      </c>
      <c r="D1832">
        <v>205</v>
      </c>
      <c r="E1832">
        <v>1</v>
      </c>
      <c r="F1832">
        <v>14</v>
      </c>
      <c r="G1832" t="s">
        <v>230</v>
      </c>
      <c r="H1832">
        <v>8</v>
      </c>
      <c r="I1832">
        <v>56</v>
      </c>
      <c r="J1832">
        <v>58</v>
      </c>
      <c r="K1832">
        <v>2</v>
      </c>
      <c r="L1832">
        <v>167</v>
      </c>
      <c r="M1832">
        <v>88</v>
      </c>
      <c r="N1832">
        <v>1.5</v>
      </c>
      <c r="O1832">
        <v>2</v>
      </c>
      <c r="P1832">
        <v>7</v>
      </c>
      <c r="Q1832">
        <v>1</v>
      </c>
      <c r="R1832">
        <v>7</v>
      </c>
      <c r="S1832">
        <v>1</v>
      </c>
      <c r="T1832">
        <v>3</v>
      </c>
      <c r="U1832">
        <v>12.5</v>
      </c>
      <c r="V1832">
        <v>3660.1307189542486</v>
      </c>
      <c r="W1832">
        <v>2</v>
      </c>
    </row>
    <row r="1833" spans="1:23" x14ac:dyDescent="0.2">
      <c r="A1833">
        <v>2020</v>
      </c>
      <c r="B1833" t="s">
        <v>23</v>
      </c>
      <c r="C1833" t="s">
        <v>271</v>
      </c>
      <c r="D1833">
        <v>205</v>
      </c>
      <c r="E1833">
        <v>2</v>
      </c>
      <c r="F1833">
        <v>11</v>
      </c>
      <c r="G1833" t="s">
        <v>230</v>
      </c>
      <c r="H1833" s="1">
        <v>11</v>
      </c>
      <c r="I1833" s="1">
        <v>63</v>
      </c>
      <c r="J1833" s="1">
        <v>66</v>
      </c>
      <c r="K1833" s="1">
        <f>J1833-I1833</f>
        <v>3</v>
      </c>
      <c r="L1833" s="1">
        <v>188</v>
      </c>
      <c r="M1833" s="1">
        <v>88</v>
      </c>
      <c r="N1833" s="1">
        <v>2</v>
      </c>
      <c r="O1833" s="1">
        <v>2.5</v>
      </c>
      <c r="P1833" s="1">
        <f>H1833-1</f>
        <v>10</v>
      </c>
      <c r="Q1833" s="2">
        <v>0.20624999999999999</v>
      </c>
      <c r="R1833" s="1">
        <v>8</v>
      </c>
      <c r="S1833" s="1">
        <f>R1833/P1833</f>
        <v>0.8</v>
      </c>
      <c r="T1833" s="1">
        <v>5</v>
      </c>
      <c r="U1833" s="1">
        <v>12.5</v>
      </c>
      <c r="V1833" s="1">
        <v>754.9019607843137</v>
      </c>
      <c r="W1833" s="1">
        <v>5</v>
      </c>
    </row>
    <row r="1834" spans="1:23" x14ac:dyDescent="0.2">
      <c r="A1834">
        <v>2020</v>
      </c>
      <c r="B1834" t="s">
        <v>23</v>
      </c>
      <c r="C1834" t="s">
        <v>271</v>
      </c>
      <c r="D1834">
        <v>206</v>
      </c>
      <c r="E1834">
        <v>1</v>
      </c>
      <c r="F1834">
        <v>3</v>
      </c>
      <c r="G1834" t="s">
        <v>231</v>
      </c>
      <c r="H1834" s="1">
        <v>10</v>
      </c>
      <c r="I1834" s="1">
        <v>68</v>
      </c>
      <c r="J1834" s="1">
        <v>72</v>
      </c>
      <c r="K1834" s="1">
        <f>J1834-I1834</f>
        <v>4</v>
      </c>
      <c r="L1834" s="1">
        <v>60</v>
      </c>
      <c r="M1834" s="1">
        <v>25</v>
      </c>
      <c r="N1834" s="1">
        <v>3</v>
      </c>
      <c r="O1834" s="1">
        <v>5</v>
      </c>
      <c r="P1834" s="1">
        <v>2</v>
      </c>
      <c r="Q1834" s="2">
        <v>0.04</v>
      </c>
      <c r="R1834" s="1">
        <v>2</v>
      </c>
      <c r="S1834" s="1">
        <f>R1834/P1834</f>
        <v>1</v>
      </c>
      <c r="T1834" s="1">
        <v>5</v>
      </c>
      <c r="U1834" s="1">
        <v>12.5</v>
      </c>
      <c r="V1834" s="1">
        <v>146.40522875816995</v>
      </c>
      <c r="W1834" s="1">
        <v>6</v>
      </c>
    </row>
    <row r="1835" spans="1:23" x14ac:dyDescent="0.2">
      <c r="A1835">
        <v>2020</v>
      </c>
      <c r="B1835" t="s">
        <v>23</v>
      </c>
      <c r="C1835" t="s">
        <v>271</v>
      </c>
      <c r="D1835">
        <v>206</v>
      </c>
      <c r="E1835">
        <v>2</v>
      </c>
      <c r="F1835">
        <v>12</v>
      </c>
      <c r="G1835" t="s">
        <v>231</v>
      </c>
      <c r="H1835" s="1">
        <v>6</v>
      </c>
      <c r="I1835" s="1">
        <v>63</v>
      </c>
      <c r="J1835" s="1">
        <v>66</v>
      </c>
      <c r="K1835" s="1">
        <f>J1835-I1835</f>
        <v>3</v>
      </c>
      <c r="L1835" s="1">
        <v>173</v>
      </c>
      <c r="M1835" s="1">
        <v>61</v>
      </c>
      <c r="N1835" s="1">
        <v>2</v>
      </c>
      <c r="O1835" s="1">
        <v>4.5</v>
      </c>
      <c r="P1835" s="1">
        <v>5</v>
      </c>
      <c r="Q1835" s="2">
        <v>0.315</v>
      </c>
      <c r="R1835" s="1">
        <v>5</v>
      </c>
      <c r="S1835" s="1">
        <f>R1835/P1835</f>
        <v>1</v>
      </c>
      <c r="T1835" s="1">
        <v>4</v>
      </c>
      <c r="U1835" s="1">
        <v>12.5</v>
      </c>
      <c r="V1835" s="1">
        <v>1152.9411764705883</v>
      </c>
      <c r="W1835" s="1">
        <v>4</v>
      </c>
    </row>
    <row r="1836" spans="1:23" x14ac:dyDescent="0.2">
      <c r="A1836">
        <v>2020</v>
      </c>
      <c r="B1836" t="s">
        <v>23</v>
      </c>
      <c r="C1836" t="s">
        <v>271</v>
      </c>
      <c r="D1836">
        <v>207</v>
      </c>
      <c r="E1836">
        <v>1</v>
      </c>
      <c r="F1836">
        <v>15</v>
      </c>
      <c r="G1836" t="s">
        <v>232</v>
      </c>
      <c r="H1836" s="1">
        <v>12</v>
      </c>
      <c r="I1836" s="1">
        <v>62</v>
      </c>
      <c r="J1836" s="1">
        <v>67</v>
      </c>
      <c r="K1836" s="1">
        <f>J1836-I1836</f>
        <v>5</v>
      </c>
      <c r="L1836" s="1">
        <v>122</v>
      </c>
      <c r="M1836" s="1">
        <v>82</v>
      </c>
      <c r="N1836" s="1">
        <v>2</v>
      </c>
      <c r="O1836" s="1">
        <v>3.5</v>
      </c>
      <c r="P1836" s="1">
        <f>H1836</f>
        <v>12</v>
      </c>
      <c r="Q1836" s="2">
        <v>0.28949999999999998</v>
      </c>
      <c r="R1836" s="1">
        <v>12</v>
      </c>
      <c r="S1836" s="1">
        <f>R1836/P1836</f>
        <v>1</v>
      </c>
      <c r="T1836" s="1">
        <v>5</v>
      </c>
      <c r="U1836" s="1">
        <v>12.5</v>
      </c>
      <c r="V1836" s="1">
        <v>1059.6078431372548</v>
      </c>
      <c r="W1836" s="1">
        <v>5</v>
      </c>
    </row>
    <row r="1837" spans="1:23" x14ac:dyDescent="0.2">
      <c r="A1837">
        <v>2020</v>
      </c>
      <c r="B1837" t="s">
        <v>23</v>
      </c>
      <c r="C1837" t="s">
        <v>271</v>
      </c>
      <c r="D1837">
        <v>207</v>
      </c>
      <c r="E1837">
        <v>2</v>
      </c>
      <c r="F1837">
        <v>12</v>
      </c>
      <c r="G1837" t="s">
        <v>232</v>
      </c>
      <c r="H1837" s="1">
        <v>6</v>
      </c>
      <c r="I1837" s="1">
        <v>59</v>
      </c>
      <c r="J1837" s="1">
        <v>65</v>
      </c>
      <c r="K1837" s="1">
        <f>J1837-I1837</f>
        <v>6</v>
      </c>
      <c r="L1837" s="1">
        <v>114</v>
      </c>
      <c r="M1837" s="1">
        <v>48</v>
      </c>
      <c r="N1837" s="1">
        <v>2</v>
      </c>
      <c r="O1837" s="1">
        <v>2.5</v>
      </c>
      <c r="P1837" s="1">
        <v>6</v>
      </c>
      <c r="Q1837" s="2">
        <v>7.6724999999999988E-2</v>
      </c>
      <c r="R1837" s="1">
        <v>2</v>
      </c>
      <c r="S1837" s="1">
        <f>R1837/P1837</f>
        <v>0.33333333333333331</v>
      </c>
      <c r="T1837" s="1">
        <v>5</v>
      </c>
      <c r="U1837" s="1">
        <v>12.5</v>
      </c>
      <c r="V1837" s="1">
        <v>280.82352941176464</v>
      </c>
      <c r="W1837" s="1">
        <v>5</v>
      </c>
    </row>
    <row r="1838" spans="1:23" x14ac:dyDescent="0.2">
      <c r="A1838">
        <v>2020</v>
      </c>
      <c r="B1838" t="s">
        <v>23</v>
      </c>
      <c r="C1838" t="s">
        <v>271</v>
      </c>
      <c r="D1838">
        <v>208</v>
      </c>
      <c r="E1838">
        <v>1</v>
      </c>
      <c r="F1838">
        <v>2</v>
      </c>
      <c r="G1838" t="s">
        <v>233</v>
      </c>
      <c r="H1838">
        <v>12</v>
      </c>
      <c r="I1838">
        <v>64</v>
      </c>
      <c r="J1838">
        <v>67</v>
      </c>
      <c r="K1838">
        <v>3</v>
      </c>
      <c r="L1838">
        <v>150</v>
      </c>
      <c r="M1838">
        <v>66</v>
      </c>
      <c r="N1838">
        <v>2</v>
      </c>
      <c r="O1838">
        <v>3</v>
      </c>
      <c r="P1838">
        <v>12</v>
      </c>
      <c r="Q1838">
        <v>1.3</v>
      </c>
      <c r="R1838">
        <v>12</v>
      </c>
      <c r="S1838">
        <v>1</v>
      </c>
      <c r="T1838">
        <v>3</v>
      </c>
      <c r="U1838">
        <v>12.5</v>
      </c>
      <c r="V1838">
        <v>4758.169934640523</v>
      </c>
      <c r="W1838">
        <v>2</v>
      </c>
    </row>
    <row r="1839" spans="1:23" x14ac:dyDescent="0.2">
      <c r="A1839">
        <v>2020</v>
      </c>
      <c r="B1839" t="s">
        <v>23</v>
      </c>
      <c r="C1839" t="s">
        <v>271</v>
      </c>
      <c r="D1839">
        <v>208</v>
      </c>
      <c r="E1839">
        <v>2</v>
      </c>
      <c r="F1839">
        <v>7</v>
      </c>
      <c r="G1839" t="s">
        <v>233</v>
      </c>
      <c r="H1839">
        <v>13</v>
      </c>
      <c r="I1839">
        <v>56</v>
      </c>
      <c r="J1839">
        <v>60</v>
      </c>
      <c r="K1839">
        <v>4</v>
      </c>
      <c r="L1839">
        <v>174</v>
      </c>
      <c r="M1839">
        <v>61</v>
      </c>
      <c r="N1839">
        <v>2</v>
      </c>
      <c r="O1839">
        <v>2</v>
      </c>
      <c r="P1839">
        <v>10</v>
      </c>
      <c r="Q1839">
        <v>1</v>
      </c>
      <c r="R1839">
        <v>10</v>
      </c>
      <c r="S1839">
        <v>1</v>
      </c>
      <c r="T1839">
        <v>2</v>
      </c>
      <c r="U1839">
        <v>11.5</v>
      </c>
      <c r="V1839">
        <v>3701.9607843137255</v>
      </c>
      <c r="W1839">
        <v>2</v>
      </c>
    </row>
    <row r="1840" spans="1:23" x14ac:dyDescent="0.2">
      <c r="A1840">
        <v>2020</v>
      </c>
      <c r="B1840" t="s">
        <v>23</v>
      </c>
      <c r="C1840" t="s">
        <v>271</v>
      </c>
      <c r="D1840">
        <v>209</v>
      </c>
      <c r="E1840">
        <v>1</v>
      </c>
      <c r="F1840">
        <v>13</v>
      </c>
      <c r="G1840" t="s">
        <v>234</v>
      </c>
      <c r="H1840" s="1">
        <v>5</v>
      </c>
      <c r="I1840" s="1">
        <v>69</v>
      </c>
      <c r="J1840" s="1">
        <v>74</v>
      </c>
      <c r="K1840" s="1">
        <f>J1840-I1840</f>
        <v>5</v>
      </c>
      <c r="L1840" s="1">
        <v>139</v>
      </c>
      <c r="M1840" s="1">
        <v>46</v>
      </c>
      <c r="N1840" s="1">
        <v>3</v>
      </c>
      <c r="O1840" s="1">
        <v>4.5</v>
      </c>
      <c r="P1840" s="1">
        <v>5</v>
      </c>
      <c r="Q1840" s="2">
        <v>0.12959999999999999</v>
      </c>
      <c r="R1840" s="1">
        <v>5</v>
      </c>
      <c r="S1840" s="1">
        <f>R1840/P1840</f>
        <v>1</v>
      </c>
      <c r="T1840" s="1">
        <v>4</v>
      </c>
      <c r="U1840" s="1">
        <v>12.5</v>
      </c>
      <c r="V1840" s="1">
        <v>474.35294117647055</v>
      </c>
      <c r="W1840" s="1">
        <v>4</v>
      </c>
    </row>
    <row r="1841" spans="1:23" x14ac:dyDescent="0.2">
      <c r="A1841">
        <v>2020</v>
      </c>
      <c r="B1841" t="s">
        <v>23</v>
      </c>
      <c r="C1841" t="s">
        <v>271</v>
      </c>
      <c r="D1841">
        <v>209</v>
      </c>
      <c r="E1841">
        <v>2</v>
      </c>
      <c r="F1841">
        <v>7</v>
      </c>
      <c r="G1841" t="s">
        <v>234</v>
      </c>
      <c r="H1841">
        <v>3</v>
      </c>
      <c r="I1841">
        <v>55</v>
      </c>
      <c r="J1841">
        <v>61</v>
      </c>
      <c r="K1841">
        <v>6</v>
      </c>
      <c r="L1841">
        <v>108</v>
      </c>
      <c r="M1841">
        <v>22</v>
      </c>
      <c r="N1841">
        <v>3</v>
      </c>
      <c r="O1841">
        <v>3</v>
      </c>
      <c r="P1841">
        <v>3</v>
      </c>
      <c r="Q1841">
        <v>0.18099999999999999</v>
      </c>
      <c r="R1841">
        <v>3</v>
      </c>
      <c r="S1841">
        <v>1</v>
      </c>
      <c r="T1841">
        <v>4</v>
      </c>
      <c r="U1841">
        <v>12.5</v>
      </c>
      <c r="V1841">
        <v>662.48366013071893</v>
      </c>
      <c r="W1841">
        <v>1</v>
      </c>
    </row>
    <row r="1842" spans="1:23" x14ac:dyDescent="0.2">
      <c r="A1842">
        <v>2020</v>
      </c>
      <c r="B1842" t="s">
        <v>23</v>
      </c>
      <c r="C1842" t="s">
        <v>271</v>
      </c>
      <c r="D1842">
        <v>210</v>
      </c>
      <c r="E1842">
        <v>1</v>
      </c>
      <c r="F1842">
        <v>14</v>
      </c>
      <c r="G1842" t="s">
        <v>235</v>
      </c>
      <c r="H1842" s="1">
        <v>10</v>
      </c>
      <c r="I1842" s="1">
        <v>68</v>
      </c>
      <c r="J1842" s="1">
        <v>73</v>
      </c>
      <c r="K1842" s="1">
        <f>J1842-I1842</f>
        <v>5</v>
      </c>
      <c r="L1842" s="1">
        <v>115</v>
      </c>
      <c r="M1842" s="1">
        <v>32</v>
      </c>
      <c r="N1842" s="1">
        <v>3</v>
      </c>
      <c r="O1842" s="1">
        <v>5</v>
      </c>
      <c r="P1842" s="1">
        <v>2</v>
      </c>
      <c r="Q1842" s="2">
        <v>0.10199999999999999</v>
      </c>
      <c r="R1842" s="1">
        <v>2</v>
      </c>
      <c r="S1842" s="1">
        <f>R1842/P1842</f>
        <v>1</v>
      </c>
      <c r="T1842" s="1">
        <v>5</v>
      </c>
      <c r="U1842" s="1">
        <v>12.5</v>
      </c>
      <c r="V1842" s="1">
        <v>373.33333333333326</v>
      </c>
      <c r="W1842" s="1">
        <v>5</v>
      </c>
    </row>
    <row r="1843" spans="1:23" x14ac:dyDescent="0.2">
      <c r="A1843">
        <v>2020</v>
      </c>
      <c r="B1843" t="s">
        <v>23</v>
      </c>
      <c r="C1843" t="s">
        <v>271</v>
      </c>
      <c r="D1843">
        <v>210</v>
      </c>
      <c r="E1843">
        <v>2</v>
      </c>
      <c r="F1843">
        <v>5</v>
      </c>
      <c r="G1843" t="s">
        <v>235</v>
      </c>
      <c r="H1843" s="1">
        <v>11</v>
      </c>
      <c r="I1843" s="1">
        <v>68</v>
      </c>
      <c r="J1843" s="1">
        <v>71</v>
      </c>
      <c r="K1843" s="1">
        <f>J1843-I1843</f>
        <v>3</v>
      </c>
      <c r="L1843" s="1">
        <v>135</v>
      </c>
      <c r="M1843" s="1">
        <v>57</v>
      </c>
      <c r="N1843" s="1">
        <v>3</v>
      </c>
      <c r="O1843" s="1">
        <v>4</v>
      </c>
      <c r="P1843" s="1">
        <v>9</v>
      </c>
      <c r="Q1843" s="2">
        <v>0.27060000000000001</v>
      </c>
      <c r="R1843" s="1">
        <v>5</v>
      </c>
      <c r="S1843" s="1">
        <f>R1843/P1843</f>
        <v>0.55555555555555558</v>
      </c>
      <c r="T1843" s="1">
        <v>5</v>
      </c>
      <c r="U1843" s="1">
        <v>12.5</v>
      </c>
      <c r="V1843" s="1">
        <v>990.43137254901978</v>
      </c>
      <c r="W1843" s="1">
        <v>5</v>
      </c>
    </row>
    <row r="1844" spans="1:23" x14ac:dyDescent="0.2">
      <c r="A1844">
        <v>2020</v>
      </c>
      <c r="B1844" t="s">
        <v>23</v>
      </c>
      <c r="C1844" t="s">
        <v>271</v>
      </c>
      <c r="D1844">
        <v>211</v>
      </c>
      <c r="E1844">
        <v>1</v>
      </c>
      <c r="F1844">
        <v>15</v>
      </c>
      <c r="G1844" t="s">
        <v>236</v>
      </c>
      <c r="H1844">
        <v>12</v>
      </c>
      <c r="I1844">
        <v>59</v>
      </c>
      <c r="J1844">
        <v>60</v>
      </c>
      <c r="K1844">
        <v>1</v>
      </c>
      <c r="L1844">
        <v>146</v>
      </c>
      <c r="M1844">
        <v>81</v>
      </c>
      <c r="N1844">
        <v>2</v>
      </c>
      <c r="O1844">
        <v>2.5</v>
      </c>
      <c r="P1844">
        <v>10</v>
      </c>
      <c r="Q1844">
        <v>1.2</v>
      </c>
      <c r="R1844">
        <v>10</v>
      </c>
      <c r="S1844">
        <v>1</v>
      </c>
      <c r="T1844">
        <v>3</v>
      </c>
      <c r="U1844">
        <v>11.4</v>
      </c>
      <c r="V1844">
        <v>4447.3725490196075</v>
      </c>
      <c r="W1844">
        <v>2</v>
      </c>
    </row>
    <row r="1845" spans="1:23" x14ac:dyDescent="0.2">
      <c r="A1845">
        <v>2020</v>
      </c>
      <c r="B1845" t="s">
        <v>23</v>
      </c>
      <c r="C1845" t="s">
        <v>271</v>
      </c>
      <c r="D1845">
        <v>211</v>
      </c>
      <c r="E1845">
        <v>2</v>
      </c>
      <c r="F1845">
        <v>15</v>
      </c>
      <c r="G1845" t="s">
        <v>236</v>
      </c>
      <c r="H1845" s="1">
        <v>6</v>
      </c>
      <c r="I1845" s="1">
        <v>58</v>
      </c>
      <c r="J1845" s="1">
        <v>62</v>
      </c>
      <c r="K1845" s="1">
        <f>J1845-I1845</f>
        <v>4</v>
      </c>
      <c r="L1845" s="1">
        <v>182</v>
      </c>
      <c r="M1845" s="1">
        <v>83</v>
      </c>
      <c r="N1845" s="1">
        <v>2</v>
      </c>
      <c r="O1845" s="1">
        <v>2</v>
      </c>
      <c r="P1845" s="1">
        <v>6</v>
      </c>
      <c r="Q1845" s="2">
        <v>0.79967999999999995</v>
      </c>
      <c r="R1845" s="1">
        <v>6</v>
      </c>
      <c r="S1845" s="1">
        <f>R1845/P1845</f>
        <v>1</v>
      </c>
      <c r="T1845" s="1">
        <v>3</v>
      </c>
      <c r="U1845" s="1">
        <v>12.5</v>
      </c>
      <c r="V1845" s="1">
        <v>2926.9333333333334</v>
      </c>
      <c r="W1845" s="1">
        <v>5</v>
      </c>
    </row>
    <row r="1846" spans="1:23" x14ac:dyDescent="0.2">
      <c r="A1846">
        <v>2020</v>
      </c>
      <c r="B1846" t="s">
        <v>23</v>
      </c>
      <c r="C1846" t="s">
        <v>271</v>
      </c>
      <c r="D1846">
        <v>212</v>
      </c>
      <c r="E1846">
        <v>1</v>
      </c>
      <c r="F1846">
        <v>9</v>
      </c>
      <c r="G1846" t="s">
        <v>237</v>
      </c>
      <c r="H1846" s="1">
        <v>11</v>
      </c>
      <c r="I1846" s="1">
        <v>62</v>
      </c>
      <c r="J1846" s="1">
        <v>66</v>
      </c>
      <c r="K1846" s="1">
        <f>J1846-I1846</f>
        <v>4</v>
      </c>
      <c r="L1846" s="1">
        <v>155</v>
      </c>
      <c r="M1846" s="1">
        <v>67</v>
      </c>
      <c r="N1846" s="1">
        <v>2</v>
      </c>
      <c r="O1846" s="1">
        <v>2.5</v>
      </c>
      <c r="P1846" s="1">
        <v>11</v>
      </c>
      <c r="Q1846" s="2">
        <v>0.22668000000000002</v>
      </c>
      <c r="R1846" s="1">
        <v>8</v>
      </c>
      <c r="S1846" s="1">
        <f>R1846/P1846</f>
        <v>0.72727272727272729</v>
      </c>
      <c r="T1846" s="1">
        <v>5</v>
      </c>
      <c r="U1846" s="1">
        <v>12.5</v>
      </c>
      <c r="V1846" s="1">
        <v>829.6784313725492</v>
      </c>
      <c r="W1846" s="1">
        <v>5</v>
      </c>
    </row>
    <row r="1847" spans="1:23" x14ac:dyDescent="0.2">
      <c r="A1847">
        <v>2020</v>
      </c>
      <c r="B1847" t="s">
        <v>23</v>
      </c>
      <c r="C1847" t="s">
        <v>271</v>
      </c>
      <c r="D1847">
        <v>212</v>
      </c>
      <c r="E1847">
        <v>2</v>
      </c>
      <c r="F1847">
        <v>9</v>
      </c>
      <c r="G1847" t="s">
        <v>237</v>
      </c>
      <c r="H1847">
        <v>14</v>
      </c>
      <c r="I1847">
        <v>54</v>
      </c>
      <c r="J1847">
        <v>57</v>
      </c>
      <c r="K1847">
        <v>3</v>
      </c>
      <c r="L1847">
        <v>133</v>
      </c>
      <c r="M1847">
        <v>84</v>
      </c>
      <c r="N1847">
        <v>2</v>
      </c>
      <c r="O1847">
        <v>2.5</v>
      </c>
      <c r="P1847">
        <v>14</v>
      </c>
      <c r="Q1847">
        <v>0.6</v>
      </c>
      <c r="R1847">
        <v>11</v>
      </c>
      <c r="S1847">
        <v>0.7857142857142857</v>
      </c>
      <c r="T1847">
        <v>3</v>
      </c>
      <c r="U1847">
        <v>13.1</v>
      </c>
      <c r="V1847">
        <v>2181.0196078431372</v>
      </c>
      <c r="W1847">
        <v>2</v>
      </c>
    </row>
    <row r="1848" spans="1:23" x14ac:dyDescent="0.2">
      <c r="A1848">
        <v>2020</v>
      </c>
      <c r="B1848" t="s">
        <v>23</v>
      </c>
      <c r="C1848" t="s">
        <v>271</v>
      </c>
      <c r="D1848">
        <v>213</v>
      </c>
      <c r="E1848">
        <v>1</v>
      </c>
      <c r="F1848">
        <v>3</v>
      </c>
      <c r="G1848" t="s">
        <v>238</v>
      </c>
      <c r="H1848" s="1">
        <v>13</v>
      </c>
      <c r="I1848" s="1">
        <v>57</v>
      </c>
      <c r="J1848" s="1">
        <v>62</v>
      </c>
      <c r="K1848" s="1">
        <f t="shared" ref="K1848:K1854" si="88">J1848-I1848</f>
        <v>5</v>
      </c>
      <c r="L1848" s="1">
        <v>116</v>
      </c>
      <c r="M1848" s="1">
        <v>50</v>
      </c>
      <c r="N1848" s="1">
        <v>2</v>
      </c>
      <c r="O1848" s="1">
        <v>3.5</v>
      </c>
      <c r="P1848" s="1">
        <f>H1848-2</f>
        <v>11</v>
      </c>
      <c r="Q1848" s="2">
        <v>0.53249999999999997</v>
      </c>
      <c r="R1848" s="1">
        <v>9</v>
      </c>
      <c r="S1848" s="1">
        <f t="shared" ref="S1848:S1854" si="89">R1848/P1848</f>
        <v>0.81818181818181823</v>
      </c>
      <c r="T1848" s="1">
        <v>5</v>
      </c>
      <c r="U1848" s="1">
        <v>12.5</v>
      </c>
      <c r="V1848" s="1">
        <v>1949.0196078431372</v>
      </c>
      <c r="W1848" s="1">
        <v>5</v>
      </c>
    </row>
    <row r="1849" spans="1:23" x14ac:dyDescent="0.2">
      <c r="A1849">
        <v>2020</v>
      </c>
      <c r="B1849" t="s">
        <v>23</v>
      </c>
      <c r="C1849" t="s">
        <v>271</v>
      </c>
      <c r="D1849">
        <v>213</v>
      </c>
      <c r="E1849">
        <v>2</v>
      </c>
      <c r="F1849">
        <v>5</v>
      </c>
      <c r="G1849" t="s">
        <v>238</v>
      </c>
      <c r="H1849" s="1">
        <v>8</v>
      </c>
      <c r="I1849" s="1">
        <v>63</v>
      </c>
      <c r="J1849" s="1">
        <v>65</v>
      </c>
      <c r="K1849" s="1">
        <f t="shared" si="88"/>
        <v>2</v>
      </c>
      <c r="L1849" s="1">
        <v>109</v>
      </c>
      <c r="M1849" s="1">
        <v>50</v>
      </c>
      <c r="N1849" s="1">
        <v>2</v>
      </c>
      <c r="O1849" s="1">
        <v>3.5</v>
      </c>
      <c r="P1849" s="1">
        <v>6</v>
      </c>
      <c r="Q1849" s="2">
        <v>0.6</v>
      </c>
      <c r="R1849" s="1">
        <v>6</v>
      </c>
      <c r="S1849" s="1">
        <f t="shared" si="89"/>
        <v>1</v>
      </c>
      <c r="T1849" s="1">
        <v>3.5</v>
      </c>
      <c r="U1849" s="1">
        <v>12.5</v>
      </c>
      <c r="V1849" s="1">
        <v>2196.0784313725489</v>
      </c>
      <c r="W1849" s="1">
        <v>4</v>
      </c>
    </row>
    <row r="1850" spans="1:23" x14ac:dyDescent="0.2">
      <c r="A1850">
        <v>2020</v>
      </c>
      <c r="B1850" t="s">
        <v>23</v>
      </c>
      <c r="C1850" t="s">
        <v>271</v>
      </c>
      <c r="D1850">
        <v>214</v>
      </c>
      <c r="E1850">
        <v>1</v>
      </c>
      <c r="F1850">
        <v>5</v>
      </c>
      <c r="G1850" t="s">
        <v>239</v>
      </c>
      <c r="H1850" s="1">
        <v>10</v>
      </c>
      <c r="I1850" s="1">
        <v>67</v>
      </c>
      <c r="J1850" s="1">
        <v>71</v>
      </c>
      <c r="K1850" s="1">
        <f t="shared" si="88"/>
        <v>4</v>
      </c>
      <c r="L1850" s="1">
        <v>110</v>
      </c>
      <c r="M1850" s="1">
        <v>50</v>
      </c>
      <c r="N1850" s="1">
        <v>1.5</v>
      </c>
      <c r="O1850" s="1">
        <v>4.5</v>
      </c>
      <c r="P1850" s="1">
        <v>6</v>
      </c>
      <c r="Q1850" s="2">
        <v>0.16020000000000001</v>
      </c>
      <c r="R1850" s="1">
        <v>4</v>
      </c>
      <c r="S1850" s="1">
        <f t="shared" si="89"/>
        <v>0.66666666666666663</v>
      </c>
      <c r="T1850" s="1">
        <v>5</v>
      </c>
      <c r="U1850" s="1">
        <v>12.5</v>
      </c>
      <c r="V1850" s="1">
        <v>586.35294117647061</v>
      </c>
      <c r="W1850" s="1">
        <v>6</v>
      </c>
    </row>
    <row r="1851" spans="1:23" x14ac:dyDescent="0.2">
      <c r="A1851">
        <v>2020</v>
      </c>
      <c r="B1851" t="s">
        <v>23</v>
      </c>
      <c r="C1851" t="s">
        <v>271</v>
      </c>
      <c r="D1851">
        <v>214</v>
      </c>
      <c r="E1851">
        <v>2</v>
      </c>
      <c r="F1851">
        <v>3</v>
      </c>
      <c r="G1851" t="s">
        <v>239</v>
      </c>
      <c r="H1851" s="1">
        <v>13</v>
      </c>
      <c r="I1851" s="1">
        <v>65</v>
      </c>
      <c r="J1851" s="1">
        <v>70</v>
      </c>
      <c r="K1851" s="1">
        <f t="shared" si="88"/>
        <v>5</v>
      </c>
      <c r="L1851" s="1">
        <v>133</v>
      </c>
      <c r="M1851" s="1">
        <v>87</v>
      </c>
      <c r="N1851" s="1">
        <v>2</v>
      </c>
      <c r="O1851" s="1">
        <v>2.5</v>
      </c>
      <c r="P1851" s="1">
        <f>H1851</f>
        <v>13</v>
      </c>
      <c r="Q1851" s="2">
        <v>0.32324999999999998</v>
      </c>
      <c r="R1851" s="1">
        <v>10</v>
      </c>
      <c r="S1851" s="1">
        <f t="shared" si="89"/>
        <v>0.76923076923076927</v>
      </c>
      <c r="T1851" s="1">
        <v>2</v>
      </c>
      <c r="U1851" s="1">
        <v>12.5</v>
      </c>
      <c r="V1851" s="1">
        <v>1183.1372549019607</v>
      </c>
      <c r="W1851" s="1">
        <v>3</v>
      </c>
    </row>
    <row r="1852" spans="1:23" x14ac:dyDescent="0.2">
      <c r="A1852">
        <v>2020</v>
      </c>
      <c r="B1852" t="s">
        <v>23</v>
      </c>
      <c r="C1852" t="s">
        <v>271</v>
      </c>
      <c r="D1852">
        <v>215</v>
      </c>
      <c r="E1852">
        <v>1</v>
      </c>
      <c r="F1852">
        <v>12</v>
      </c>
      <c r="G1852" t="s">
        <v>240</v>
      </c>
      <c r="H1852" s="3">
        <v>2</v>
      </c>
      <c r="I1852" s="3">
        <v>70</v>
      </c>
      <c r="J1852" s="3">
        <v>72</v>
      </c>
      <c r="K1852" s="3">
        <f t="shared" si="88"/>
        <v>2</v>
      </c>
      <c r="L1852" s="3">
        <v>158</v>
      </c>
      <c r="M1852" s="3">
        <v>77</v>
      </c>
      <c r="N1852" s="3">
        <v>2</v>
      </c>
      <c r="O1852" s="3">
        <v>2.5</v>
      </c>
      <c r="P1852" s="3">
        <v>8</v>
      </c>
      <c r="Q1852" s="4">
        <v>0.33</v>
      </c>
      <c r="R1852" s="3">
        <v>6</v>
      </c>
      <c r="S1852" s="3">
        <f t="shared" si="89"/>
        <v>0.75</v>
      </c>
      <c r="T1852" s="3">
        <v>4</v>
      </c>
      <c r="U1852" s="3">
        <v>12.5</v>
      </c>
      <c r="V1852" s="3">
        <v>1207.8431372549019</v>
      </c>
      <c r="W1852" s="3">
        <v>5</v>
      </c>
    </row>
    <row r="1853" spans="1:23" x14ac:dyDescent="0.2">
      <c r="A1853">
        <v>2020</v>
      </c>
      <c r="B1853" t="s">
        <v>23</v>
      </c>
      <c r="C1853" t="s">
        <v>271</v>
      </c>
      <c r="D1853">
        <v>215</v>
      </c>
      <c r="E1853">
        <v>2</v>
      </c>
      <c r="F1853">
        <v>14</v>
      </c>
      <c r="G1853" t="s">
        <v>240</v>
      </c>
      <c r="H1853" s="1">
        <v>5</v>
      </c>
      <c r="I1853" s="1">
        <v>59</v>
      </c>
      <c r="J1853" s="1">
        <v>62</v>
      </c>
      <c r="K1853" s="1">
        <f t="shared" si="88"/>
        <v>3</v>
      </c>
      <c r="L1853" s="1">
        <v>139</v>
      </c>
      <c r="M1853" s="1">
        <v>55</v>
      </c>
      <c r="N1853" s="1">
        <v>1.5</v>
      </c>
      <c r="O1853" s="1">
        <v>4.5</v>
      </c>
      <c r="P1853" s="1">
        <v>5</v>
      </c>
      <c r="Q1853" s="2">
        <v>0.13500000000000001</v>
      </c>
      <c r="R1853" s="1">
        <v>6</v>
      </c>
      <c r="S1853" s="1">
        <f t="shared" si="89"/>
        <v>1.2</v>
      </c>
      <c r="T1853" s="1">
        <v>4</v>
      </c>
      <c r="U1853" s="1">
        <v>12.5</v>
      </c>
      <c r="V1853" s="1">
        <v>494.11764705882354</v>
      </c>
      <c r="W1853" s="1">
        <v>4</v>
      </c>
    </row>
    <row r="1854" spans="1:23" x14ac:dyDescent="0.2">
      <c r="A1854">
        <v>2020</v>
      </c>
      <c r="B1854" t="s">
        <v>23</v>
      </c>
      <c r="C1854" t="s">
        <v>271</v>
      </c>
      <c r="D1854">
        <v>216</v>
      </c>
      <c r="E1854">
        <v>1</v>
      </c>
      <c r="F1854">
        <v>5</v>
      </c>
      <c r="G1854" t="s">
        <v>241</v>
      </c>
      <c r="H1854" s="1">
        <v>7</v>
      </c>
      <c r="I1854" s="1">
        <v>67</v>
      </c>
      <c r="J1854" s="1">
        <v>72</v>
      </c>
      <c r="K1854" s="1">
        <f t="shared" si="88"/>
        <v>5</v>
      </c>
      <c r="L1854" s="1">
        <v>142</v>
      </c>
      <c r="M1854" s="1">
        <v>80</v>
      </c>
      <c r="N1854" s="1">
        <v>2</v>
      </c>
      <c r="O1854" s="1">
        <v>3.5</v>
      </c>
      <c r="P1854" s="1">
        <v>5</v>
      </c>
      <c r="Q1854" s="2">
        <v>9.3749999999999997E-3</v>
      </c>
      <c r="R1854" s="1">
        <v>2</v>
      </c>
      <c r="S1854" s="1">
        <f t="shared" si="89"/>
        <v>0.4</v>
      </c>
      <c r="T1854" s="1">
        <v>5</v>
      </c>
      <c r="U1854" s="1">
        <v>12.5</v>
      </c>
      <c r="V1854" s="1">
        <v>34.313725490196077</v>
      </c>
      <c r="W1854" s="1">
        <v>6</v>
      </c>
    </row>
    <row r="1855" spans="1:23" x14ac:dyDescent="0.2">
      <c r="A1855">
        <v>2020</v>
      </c>
      <c r="B1855" t="s">
        <v>23</v>
      </c>
      <c r="C1855" t="s">
        <v>271</v>
      </c>
      <c r="D1855">
        <v>216</v>
      </c>
      <c r="E1855">
        <v>2</v>
      </c>
      <c r="F1855">
        <v>4</v>
      </c>
      <c r="G1855" t="s">
        <v>241</v>
      </c>
      <c r="H1855">
        <v>11</v>
      </c>
      <c r="I1855">
        <v>59</v>
      </c>
      <c r="J1855">
        <v>62</v>
      </c>
      <c r="K1855">
        <v>3</v>
      </c>
      <c r="L1855">
        <v>165</v>
      </c>
      <c r="M1855">
        <v>45</v>
      </c>
      <c r="N1855">
        <v>2</v>
      </c>
      <c r="O1855">
        <v>3</v>
      </c>
      <c r="P1855">
        <v>11</v>
      </c>
      <c r="Q1855">
        <v>0.9</v>
      </c>
      <c r="R1855">
        <v>11</v>
      </c>
      <c r="S1855">
        <v>1</v>
      </c>
      <c r="T1855">
        <v>2.5</v>
      </c>
      <c r="U1855">
        <v>12.5</v>
      </c>
      <c r="V1855">
        <v>3294.1176470588234</v>
      </c>
      <c r="W1855">
        <v>2</v>
      </c>
    </row>
    <row r="1856" spans="1:23" x14ac:dyDescent="0.2">
      <c r="A1856">
        <v>2020</v>
      </c>
      <c r="B1856" t="s">
        <v>23</v>
      </c>
      <c r="C1856" t="s">
        <v>271</v>
      </c>
      <c r="D1856">
        <v>217</v>
      </c>
      <c r="E1856">
        <v>1</v>
      </c>
      <c r="F1856">
        <v>8</v>
      </c>
      <c r="G1856" t="s">
        <v>242</v>
      </c>
      <c r="H1856" s="1">
        <v>14</v>
      </c>
      <c r="I1856" s="1">
        <v>61</v>
      </c>
      <c r="J1856" s="1">
        <v>65</v>
      </c>
      <c r="K1856" s="1">
        <f>J1856-I1856</f>
        <v>4</v>
      </c>
      <c r="L1856" s="1">
        <v>138</v>
      </c>
      <c r="M1856" s="1">
        <v>63</v>
      </c>
      <c r="N1856" s="1">
        <v>2</v>
      </c>
      <c r="O1856" s="1">
        <v>2</v>
      </c>
      <c r="P1856" s="1">
        <f>H1856</f>
        <v>14</v>
      </c>
      <c r="Q1856" s="2">
        <v>0.48</v>
      </c>
      <c r="R1856" s="1">
        <v>10</v>
      </c>
      <c r="S1856" s="1">
        <f>R1856/P1856</f>
        <v>0.7142857142857143</v>
      </c>
      <c r="T1856" s="1">
        <v>3</v>
      </c>
      <c r="U1856" s="1">
        <v>12.5</v>
      </c>
      <c r="V1856" s="1">
        <v>1756.8627450980393</v>
      </c>
      <c r="W1856" s="1">
        <v>5</v>
      </c>
    </row>
    <row r="1857" spans="1:23" x14ac:dyDescent="0.2">
      <c r="A1857">
        <v>2020</v>
      </c>
      <c r="B1857" t="s">
        <v>23</v>
      </c>
      <c r="C1857" t="s">
        <v>271</v>
      </c>
      <c r="D1857">
        <v>217</v>
      </c>
      <c r="E1857">
        <v>2</v>
      </c>
      <c r="F1857">
        <v>7</v>
      </c>
      <c r="G1857" t="s">
        <v>242</v>
      </c>
      <c r="H1857">
        <v>9</v>
      </c>
      <c r="I1857">
        <v>58</v>
      </c>
      <c r="J1857">
        <v>60</v>
      </c>
      <c r="K1857">
        <v>2</v>
      </c>
      <c r="L1857">
        <v>190</v>
      </c>
      <c r="M1857">
        <v>81</v>
      </c>
      <c r="N1857">
        <v>1</v>
      </c>
      <c r="O1857">
        <v>1.5</v>
      </c>
      <c r="P1857">
        <v>8</v>
      </c>
      <c r="Q1857">
        <v>0.5</v>
      </c>
      <c r="R1857">
        <v>8</v>
      </c>
      <c r="S1857">
        <v>1</v>
      </c>
      <c r="T1857">
        <v>2.5</v>
      </c>
      <c r="U1857">
        <v>12.5</v>
      </c>
      <c r="V1857">
        <v>1830.0653594771243</v>
      </c>
      <c r="W1857">
        <v>2</v>
      </c>
    </row>
    <row r="1858" spans="1:23" x14ac:dyDescent="0.2">
      <c r="A1858">
        <v>2020</v>
      </c>
      <c r="B1858" t="s">
        <v>23</v>
      </c>
      <c r="C1858" t="s">
        <v>271</v>
      </c>
      <c r="D1858">
        <v>218</v>
      </c>
      <c r="E1858">
        <v>1</v>
      </c>
      <c r="F1858">
        <v>11</v>
      </c>
      <c r="G1858" t="s">
        <v>243</v>
      </c>
      <c r="H1858" s="1">
        <v>17</v>
      </c>
      <c r="I1858" s="1">
        <v>58</v>
      </c>
      <c r="J1858" s="1">
        <v>62</v>
      </c>
      <c r="K1858" s="1">
        <f>J1858-I1858</f>
        <v>4</v>
      </c>
      <c r="L1858" s="1">
        <v>162</v>
      </c>
      <c r="M1858" s="1">
        <v>73</v>
      </c>
      <c r="N1858" s="1">
        <v>2</v>
      </c>
      <c r="O1858" s="1">
        <v>3</v>
      </c>
      <c r="P1858" s="1">
        <v>10</v>
      </c>
      <c r="Q1858" s="2">
        <v>0.51119999999999999</v>
      </c>
      <c r="R1858" s="1">
        <v>11</v>
      </c>
      <c r="S1858" s="1">
        <f>R1858/P1858</f>
        <v>1.1000000000000001</v>
      </c>
      <c r="T1858" s="1">
        <v>3</v>
      </c>
      <c r="U1858" s="1">
        <v>9.6</v>
      </c>
      <c r="V1858" s="1">
        <v>1933.0710588235295</v>
      </c>
      <c r="W1858" s="1">
        <v>3</v>
      </c>
    </row>
    <row r="1859" spans="1:23" x14ac:dyDescent="0.2">
      <c r="A1859">
        <v>2020</v>
      </c>
      <c r="B1859" t="s">
        <v>23</v>
      </c>
      <c r="C1859" t="s">
        <v>271</v>
      </c>
      <c r="D1859">
        <v>218</v>
      </c>
      <c r="E1859">
        <v>2</v>
      </c>
      <c r="F1859">
        <v>6</v>
      </c>
      <c r="G1859" t="s">
        <v>243</v>
      </c>
      <c r="H1859" s="1">
        <v>5</v>
      </c>
      <c r="I1859" s="1">
        <v>64</v>
      </c>
      <c r="J1859" s="1">
        <v>69</v>
      </c>
      <c r="K1859" s="1">
        <f>J1859-I1859</f>
        <v>5</v>
      </c>
      <c r="L1859" s="1">
        <v>75</v>
      </c>
      <c r="M1859" s="1">
        <v>51</v>
      </c>
      <c r="N1859" s="1">
        <v>1.5</v>
      </c>
      <c r="O1859" s="1">
        <v>4.5</v>
      </c>
      <c r="P1859" s="1">
        <v>1</v>
      </c>
      <c r="Q1859" s="2">
        <v>7.1999999999999995E-2</v>
      </c>
      <c r="R1859" s="1">
        <v>1</v>
      </c>
      <c r="S1859" s="1">
        <f>R1859/P1859</f>
        <v>1</v>
      </c>
      <c r="T1859" s="1">
        <v>3</v>
      </c>
      <c r="U1859" s="1">
        <v>12.5</v>
      </c>
      <c r="V1859" s="1">
        <v>263.52941176470591</v>
      </c>
      <c r="W1859" s="1">
        <v>5</v>
      </c>
    </row>
    <row r="1860" spans="1:23" x14ac:dyDescent="0.2">
      <c r="A1860">
        <v>2020</v>
      </c>
      <c r="B1860" t="s">
        <v>23</v>
      </c>
      <c r="C1860" t="s">
        <v>271</v>
      </c>
      <c r="D1860">
        <v>219</v>
      </c>
      <c r="E1860">
        <v>1</v>
      </c>
      <c r="F1860">
        <v>14</v>
      </c>
      <c r="G1860" t="s">
        <v>244</v>
      </c>
      <c r="H1860" s="1">
        <v>11</v>
      </c>
      <c r="I1860" s="1">
        <v>65</v>
      </c>
      <c r="J1860" s="1">
        <v>70</v>
      </c>
      <c r="K1860" s="1">
        <f>J1860-I1860</f>
        <v>5</v>
      </c>
      <c r="L1860" s="1">
        <v>157</v>
      </c>
      <c r="M1860" s="1">
        <v>83</v>
      </c>
      <c r="N1860" s="1">
        <v>2</v>
      </c>
      <c r="O1860" s="1">
        <v>3</v>
      </c>
      <c r="P1860" s="1">
        <v>8</v>
      </c>
      <c r="Q1860" s="2">
        <v>0.43319999999999997</v>
      </c>
      <c r="R1860" s="1">
        <v>5</v>
      </c>
      <c r="S1860" s="1">
        <f>R1860/P1860</f>
        <v>0.625</v>
      </c>
      <c r="T1860" s="1">
        <v>2</v>
      </c>
      <c r="U1860" s="1">
        <v>12.5</v>
      </c>
      <c r="V1860" s="1">
        <v>1585.5686274509803</v>
      </c>
      <c r="W1860" s="1">
        <v>4</v>
      </c>
    </row>
    <row r="1861" spans="1:23" x14ac:dyDescent="0.2">
      <c r="A1861">
        <v>2020</v>
      </c>
      <c r="B1861" t="s">
        <v>23</v>
      </c>
      <c r="C1861" t="s">
        <v>271</v>
      </c>
      <c r="D1861">
        <v>219</v>
      </c>
      <c r="E1861">
        <v>2</v>
      </c>
      <c r="F1861">
        <v>13</v>
      </c>
      <c r="G1861" t="s">
        <v>244</v>
      </c>
      <c r="H1861">
        <v>15</v>
      </c>
      <c r="I1861">
        <v>53</v>
      </c>
      <c r="J1861">
        <v>58</v>
      </c>
      <c r="K1861">
        <v>5</v>
      </c>
      <c r="L1861">
        <v>170</v>
      </c>
      <c r="M1861">
        <v>48</v>
      </c>
      <c r="N1861">
        <v>1</v>
      </c>
      <c r="O1861">
        <v>2</v>
      </c>
      <c r="P1861">
        <v>15</v>
      </c>
      <c r="Q1861">
        <v>1.8</v>
      </c>
      <c r="R1861">
        <v>14</v>
      </c>
      <c r="S1861">
        <v>0.93333333333333335</v>
      </c>
      <c r="T1861">
        <v>2</v>
      </c>
      <c r="U1861">
        <v>10.6</v>
      </c>
      <c r="V1861">
        <v>6731.2941176470595</v>
      </c>
      <c r="W1861">
        <v>1</v>
      </c>
    </row>
    <row r="1862" spans="1:23" x14ac:dyDescent="0.2">
      <c r="A1862">
        <v>2020</v>
      </c>
      <c r="B1862" t="s">
        <v>23</v>
      </c>
      <c r="C1862" t="s">
        <v>271</v>
      </c>
      <c r="D1862">
        <v>220</v>
      </c>
      <c r="E1862">
        <v>1</v>
      </c>
      <c r="F1862">
        <v>8</v>
      </c>
      <c r="G1862" t="s">
        <v>245</v>
      </c>
      <c r="H1862">
        <v>9</v>
      </c>
      <c r="I1862">
        <v>64</v>
      </c>
      <c r="J1862">
        <v>67</v>
      </c>
      <c r="K1862">
        <v>3</v>
      </c>
      <c r="L1862">
        <v>110</v>
      </c>
      <c r="M1862">
        <v>66</v>
      </c>
      <c r="N1862">
        <v>1.5</v>
      </c>
      <c r="O1862">
        <v>3.5</v>
      </c>
      <c r="P1862">
        <v>9</v>
      </c>
      <c r="Q1862">
        <v>0.6</v>
      </c>
      <c r="R1862">
        <v>9</v>
      </c>
      <c r="S1862">
        <v>1</v>
      </c>
      <c r="T1862">
        <v>3.5</v>
      </c>
      <c r="U1862">
        <v>12.5</v>
      </c>
      <c r="V1862">
        <v>2196.0784313725489</v>
      </c>
      <c r="W1862">
        <v>2</v>
      </c>
    </row>
    <row r="1863" spans="1:23" x14ac:dyDescent="0.2">
      <c r="A1863">
        <v>2020</v>
      </c>
      <c r="B1863" t="s">
        <v>23</v>
      </c>
      <c r="C1863" t="s">
        <v>271</v>
      </c>
      <c r="D1863">
        <v>220</v>
      </c>
      <c r="E1863">
        <v>2</v>
      </c>
      <c r="F1863">
        <v>1</v>
      </c>
      <c r="G1863" t="s">
        <v>245</v>
      </c>
      <c r="H1863">
        <v>7</v>
      </c>
      <c r="I1863">
        <v>58</v>
      </c>
      <c r="J1863">
        <v>60</v>
      </c>
      <c r="K1863">
        <v>2</v>
      </c>
      <c r="L1863">
        <v>92</v>
      </c>
      <c r="M1863">
        <v>22</v>
      </c>
      <c r="N1863">
        <v>2</v>
      </c>
      <c r="O1863">
        <v>3</v>
      </c>
      <c r="P1863">
        <v>7</v>
      </c>
      <c r="Q1863">
        <v>0.8</v>
      </c>
      <c r="R1863">
        <v>8</v>
      </c>
      <c r="S1863">
        <v>1.1428571428571428</v>
      </c>
      <c r="T1863">
        <v>3</v>
      </c>
      <c r="U1863">
        <v>12.5</v>
      </c>
      <c r="V1863">
        <v>2928.1045751633987</v>
      </c>
      <c r="W1863">
        <v>1</v>
      </c>
    </row>
    <row r="1864" spans="1:23" x14ac:dyDescent="0.2">
      <c r="A1864">
        <v>2020</v>
      </c>
      <c r="B1864" t="s">
        <v>23</v>
      </c>
      <c r="C1864" t="s">
        <v>271</v>
      </c>
      <c r="D1864">
        <v>221</v>
      </c>
      <c r="E1864">
        <v>1</v>
      </c>
      <c r="F1864">
        <v>9</v>
      </c>
      <c r="G1864" t="s">
        <v>246</v>
      </c>
      <c r="H1864" s="1">
        <v>15</v>
      </c>
      <c r="I1864" s="1">
        <v>69</v>
      </c>
      <c r="J1864" s="1">
        <v>73</v>
      </c>
      <c r="K1864" s="1">
        <f>J1864-I1864</f>
        <v>4</v>
      </c>
      <c r="L1864" s="1">
        <v>172</v>
      </c>
      <c r="M1864" s="1">
        <v>100</v>
      </c>
      <c r="N1864" s="1">
        <v>3</v>
      </c>
      <c r="O1864" s="1">
        <v>3.5</v>
      </c>
      <c r="P1864" s="1">
        <f>H1864</f>
        <v>15</v>
      </c>
      <c r="Q1864" s="2">
        <v>0.11789999999999999</v>
      </c>
      <c r="R1864" s="1">
        <v>12</v>
      </c>
      <c r="S1864" s="1">
        <f>R1864/P1864</f>
        <v>0.8</v>
      </c>
      <c r="T1864" s="1">
        <v>5</v>
      </c>
      <c r="U1864" s="1">
        <v>12.5</v>
      </c>
      <c r="V1864" s="1">
        <v>431.52941176470591</v>
      </c>
      <c r="W1864" s="1">
        <v>5</v>
      </c>
    </row>
    <row r="1865" spans="1:23" x14ac:dyDescent="0.2">
      <c r="A1865">
        <v>2020</v>
      </c>
      <c r="B1865" t="s">
        <v>23</v>
      </c>
      <c r="C1865" t="s">
        <v>271</v>
      </c>
      <c r="D1865">
        <v>221</v>
      </c>
      <c r="E1865">
        <v>2</v>
      </c>
      <c r="F1865">
        <v>6</v>
      </c>
      <c r="G1865" t="s">
        <v>246</v>
      </c>
      <c r="H1865" s="1">
        <v>10</v>
      </c>
      <c r="I1865" s="1">
        <v>69</v>
      </c>
      <c r="J1865" s="1">
        <v>74</v>
      </c>
      <c r="K1865" s="1">
        <f>J1865-I1865</f>
        <v>5</v>
      </c>
      <c r="L1865" s="1">
        <v>171</v>
      </c>
      <c r="M1865" s="1">
        <v>108</v>
      </c>
      <c r="N1865" s="1">
        <v>2</v>
      </c>
      <c r="O1865" s="1">
        <v>3.5</v>
      </c>
      <c r="P1865" s="1">
        <v>9</v>
      </c>
      <c r="Q1865" s="2">
        <v>0.24440000000000001</v>
      </c>
      <c r="R1865" s="1">
        <v>6</v>
      </c>
      <c r="S1865" s="1">
        <f>R1865/P1865</f>
        <v>0.66666666666666663</v>
      </c>
      <c r="T1865" s="1">
        <v>5</v>
      </c>
      <c r="U1865" s="1">
        <v>12.5</v>
      </c>
      <c r="V1865" s="1">
        <v>894.53594771241842</v>
      </c>
      <c r="W1865" s="1">
        <v>4</v>
      </c>
    </row>
    <row r="1866" spans="1:23" x14ac:dyDescent="0.2">
      <c r="A1866">
        <v>2020</v>
      </c>
      <c r="B1866" t="s">
        <v>23</v>
      </c>
      <c r="C1866" t="s">
        <v>271</v>
      </c>
      <c r="D1866">
        <v>222</v>
      </c>
      <c r="E1866">
        <v>1</v>
      </c>
      <c r="F1866">
        <v>13</v>
      </c>
      <c r="G1866" t="s">
        <v>247</v>
      </c>
      <c r="H1866" s="1">
        <v>8</v>
      </c>
      <c r="I1866" s="1">
        <v>63</v>
      </c>
      <c r="J1866" s="1">
        <v>68</v>
      </c>
      <c r="K1866" s="1">
        <f>J1866-I1866</f>
        <v>5</v>
      </c>
      <c r="L1866" s="1">
        <v>180</v>
      </c>
      <c r="M1866" s="1">
        <v>100</v>
      </c>
      <c r="N1866" s="1">
        <v>2</v>
      </c>
      <c r="O1866" s="1">
        <v>2.5</v>
      </c>
      <c r="P1866" s="1">
        <v>8</v>
      </c>
      <c r="Q1866" s="2">
        <v>0.98399999999999999</v>
      </c>
      <c r="R1866" s="1">
        <v>8</v>
      </c>
      <c r="S1866" s="1">
        <f>R1866/P1866</f>
        <v>1</v>
      </c>
      <c r="T1866" s="1">
        <v>3</v>
      </c>
      <c r="U1866" s="1">
        <v>10.5</v>
      </c>
      <c r="V1866" s="1">
        <v>3683.890196078431</v>
      </c>
      <c r="W1866" s="1">
        <v>4</v>
      </c>
    </row>
    <row r="1867" spans="1:23" x14ac:dyDescent="0.2">
      <c r="A1867">
        <v>2020</v>
      </c>
      <c r="B1867" t="s">
        <v>23</v>
      </c>
      <c r="C1867" t="s">
        <v>271</v>
      </c>
      <c r="D1867">
        <v>222</v>
      </c>
      <c r="E1867">
        <v>2</v>
      </c>
      <c r="F1867">
        <v>4</v>
      </c>
      <c r="G1867" t="s">
        <v>247</v>
      </c>
      <c r="H1867">
        <v>14</v>
      </c>
      <c r="I1867">
        <v>54</v>
      </c>
      <c r="J1867">
        <v>57</v>
      </c>
      <c r="K1867">
        <v>3</v>
      </c>
      <c r="L1867">
        <v>186</v>
      </c>
      <c r="M1867">
        <v>75</v>
      </c>
      <c r="N1867">
        <v>2</v>
      </c>
      <c r="O1867">
        <v>2.5</v>
      </c>
      <c r="P1867">
        <v>14</v>
      </c>
      <c r="Q1867">
        <v>2</v>
      </c>
      <c r="R1867">
        <v>12</v>
      </c>
      <c r="S1867">
        <v>0.8571428571428571</v>
      </c>
      <c r="T1867">
        <v>1</v>
      </c>
      <c r="U1867">
        <v>10.7</v>
      </c>
      <c r="V1867">
        <v>7470.8496732026142</v>
      </c>
      <c r="W1867">
        <v>1</v>
      </c>
    </row>
    <row r="1868" spans="1:23" x14ac:dyDescent="0.2">
      <c r="A1868">
        <v>2020</v>
      </c>
      <c r="B1868" t="s">
        <v>23</v>
      </c>
      <c r="C1868" t="s">
        <v>271</v>
      </c>
      <c r="D1868">
        <v>223</v>
      </c>
      <c r="E1868">
        <v>1</v>
      </c>
      <c r="F1868">
        <v>12</v>
      </c>
      <c r="G1868" t="s">
        <v>248</v>
      </c>
      <c r="H1868" s="1">
        <v>8</v>
      </c>
      <c r="I1868" s="1">
        <v>69</v>
      </c>
      <c r="J1868" s="1">
        <v>71</v>
      </c>
      <c r="K1868" s="1">
        <f t="shared" ref="K1868:K1877" si="90">J1868-I1868</f>
        <v>2</v>
      </c>
      <c r="L1868" s="1">
        <v>133</v>
      </c>
      <c r="M1868" s="1">
        <v>51</v>
      </c>
      <c r="N1868" s="1">
        <v>2.5</v>
      </c>
      <c r="O1868" s="1">
        <v>4.5</v>
      </c>
      <c r="P1868" s="1">
        <v>8</v>
      </c>
      <c r="Q1868" s="2">
        <v>0.49249999999999999</v>
      </c>
      <c r="R1868" s="1">
        <v>8</v>
      </c>
      <c r="S1868" s="1">
        <f t="shared" ref="S1868:S1877" si="91">R1868/P1868</f>
        <v>1</v>
      </c>
      <c r="T1868" s="1">
        <v>3</v>
      </c>
      <c r="U1868" s="1">
        <v>12.5</v>
      </c>
      <c r="V1868" s="1">
        <v>1802.6143790849674</v>
      </c>
      <c r="W1868" s="1">
        <v>4</v>
      </c>
    </row>
    <row r="1869" spans="1:23" x14ac:dyDescent="0.2">
      <c r="A1869">
        <v>2020</v>
      </c>
      <c r="B1869" t="s">
        <v>23</v>
      </c>
      <c r="C1869" t="s">
        <v>271</v>
      </c>
      <c r="D1869">
        <v>223</v>
      </c>
      <c r="E1869">
        <v>2</v>
      </c>
      <c r="F1869">
        <v>5</v>
      </c>
      <c r="G1869" t="s">
        <v>248</v>
      </c>
      <c r="H1869" s="1">
        <v>13</v>
      </c>
      <c r="I1869" s="1">
        <v>67</v>
      </c>
      <c r="J1869" s="1">
        <v>70</v>
      </c>
      <c r="K1869" s="1">
        <f t="shared" si="90"/>
        <v>3</v>
      </c>
      <c r="L1869" s="1">
        <v>148</v>
      </c>
      <c r="M1869" s="1">
        <v>88</v>
      </c>
      <c r="N1869" s="1">
        <v>3</v>
      </c>
      <c r="O1869" s="1">
        <v>4</v>
      </c>
      <c r="P1869" s="1">
        <v>7</v>
      </c>
      <c r="Q1869" s="2">
        <v>0.2104</v>
      </c>
      <c r="R1869" s="1">
        <v>6</v>
      </c>
      <c r="S1869" s="1">
        <f t="shared" si="91"/>
        <v>0.8571428571428571</v>
      </c>
      <c r="T1869" s="1">
        <v>5</v>
      </c>
      <c r="U1869" s="1">
        <v>12.5</v>
      </c>
      <c r="V1869" s="1">
        <v>770.09150326797385</v>
      </c>
      <c r="W1869" s="1">
        <v>4</v>
      </c>
    </row>
    <row r="1870" spans="1:23" x14ac:dyDescent="0.2">
      <c r="A1870">
        <v>2020</v>
      </c>
      <c r="B1870" t="s">
        <v>23</v>
      </c>
      <c r="C1870" t="s">
        <v>271</v>
      </c>
      <c r="D1870">
        <v>224</v>
      </c>
      <c r="E1870">
        <v>1</v>
      </c>
      <c r="F1870">
        <v>4</v>
      </c>
      <c r="G1870" t="s">
        <v>249</v>
      </c>
      <c r="H1870" s="1">
        <v>11</v>
      </c>
      <c r="I1870" s="1">
        <v>69</v>
      </c>
      <c r="J1870" s="1">
        <v>74</v>
      </c>
      <c r="K1870" s="1">
        <f t="shared" si="90"/>
        <v>5</v>
      </c>
      <c r="L1870" s="1">
        <v>147</v>
      </c>
      <c r="M1870" s="1">
        <v>78</v>
      </c>
      <c r="N1870" s="1">
        <v>2</v>
      </c>
      <c r="O1870" s="1">
        <v>3.5</v>
      </c>
      <c r="P1870" s="1">
        <f>H1870-2</f>
        <v>9</v>
      </c>
      <c r="Q1870" s="2">
        <v>0.27750000000000002</v>
      </c>
      <c r="R1870" s="1">
        <v>6</v>
      </c>
      <c r="S1870" s="1">
        <f t="shared" si="91"/>
        <v>0.66666666666666663</v>
      </c>
      <c r="T1870" s="1">
        <v>5</v>
      </c>
      <c r="U1870" s="1">
        <v>12.5</v>
      </c>
      <c r="V1870" s="1">
        <v>1015.686274509804</v>
      </c>
      <c r="W1870" s="1">
        <v>4</v>
      </c>
    </row>
    <row r="1871" spans="1:23" x14ac:dyDescent="0.2">
      <c r="A1871">
        <v>2020</v>
      </c>
      <c r="B1871" t="s">
        <v>23</v>
      </c>
      <c r="C1871" t="s">
        <v>271</v>
      </c>
      <c r="D1871">
        <v>224</v>
      </c>
      <c r="E1871">
        <v>2</v>
      </c>
      <c r="F1871">
        <v>14</v>
      </c>
      <c r="G1871" t="s">
        <v>249</v>
      </c>
      <c r="H1871" s="1">
        <v>12</v>
      </c>
      <c r="I1871" s="1">
        <v>56</v>
      </c>
      <c r="J1871" s="1">
        <v>60</v>
      </c>
      <c r="K1871" s="1">
        <f t="shared" si="90"/>
        <v>4</v>
      </c>
      <c r="L1871" s="1">
        <v>98</v>
      </c>
      <c r="M1871" s="1">
        <v>61</v>
      </c>
      <c r="N1871" s="1">
        <v>2</v>
      </c>
      <c r="O1871" s="1">
        <v>2.5</v>
      </c>
      <c r="P1871" s="1">
        <f>H1871</f>
        <v>12</v>
      </c>
      <c r="Q1871" s="2">
        <v>6.0299999999999999E-2</v>
      </c>
      <c r="R1871" s="1">
        <v>9</v>
      </c>
      <c r="S1871" s="1">
        <f t="shared" si="91"/>
        <v>0.75</v>
      </c>
      <c r="T1871" s="1">
        <v>5</v>
      </c>
      <c r="U1871" s="1">
        <v>12.5</v>
      </c>
      <c r="V1871" s="1">
        <v>220.70588235294116</v>
      </c>
      <c r="W1871" s="1">
        <v>5</v>
      </c>
    </row>
    <row r="1872" spans="1:23" x14ac:dyDescent="0.2">
      <c r="A1872">
        <v>2020</v>
      </c>
      <c r="B1872" t="s">
        <v>23</v>
      </c>
      <c r="C1872" t="s">
        <v>271</v>
      </c>
      <c r="D1872">
        <v>225</v>
      </c>
      <c r="E1872">
        <v>1</v>
      </c>
      <c r="F1872">
        <v>11</v>
      </c>
      <c r="G1872" t="s">
        <v>250</v>
      </c>
      <c r="H1872" s="1">
        <v>1</v>
      </c>
      <c r="I1872" s="1">
        <v>61</v>
      </c>
      <c r="J1872" s="1">
        <v>64</v>
      </c>
      <c r="K1872" s="1">
        <f t="shared" si="90"/>
        <v>3</v>
      </c>
      <c r="L1872" s="1">
        <v>150</v>
      </c>
      <c r="M1872" s="1">
        <v>66</v>
      </c>
      <c r="N1872" s="1">
        <v>3</v>
      </c>
      <c r="O1872" s="1">
        <v>3.5</v>
      </c>
      <c r="P1872" s="1">
        <v>1</v>
      </c>
      <c r="Q1872" s="2">
        <v>5.6249999999999998E-3</v>
      </c>
      <c r="R1872" s="1">
        <v>1</v>
      </c>
      <c r="S1872" s="1">
        <f t="shared" si="91"/>
        <v>1</v>
      </c>
      <c r="T1872" s="1">
        <v>5</v>
      </c>
      <c r="U1872" s="1">
        <v>12.5</v>
      </c>
      <c r="V1872" s="1">
        <v>20.588235294117645</v>
      </c>
      <c r="W1872" s="1">
        <v>4</v>
      </c>
    </row>
    <row r="1873" spans="1:23" x14ac:dyDescent="0.2">
      <c r="A1873">
        <v>2020</v>
      </c>
      <c r="B1873" t="s">
        <v>23</v>
      </c>
      <c r="C1873" t="s">
        <v>271</v>
      </c>
      <c r="D1873">
        <v>225</v>
      </c>
      <c r="E1873">
        <v>2</v>
      </c>
      <c r="F1873">
        <v>13</v>
      </c>
      <c r="G1873" t="s">
        <v>250</v>
      </c>
      <c r="H1873" s="1">
        <v>10</v>
      </c>
      <c r="I1873" s="1">
        <v>61</v>
      </c>
      <c r="J1873" s="1">
        <v>65</v>
      </c>
      <c r="K1873" s="1">
        <f t="shared" si="90"/>
        <v>4</v>
      </c>
      <c r="L1873" s="1">
        <v>157</v>
      </c>
      <c r="M1873" s="1">
        <v>47</v>
      </c>
      <c r="N1873" s="1">
        <v>2.5</v>
      </c>
      <c r="O1873" s="1">
        <v>4</v>
      </c>
      <c r="P1873" s="1">
        <v>8</v>
      </c>
      <c r="Q1873" s="2">
        <v>0.45499999999999996</v>
      </c>
      <c r="R1873" s="1">
        <v>8</v>
      </c>
      <c r="S1873" s="1">
        <f t="shared" si="91"/>
        <v>1</v>
      </c>
      <c r="T1873" s="1">
        <v>3</v>
      </c>
      <c r="U1873" s="1">
        <v>12.5</v>
      </c>
      <c r="V1873" s="1">
        <v>1665.3594771241831</v>
      </c>
      <c r="W1873" s="1">
        <v>4</v>
      </c>
    </row>
    <row r="1874" spans="1:23" x14ac:dyDescent="0.2">
      <c r="A1874">
        <v>2020</v>
      </c>
      <c r="B1874" t="s">
        <v>23</v>
      </c>
      <c r="C1874" t="s">
        <v>271</v>
      </c>
      <c r="D1874">
        <v>226</v>
      </c>
      <c r="E1874">
        <v>1</v>
      </c>
      <c r="F1874">
        <v>7</v>
      </c>
      <c r="G1874" t="s">
        <v>251</v>
      </c>
      <c r="H1874" s="1">
        <v>11</v>
      </c>
      <c r="I1874" s="1">
        <v>67</v>
      </c>
      <c r="J1874" s="1">
        <v>72</v>
      </c>
      <c r="K1874" s="1">
        <f t="shared" si="90"/>
        <v>5</v>
      </c>
      <c r="L1874" s="1">
        <v>162</v>
      </c>
      <c r="M1874" s="1">
        <v>73</v>
      </c>
      <c r="N1874" s="1">
        <v>2</v>
      </c>
      <c r="O1874" s="1">
        <v>3.5</v>
      </c>
      <c r="P1874" s="1">
        <v>7</v>
      </c>
      <c r="Q1874" s="2">
        <v>0.4824</v>
      </c>
      <c r="R1874" s="1">
        <v>4</v>
      </c>
      <c r="S1874" s="1">
        <f t="shared" si="91"/>
        <v>0.5714285714285714</v>
      </c>
      <c r="T1874" s="1">
        <v>5</v>
      </c>
      <c r="U1874" s="1">
        <v>12.5</v>
      </c>
      <c r="V1874" s="1">
        <v>1765.6470588235293</v>
      </c>
      <c r="W1874" s="1">
        <v>6</v>
      </c>
    </row>
    <row r="1875" spans="1:23" x14ac:dyDescent="0.2">
      <c r="A1875">
        <v>2020</v>
      </c>
      <c r="B1875" t="s">
        <v>23</v>
      </c>
      <c r="C1875" t="s">
        <v>271</v>
      </c>
      <c r="D1875">
        <v>226</v>
      </c>
      <c r="E1875">
        <v>2</v>
      </c>
      <c r="F1875">
        <v>2</v>
      </c>
      <c r="G1875" t="s">
        <v>251</v>
      </c>
      <c r="H1875" s="1">
        <v>8</v>
      </c>
      <c r="I1875" s="1">
        <v>54</v>
      </c>
      <c r="J1875" s="1">
        <v>58</v>
      </c>
      <c r="K1875" s="1">
        <f t="shared" si="90"/>
        <v>4</v>
      </c>
      <c r="L1875" s="1">
        <v>133</v>
      </c>
      <c r="M1875" s="1">
        <v>73</v>
      </c>
      <c r="N1875" s="1">
        <v>2</v>
      </c>
      <c r="O1875" s="1">
        <v>3.5</v>
      </c>
      <c r="P1875" s="1">
        <v>4</v>
      </c>
      <c r="Q1875" s="2">
        <v>0.10071000000000001</v>
      </c>
      <c r="R1875" s="1">
        <v>4</v>
      </c>
      <c r="S1875" s="1">
        <f t="shared" si="91"/>
        <v>1</v>
      </c>
      <c r="T1875" s="1">
        <v>3</v>
      </c>
      <c r="U1875" s="1">
        <v>12.5</v>
      </c>
      <c r="V1875" s="1">
        <v>368.61176470588236</v>
      </c>
      <c r="W1875" s="1">
        <v>5</v>
      </c>
    </row>
    <row r="1876" spans="1:23" x14ac:dyDescent="0.2">
      <c r="A1876">
        <v>2020</v>
      </c>
      <c r="B1876" t="s">
        <v>23</v>
      </c>
      <c r="C1876" t="s">
        <v>271</v>
      </c>
      <c r="D1876">
        <v>227</v>
      </c>
      <c r="E1876">
        <v>1</v>
      </c>
      <c r="F1876">
        <v>1</v>
      </c>
      <c r="G1876" t="s">
        <v>252</v>
      </c>
      <c r="H1876" s="1">
        <v>11</v>
      </c>
      <c r="I1876" s="1">
        <v>62</v>
      </c>
      <c r="J1876" s="1">
        <v>67</v>
      </c>
      <c r="K1876" s="1">
        <f t="shared" si="90"/>
        <v>5</v>
      </c>
      <c r="L1876" s="1">
        <v>178</v>
      </c>
      <c r="M1876" s="1">
        <v>63</v>
      </c>
      <c r="N1876" s="1">
        <v>2</v>
      </c>
      <c r="O1876" s="1">
        <v>3.5</v>
      </c>
      <c r="P1876" s="1">
        <f>H1876</f>
        <v>11</v>
      </c>
      <c r="Q1876" s="2">
        <v>0.21</v>
      </c>
      <c r="R1876" s="1">
        <v>10</v>
      </c>
      <c r="S1876" s="1">
        <f t="shared" si="91"/>
        <v>0.90909090909090906</v>
      </c>
      <c r="T1876" s="1">
        <v>5</v>
      </c>
      <c r="U1876" s="1">
        <v>12.5</v>
      </c>
      <c r="V1876" s="1">
        <v>768.62745098039215</v>
      </c>
      <c r="W1876" s="1">
        <v>6</v>
      </c>
    </row>
    <row r="1877" spans="1:23" x14ac:dyDescent="0.2">
      <c r="A1877">
        <v>2020</v>
      </c>
      <c r="B1877" t="s">
        <v>23</v>
      </c>
      <c r="C1877" t="s">
        <v>271</v>
      </c>
      <c r="D1877">
        <v>227</v>
      </c>
      <c r="E1877">
        <v>2</v>
      </c>
      <c r="F1877">
        <v>4</v>
      </c>
      <c r="G1877" t="s">
        <v>252</v>
      </c>
      <c r="H1877" s="1">
        <v>9</v>
      </c>
      <c r="I1877" s="1">
        <v>67</v>
      </c>
      <c r="J1877" s="1">
        <v>72</v>
      </c>
      <c r="K1877" s="1">
        <f t="shared" si="90"/>
        <v>5</v>
      </c>
      <c r="L1877" s="1">
        <v>175</v>
      </c>
      <c r="M1877" s="1">
        <v>117</v>
      </c>
      <c r="N1877" s="1">
        <v>1</v>
      </c>
      <c r="O1877" s="1">
        <v>2.5</v>
      </c>
      <c r="P1877" s="1">
        <f>H1877</f>
        <v>9</v>
      </c>
      <c r="Q1877" s="2">
        <v>0.99450000000000005</v>
      </c>
      <c r="R1877" s="1">
        <v>9</v>
      </c>
      <c r="S1877" s="1">
        <f t="shared" si="91"/>
        <v>1</v>
      </c>
      <c r="T1877" s="1">
        <v>2</v>
      </c>
      <c r="U1877" s="1">
        <v>12.5</v>
      </c>
      <c r="V1877" s="1">
        <v>3640.0000000000009</v>
      </c>
      <c r="W1877" s="1">
        <v>3</v>
      </c>
    </row>
    <row r="1878" spans="1:23" x14ac:dyDescent="0.2">
      <c r="A1878">
        <v>2020</v>
      </c>
      <c r="B1878" t="s">
        <v>23</v>
      </c>
      <c r="C1878" t="s">
        <v>271</v>
      </c>
      <c r="D1878">
        <v>228</v>
      </c>
      <c r="E1878">
        <v>1</v>
      </c>
      <c r="F1878">
        <v>8</v>
      </c>
      <c r="G1878" t="s">
        <v>253</v>
      </c>
      <c r="H1878">
        <v>11</v>
      </c>
      <c r="I1878">
        <v>55</v>
      </c>
      <c r="J1878">
        <v>57</v>
      </c>
      <c r="K1878">
        <v>2</v>
      </c>
      <c r="L1878">
        <v>166</v>
      </c>
      <c r="M1878">
        <v>66</v>
      </c>
      <c r="N1878">
        <v>2</v>
      </c>
      <c r="O1878">
        <v>3</v>
      </c>
      <c r="P1878">
        <v>11</v>
      </c>
      <c r="Q1878">
        <v>1.2</v>
      </c>
      <c r="R1878">
        <v>10</v>
      </c>
      <c r="S1878">
        <v>0.90909090909090906</v>
      </c>
      <c r="T1878">
        <v>2.5</v>
      </c>
      <c r="U1878">
        <v>12.5</v>
      </c>
      <c r="V1878">
        <v>4392.1568627450979</v>
      </c>
      <c r="W1878">
        <v>1</v>
      </c>
    </row>
    <row r="1879" spans="1:23" x14ac:dyDescent="0.2">
      <c r="A1879">
        <v>2020</v>
      </c>
      <c r="B1879" t="s">
        <v>23</v>
      </c>
      <c r="C1879" t="s">
        <v>271</v>
      </c>
      <c r="D1879">
        <v>228</v>
      </c>
      <c r="E1879">
        <v>2</v>
      </c>
      <c r="F1879">
        <v>11</v>
      </c>
      <c r="G1879" t="s">
        <v>253</v>
      </c>
      <c r="H1879">
        <v>12</v>
      </c>
      <c r="I1879">
        <v>52</v>
      </c>
      <c r="J1879">
        <v>56</v>
      </c>
      <c r="K1879">
        <v>4</v>
      </c>
      <c r="L1879">
        <v>192</v>
      </c>
      <c r="M1879">
        <v>55</v>
      </c>
      <c r="N1879">
        <v>2</v>
      </c>
      <c r="O1879">
        <v>2</v>
      </c>
      <c r="P1879">
        <v>10</v>
      </c>
      <c r="Q1879">
        <v>1</v>
      </c>
      <c r="R1879">
        <v>2</v>
      </c>
      <c r="S1879">
        <v>0.2</v>
      </c>
      <c r="T1879">
        <v>3</v>
      </c>
      <c r="U1879">
        <v>10</v>
      </c>
      <c r="V1879">
        <v>3764.705882352941</v>
      </c>
      <c r="W1879">
        <v>2</v>
      </c>
    </row>
    <row r="1880" spans="1:23" x14ac:dyDescent="0.2">
      <c r="A1880">
        <v>2020</v>
      </c>
      <c r="B1880" t="s">
        <v>23</v>
      </c>
      <c r="C1880" t="s">
        <v>271</v>
      </c>
      <c r="D1880">
        <v>229</v>
      </c>
      <c r="E1880">
        <v>1</v>
      </c>
      <c r="F1880">
        <v>8</v>
      </c>
      <c r="G1880" t="s">
        <v>254</v>
      </c>
      <c r="H1880" s="1">
        <v>7</v>
      </c>
      <c r="I1880" s="1">
        <v>57</v>
      </c>
      <c r="J1880" s="1">
        <v>62</v>
      </c>
      <c r="K1880" s="1">
        <f>J1880-I1880</f>
        <v>5</v>
      </c>
      <c r="L1880" s="1">
        <v>60</v>
      </c>
      <c r="M1880" s="1">
        <v>21</v>
      </c>
      <c r="N1880" s="1">
        <v>3</v>
      </c>
      <c r="O1880" s="1">
        <v>5</v>
      </c>
      <c r="P1880" s="1">
        <v>4</v>
      </c>
      <c r="Q1880" s="2">
        <v>0.10199999999999999</v>
      </c>
      <c r="R1880" s="1">
        <v>4</v>
      </c>
      <c r="S1880" s="1">
        <f>R1880/P1880</f>
        <v>1</v>
      </c>
      <c r="T1880" s="1">
        <v>5</v>
      </c>
      <c r="U1880" s="1">
        <v>12.5</v>
      </c>
      <c r="V1880" s="1">
        <v>373.33333333333326</v>
      </c>
      <c r="W1880" s="1">
        <v>4</v>
      </c>
    </row>
    <row r="1881" spans="1:23" x14ac:dyDescent="0.2">
      <c r="A1881">
        <v>2020</v>
      </c>
      <c r="B1881" t="s">
        <v>23</v>
      </c>
      <c r="C1881" t="s">
        <v>271</v>
      </c>
      <c r="D1881">
        <v>229</v>
      </c>
      <c r="E1881">
        <v>2</v>
      </c>
      <c r="F1881">
        <v>11</v>
      </c>
      <c r="G1881" t="s">
        <v>254</v>
      </c>
      <c r="H1881">
        <v>12</v>
      </c>
      <c r="I1881">
        <v>56</v>
      </c>
      <c r="J1881">
        <v>58</v>
      </c>
      <c r="K1881">
        <v>2</v>
      </c>
      <c r="L1881">
        <v>180</v>
      </c>
      <c r="M1881">
        <v>62</v>
      </c>
      <c r="N1881">
        <v>1.5</v>
      </c>
      <c r="O1881">
        <v>4</v>
      </c>
      <c r="P1881">
        <v>11</v>
      </c>
      <c r="Q1881">
        <v>1</v>
      </c>
      <c r="R1881">
        <v>11</v>
      </c>
      <c r="S1881">
        <v>1</v>
      </c>
      <c r="T1881">
        <v>3</v>
      </c>
      <c r="U1881">
        <v>12.5</v>
      </c>
      <c r="V1881">
        <v>3660.1307189542486</v>
      </c>
      <c r="W1881">
        <v>2</v>
      </c>
    </row>
    <row r="1882" spans="1:23" x14ac:dyDescent="0.2">
      <c r="A1882">
        <v>2020</v>
      </c>
      <c r="B1882" t="s">
        <v>23</v>
      </c>
      <c r="C1882" t="s">
        <v>271</v>
      </c>
      <c r="D1882">
        <v>230</v>
      </c>
      <c r="E1882">
        <v>1</v>
      </c>
      <c r="F1882">
        <v>3</v>
      </c>
      <c r="G1882" t="s">
        <v>255</v>
      </c>
      <c r="H1882" s="1">
        <v>12</v>
      </c>
      <c r="I1882" s="1">
        <v>68</v>
      </c>
      <c r="J1882" s="1">
        <v>69</v>
      </c>
      <c r="K1882" s="1">
        <f>J1882-I1882</f>
        <v>1</v>
      </c>
      <c r="L1882" s="1">
        <v>190</v>
      </c>
      <c r="M1882" s="1">
        <v>105</v>
      </c>
      <c r="N1882" s="1">
        <v>2</v>
      </c>
      <c r="O1882" s="1">
        <v>3</v>
      </c>
      <c r="P1882" s="1">
        <v>10</v>
      </c>
      <c r="Q1882" s="2">
        <v>0.43680000000000002</v>
      </c>
      <c r="R1882" s="1">
        <v>8</v>
      </c>
      <c r="S1882" s="1">
        <f>R1882/P1882</f>
        <v>0.8</v>
      </c>
      <c r="T1882" s="1">
        <v>3</v>
      </c>
      <c r="U1882" s="1">
        <v>8.3000000000000007</v>
      </c>
      <c r="V1882" s="1">
        <v>1675.4848627450983</v>
      </c>
      <c r="W1882" s="1">
        <v>4</v>
      </c>
    </row>
    <row r="1883" spans="1:23" x14ac:dyDescent="0.2">
      <c r="A1883">
        <v>2020</v>
      </c>
      <c r="B1883" t="s">
        <v>23</v>
      </c>
      <c r="C1883" t="s">
        <v>271</v>
      </c>
      <c r="D1883">
        <v>230</v>
      </c>
      <c r="E1883">
        <v>2</v>
      </c>
      <c r="F1883">
        <v>4</v>
      </c>
      <c r="G1883" t="s">
        <v>255</v>
      </c>
      <c r="H1883" s="1">
        <v>16</v>
      </c>
      <c r="I1883" s="1">
        <v>52</v>
      </c>
      <c r="J1883" s="1">
        <v>55</v>
      </c>
      <c r="K1883" s="1">
        <f>J1883-I1883</f>
        <v>3</v>
      </c>
      <c r="L1883" s="1">
        <v>119</v>
      </c>
      <c r="M1883" s="1">
        <v>50</v>
      </c>
      <c r="N1883" s="1">
        <v>3</v>
      </c>
      <c r="O1883" s="1">
        <v>4.5</v>
      </c>
      <c r="P1883" s="1">
        <v>10</v>
      </c>
      <c r="Q1883" s="2">
        <v>0.26074999999999998</v>
      </c>
      <c r="R1883" s="1">
        <v>10</v>
      </c>
      <c r="S1883" s="1">
        <f>R1883/P1883</f>
        <v>1</v>
      </c>
      <c r="T1883" s="1">
        <v>4</v>
      </c>
      <c r="U1883" s="1">
        <v>12.5</v>
      </c>
      <c r="V1883" s="1">
        <v>954.3790849673203</v>
      </c>
      <c r="W1883" s="1">
        <v>5</v>
      </c>
    </row>
    <row r="1884" spans="1:23" x14ac:dyDescent="0.2">
      <c r="A1884">
        <v>2020</v>
      </c>
      <c r="B1884" t="s">
        <v>23</v>
      </c>
      <c r="C1884" t="s">
        <v>271</v>
      </c>
      <c r="D1884">
        <v>231</v>
      </c>
      <c r="E1884">
        <v>1</v>
      </c>
      <c r="F1884">
        <v>15</v>
      </c>
      <c r="G1884" t="s">
        <v>256</v>
      </c>
      <c r="H1884">
        <v>16</v>
      </c>
      <c r="I1884">
        <v>57</v>
      </c>
      <c r="J1884">
        <v>60</v>
      </c>
      <c r="K1884">
        <v>3</v>
      </c>
      <c r="L1884">
        <v>137</v>
      </c>
      <c r="M1884">
        <v>70</v>
      </c>
      <c r="N1884">
        <v>2</v>
      </c>
      <c r="O1884">
        <v>2</v>
      </c>
      <c r="P1884">
        <v>13</v>
      </c>
      <c r="Q1884">
        <v>0.6</v>
      </c>
      <c r="R1884">
        <v>12</v>
      </c>
      <c r="S1884">
        <v>0.92307692307692313</v>
      </c>
      <c r="T1884">
        <v>3</v>
      </c>
      <c r="U1884">
        <v>11.5</v>
      </c>
      <c r="V1884">
        <v>2221.1764705882356</v>
      </c>
      <c r="W1884">
        <v>1</v>
      </c>
    </row>
    <row r="1885" spans="1:23" x14ac:dyDescent="0.2">
      <c r="A1885">
        <v>2020</v>
      </c>
      <c r="B1885" t="s">
        <v>23</v>
      </c>
      <c r="C1885" t="s">
        <v>271</v>
      </c>
      <c r="D1885">
        <v>231</v>
      </c>
      <c r="E1885">
        <v>2</v>
      </c>
      <c r="F1885">
        <v>2</v>
      </c>
      <c r="G1885" t="s">
        <v>256</v>
      </c>
      <c r="H1885" s="1">
        <v>2</v>
      </c>
      <c r="I1885" s="1">
        <v>67</v>
      </c>
      <c r="J1885" s="1">
        <v>70</v>
      </c>
      <c r="K1885" s="1">
        <f>J1885-I1885</f>
        <v>3</v>
      </c>
      <c r="L1885" s="1">
        <v>133</v>
      </c>
      <c r="M1885" s="1">
        <v>48</v>
      </c>
      <c r="N1885" s="1">
        <v>2</v>
      </c>
      <c r="O1885" s="1">
        <v>3.5</v>
      </c>
      <c r="P1885" s="1">
        <v>2</v>
      </c>
      <c r="Q1885" s="2">
        <v>0.18</v>
      </c>
      <c r="R1885" s="1">
        <v>2</v>
      </c>
      <c r="S1885" s="1">
        <f>R1885/P1885</f>
        <v>1</v>
      </c>
      <c r="T1885" s="1">
        <v>2.5</v>
      </c>
      <c r="U1885" s="1">
        <v>12.5</v>
      </c>
      <c r="V1885" s="1">
        <v>658.82352941176464</v>
      </c>
      <c r="W1885" s="1">
        <v>2</v>
      </c>
    </row>
    <row r="1886" spans="1:23" x14ac:dyDescent="0.2">
      <c r="A1886">
        <v>2020</v>
      </c>
      <c r="B1886" t="s">
        <v>23</v>
      </c>
      <c r="C1886" t="s">
        <v>271</v>
      </c>
      <c r="D1886">
        <v>232</v>
      </c>
      <c r="E1886">
        <v>1</v>
      </c>
      <c r="F1886">
        <v>9</v>
      </c>
      <c r="G1886" t="s">
        <v>257</v>
      </c>
      <c r="H1886">
        <v>9</v>
      </c>
      <c r="I1886">
        <v>55</v>
      </c>
      <c r="J1886">
        <v>56</v>
      </c>
      <c r="K1886">
        <v>1</v>
      </c>
      <c r="L1886">
        <v>200</v>
      </c>
      <c r="M1886">
        <v>60</v>
      </c>
      <c r="N1886">
        <v>2.5</v>
      </c>
      <c r="O1886">
        <v>3</v>
      </c>
      <c r="P1886">
        <v>9</v>
      </c>
      <c r="Q1886">
        <v>0.3</v>
      </c>
      <c r="R1886">
        <v>9</v>
      </c>
      <c r="S1886">
        <v>1</v>
      </c>
      <c r="T1886">
        <v>3</v>
      </c>
      <c r="U1886">
        <v>12.5</v>
      </c>
      <c r="V1886">
        <v>1098.0392156862745</v>
      </c>
      <c r="W1886">
        <v>2</v>
      </c>
    </row>
    <row r="1887" spans="1:23" x14ac:dyDescent="0.2">
      <c r="A1887">
        <v>2020</v>
      </c>
      <c r="B1887" t="s">
        <v>23</v>
      </c>
      <c r="C1887" t="s">
        <v>271</v>
      </c>
      <c r="D1887">
        <v>232</v>
      </c>
      <c r="E1887">
        <v>2</v>
      </c>
      <c r="F1887">
        <v>4</v>
      </c>
      <c r="G1887" t="s">
        <v>257</v>
      </c>
      <c r="H1887">
        <v>9</v>
      </c>
      <c r="I1887">
        <v>55</v>
      </c>
      <c r="J1887">
        <v>59</v>
      </c>
      <c r="K1887">
        <v>4</v>
      </c>
      <c r="L1887">
        <v>62</v>
      </c>
      <c r="M1887">
        <v>29</v>
      </c>
      <c r="N1887">
        <v>2</v>
      </c>
      <c r="O1887">
        <v>3</v>
      </c>
      <c r="P1887">
        <v>9</v>
      </c>
      <c r="Q1887">
        <v>0.7</v>
      </c>
      <c r="R1887">
        <v>8</v>
      </c>
      <c r="S1887">
        <v>0.88888888888888884</v>
      </c>
      <c r="T1887">
        <v>2.5</v>
      </c>
      <c r="U1887">
        <v>12.5</v>
      </c>
      <c r="V1887">
        <v>2562.0915032679736</v>
      </c>
      <c r="W1887">
        <v>1</v>
      </c>
    </row>
    <row r="1888" spans="1:23" x14ac:dyDescent="0.2">
      <c r="A1888">
        <v>2020</v>
      </c>
      <c r="B1888" t="s">
        <v>23</v>
      </c>
      <c r="C1888" t="s">
        <v>271</v>
      </c>
      <c r="D1888">
        <v>233</v>
      </c>
      <c r="E1888">
        <v>1</v>
      </c>
      <c r="F1888">
        <v>15</v>
      </c>
      <c r="G1888" t="s">
        <v>258</v>
      </c>
      <c r="H1888" s="1">
        <v>8</v>
      </c>
      <c r="I1888" s="1">
        <v>62</v>
      </c>
      <c r="J1888" s="1">
        <v>64</v>
      </c>
      <c r="K1888" s="1">
        <f t="shared" ref="K1888:K1893" si="92">J1888-I1888</f>
        <v>2</v>
      </c>
      <c r="L1888" s="1">
        <v>81</v>
      </c>
      <c r="M1888" s="1">
        <v>30</v>
      </c>
      <c r="N1888" s="1">
        <v>3</v>
      </c>
      <c r="O1888" s="1">
        <v>4</v>
      </c>
      <c r="P1888" s="1">
        <v>5</v>
      </c>
      <c r="Q1888" s="2">
        <v>0.24199999999999999</v>
      </c>
      <c r="R1888" s="1">
        <v>5</v>
      </c>
      <c r="S1888" s="1">
        <f t="shared" ref="S1888:S1893" si="93">R1888/P1888</f>
        <v>1</v>
      </c>
      <c r="T1888" s="1">
        <v>4</v>
      </c>
      <c r="U1888" s="1">
        <v>12.5</v>
      </c>
      <c r="V1888" s="1">
        <v>885.75163398692814</v>
      </c>
      <c r="W1888" s="1">
        <v>5</v>
      </c>
    </row>
    <row r="1889" spans="1:23" x14ac:dyDescent="0.2">
      <c r="A1889">
        <v>2020</v>
      </c>
      <c r="B1889" t="s">
        <v>23</v>
      </c>
      <c r="C1889" t="s">
        <v>271</v>
      </c>
      <c r="D1889">
        <v>233</v>
      </c>
      <c r="E1889">
        <v>2</v>
      </c>
      <c r="F1889">
        <v>14</v>
      </c>
      <c r="G1889" t="s">
        <v>258</v>
      </c>
      <c r="H1889" s="1">
        <v>4</v>
      </c>
      <c r="I1889" s="1">
        <v>63</v>
      </c>
      <c r="J1889" s="1">
        <v>66</v>
      </c>
      <c r="K1889" s="1">
        <f t="shared" si="92"/>
        <v>3</v>
      </c>
      <c r="L1889" s="1">
        <v>157</v>
      </c>
      <c r="M1889" s="1">
        <v>66</v>
      </c>
      <c r="N1889" s="1">
        <v>2</v>
      </c>
      <c r="O1889" s="1">
        <v>3.5</v>
      </c>
      <c r="P1889" s="1">
        <v>2</v>
      </c>
      <c r="Q1889" s="2">
        <v>3.5662499999999993E-2</v>
      </c>
      <c r="R1889" s="1">
        <v>2</v>
      </c>
      <c r="S1889" s="1">
        <f t="shared" si="93"/>
        <v>1</v>
      </c>
      <c r="T1889" s="1">
        <v>5</v>
      </c>
      <c r="U1889" s="1">
        <v>12.5</v>
      </c>
      <c r="V1889" s="1">
        <v>130.52941176470586</v>
      </c>
      <c r="W1889" s="1">
        <v>4</v>
      </c>
    </row>
    <row r="1890" spans="1:23" x14ac:dyDescent="0.2">
      <c r="A1890">
        <v>2020</v>
      </c>
      <c r="B1890" t="s">
        <v>23</v>
      </c>
      <c r="C1890" t="s">
        <v>271</v>
      </c>
      <c r="D1890">
        <v>234</v>
      </c>
      <c r="E1890">
        <v>1</v>
      </c>
      <c r="F1890">
        <v>5</v>
      </c>
      <c r="G1890" t="s">
        <v>259</v>
      </c>
      <c r="H1890" s="1">
        <v>10</v>
      </c>
      <c r="I1890" s="1">
        <v>67</v>
      </c>
      <c r="J1890" s="1">
        <v>72</v>
      </c>
      <c r="K1890" s="1">
        <f t="shared" si="92"/>
        <v>5</v>
      </c>
      <c r="L1890" s="1">
        <v>95</v>
      </c>
      <c r="M1890" s="1">
        <v>35</v>
      </c>
      <c r="N1890" s="1">
        <v>1.5</v>
      </c>
      <c r="O1890" s="1">
        <v>5</v>
      </c>
      <c r="P1890" s="1">
        <v>3</v>
      </c>
      <c r="Q1890" s="2">
        <v>0.12</v>
      </c>
      <c r="R1890" s="1">
        <v>2</v>
      </c>
      <c r="S1890" s="1">
        <f t="shared" si="93"/>
        <v>0.66666666666666663</v>
      </c>
      <c r="T1890" s="1">
        <v>5</v>
      </c>
      <c r="U1890" s="1">
        <v>12.5</v>
      </c>
      <c r="V1890" s="1">
        <v>439.21568627450984</v>
      </c>
      <c r="W1890" s="1">
        <v>6</v>
      </c>
    </row>
    <row r="1891" spans="1:23" x14ac:dyDescent="0.2">
      <c r="A1891">
        <v>2020</v>
      </c>
      <c r="B1891" t="s">
        <v>23</v>
      </c>
      <c r="C1891" t="s">
        <v>271</v>
      </c>
      <c r="D1891">
        <v>234</v>
      </c>
      <c r="E1891">
        <v>2</v>
      </c>
      <c r="F1891">
        <v>3</v>
      </c>
      <c r="G1891" t="s">
        <v>259</v>
      </c>
      <c r="H1891" s="1">
        <v>12</v>
      </c>
      <c r="I1891" s="1">
        <v>69</v>
      </c>
      <c r="J1891" s="1">
        <v>74</v>
      </c>
      <c r="K1891" s="1">
        <f t="shared" si="92"/>
        <v>5</v>
      </c>
      <c r="L1891" s="1">
        <v>125</v>
      </c>
      <c r="M1891" s="1">
        <v>70</v>
      </c>
      <c r="N1891" s="1">
        <v>1.5</v>
      </c>
      <c r="O1891" s="1">
        <v>4</v>
      </c>
      <c r="P1891" s="1">
        <v>10</v>
      </c>
      <c r="Q1891" s="2">
        <v>0.35799999999999998</v>
      </c>
      <c r="R1891" s="1">
        <v>8</v>
      </c>
      <c r="S1891" s="1">
        <f t="shared" si="93"/>
        <v>0.8</v>
      </c>
      <c r="T1891" s="1">
        <v>3.5</v>
      </c>
      <c r="U1891" s="1">
        <v>12.5</v>
      </c>
      <c r="V1891" s="1">
        <v>1310.3267973856209</v>
      </c>
      <c r="W1891" s="1">
        <v>2</v>
      </c>
    </row>
    <row r="1892" spans="1:23" x14ac:dyDescent="0.2">
      <c r="A1892">
        <v>2020</v>
      </c>
      <c r="B1892" t="s">
        <v>23</v>
      </c>
      <c r="C1892" t="s">
        <v>271</v>
      </c>
      <c r="D1892">
        <v>235</v>
      </c>
      <c r="E1892">
        <v>1</v>
      </c>
      <c r="F1892">
        <v>9</v>
      </c>
      <c r="G1892" t="s">
        <v>260</v>
      </c>
      <c r="H1892" s="1">
        <v>8</v>
      </c>
      <c r="I1892" s="1">
        <v>56</v>
      </c>
      <c r="J1892" s="1">
        <v>59</v>
      </c>
      <c r="K1892" s="1">
        <f t="shared" si="92"/>
        <v>3</v>
      </c>
      <c r="L1892" s="1">
        <v>157</v>
      </c>
      <c r="M1892" s="1">
        <v>60</v>
      </c>
      <c r="N1892" s="1">
        <v>2</v>
      </c>
      <c r="O1892" s="1">
        <v>4</v>
      </c>
      <c r="P1892" s="1">
        <v>5</v>
      </c>
      <c r="Q1892" s="2">
        <v>0.62024999999999997</v>
      </c>
      <c r="R1892" s="1">
        <v>6</v>
      </c>
      <c r="S1892" s="1">
        <f t="shared" si="93"/>
        <v>1.2</v>
      </c>
      <c r="T1892" s="1">
        <v>5</v>
      </c>
      <c r="U1892" s="1">
        <v>12.5</v>
      </c>
      <c r="V1892" s="1">
        <v>2270.1960784313724</v>
      </c>
      <c r="W1892" s="1">
        <v>6</v>
      </c>
    </row>
    <row r="1893" spans="1:23" x14ac:dyDescent="0.2">
      <c r="A1893">
        <v>2020</v>
      </c>
      <c r="B1893" t="s">
        <v>23</v>
      </c>
      <c r="C1893" t="s">
        <v>271</v>
      </c>
      <c r="D1893">
        <v>235</v>
      </c>
      <c r="E1893">
        <v>2</v>
      </c>
      <c r="F1893">
        <v>10</v>
      </c>
      <c r="G1893" t="s">
        <v>260</v>
      </c>
      <c r="H1893" s="1">
        <v>7</v>
      </c>
      <c r="I1893" s="1">
        <v>63</v>
      </c>
      <c r="J1893" s="1">
        <v>67</v>
      </c>
      <c r="K1893" s="1">
        <f t="shared" si="92"/>
        <v>4</v>
      </c>
      <c r="L1893" s="1">
        <v>136</v>
      </c>
      <c r="M1893" s="1">
        <v>57</v>
      </c>
      <c r="N1893" s="1">
        <v>2</v>
      </c>
      <c r="O1893" s="1">
        <v>3</v>
      </c>
      <c r="P1893" s="1">
        <v>7</v>
      </c>
      <c r="Q1893" s="2">
        <v>0.47099999999999997</v>
      </c>
      <c r="R1893" s="1">
        <v>8</v>
      </c>
      <c r="S1893" s="1">
        <f t="shared" si="93"/>
        <v>1.1428571428571428</v>
      </c>
      <c r="T1893" s="1">
        <v>2</v>
      </c>
      <c r="U1893" s="1">
        <v>12.5</v>
      </c>
      <c r="V1893" s="1">
        <v>1723.9215686274511</v>
      </c>
      <c r="W1893" s="1">
        <v>3</v>
      </c>
    </row>
    <row r="1894" spans="1:23" x14ac:dyDescent="0.2">
      <c r="A1894">
        <v>2020</v>
      </c>
      <c r="B1894" t="s">
        <v>23</v>
      </c>
      <c r="C1894" t="s">
        <v>271</v>
      </c>
      <c r="D1894">
        <v>236</v>
      </c>
      <c r="E1894">
        <v>1</v>
      </c>
      <c r="F1894">
        <v>9</v>
      </c>
      <c r="G1894" t="s">
        <v>261</v>
      </c>
      <c r="H1894">
        <v>15</v>
      </c>
      <c r="I1894">
        <v>55</v>
      </c>
      <c r="J1894">
        <v>56</v>
      </c>
      <c r="K1894">
        <v>1</v>
      </c>
      <c r="L1894">
        <v>155</v>
      </c>
      <c r="M1894">
        <v>39</v>
      </c>
      <c r="N1894">
        <v>2</v>
      </c>
      <c r="O1894">
        <v>1.5</v>
      </c>
      <c r="P1894">
        <v>15</v>
      </c>
      <c r="Q1894">
        <v>1.2</v>
      </c>
      <c r="R1894">
        <v>15</v>
      </c>
      <c r="S1894">
        <v>1</v>
      </c>
      <c r="T1894">
        <v>2</v>
      </c>
      <c r="U1894">
        <v>12.8</v>
      </c>
      <c r="V1894">
        <v>4377.0980392156862</v>
      </c>
      <c r="W1894">
        <v>1</v>
      </c>
    </row>
    <row r="1895" spans="1:23" x14ac:dyDescent="0.2">
      <c r="A1895">
        <v>2020</v>
      </c>
      <c r="B1895" t="s">
        <v>23</v>
      </c>
      <c r="C1895" t="s">
        <v>271</v>
      </c>
      <c r="D1895">
        <v>236</v>
      </c>
      <c r="E1895">
        <v>2</v>
      </c>
      <c r="F1895">
        <v>11</v>
      </c>
      <c r="G1895" t="s">
        <v>261</v>
      </c>
      <c r="H1895">
        <v>4</v>
      </c>
      <c r="I1895">
        <v>59</v>
      </c>
      <c r="J1895">
        <v>62</v>
      </c>
      <c r="K1895">
        <v>3</v>
      </c>
      <c r="L1895">
        <v>175</v>
      </c>
      <c r="M1895">
        <v>90</v>
      </c>
      <c r="N1895">
        <v>1.5</v>
      </c>
      <c r="O1895">
        <v>2</v>
      </c>
      <c r="P1895">
        <v>4</v>
      </c>
      <c r="Q1895">
        <v>0.5</v>
      </c>
      <c r="R1895">
        <v>4</v>
      </c>
      <c r="S1895">
        <v>1</v>
      </c>
      <c r="T1895">
        <v>2.5</v>
      </c>
      <c r="U1895">
        <v>12.5</v>
      </c>
      <c r="V1895">
        <v>1830.0653594771243</v>
      </c>
      <c r="W1895">
        <v>1</v>
      </c>
    </row>
    <row r="1896" spans="1:23" x14ac:dyDescent="0.2">
      <c r="A1896">
        <v>2020</v>
      </c>
      <c r="B1896" t="s">
        <v>23</v>
      </c>
      <c r="C1896" t="s">
        <v>271</v>
      </c>
      <c r="D1896">
        <v>237</v>
      </c>
      <c r="E1896">
        <v>1</v>
      </c>
      <c r="F1896">
        <v>15</v>
      </c>
      <c r="G1896" t="s">
        <v>262</v>
      </c>
      <c r="H1896">
        <v>16</v>
      </c>
      <c r="I1896">
        <v>50</v>
      </c>
      <c r="J1896">
        <v>55</v>
      </c>
      <c r="K1896">
        <v>5</v>
      </c>
      <c r="L1896">
        <v>185</v>
      </c>
      <c r="M1896">
        <v>98</v>
      </c>
      <c r="N1896">
        <v>2</v>
      </c>
      <c r="O1896">
        <v>2</v>
      </c>
      <c r="P1896">
        <v>13</v>
      </c>
      <c r="Q1896">
        <v>0.9</v>
      </c>
      <c r="R1896">
        <v>10</v>
      </c>
      <c r="S1896">
        <v>0.76923076923076927</v>
      </c>
      <c r="T1896">
        <v>2</v>
      </c>
      <c r="U1896">
        <v>11.5</v>
      </c>
      <c r="V1896">
        <v>3331.7647058823527</v>
      </c>
      <c r="W1896">
        <v>2</v>
      </c>
    </row>
    <row r="1897" spans="1:23" x14ac:dyDescent="0.2">
      <c r="A1897">
        <v>2020</v>
      </c>
      <c r="B1897" t="s">
        <v>23</v>
      </c>
      <c r="C1897" t="s">
        <v>271</v>
      </c>
      <c r="D1897">
        <v>237</v>
      </c>
      <c r="E1897">
        <v>2</v>
      </c>
      <c r="F1897">
        <v>13</v>
      </c>
      <c r="G1897" t="s">
        <v>262</v>
      </c>
      <c r="H1897" s="1">
        <v>11</v>
      </c>
      <c r="I1897" s="1">
        <v>70</v>
      </c>
      <c r="J1897" s="1">
        <v>72</v>
      </c>
      <c r="K1897" s="1">
        <f>J1897-I1897</f>
        <v>2</v>
      </c>
      <c r="L1897" s="1">
        <v>183</v>
      </c>
      <c r="M1897" s="1">
        <v>54</v>
      </c>
      <c r="N1897" s="1">
        <v>2</v>
      </c>
      <c r="O1897" s="1">
        <v>3.5</v>
      </c>
      <c r="P1897" s="1">
        <f>H1897-2</f>
        <v>9</v>
      </c>
      <c r="Q1897" s="2">
        <v>0.55500000000000005</v>
      </c>
      <c r="R1897" s="1">
        <v>6</v>
      </c>
      <c r="S1897" s="1">
        <f>R1897/P1897</f>
        <v>0.66666666666666663</v>
      </c>
      <c r="T1897" s="1">
        <v>5</v>
      </c>
      <c r="U1897" s="1">
        <v>12.5</v>
      </c>
      <c r="V1897" s="1">
        <v>2031.372549019608</v>
      </c>
      <c r="W1897" s="1">
        <v>4</v>
      </c>
    </row>
    <row r="1898" spans="1:23" x14ac:dyDescent="0.2">
      <c r="A1898">
        <v>2021</v>
      </c>
      <c r="B1898" t="s">
        <v>23</v>
      </c>
      <c r="C1898" t="s">
        <v>271</v>
      </c>
      <c r="D1898">
        <v>1</v>
      </c>
      <c r="E1898">
        <v>1</v>
      </c>
      <c r="F1898">
        <v>9</v>
      </c>
      <c r="G1898" t="s">
        <v>25</v>
      </c>
      <c r="H1898" s="1">
        <v>7</v>
      </c>
      <c r="I1898" s="1">
        <v>65</v>
      </c>
      <c r="J1898" s="1">
        <v>68</v>
      </c>
      <c r="K1898" s="1">
        <f>J1898-I1898</f>
        <v>3</v>
      </c>
      <c r="L1898" s="1">
        <v>180</v>
      </c>
      <c r="M1898" s="1">
        <v>100</v>
      </c>
      <c r="N1898" s="1">
        <v>2</v>
      </c>
      <c r="O1898" s="1">
        <v>2.5</v>
      </c>
      <c r="P1898" s="1">
        <v>5</v>
      </c>
      <c r="Q1898" s="2">
        <v>0.78959999999999997</v>
      </c>
      <c r="R1898" s="1">
        <v>4</v>
      </c>
      <c r="S1898" s="1">
        <f>R1898/P1898</f>
        <v>0.8</v>
      </c>
      <c r="T1898" s="1">
        <v>3</v>
      </c>
      <c r="U1898" s="1">
        <v>12.5</v>
      </c>
      <c r="V1898" s="1">
        <v>2890.0392156862745</v>
      </c>
      <c r="W1898" s="1">
        <v>5</v>
      </c>
    </row>
    <row r="1899" spans="1:23" x14ac:dyDescent="0.2">
      <c r="A1899">
        <v>2021</v>
      </c>
      <c r="B1899" t="s">
        <v>23</v>
      </c>
      <c r="C1899" t="s">
        <v>271</v>
      </c>
      <c r="D1899">
        <v>1</v>
      </c>
      <c r="E1899">
        <v>2</v>
      </c>
      <c r="F1899">
        <v>4</v>
      </c>
      <c r="G1899" t="s">
        <v>25</v>
      </c>
      <c r="H1899">
        <v>16</v>
      </c>
      <c r="I1899">
        <v>53</v>
      </c>
      <c r="J1899">
        <v>54</v>
      </c>
      <c r="K1899">
        <v>1</v>
      </c>
      <c r="L1899">
        <v>148</v>
      </c>
      <c r="M1899">
        <v>90</v>
      </c>
      <c r="N1899">
        <v>2</v>
      </c>
      <c r="O1899">
        <v>2</v>
      </c>
      <c r="P1899">
        <v>16</v>
      </c>
      <c r="Q1899">
        <v>1.5</v>
      </c>
      <c r="R1899">
        <v>14</v>
      </c>
      <c r="S1899">
        <v>0.875</v>
      </c>
      <c r="T1899">
        <v>1</v>
      </c>
      <c r="U1899">
        <v>10.3</v>
      </c>
      <c r="V1899">
        <v>5628.2352941176468</v>
      </c>
      <c r="W1899">
        <v>1</v>
      </c>
    </row>
    <row r="1900" spans="1:23" x14ac:dyDescent="0.2">
      <c r="A1900">
        <v>2021</v>
      </c>
      <c r="B1900" t="s">
        <v>23</v>
      </c>
      <c r="C1900" t="s">
        <v>271</v>
      </c>
      <c r="D1900">
        <v>2</v>
      </c>
      <c r="E1900">
        <v>1</v>
      </c>
      <c r="F1900">
        <v>5</v>
      </c>
      <c r="G1900" t="s">
        <v>26</v>
      </c>
      <c r="H1900" s="1">
        <v>10</v>
      </c>
      <c r="I1900" s="1">
        <v>62</v>
      </c>
      <c r="J1900" s="1">
        <v>67</v>
      </c>
      <c r="K1900" s="1">
        <f>J1900-I1900</f>
        <v>5</v>
      </c>
      <c r="L1900" s="1">
        <v>123</v>
      </c>
      <c r="M1900" s="1">
        <v>55</v>
      </c>
      <c r="N1900" s="1">
        <v>3</v>
      </c>
      <c r="O1900" s="1">
        <v>4</v>
      </c>
      <c r="P1900" s="1">
        <v>6</v>
      </c>
      <c r="Q1900" s="2">
        <v>0.16</v>
      </c>
      <c r="R1900" s="1">
        <v>4</v>
      </c>
      <c r="S1900" s="1">
        <f>R1900/P1900</f>
        <v>0.66666666666666663</v>
      </c>
      <c r="T1900" s="1">
        <v>5</v>
      </c>
      <c r="U1900" s="1">
        <v>12.5</v>
      </c>
      <c r="V1900" s="1">
        <v>585.62091503267982</v>
      </c>
      <c r="W1900" s="1">
        <v>6</v>
      </c>
    </row>
    <row r="1901" spans="1:23" x14ac:dyDescent="0.2">
      <c r="A1901">
        <v>2021</v>
      </c>
      <c r="B1901" t="s">
        <v>23</v>
      </c>
      <c r="C1901" t="s">
        <v>271</v>
      </c>
      <c r="D1901">
        <v>2</v>
      </c>
      <c r="E1901">
        <v>2</v>
      </c>
      <c r="F1901">
        <v>5</v>
      </c>
      <c r="G1901" t="s">
        <v>26</v>
      </c>
      <c r="H1901">
        <v>7</v>
      </c>
      <c r="I1901">
        <v>55</v>
      </c>
      <c r="J1901">
        <v>56</v>
      </c>
      <c r="K1901">
        <v>1</v>
      </c>
      <c r="L1901">
        <v>185</v>
      </c>
      <c r="M1901">
        <v>59</v>
      </c>
      <c r="N1901">
        <v>2</v>
      </c>
      <c r="O1901">
        <v>3</v>
      </c>
      <c r="P1901">
        <v>7</v>
      </c>
      <c r="Q1901">
        <v>0.4</v>
      </c>
      <c r="R1901">
        <v>5</v>
      </c>
      <c r="S1901">
        <v>0.7142857142857143</v>
      </c>
      <c r="T1901">
        <v>3</v>
      </c>
      <c r="U1901">
        <v>12.5</v>
      </c>
      <c r="V1901">
        <v>1464.0522875816994</v>
      </c>
      <c r="W1901">
        <v>2</v>
      </c>
    </row>
    <row r="1902" spans="1:23" x14ac:dyDescent="0.2">
      <c r="A1902">
        <v>2021</v>
      </c>
      <c r="B1902" t="s">
        <v>23</v>
      </c>
      <c r="C1902" t="s">
        <v>271</v>
      </c>
      <c r="D1902">
        <v>3</v>
      </c>
      <c r="E1902">
        <v>1</v>
      </c>
      <c r="F1902">
        <v>6</v>
      </c>
      <c r="G1902" t="s">
        <v>27</v>
      </c>
      <c r="H1902" s="1">
        <v>4</v>
      </c>
      <c r="I1902" s="1">
        <v>68</v>
      </c>
      <c r="J1902" s="1">
        <v>72</v>
      </c>
      <c r="K1902" s="1">
        <f>J1902-I1902</f>
        <v>4</v>
      </c>
      <c r="L1902" s="1">
        <v>86</v>
      </c>
      <c r="M1902" s="1">
        <v>29</v>
      </c>
      <c r="N1902" s="1">
        <v>1.5</v>
      </c>
      <c r="O1902" s="1">
        <v>5</v>
      </c>
      <c r="P1902" s="1">
        <v>1</v>
      </c>
      <c r="Q1902" s="2">
        <v>2.1599999999999998E-2</v>
      </c>
      <c r="R1902" s="1">
        <v>1</v>
      </c>
      <c r="S1902" s="1">
        <f>R1902/P1902</f>
        <v>1</v>
      </c>
      <c r="T1902" s="1">
        <v>5</v>
      </c>
      <c r="U1902" s="1">
        <v>12.5</v>
      </c>
      <c r="V1902" s="1">
        <v>79.058823529411768</v>
      </c>
      <c r="W1902" s="1">
        <v>6</v>
      </c>
    </row>
    <row r="1903" spans="1:23" x14ac:dyDescent="0.2">
      <c r="A1903">
        <v>2021</v>
      </c>
      <c r="B1903" t="s">
        <v>23</v>
      </c>
      <c r="C1903" t="s">
        <v>271</v>
      </c>
      <c r="D1903">
        <v>3</v>
      </c>
      <c r="E1903">
        <v>2</v>
      </c>
      <c r="F1903">
        <v>15</v>
      </c>
      <c r="G1903" t="s">
        <v>27</v>
      </c>
      <c r="H1903" s="1">
        <v>14</v>
      </c>
      <c r="I1903" s="1">
        <v>65</v>
      </c>
      <c r="J1903" s="1">
        <v>71</v>
      </c>
      <c r="K1903" s="1">
        <f>J1903-I1903</f>
        <v>6</v>
      </c>
      <c r="L1903" s="1">
        <v>165</v>
      </c>
      <c r="M1903" s="1">
        <v>95</v>
      </c>
      <c r="N1903" s="1">
        <v>1</v>
      </c>
      <c r="O1903" s="1">
        <v>2</v>
      </c>
      <c r="P1903" s="1">
        <v>14</v>
      </c>
      <c r="Q1903" s="2">
        <v>0.40799999999999997</v>
      </c>
      <c r="R1903" s="1">
        <v>4</v>
      </c>
      <c r="S1903" s="1">
        <f>R1903/P1903</f>
        <v>0.2857142857142857</v>
      </c>
      <c r="T1903" s="1">
        <v>4</v>
      </c>
      <c r="U1903" s="1">
        <v>7.9</v>
      </c>
      <c r="V1903" s="1">
        <v>1571.8400000000001</v>
      </c>
      <c r="W1903" s="1">
        <v>5</v>
      </c>
    </row>
    <row r="1904" spans="1:23" x14ac:dyDescent="0.2">
      <c r="A1904">
        <v>2021</v>
      </c>
      <c r="B1904" t="s">
        <v>23</v>
      </c>
      <c r="C1904" t="s">
        <v>271</v>
      </c>
      <c r="D1904">
        <v>4</v>
      </c>
      <c r="E1904">
        <v>1</v>
      </c>
      <c r="F1904">
        <v>11</v>
      </c>
      <c r="G1904" t="s">
        <v>28</v>
      </c>
      <c r="H1904">
        <v>5</v>
      </c>
      <c r="I1904">
        <v>59</v>
      </c>
      <c r="J1904">
        <v>62</v>
      </c>
      <c r="K1904">
        <v>3</v>
      </c>
      <c r="L1904">
        <v>135</v>
      </c>
      <c r="M1904">
        <v>60</v>
      </c>
      <c r="N1904">
        <v>1.5</v>
      </c>
      <c r="O1904">
        <v>3.5</v>
      </c>
      <c r="P1904">
        <v>5</v>
      </c>
      <c r="Q1904">
        <v>0.3</v>
      </c>
      <c r="R1904">
        <v>4</v>
      </c>
      <c r="S1904">
        <v>0.8</v>
      </c>
      <c r="T1904">
        <v>2.5</v>
      </c>
      <c r="U1904">
        <v>12.5</v>
      </c>
      <c r="V1904">
        <v>1098.0392156862745</v>
      </c>
      <c r="W1904">
        <v>1</v>
      </c>
    </row>
    <row r="1905" spans="1:23" x14ac:dyDescent="0.2">
      <c r="A1905">
        <v>2021</v>
      </c>
      <c r="B1905" t="s">
        <v>23</v>
      </c>
      <c r="C1905" t="s">
        <v>271</v>
      </c>
      <c r="D1905">
        <v>4</v>
      </c>
      <c r="E1905">
        <v>2</v>
      </c>
      <c r="F1905">
        <v>10</v>
      </c>
      <c r="G1905" t="s">
        <v>28</v>
      </c>
      <c r="H1905" s="1">
        <v>10</v>
      </c>
      <c r="I1905" s="1">
        <v>65</v>
      </c>
      <c r="J1905" s="1">
        <v>68</v>
      </c>
      <c r="K1905" s="1">
        <f t="shared" ref="K1905:K1916" si="94">J1905-I1905</f>
        <v>3</v>
      </c>
      <c r="L1905" s="1">
        <v>120</v>
      </c>
      <c r="M1905" s="1">
        <v>40</v>
      </c>
      <c r="N1905" s="1">
        <v>3</v>
      </c>
      <c r="O1905" s="1">
        <v>4.5</v>
      </c>
      <c r="P1905" s="1">
        <v>5</v>
      </c>
      <c r="Q1905" s="2">
        <v>0.14399999999999999</v>
      </c>
      <c r="R1905" s="1">
        <v>4</v>
      </c>
      <c r="S1905" s="1">
        <f t="shared" ref="S1905:S1916" si="95">R1905/P1905</f>
        <v>0.8</v>
      </c>
      <c r="T1905" s="1">
        <v>4.5</v>
      </c>
      <c r="U1905" s="1">
        <v>12.5</v>
      </c>
      <c r="V1905" s="1">
        <v>527.05882352941182</v>
      </c>
      <c r="W1905" s="1">
        <v>5</v>
      </c>
    </row>
    <row r="1906" spans="1:23" x14ac:dyDescent="0.2">
      <c r="A1906">
        <v>2021</v>
      </c>
      <c r="B1906" t="s">
        <v>23</v>
      </c>
      <c r="C1906" t="s">
        <v>271</v>
      </c>
      <c r="D1906">
        <v>5</v>
      </c>
      <c r="E1906">
        <v>1</v>
      </c>
      <c r="F1906">
        <v>9</v>
      </c>
      <c r="G1906" t="s">
        <v>29</v>
      </c>
      <c r="H1906" s="1">
        <v>11</v>
      </c>
      <c r="I1906" s="1">
        <v>56</v>
      </c>
      <c r="J1906" s="1">
        <v>58</v>
      </c>
      <c r="K1906" s="1">
        <f t="shared" si="94"/>
        <v>2</v>
      </c>
      <c r="L1906" s="1">
        <v>93</v>
      </c>
      <c r="M1906" s="1">
        <v>41</v>
      </c>
      <c r="N1906" s="1">
        <v>2.5</v>
      </c>
      <c r="O1906" s="1">
        <v>4</v>
      </c>
      <c r="P1906" s="1">
        <v>6</v>
      </c>
      <c r="Q1906" s="2">
        <v>0.17</v>
      </c>
      <c r="R1906" s="1">
        <v>5</v>
      </c>
      <c r="S1906" s="1">
        <f t="shared" si="95"/>
        <v>0.83333333333333337</v>
      </c>
      <c r="T1906" s="1">
        <v>3.5</v>
      </c>
      <c r="U1906" s="1">
        <v>12.5</v>
      </c>
      <c r="V1906" s="1">
        <v>622.2222222222224</v>
      </c>
      <c r="W1906" s="1">
        <v>4</v>
      </c>
    </row>
    <row r="1907" spans="1:23" x14ac:dyDescent="0.2">
      <c r="A1907">
        <v>2021</v>
      </c>
      <c r="B1907" t="s">
        <v>23</v>
      </c>
      <c r="C1907" t="s">
        <v>271</v>
      </c>
      <c r="D1907">
        <v>5</v>
      </c>
      <c r="E1907">
        <v>2</v>
      </c>
      <c r="F1907">
        <v>3</v>
      </c>
      <c r="G1907" t="s">
        <v>29</v>
      </c>
      <c r="H1907" s="1">
        <v>10</v>
      </c>
      <c r="I1907" s="1">
        <v>65</v>
      </c>
      <c r="J1907" s="1">
        <v>70</v>
      </c>
      <c r="K1907" s="1">
        <f t="shared" si="94"/>
        <v>5</v>
      </c>
      <c r="L1907" s="1">
        <v>155</v>
      </c>
      <c r="M1907" s="1">
        <v>68</v>
      </c>
      <c r="N1907" s="1">
        <v>2</v>
      </c>
      <c r="O1907" s="1">
        <v>3.5</v>
      </c>
      <c r="P1907" s="1">
        <v>9</v>
      </c>
      <c r="Q1907" s="2">
        <v>0.45700000000000002</v>
      </c>
      <c r="R1907" s="1">
        <v>9</v>
      </c>
      <c r="S1907" s="1">
        <f t="shared" si="95"/>
        <v>1</v>
      </c>
      <c r="T1907" s="1">
        <v>5</v>
      </c>
      <c r="U1907" s="1">
        <v>8.3000000000000007</v>
      </c>
      <c r="V1907" s="1">
        <v>1752.968366013072</v>
      </c>
      <c r="W1907" s="1">
        <v>4</v>
      </c>
    </row>
    <row r="1908" spans="1:23" x14ac:dyDescent="0.2">
      <c r="A1908">
        <v>2021</v>
      </c>
      <c r="B1908" t="s">
        <v>23</v>
      </c>
      <c r="C1908" t="s">
        <v>271</v>
      </c>
      <c r="D1908">
        <v>6</v>
      </c>
      <c r="E1908">
        <v>1</v>
      </c>
      <c r="F1908">
        <v>14</v>
      </c>
      <c r="G1908" t="s">
        <v>30</v>
      </c>
      <c r="H1908" s="1">
        <v>6</v>
      </c>
      <c r="I1908" s="1">
        <v>62</v>
      </c>
      <c r="J1908" s="1">
        <v>67</v>
      </c>
      <c r="K1908" s="1">
        <f t="shared" si="94"/>
        <v>5</v>
      </c>
      <c r="L1908" s="1">
        <v>126</v>
      </c>
      <c r="M1908" s="1">
        <v>65</v>
      </c>
      <c r="N1908" s="1">
        <v>1.5</v>
      </c>
      <c r="O1908" s="1">
        <v>3</v>
      </c>
      <c r="P1908" s="1">
        <v>5</v>
      </c>
      <c r="Q1908" s="2">
        <v>0.47199999999999998</v>
      </c>
      <c r="R1908" s="1">
        <v>4</v>
      </c>
      <c r="S1908" s="1">
        <f t="shared" si="95"/>
        <v>0.8</v>
      </c>
      <c r="T1908" s="1">
        <v>2</v>
      </c>
      <c r="U1908" s="1">
        <v>12.5</v>
      </c>
      <c r="V1908" s="1">
        <v>1727.5816993464052</v>
      </c>
      <c r="W1908" s="1">
        <v>4</v>
      </c>
    </row>
    <row r="1909" spans="1:23" x14ac:dyDescent="0.2">
      <c r="A1909">
        <v>2021</v>
      </c>
      <c r="B1909" t="s">
        <v>23</v>
      </c>
      <c r="C1909" t="s">
        <v>271</v>
      </c>
      <c r="D1909">
        <v>6</v>
      </c>
      <c r="E1909">
        <v>2</v>
      </c>
      <c r="F1909">
        <v>4</v>
      </c>
      <c r="G1909" t="s">
        <v>30</v>
      </c>
      <c r="H1909" s="3">
        <v>1</v>
      </c>
      <c r="I1909" s="3">
        <v>65</v>
      </c>
      <c r="J1909" s="3">
        <v>68</v>
      </c>
      <c r="K1909" s="3">
        <f t="shared" si="94"/>
        <v>3</v>
      </c>
      <c r="L1909" s="3">
        <v>66</v>
      </c>
      <c r="M1909" s="3">
        <v>40</v>
      </c>
      <c r="N1909" s="3">
        <v>1.5</v>
      </c>
      <c r="O1909" s="3">
        <v>4</v>
      </c>
      <c r="P1909" s="3">
        <v>1</v>
      </c>
      <c r="Q1909" s="4">
        <v>6.2E-2</v>
      </c>
      <c r="R1909" s="3">
        <v>1</v>
      </c>
      <c r="S1909" s="3">
        <f t="shared" si="95"/>
        <v>1</v>
      </c>
      <c r="T1909" s="3">
        <v>4</v>
      </c>
      <c r="U1909" s="3">
        <v>12.5</v>
      </c>
      <c r="V1909" s="3">
        <v>226.92810457516339</v>
      </c>
      <c r="W1909" s="3">
        <v>3</v>
      </c>
    </row>
    <row r="1910" spans="1:23" x14ac:dyDescent="0.2">
      <c r="A1910">
        <v>2021</v>
      </c>
      <c r="B1910" t="s">
        <v>23</v>
      </c>
      <c r="C1910" t="s">
        <v>271</v>
      </c>
      <c r="D1910">
        <v>7</v>
      </c>
      <c r="E1910">
        <v>1</v>
      </c>
      <c r="F1910">
        <v>6</v>
      </c>
      <c r="G1910" t="s">
        <v>31</v>
      </c>
      <c r="H1910" s="1">
        <v>7</v>
      </c>
      <c r="I1910" s="1">
        <v>56</v>
      </c>
      <c r="J1910" s="1">
        <v>58</v>
      </c>
      <c r="K1910" s="1">
        <f t="shared" si="94"/>
        <v>2</v>
      </c>
      <c r="L1910" s="1">
        <v>109</v>
      </c>
      <c r="M1910" s="1">
        <v>51</v>
      </c>
      <c r="N1910" s="1">
        <v>3</v>
      </c>
      <c r="O1910" s="1">
        <v>4.5</v>
      </c>
      <c r="P1910" s="1">
        <v>6</v>
      </c>
      <c r="Q1910" s="2">
        <v>0.24199999999999999</v>
      </c>
      <c r="R1910" s="1">
        <v>6</v>
      </c>
      <c r="S1910" s="1">
        <f t="shared" si="95"/>
        <v>1</v>
      </c>
      <c r="T1910" s="1">
        <v>3</v>
      </c>
      <c r="U1910" s="1">
        <v>12.5</v>
      </c>
      <c r="V1910" s="1">
        <v>885.75163398692814</v>
      </c>
      <c r="W1910" s="1">
        <v>5</v>
      </c>
    </row>
    <row r="1911" spans="1:23" x14ac:dyDescent="0.2">
      <c r="A1911">
        <v>2021</v>
      </c>
      <c r="B1911" t="s">
        <v>23</v>
      </c>
      <c r="C1911" t="s">
        <v>271</v>
      </c>
      <c r="D1911">
        <v>7</v>
      </c>
      <c r="E1911">
        <v>2</v>
      </c>
      <c r="F1911">
        <v>8</v>
      </c>
      <c r="G1911" t="s">
        <v>31</v>
      </c>
      <c r="H1911" s="1">
        <v>7</v>
      </c>
      <c r="I1911" s="1">
        <v>64</v>
      </c>
      <c r="J1911" s="1">
        <v>68</v>
      </c>
      <c r="K1911" s="1">
        <f t="shared" si="94"/>
        <v>4</v>
      </c>
      <c r="L1911" s="1">
        <v>63</v>
      </c>
      <c r="M1911" s="1">
        <v>32</v>
      </c>
      <c r="N1911" s="1">
        <v>1.5</v>
      </c>
      <c r="O1911" s="1">
        <v>3.5</v>
      </c>
      <c r="P1911" s="1">
        <v>5</v>
      </c>
      <c r="Q1911" s="2">
        <v>0.1225</v>
      </c>
      <c r="R1911" s="1">
        <v>4</v>
      </c>
      <c r="S1911" s="1">
        <f t="shared" si="95"/>
        <v>0.8</v>
      </c>
      <c r="T1911" s="1">
        <v>5</v>
      </c>
      <c r="U1911" s="1">
        <v>12.5</v>
      </c>
      <c r="V1911" s="1">
        <v>448.36601307189545</v>
      </c>
      <c r="W1911" s="1">
        <v>5</v>
      </c>
    </row>
    <row r="1912" spans="1:23" x14ac:dyDescent="0.2">
      <c r="A1912">
        <v>2021</v>
      </c>
      <c r="B1912" t="s">
        <v>23</v>
      </c>
      <c r="C1912" t="s">
        <v>271</v>
      </c>
      <c r="D1912">
        <v>8</v>
      </c>
      <c r="E1912">
        <v>1</v>
      </c>
      <c r="F1912">
        <v>14</v>
      </c>
      <c r="G1912" t="s">
        <v>32</v>
      </c>
      <c r="H1912" s="1">
        <v>3</v>
      </c>
      <c r="I1912" s="1">
        <v>64</v>
      </c>
      <c r="J1912" s="1">
        <v>69</v>
      </c>
      <c r="K1912" s="1">
        <f t="shared" si="94"/>
        <v>5</v>
      </c>
      <c r="L1912" s="1">
        <v>106</v>
      </c>
      <c r="M1912" s="1">
        <v>26</v>
      </c>
      <c r="N1912" s="1">
        <v>3</v>
      </c>
      <c r="O1912" s="1">
        <v>4</v>
      </c>
      <c r="P1912" s="1">
        <v>2</v>
      </c>
      <c r="Q1912" s="2">
        <v>6.2E-2</v>
      </c>
      <c r="R1912" s="1">
        <v>2</v>
      </c>
      <c r="S1912" s="1">
        <f t="shared" si="95"/>
        <v>1</v>
      </c>
      <c r="T1912" s="1">
        <v>5</v>
      </c>
      <c r="U1912" s="1">
        <v>12.5</v>
      </c>
      <c r="V1912" s="1">
        <v>226.92810457516339</v>
      </c>
      <c r="W1912" s="1">
        <v>5</v>
      </c>
    </row>
    <row r="1913" spans="1:23" x14ac:dyDescent="0.2">
      <c r="A1913">
        <v>2021</v>
      </c>
      <c r="B1913" t="s">
        <v>23</v>
      </c>
      <c r="C1913" t="s">
        <v>271</v>
      </c>
      <c r="D1913">
        <v>8</v>
      </c>
      <c r="E1913">
        <v>2</v>
      </c>
      <c r="F1913">
        <v>10</v>
      </c>
      <c r="G1913" t="s">
        <v>32</v>
      </c>
      <c r="H1913" s="1">
        <v>5</v>
      </c>
      <c r="I1913" s="1">
        <v>64</v>
      </c>
      <c r="J1913" s="1">
        <v>69</v>
      </c>
      <c r="K1913" s="1">
        <f t="shared" si="94"/>
        <v>5</v>
      </c>
      <c r="L1913" s="1">
        <v>66</v>
      </c>
      <c r="M1913" s="1">
        <v>30</v>
      </c>
      <c r="N1913" s="1">
        <v>2</v>
      </c>
      <c r="O1913" s="1">
        <v>4.5</v>
      </c>
      <c r="P1913" s="1">
        <v>4</v>
      </c>
      <c r="Q1913" s="2">
        <v>9.1999999999999998E-2</v>
      </c>
      <c r="R1913" s="1">
        <v>3</v>
      </c>
      <c r="S1913" s="1">
        <f t="shared" si="95"/>
        <v>0.75</v>
      </c>
      <c r="T1913" s="1">
        <v>5</v>
      </c>
      <c r="U1913" s="1">
        <v>12.5</v>
      </c>
      <c r="V1913" s="1">
        <v>336.73202614379085</v>
      </c>
      <c r="W1913" s="1">
        <v>6</v>
      </c>
    </row>
    <row r="1914" spans="1:23" x14ac:dyDescent="0.2">
      <c r="A1914">
        <v>2021</v>
      </c>
      <c r="B1914" t="s">
        <v>23</v>
      </c>
      <c r="C1914" t="s">
        <v>271</v>
      </c>
      <c r="D1914">
        <v>9</v>
      </c>
      <c r="E1914">
        <v>1</v>
      </c>
      <c r="F1914">
        <v>12</v>
      </c>
      <c r="G1914" t="s">
        <v>33</v>
      </c>
      <c r="H1914" s="1">
        <v>11</v>
      </c>
      <c r="I1914" s="1">
        <v>61</v>
      </c>
      <c r="J1914" s="1">
        <v>64</v>
      </c>
      <c r="K1914" s="1">
        <f t="shared" si="94"/>
        <v>3</v>
      </c>
      <c r="L1914" s="1">
        <v>158</v>
      </c>
      <c r="M1914" s="1">
        <v>70</v>
      </c>
      <c r="N1914" s="1">
        <v>2</v>
      </c>
      <c r="O1914" s="1">
        <v>3.5</v>
      </c>
      <c r="P1914" s="1">
        <v>11</v>
      </c>
      <c r="Q1914" s="2">
        <v>0.46304999999999996</v>
      </c>
      <c r="R1914" s="1">
        <v>9</v>
      </c>
      <c r="S1914" s="1">
        <f t="shared" si="95"/>
        <v>0.81818181818181823</v>
      </c>
      <c r="T1914" s="1">
        <v>5</v>
      </c>
      <c r="U1914" s="1">
        <v>9.6</v>
      </c>
      <c r="V1914" s="1">
        <v>1750.9948235294119</v>
      </c>
      <c r="W1914" s="1">
        <v>4</v>
      </c>
    </row>
    <row r="1915" spans="1:23" x14ac:dyDescent="0.2">
      <c r="A1915">
        <v>2021</v>
      </c>
      <c r="B1915" t="s">
        <v>23</v>
      </c>
      <c r="C1915" t="s">
        <v>271</v>
      </c>
      <c r="D1915">
        <v>9</v>
      </c>
      <c r="E1915">
        <v>2</v>
      </c>
      <c r="F1915">
        <v>5</v>
      </c>
      <c r="G1915" t="s">
        <v>33</v>
      </c>
      <c r="H1915" s="1">
        <v>8</v>
      </c>
      <c r="I1915" s="1">
        <v>65</v>
      </c>
      <c r="J1915" s="1">
        <v>70</v>
      </c>
      <c r="K1915" s="1">
        <f t="shared" si="94"/>
        <v>5</v>
      </c>
      <c r="L1915" s="1">
        <v>158</v>
      </c>
      <c r="M1915" s="1">
        <v>83</v>
      </c>
      <c r="N1915" s="1">
        <v>2</v>
      </c>
      <c r="O1915" s="1">
        <v>3.5</v>
      </c>
      <c r="P1915" s="1">
        <v>8</v>
      </c>
      <c r="Q1915" s="2">
        <v>0.35239999999999999</v>
      </c>
      <c r="R1915" s="1">
        <v>6</v>
      </c>
      <c r="S1915" s="1">
        <f t="shared" si="95"/>
        <v>0.75</v>
      </c>
      <c r="T1915" s="1">
        <v>5</v>
      </c>
      <c r="U1915" s="1">
        <v>7.9</v>
      </c>
      <c r="V1915" s="1">
        <v>1357.6382745098038</v>
      </c>
      <c r="W1915" s="1">
        <v>6</v>
      </c>
    </row>
    <row r="1916" spans="1:23" x14ac:dyDescent="0.2">
      <c r="A1916">
        <v>2021</v>
      </c>
      <c r="B1916" t="s">
        <v>23</v>
      </c>
      <c r="C1916" t="s">
        <v>271</v>
      </c>
      <c r="D1916">
        <v>10</v>
      </c>
      <c r="E1916">
        <v>1</v>
      </c>
      <c r="F1916">
        <v>7</v>
      </c>
      <c r="G1916" t="s">
        <v>34</v>
      </c>
      <c r="H1916" s="1">
        <v>12</v>
      </c>
      <c r="I1916" s="1">
        <v>64</v>
      </c>
      <c r="J1916" s="1">
        <v>69</v>
      </c>
      <c r="K1916" s="1">
        <f t="shared" si="94"/>
        <v>5</v>
      </c>
      <c r="L1916" s="1">
        <v>110</v>
      </c>
      <c r="M1916" s="1">
        <v>37</v>
      </c>
      <c r="N1916" s="1">
        <v>2.5</v>
      </c>
      <c r="O1916" s="1">
        <v>4.5</v>
      </c>
      <c r="P1916" s="1">
        <v>6</v>
      </c>
      <c r="Q1916" s="2">
        <v>0.104</v>
      </c>
      <c r="R1916" s="1">
        <v>4</v>
      </c>
      <c r="S1916" s="1">
        <f t="shared" si="95"/>
        <v>0.66666666666666663</v>
      </c>
      <c r="T1916" s="1">
        <v>5</v>
      </c>
      <c r="U1916" s="1">
        <v>12.5</v>
      </c>
      <c r="V1916" s="1">
        <v>380.65359477124184</v>
      </c>
      <c r="W1916" s="1">
        <v>6</v>
      </c>
    </row>
    <row r="1917" spans="1:23" x14ac:dyDescent="0.2">
      <c r="A1917">
        <v>2021</v>
      </c>
      <c r="B1917" t="s">
        <v>23</v>
      </c>
      <c r="C1917" t="s">
        <v>271</v>
      </c>
      <c r="D1917">
        <v>10</v>
      </c>
      <c r="E1917">
        <v>2</v>
      </c>
      <c r="F1917">
        <v>8</v>
      </c>
      <c r="G1917" t="s">
        <v>34</v>
      </c>
      <c r="H1917">
        <v>4</v>
      </c>
      <c r="I1917">
        <v>59</v>
      </c>
      <c r="J1917">
        <v>62</v>
      </c>
      <c r="K1917">
        <v>3</v>
      </c>
      <c r="L1917">
        <v>167</v>
      </c>
      <c r="M1917">
        <v>90</v>
      </c>
      <c r="N1917">
        <v>1.5</v>
      </c>
      <c r="O1917">
        <v>2</v>
      </c>
      <c r="P1917">
        <v>4</v>
      </c>
      <c r="Q1917">
        <v>0.5</v>
      </c>
      <c r="R1917">
        <v>4</v>
      </c>
      <c r="S1917">
        <v>1</v>
      </c>
      <c r="T1917">
        <v>2.5</v>
      </c>
      <c r="U1917">
        <v>12.5</v>
      </c>
      <c r="V1917">
        <v>1830.0653594771243</v>
      </c>
      <c r="W1917">
        <v>1</v>
      </c>
    </row>
    <row r="1918" spans="1:23" x14ac:dyDescent="0.2">
      <c r="A1918">
        <v>2021</v>
      </c>
      <c r="B1918" t="s">
        <v>23</v>
      </c>
      <c r="C1918" t="s">
        <v>271</v>
      </c>
      <c r="D1918">
        <v>11</v>
      </c>
      <c r="E1918">
        <v>1</v>
      </c>
      <c r="F1918">
        <v>6</v>
      </c>
      <c r="G1918" t="s">
        <v>35</v>
      </c>
      <c r="H1918">
        <v>15</v>
      </c>
      <c r="I1918">
        <v>53</v>
      </c>
      <c r="J1918">
        <v>55</v>
      </c>
      <c r="K1918">
        <v>2</v>
      </c>
      <c r="L1918">
        <v>180</v>
      </c>
      <c r="M1918">
        <v>71</v>
      </c>
      <c r="N1918">
        <v>2</v>
      </c>
      <c r="O1918">
        <v>2</v>
      </c>
      <c r="P1918">
        <v>13</v>
      </c>
      <c r="Q1918">
        <v>1</v>
      </c>
      <c r="R1918">
        <v>12</v>
      </c>
      <c r="S1918">
        <v>0.92307692307692313</v>
      </c>
      <c r="T1918">
        <v>2</v>
      </c>
      <c r="U1918">
        <v>9.4</v>
      </c>
      <c r="V1918">
        <v>3789.8039215686276</v>
      </c>
      <c r="W1918">
        <v>2</v>
      </c>
    </row>
    <row r="1919" spans="1:23" x14ac:dyDescent="0.2">
      <c r="A1919">
        <v>2021</v>
      </c>
      <c r="B1919" t="s">
        <v>23</v>
      </c>
      <c r="C1919" t="s">
        <v>271</v>
      </c>
      <c r="D1919">
        <v>11</v>
      </c>
      <c r="E1919">
        <v>2</v>
      </c>
      <c r="F1919">
        <v>15</v>
      </c>
      <c r="G1919" t="s">
        <v>35</v>
      </c>
      <c r="H1919" s="1">
        <v>11</v>
      </c>
      <c r="I1919" s="1">
        <v>58</v>
      </c>
      <c r="J1919" s="1">
        <v>63</v>
      </c>
      <c r="K1919" s="1">
        <f>J1919-I1919</f>
        <v>5</v>
      </c>
      <c r="L1919" s="1">
        <v>117</v>
      </c>
      <c r="M1919" s="1">
        <v>93</v>
      </c>
      <c r="N1919" s="1">
        <v>2</v>
      </c>
      <c r="O1919" s="1">
        <v>3.5</v>
      </c>
      <c r="P1919" s="1">
        <f>H1919</f>
        <v>11</v>
      </c>
      <c r="Q1919" s="2">
        <v>0.42075000000000001</v>
      </c>
      <c r="R1919" s="1">
        <v>11</v>
      </c>
      <c r="S1919" s="1">
        <f>R1919/P1919</f>
        <v>1</v>
      </c>
      <c r="T1919" s="1">
        <v>5</v>
      </c>
      <c r="U1919" s="1">
        <v>12.5</v>
      </c>
      <c r="V1919" s="1">
        <v>1540.0000000000005</v>
      </c>
      <c r="W1919" s="1">
        <v>5</v>
      </c>
    </row>
    <row r="1920" spans="1:23" x14ac:dyDescent="0.2">
      <c r="A1920">
        <v>2021</v>
      </c>
      <c r="B1920" t="s">
        <v>23</v>
      </c>
      <c r="C1920" t="s">
        <v>271</v>
      </c>
      <c r="D1920">
        <v>12</v>
      </c>
      <c r="E1920">
        <v>1</v>
      </c>
      <c r="F1920">
        <v>11</v>
      </c>
      <c r="G1920" t="s">
        <v>36</v>
      </c>
      <c r="H1920">
        <v>5</v>
      </c>
      <c r="I1920">
        <v>62</v>
      </c>
      <c r="J1920">
        <v>65</v>
      </c>
      <c r="K1920">
        <v>3</v>
      </c>
      <c r="L1920">
        <v>157</v>
      </c>
      <c r="M1920">
        <v>65</v>
      </c>
      <c r="N1920">
        <v>1.5</v>
      </c>
      <c r="O1920">
        <v>3.5</v>
      </c>
      <c r="P1920">
        <v>5</v>
      </c>
      <c r="Q1920">
        <v>0.4</v>
      </c>
      <c r="R1920">
        <v>5</v>
      </c>
      <c r="S1920">
        <v>1</v>
      </c>
      <c r="T1920">
        <v>3.5</v>
      </c>
      <c r="U1920">
        <v>12.5</v>
      </c>
      <c r="V1920">
        <v>1464.0522875816994</v>
      </c>
      <c r="W1920">
        <v>1</v>
      </c>
    </row>
    <row r="1921" spans="1:23" x14ac:dyDescent="0.2">
      <c r="A1921">
        <v>2021</v>
      </c>
      <c r="B1921" t="s">
        <v>23</v>
      </c>
      <c r="C1921" t="s">
        <v>271</v>
      </c>
      <c r="D1921">
        <v>12</v>
      </c>
      <c r="E1921">
        <v>2</v>
      </c>
      <c r="F1921">
        <v>5</v>
      </c>
      <c r="G1921" t="s">
        <v>36</v>
      </c>
      <c r="H1921">
        <v>15</v>
      </c>
      <c r="I1921">
        <v>50</v>
      </c>
      <c r="J1921">
        <v>52</v>
      </c>
      <c r="K1921">
        <v>2</v>
      </c>
      <c r="L1921">
        <v>150</v>
      </c>
      <c r="M1921">
        <v>64</v>
      </c>
      <c r="N1921">
        <v>1</v>
      </c>
      <c r="O1921">
        <v>2.5</v>
      </c>
      <c r="P1921">
        <v>15</v>
      </c>
      <c r="Q1921">
        <v>0.5</v>
      </c>
      <c r="R1921">
        <v>14</v>
      </c>
      <c r="S1921">
        <v>0.93333333333333335</v>
      </c>
      <c r="T1921">
        <v>2</v>
      </c>
      <c r="U1921">
        <v>10.4</v>
      </c>
      <c r="V1921">
        <v>1873.9869281045749</v>
      </c>
      <c r="W1921">
        <v>2</v>
      </c>
    </row>
    <row r="1922" spans="1:23" x14ac:dyDescent="0.2">
      <c r="A1922">
        <v>2021</v>
      </c>
      <c r="B1922" t="s">
        <v>23</v>
      </c>
      <c r="C1922" t="s">
        <v>271</v>
      </c>
      <c r="D1922">
        <v>13</v>
      </c>
      <c r="E1922">
        <v>1</v>
      </c>
      <c r="F1922">
        <v>5</v>
      </c>
      <c r="G1922" t="s">
        <v>37</v>
      </c>
      <c r="H1922">
        <v>16</v>
      </c>
      <c r="I1922">
        <v>55</v>
      </c>
      <c r="J1922">
        <v>59</v>
      </c>
      <c r="K1922">
        <v>4</v>
      </c>
      <c r="L1922">
        <v>156</v>
      </c>
      <c r="M1922">
        <v>86</v>
      </c>
      <c r="N1922">
        <v>2</v>
      </c>
      <c r="O1922">
        <v>2</v>
      </c>
      <c r="P1922">
        <v>15</v>
      </c>
      <c r="Q1922">
        <v>0.8</v>
      </c>
      <c r="R1922">
        <v>13</v>
      </c>
      <c r="S1922">
        <v>0.8666666666666667</v>
      </c>
      <c r="T1922">
        <v>3</v>
      </c>
      <c r="U1922">
        <v>12.3</v>
      </c>
      <c r="V1922">
        <v>2934.7973856209155</v>
      </c>
      <c r="W1922">
        <v>1</v>
      </c>
    </row>
    <row r="1923" spans="1:23" x14ac:dyDescent="0.2">
      <c r="A1923">
        <v>2021</v>
      </c>
      <c r="B1923" t="s">
        <v>23</v>
      </c>
      <c r="C1923" t="s">
        <v>271</v>
      </c>
      <c r="D1923">
        <v>13</v>
      </c>
      <c r="E1923">
        <v>2</v>
      </c>
      <c r="F1923">
        <v>1</v>
      </c>
      <c r="G1923" t="s">
        <v>37</v>
      </c>
      <c r="H1923" s="1">
        <v>8</v>
      </c>
      <c r="I1923" s="1">
        <v>62</v>
      </c>
      <c r="J1923" s="1">
        <v>65</v>
      </c>
      <c r="K1923" s="1">
        <f>J1923-I1923</f>
        <v>3</v>
      </c>
      <c r="L1923" s="1">
        <v>104</v>
      </c>
      <c r="M1923" s="1">
        <v>36</v>
      </c>
      <c r="N1923" s="1">
        <v>2.5</v>
      </c>
      <c r="O1923" s="1">
        <v>4.5</v>
      </c>
      <c r="P1923" s="1">
        <v>6</v>
      </c>
      <c r="Q1923" s="2">
        <v>8.6249999999999993E-2</v>
      </c>
      <c r="R1923" s="1">
        <v>5</v>
      </c>
      <c r="S1923" s="1">
        <f>R1923/P1923</f>
        <v>0.83333333333333337</v>
      </c>
      <c r="T1923" s="1">
        <v>5</v>
      </c>
      <c r="U1923" s="1">
        <v>12.5</v>
      </c>
      <c r="V1923" s="1">
        <v>315.68627450980392</v>
      </c>
      <c r="W1923" s="1">
        <v>4</v>
      </c>
    </row>
    <row r="1924" spans="1:23" x14ac:dyDescent="0.2">
      <c r="A1924">
        <v>2021</v>
      </c>
      <c r="B1924" t="s">
        <v>23</v>
      </c>
      <c r="C1924" t="s">
        <v>271</v>
      </c>
      <c r="D1924">
        <v>14</v>
      </c>
      <c r="E1924">
        <v>1</v>
      </c>
      <c r="F1924">
        <v>15</v>
      </c>
      <c r="G1924" t="s">
        <v>38</v>
      </c>
      <c r="H1924">
        <v>3</v>
      </c>
      <c r="I1924">
        <v>60</v>
      </c>
      <c r="J1924">
        <v>63</v>
      </c>
      <c r="K1924">
        <v>3</v>
      </c>
      <c r="L1924">
        <v>152</v>
      </c>
      <c r="M1924">
        <v>48</v>
      </c>
      <c r="N1924">
        <v>3</v>
      </c>
      <c r="O1924">
        <v>3</v>
      </c>
      <c r="P1924">
        <v>3</v>
      </c>
      <c r="Q1924">
        <v>0.34799999999999998</v>
      </c>
      <c r="R1924">
        <v>3</v>
      </c>
      <c r="S1924">
        <v>1</v>
      </c>
      <c r="T1924">
        <v>3</v>
      </c>
      <c r="U1924">
        <v>12.5</v>
      </c>
      <c r="V1924">
        <v>1273.7254901960785</v>
      </c>
      <c r="W1924">
        <v>1</v>
      </c>
    </row>
    <row r="1925" spans="1:23" x14ac:dyDescent="0.2">
      <c r="A1925">
        <v>2021</v>
      </c>
      <c r="B1925" t="s">
        <v>23</v>
      </c>
      <c r="C1925" t="s">
        <v>271</v>
      </c>
      <c r="D1925">
        <v>14</v>
      </c>
      <c r="E1925">
        <v>2</v>
      </c>
      <c r="F1925">
        <v>15</v>
      </c>
      <c r="G1925" t="s">
        <v>38</v>
      </c>
      <c r="H1925" s="1">
        <v>9</v>
      </c>
      <c r="I1925" s="1">
        <v>67</v>
      </c>
      <c r="J1925" s="1">
        <v>70</v>
      </c>
      <c r="K1925" s="1">
        <f>J1925-I1925</f>
        <v>3</v>
      </c>
      <c r="L1925" s="1">
        <v>47</v>
      </c>
      <c r="M1925" s="1">
        <v>45</v>
      </c>
      <c r="N1925" s="1">
        <v>2</v>
      </c>
      <c r="O1925" s="1">
        <v>2.5</v>
      </c>
      <c r="P1925" s="1">
        <f>H1925</f>
        <v>9</v>
      </c>
      <c r="Q1925" s="2">
        <v>0.12</v>
      </c>
      <c r="R1925" s="1">
        <v>9</v>
      </c>
      <c r="S1925" s="1">
        <f>R1925/P1925</f>
        <v>1</v>
      </c>
      <c r="T1925" s="1">
        <v>3</v>
      </c>
      <c r="U1925" s="1">
        <v>12.5</v>
      </c>
      <c r="V1925" s="1">
        <v>439.21568627450984</v>
      </c>
      <c r="W1925" s="1">
        <v>3</v>
      </c>
    </row>
    <row r="1926" spans="1:23" x14ac:dyDescent="0.2">
      <c r="A1926">
        <v>2021</v>
      </c>
      <c r="B1926" t="s">
        <v>23</v>
      </c>
      <c r="C1926" t="s">
        <v>271</v>
      </c>
      <c r="D1926">
        <v>15</v>
      </c>
      <c r="E1926">
        <v>1</v>
      </c>
      <c r="F1926">
        <v>14</v>
      </c>
      <c r="G1926" t="s">
        <v>39</v>
      </c>
      <c r="H1926" s="1">
        <v>11</v>
      </c>
      <c r="I1926" s="1">
        <v>65</v>
      </c>
      <c r="J1926" s="1">
        <v>70</v>
      </c>
      <c r="K1926" s="1">
        <f>J1926-I1926</f>
        <v>5</v>
      </c>
      <c r="L1926" s="1">
        <v>100</v>
      </c>
      <c r="M1926" s="1">
        <v>62</v>
      </c>
      <c r="N1926" s="1">
        <v>3</v>
      </c>
      <c r="O1926" s="1">
        <v>4</v>
      </c>
      <c r="P1926" s="1">
        <v>11</v>
      </c>
      <c r="Q1926" s="2">
        <v>8.0299999999999996E-2</v>
      </c>
      <c r="R1926" s="1">
        <v>4</v>
      </c>
      <c r="S1926" s="1">
        <f>R1926/P1926</f>
        <v>0.36363636363636365</v>
      </c>
      <c r="T1926" s="1">
        <v>5</v>
      </c>
      <c r="U1926" s="1">
        <v>12.5</v>
      </c>
      <c r="V1926" s="1">
        <v>293.90849673202615</v>
      </c>
      <c r="W1926" s="1">
        <v>6</v>
      </c>
    </row>
    <row r="1927" spans="1:23" x14ac:dyDescent="0.2">
      <c r="A1927">
        <v>2021</v>
      </c>
      <c r="B1927" t="s">
        <v>23</v>
      </c>
      <c r="C1927" t="s">
        <v>271</v>
      </c>
      <c r="D1927">
        <v>15</v>
      </c>
      <c r="E1927">
        <v>2</v>
      </c>
      <c r="F1927">
        <v>13</v>
      </c>
      <c r="G1927" t="s">
        <v>39</v>
      </c>
      <c r="H1927" s="1">
        <v>8</v>
      </c>
      <c r="I1927" s="1">
        <v>57</v>
      </c>
      <c r="J1927" s="1">
        <v>61</v>
      </c>
      <c r="K1927" s="1">
        <f>J1927-I1927</f>
        <v>4</v>
      </c>
      <c r="L1927" s="1">
        <v>102</v>
      </c>
      <c r="M1927" s="1">
        <v>51</v>
      </c>
      <c r="N1927" s="1">
        <v>2</v>
      </c>
      <c r="O1927" s="1">
        <v>3.5</v>
      </c>
      <c r="P1927" s="1">
        <v>5</v>
      </c>
      <c r="Q1927" s="2">
        <v>4.3049999999999998E-2</v>
      </c>
      <c r="R1927" s="1">
        <v>1</v>
      </c>
      <c r="S1927" s="1">
        <f>R1927/P1927</f>
        <v>0.2</v>
      </c>
      <c r="T1927" s="1">
        <v>5</v>
      </c>
      <c r="U1927" s="1">
        <v>12.5</v>
      </c>
      <c r="V1927" s="1">
        <v>157.56862745098039</v>
      </c>
      <c r="W1927" s="1">
        <v>6</v>
      </c>
    </row>
    <row r="1928" spans="1:23" x14ac:dyDescent="0.2">
      <c r="A1928">
        <v>2021</v>
      </c>
      <c r="B1928" t="s">
        <v>23</v>
      </c>
      <c r="C1928" t="s">
        <v>271</v>
      </c>
      <c r="D1928">
        <v>16</v>
      </c>
      <c r="E1928">
        <v>1</v>
      </c>
      <c r="F1928">
        <v>5</v>
      </c>
      <c r="G1928" t="s">
        <v>40</v>
      </c>
      <c r="H1928" s="1">
        <v>8</v>
      </c>
      <c r="I1928" s="1">
        <v>61</v>
      </c>
      <c r="J1928" s="1">
        <v>66</v>
      </c>
      <c r="K1928" s="1">
        <f>J1928-I1928</f>
        <v>5</v>
      </c>
      <c r="L1928" s="1">
        <v>160</v>
      </c>
      <c r="M1928" s="1">
        <v>92</v>
      </c>
      <c r="N1928" s="1">
        <v>2</v>
      </c>
      <c r="O1928" s="1">
        <v>2.5</v>
      </c>
      <c r="P1928" s="1">
        <v>7</v>
      </c>
      <c r="Q1928" s="2">
        <v>0.50319999999999998</v>
      </c>
      <c r="R1928" s="1">
        <v>7</v>
      </c>
      <c r="S1928" s="1">
        <f>R1928/P1928</f>
        <v>1</v>
      </c>
      <c r="T1928" s="1">
        <v>3</v>
      </c>
      <c r="U1928" s="1">
        <v>7.9</v>
      </c>
      <c r="V1928" s="1">
        <v>1938.6026666666667</v>
      </c>
      <c r="W1928" s="1">
        <v>5</v>
      </c>
    </row>
    <row r="1929" spans="1:23" x14ac:dyDescent="0.2">
      <c r="A1929">
        <v>2021</v>
      </c>
      <c r="B1929" t="s">
        <v>23</v>
      </c>
      <c r="C1929" t="s">
        <v>271</v>
      </c>
      <c r="D1929">
        <v>16</v>
      </c>
      <c r="E1929">
        <v>2</v>
      </c>
      <c r="F1929">
        <v>9</v>
      </c>
      <c r="G1929" t="s">
        <v>40</v>
      </c>
      <c r="H1929" s="1">
        <v>4</v>
      </c>
      <c r="I1929" s="1">
        <v>58</v>
      </c>
      <c r="J1929" s="1">
        <v>62</v>
      </c>
      <c r="K1929" s="1">
        <f>J1929-I1929</f>
        <v>4</v>
      </c>
      <c r="L1929" s="1">
        <v>173</v>
      </c>
      <c r="M1929" s="1">
        <v>97</v>
      </c>
      <c r="N1929" s="1">
        <v>2</v>
      </c>
      <c r="O1929" s="1">
        <v>3</v>
      </c>
      <c r="P1929" s="1">
        <v>4</v>
      </c>
      <c r="Q1929" s="2">
        <v>0.11872500000000001</v>
      </c>
      <c r="R1929" s="1">
        <v>3</v>
      </c>
      <c r="S1929" s="1">
        <f>R1929/P1929</f>
        <v>0.75</v>
      </c>
      <c r="T1929" s="1">
        <v>5</v>
      </c>
      <c r="U1929" s="1">
        <v>12.5</v>
      </c>
      <c r="V1929" s="1">
        <v>434.54901960784315</v>
      </c>
      <c r="W1929" s="1">
        <v>4</v>
      </c>
    </row>
    <row r="1930" spans="1:23" x14ac:dyDescent="0.2">
      <c r="A1930">
        <v>2021</v>
      </c>
      <c r="B1930" t="s">
        <v>23</v>
      </c>
      <c r="C1930" t="s">
        <v>271</v>
      </c>
      <c r="D1930">
        <v>17</v>
      </c>
      <c r="E1930">
        <v>1</v>
      </c>
      <c r="F1930">
        <v>10</v>
      </c>
      <c r="G1930" t="s">
        <v>41</v>
      </c>
      <c r="H1930">
        <v>9</v>
      </c>
      <c r="I1930">
        <v>62</v>
      </c>
      <c r="J1930">
        <v>65</v>
      </c>
      <c r="K1930">
        <v>3</v>
      </c>
      <c r="L1930">
        <v>170</v>
      </c>
      <c r="M1930">
        <v>75</v>
      </c>
      <c r="N1930">
        <v>2</v>
      </c>
      <c r="O1930">
        <v>3</v>
      </c>
      <c r="P1930">
        <v>9</v>
      </c>
      <c r="Q1930">
        <v>0.4</v>
      </c>
      <c r="R1930">
        <v>9</v>
      </c>
      <c r="S1930">
        <v>1</v>
      </c>
      <c r="T1930">
        <v>3</v>
      </c>
      <c r="U1930">
        <v>12.5</v>
      </c>
      <c r="V1930">
        <v>1464.0522875816994</v>
      </c>
      <c r="W1930">
        <v>1</v>
      </c>
    </row>
    <row r="1931" spans="1:23" x14ac:dyDescent="0.2">
      <c r="A1931">
        <v>2021</v>
      </c>
      <c r="B1931" t="s">
        <v>23</v>
      </c>
      <c r="C1931" t="s">
        <v>271</v>
      </c>
      <c r="D1931">
        <v>17</v>
      </c>
      <c r="E1931">
        <v>2</v>
      </c>
      <c r="F1931">
        <v>1</v>
      </c>
      <c r="G1931" t="s">
        <v>41</v>
      </c>
      <c r="H1931" s="1">
        <v>2</v>
      </c>
      <c r="I1931" s="1">
        <v>68</v>
      </c>
      <c r="J1931" s="1">
        <v>72</v>
      </c>
      <c r="K1931" s="1">
        <f>J1931-I1931</f>
        <v>4</v>
      </c>
      <c r="L1931" s="1">
        <v>102</v>
      </c>
      <c r="M1931" s="1">
        <v>47</v>
      </c>
      <c r="N1931" s="1">
        <v>2</v>
      </c>
      <c r="O1931" s="1">
        <v>3</v>
      </c>
      <c r="P1931" s="1">
        <v>2</v>
      </c>
      <c r="Q1931" s="2">
        <v>0.13700000000000001</v>
      </c>
      <c r="R1931" s="1">
        <v>2</v>
      </c>
      <c r="S1931" s="1">
        <f>R1931/P1931</f>
        <v>1</v>
      </c>
      <c r="T1931" s="1">
        <v>3</v>
      </c>
      <c r="U1931" s="1">
        <v>11.3</v>
      </c>
      <c r="V1931" s="1">
        <v>508.3147712418301</v>
      </c>
      <c r="W1931" s="1">
        <v>4</v>
      </c>
    </row>
    <row r="1932" spans="1:23" x14ac:dyDescent="0.2">
      <c r="A1932">
        <v>2021</v>
      </c>
      <c r="B1932" t="s">
        <v>23</v>
      </c>
      <c r="C1932" t="s">
        <v>271</v>
      </c>
      <c r="D1932">
        <v>18</v>
      </c>
      <c r="E1932">
        <v>1</v>
      </c>
      <c r="F1932">
        <v>7</v>
      </c>
      <c r="G1932" t="s">
        <v>42</v>
      </c>
      <c r="H1932">
        <v>8</v>
      </c>
      <c r="I1932">
        <v>58</v>
      </c>
      <c r="J1932">
        <v>60</v>
      </c>
      <c r="K1932">
        <v>2</v>
      </c>
      <c r="L1932">
        <v>132</v>
      </c>
      <c r="M1932">
        <v>18</v>
      </c>
      <c r="N1932">
        <v>1.5</v>
      </c>
      <c r="O1932">
        <v>4</v>
      </c>
      <c r="P1932">
        <v>8</v>
      </c>
      <c r="Q1932">
        <v>0.8</v>
      </c>
      <c r="R1932">
        <v>10</v>
      </c>
      <c r="S1932">
        <v>1.25</v>
      </c>
      <c r="T1932">
        <v>3</v>
      </c>
      <c r="U1932">
        <v>12.5</v>
      </c>
      <c r="V1932">
        <v>2928.1045751633987</v>
      </c>
      <c r="W1932">
        <v>1</v>
      </c>
    </row>
    <row r="1933" spans="1:23" x14ac:dyDescent="0.2">
      <c r="A1933">
        <v>2021</v>
      </c>
      <c r="B1933" t="s">
        <v>23</v>
      </c>
      <c r="C1933" t="s">
        <v>271</v>
      </c>
      <c r="D1933">
        <v>18</v>
      </c>
      <c r="E1933">
        <v>2</v>
      </c>
      <c r="F1933">
        <v>7</v>
      </c>
      <c r="G1933" t="s">
        <v>42</v>
      </c>
      <c r="H1933" s="1">
        <v>10</v>
      </c>
      <c r="I1933" s="1">
        <v>59</v>
      </c>
      <c r="J1933" s="1">
        <v>62</v>
      </c>
      <c r="K1933" s="1">
        <f t="shared" ref="K1933:K1943" si="96">J1933-I1933</f>
        <v>3</v>
      </c>
      <c r="L1933" s="1">
        <v>130</v>
      </c>
      <c r="M1933" s="1">
        <v>45</v>
      </c>
      <c r="N1933" s="1">
        <v>2</v>
      </c>
      <c r="O1933" s="1">
        <v>3.5</v>
      </c>
      <c r="P1933" s="1">
        <v>7</v>
      </c>
      <c r="Q1933" s="2">
        <v>0.16125</v>
      </c>
      <c r="R1933" s="1">
        <v>5</v>
      </c>
      <c r="S1933" s="1">
        <f t="shared" ref="S1933:S1943" si="97">R1933/P1933</f>
        <v>0.7142857142857143</v>
      </c>
      <c r="T1933" s="1">
        <v>3.5</v>
      </c>
      <c r="U1933" s="1">
        <v>12.5</v>
      </c>
      <c r="V1933" s="1">
        <v>590.1960784313726</v>
      </c>
      <c r="W1933" s="1">
        <v>4</v>
      </c>
    </row>
    <row r="1934" spans="1:23" x14ac:dyDescent="0.2">
      <c r="A1934">
        <v>2021</v>
      </c>
      <c r="B1934" t="s">
        <v>23</v>
      </c>
      <c r="C1934" t="s">
        <v>271</v>
      </c>
      <c r="D1934">
        <v>19</v>
      </c>
      <c r="E1934">
        <v>1</v>
      </c>
      <c r="F1934">
        <v>6</v>
      </c>
      <c r="G1934" t="s">
        <v>263</v>
      </c>
      <c r="H1934" s="3">
        <v>2</v>
      </c>
      <c r="I1934" s="3">
        <v>70</v>
      </c>
      <c r="J1934" s="3">
        <v>72</v>
      </c>
      <c r="K1934" s="3">
        <f t="shared" si="96"/>
        <v>2</v>
      </c>
      <c r="L1934" s="3">
        <v>158</v>
      </c>
      <c r="M1934" s="3">
        <v>77</v>
      </c>
      <c r="N1934" s="3">
        <v>2</v>
      </c>
      <c r="O1934" s="3">
        <v>2.5</v>
      </c>
      <c r="P1934" s="3">
        <v>8</v>
      </c>
      <c r="Q1934" s="4">
        <v>0.33</v>
      </c>
      <c r="R1934" s="3">
        <v>6</v>
      </c>
      <c r="S1934" s="3">
        <f t="shared" si="97"/>
        <v>0.75</v>
      </c>
      <c r="T1934" s="3">
        <v>4</v>
      </c>
      <c r="U1934" s="3">
        <v>12.5</v>
      </c>
      <c r="V1934" s="3">
        <v>1207.8431372549019</v>
      </c>
      <c r="W1934" s="3">
        <v>5</v>
      </c>
    </row>
    <row r="1935" spans="1:23" x14ac:dyDescent="0.2">
      <c r="A1935">
        <v>2021</v>
      </c>
      <c r="B1935" t="s">
        <v>23</v>
      </c>
      <c r="C1935" t="s">
        <v>271</v>
      </c>
      <c r="D1935">
        <v>19</v>
      </c>
      <c r="E1935">
        <v>2</v>
      </c>
      <c r="F1935">
        <v>10</v>
      </c>
      <c r="G1935" t="s">
        <v>263</v>
      </c>
      <c r="H1935" s="1">
        <v>3</v>
      </c>
      <c r="I1935" s="1">
        <v>64</v>
      </c>
      <c r="J1935" s="1">
        <v>69</v>
      </c>
      <c r="K1935" s="1">
        <f t="shared" si="96"/>
        <v>5</v>
      </c>
      <c r="L1935" s="1">
        <v>135</v>
      </c>
      <c r="M1935" s="1">
        <v>46</v>
      </c>
      <c r="N1935" s="1">
        <v>2</v>
      </c>
      <c r="O1935" s="1">
        <v>3</v>
      </c>
      <c r="P1935" s="1">
        <v>3</v>
      </c>
      <c r="Q1935" s="2">
        <v>0.36099999999999999</v>
      </c>
      <c r="R1935" s="1">
        <v>4</v>
      </c>
      <c r="S1935" s="1">
        <f t="shared" si="97"/>
        <v>1.3333333333333333</v>
      </c>
      <c r="T1935" s="1">
        <v>1.5</v>
      </c>
      <c r="U1935" s="1">
        <v>12.5</v>
      </c>
      <c r="V1935" s="1">
        <v>1321.3071895424837</v>
      </c>
      <c r="W1935" s="1">
        <v>2</v>
      </c>
    </row>
    <row r="1936" spans="1:23" x14ac:dyDescent="0.2">
      <c r="A1936">
        <v>2021</v>
      </c>
      <c r="B1936" t="s">
        <v>23</v>
      </c>
      <c r="C1936" t="s">
        <v>271</v>
      </c>
      <c r="D1936">
        <v>20</v>
      </c>
      <c r="E1936">
        <v>1</v>
      </c>
      <c r="F1936">
        <v>2</v>
      </c>
      <c r="G1936" t="s">
        <v>264</v>
      </c>
      <c r="H1936" s="1">
        <v>13</v>
      </c>
      <c r="I1936" s="1">
        <v>63</v>
      </c>
      <c r="J1936" s="1">
        <v>67</v>
      </c>
      <c r="K1936" s="1">
        <f t="shared" si="96"/>
        <v>4</v>
      </c>
      <c r="L1936" s="1">
        <v>188</v>
      </c>
      <c r="M1936" s="1">
        <v>83</v>
      </c>
      <c r="N1936" s="1">
        <v>2</v>
      </c>
      <c r="O1936" s="1">
        <v>3.5</v>
      </c>
      <c r="P1936" s="1">
        <f>H1936</f>
        <v>13</v>
      </c>
      <c r="Q1936" s="2">
        <v>0.18689999999999998</v>
      </c>
      <c r="R1936" s="1">
        <v>10</v>
      </c>
      <c r="S1936" s="1">
        <f t="shared" si="97"/>
        <v>0.76923076923076927</v>
      </c>
      <c r="T1936" s="1">
        <v>5</v>
      </c>
      <c r="U1936" s="1">
        <v>12.5</v>
      </c>
      <c r="V1936" s="1">
        <v>684.07843137254895</v>
      </c>
      <c r="W1936" s="1">
        <v>6</v>
      </c>
    </row>
    <row r="1937" spans="1:23" x14ac:dyDescent="0.2">
      <c r="A1937">
        <v>2021</v>
      </c>
      <c r="B1937" t="s">
        <v>23</v>
      </c>
      <c r="C1937" t="s">
        <v>271</v>
      </c>
      <c r="D1937">
        <v>20</v>
      </c>
      <c r="E1937">
        <v>2</v>
      </c>
      <c r="F1937">
        <v>3</v>
      </c>
      <c r="G1937" t="s">
        <v>264</v>
      </c>
      <c r="H1937" s="1">
        <v>11</v>
      </c>
      <c r="I1937" s="1">
        <v>69</v>
      </c>
      <c r="J1937" s="1">
        <v>74</v>
      </c>
      <c r="K1937" s="1">
        <f t="shared" si="96"/>
        <v>5</v>
      </c>
      <c r="L1937" s="1">
        <v>143</v>
      </c>
      <c r="M1937" s="1">
        <v>83</v>
      </c>
      <c r="N1937" s="1">
        <v>3</v>
      </c>
      <c r="O1937" s="1">
        <v>3.5</v>
      </c>
      <c r="P1937" s="1">
        <v>8</v>
      </c>
      <c r="Q1937" s="2">
        <v>9.5400000000000013E-2</v>
      </c>
      <c r="R1937" s="1">
        <v>2</v>
      </c>
      <c r="S1937" s="1">
        <f t="shared" si="97"/>
        <v>0.25</v>
      </c>
      <c r="T1937" s="1">
        <v>5</v>
      </c>
      <c r="U1937" s="1">
        <v>12.5</v>
      </c>
      <c r="V1937" s="1">
        <v>349.17647058823536</v>
      </c>
      <c r="W1937" s="1">
        <v>6</v>
      </c>
    </row>
    <row r="1938" spans="1:23" x14ac:dyDescent="0.2">
      <c r="A1938">
        <v>2021</v>
      </c>
      <c r="B1938" t="s">
        <v>23</v>
      </c>
      <c r="C1938" t="s">
        <v>271</v>
      </c>
      <c r="D1938">
        <v>21</v>
      </c>
      <c r="E1938">
        <v>1</v>
      </c>
      <c r="F1938">
        <v>14</v>
      </c>
      <c r="G1938" t="s">
        <v>265</v>
      </c>
      <c r="H1938" s="1">
        <v>10</v>
      </c>
      <c r="I1938" s="1">
        <v>63</v>
      </c>
      <c r="J1938" s="1">
        <v>66</v>
      </c>
      <c r="K1938" s="1">
        <f t="shared" si="96"/>
        <v>3</v>
      </c>
      <c r="L1938" s="1">
        <v>137</v>
      </c>
      <c r="M1938" s="1">
        <v>54</v>
      </c>
      <c r="N1938" s="1">
        <v>2</v>
      </c>
      <c r="O1938" s="1">
        <v>4.5</v>
      </c>
      <c r="P1938" s="1">
        <v>6</v>
      </c>
      <c r="Q1938" s="2">
        <v>0.13400000000000001</v>
      </c>
      <c r="R1938" s="1">
        <v>3</v>
      </c>
      <c r="S1938" s="1">
        <f t="shared" si="97"/>
        <v>0.5</v>
      </c>
      <c r="T1938" s="1">
        <v>3</v>
      </c>
      <c r="U1938" s="1">
        <v>12.5</v>
      </c>
      <c r="V1938" s="1">
        <v>490.45751633986936</v>
      </c>
      <c r="W1938" s="1">
        <v>5</v>
      </c>
    </row>
    <row r="1939" spans="1:23" x14ac:dyDescent="0.2">
      <c r="A1939">
        <v>2021</v>
      </c>
      <c r="B1939" t="s">
        <v>23</v>
      </c>
      <c r="C1939" t="s">
        <v>271</v>
      </c>
      <c r="D1939">
        <v>21</v>
      </c>
      <c r="E1939">
        <v>2</v>
      </c>
      <c r="F1939">
        <v>11</v>
      </c>
      <c r="G1939" t="s">
        <v>265</v>
      </c>
      <c r="H1939" s="1">
        <v>6</v>
      </c>
      <c r="I1939" s="1">
        <v>69</v>
      </c>
      <c r="J1939" s="1">
        <v>72</v>
      </c>
      <c r="K1939" s="1">
        <f t="shared" si="96"/>
        <v>3</v>
      </c>
      <c r="L1939" s="1">
        <v>92</v>
      </c>
      <c r="M1939" s="1">
        <v>30</v>
      </c>
      <c r="N1939" s="1">
        <v>2</v>
      </c>
      <c r="O1939" s="1">
        <v>5</v>
      </c>
      <c r="P1939" s="1">
        <v>1</v>
      </c>
      <c r="Q1939" s="2">
        <v>4.2500000000000003E-2</v>
      </c>
      <c r="R1939" s="1">
        <v>1</v>
      </c>
      <c r="S1939" s="1">
        <f t="shared" si="97"/>
        <v>1</v>
      </c>
      <c r="T1939" s="1">
        <v>5</v>
      </c>
      <c r="U1939" s="1">
        <v>12.5</v>
      </c>
      <c r="V1939" s="1">
        <v>155.5555555555556</v>
      </c>
      <c r="W1939" s="1">
        <v>7</v>
      </c>
    </row>
    <row r="1940" spans="1:23" x14ac:dyDescent="0.2">
      <c r="A1940">
        <v>2021</v>
      </c>
      <c r="B1940" t="s">
        <v>23</v>
      </c>
      <c r="C1940" t="s">
        <v>271</v>
      </c>
      <c r="D1940">
        <v>22</v>
      </c>
      <c r="E1940">
        <v>1</v>
      </c>
      <c r="F1940">
        <v>7</v>
      </c>
      <c r="G1940" t="s">
        <v>46</v>
      </c>
      <c r="H1940" s="1">
        <v>1</v>
      </c>
      <c r="I1940" s="1">
        <v>65</v>
      </c>
      <c r="J1940" s="1">
        <v>70</v>
      </c>
      <c r="K1940" s="1">
        <f t="shared" si="96"/>
        <v>5</v>
      </c>
      <c r="L1940" s="1">
        <v>72</v>
      </c>
      <c r="M1940" s="1">
        <v>35</v>
      </c>
      <c r="N1940" s="1">
        <v>2</v>
      </c>
      <c r="O1940" s="1">
        <v>5</v>
      </c>
      <c r="P1940" s="1">
        <v>1</v>
      </c>
      <c r="Q1940" s="2">
        <v>0.05</v>
      </c>
      <c r="R1940" s="1">
        <v>1</v>
      </c>
      <c r="S1940" s="1">
        <f t="shared" si="97"/>
        <v>1</v>
      </c>
      <c r="T1940" s="1">
        <v>5</v>
      </c>
      <c r="U1940" s="1">
        <v>12.5</v>
      </c>
      <c r="V1940" s="1">
        <v>183.00653594771242</v>
      </c>
      <c r="W1940" s="1">
        <v>6</v>
      </c>
    </row>
    <row r="1941" spans="1:23" x14ac:dyDescent="0.2">
      <c r="A1941">
        <v>2021</v>
      </c>
      <c r="B1941" t="s">
        <v>23</v>
      </c>
      <c r="C1941" t="s">
        <v>271</v>
      </c>
      <c r="D1941">
        <v>22</v>
      </c>
      <c r="E1941">
        <v>2</v>
      </c>
      <c r="F1941">
        <v>14</v>
      </c>
      <c r="G1941" t="s">
        <v>46</v>
      </c>
      <c r="H1941" s="3">
        <v>6</v>
      </c>
      <c r="I1941" s="3">
        <v>65</v>
      </c>
      <c r="J1941" s="3">
        <v>67</v>
      </c>
      <c r="K1941" s="3">
        <f t="shared" si="96"/>
        <v>2</v>
      </c>
      <c r="L1941" s="3">
        <v>121</v>
      </c>
      <c r="M1941" s="3">
        <v>55</v>
      </c>
      <c r="N1941" s="3">
        <v>2</v>
      </c>
      <c r="O1941" s="3">
        <v>4</v>
      </c>
      <c r="P1941" s="3">
        <v>5</v>
      </c>
      <c r="Q1941" s="4">
        <v>0.12</v>
      </c>
      <c r="R1941" s="3">
        <v>5</v>
      </c>
      <c r="S1941" s="3">
        <f t="shared" si="97"/>
        <v>1</v>
      </c>
      <c r="T1941" s="3">
        <v>4</v>
      </c>
      <c r="U1941" s="3">
        <v>12.5</v>
      </c>
      <c r="V1941" s="3">
        <v>439.21568627450984</v>
      </c>
      <c r="W1941" s="3">
        <v>4</v>
      </c>
    </row>
    <row r="1942" spans="1:23" x14ac:dyDescent="0.2">
      <c r="A1942">
        <v>2021</v>
      </c>
      <c r="B1942" t="s">
        <v>23</v>
      </c>
      <c r="C1942" t="s">
        <v>271</v>
      </c>
      <c r="D1942">
        <v>23</v>
      </c>
      <c r="E1942">
        <v>1</v>
      </c>
      <c r="F1942">
        <v>4</v>
      </c>
      <c r="G1942" t="s">
        <v>47</v>
      </c>
      <c r="H1942" s="1">
        <v>10</v>
      </c>
      <c r="I1942" s="1">
        <v>63</v>
      </c>
      <c r="J1942" s="1">
        <v>67</v>
      </c>
      <c r="K1942" s="1">
        <f t="shared" si="96"/>
        <v>4</v>
      </c>
      <c r="L1942" s="1">
        <v>103</v>
      </c>
      <c r="M1942" s="1">
        <v>40</v>
      </c>
      <c r="N1942" s="1">
        <v>2</v>
      </c>
      <c r="O1942" s="1">
        <v>4.5</v>
      </c>
      <c r="P1942" s="1">
        <v>6</v>
      </c>
      <c r="Q1942" s="2">
        <v>8.3599999999999994E-2</v>
      </c>
      <c r="R1942" s="1">
        <v>5</v>
      </c>
      <c r="S1942" s="1">
        <f t="shared" si="97"/>
        <v>0.83333333333333337</v>
      </c>
      <c r="T1942" s="1">
        <v>5</v>
      </c>
      <c r="U1942" s="1">
        <v>12.5</v>
      </c>
      <c r="V1942" s="1">
        <v>305.98692810457516</v>
      </c>
      <c r="W1942" s="1">
        <v>5</v>
      </c>
    </row>
    <row r="1943" spans="1:23" x14ac:dyDescent="0.2">
      <c r="A1943">
        <v>2021</v>
      </c>
      <c r="B1943" t="s">
        <v>23</v>
      </c>
      <c r="C1943" t="s">
        <v>271</v>
      </c>
      <c r="D1943">
        <v>23</v>
      </c>
      <c r="E1943">
        <v>2</v>
      </c>
      <c r="F1943">
        <v>8</v>
      </c>
      <c r="G1943" t="s">
        <v>47</v>
      </c>
      <c r="H1943" s="1">
        <v>7</v>
      </c>
      <c r="I1943" s="1">
        <v>62</v>
      </c>
      <c r="J1943" s="1">
        <v>66</v>
      </c>
      <c r="K1943" s="1">
        <f t="shared" si="96"/>
        <v>4</v>
      </c>
      <c r="L1943" s="1">
        <v>129</v>
      </c>
      <c r="M1943" s="1">
        <v>55</v>
      </c>
      <c r="N1943" s="1">
        <v>2.5</v>
      </c>
      <c r="O1943" s="1">
        <v>3.5</v>
      </c>
      <c r="P1943" s="1">
        <v>6</v>
      </c>
      <c r="Q1943" s="2">
        <v>0.42799999999999999</v>
      </c>
      <c r="R1943" s="1">
        <v>6</v>
      </c>
      <c r="S1943" s="1">
        <f t="shared" si="97"/>
        <v>1</v>
      </c>
      <c r="T1943" s="1">
        <v>3.5</v>
      </c>
      <c r="U1943" s="1">
        <v>12.5</v>
      </c>
      <c r="V1943" s="1">
        <v>1566.535947712418</v>
      </c>
      <c r="W1943" s="1">
        <v>5</v>
      </c>
    </row>
    <row r="1944" spans="1:23" x14ac:dyDescent="0.2">
      <c r="A1944">
        <v>2021</v>
      </c>
      <c r="B1944" t="s">
        <v>23</v>
      </c>
      <c r="C1944" t="s">
        <v>271</v>
      </c>
      <c r="D1944">
        <v>24</v>
      </c>
      <c r="E1944">
        <v>1</v>
      </c>
      <c r="F1944">
        <v>14</v>
      </c>
      <c r="G1944" t="s">
        <v>48</v>
      </c>
      <c r="H1944">
        <v>14</v>
      </c>
      <c r="I1944">
        <v>52</v>
      </c>
      <c r="J1944">
        <v>55</v>
      </c>
      <c r="K1944">
        <v>3</v>
      </c>
      <c r="L1944">
        <v>170</v>
      </c>
      <c r="M1944">
        <v>77</v>
      </c>
      <c r="N1944">
        <v>1</v>
      </c>
      <c r="O1944">
        <v>2.5</v>
      </c>
      <c r="P1944">
        <v>7</v>
      </c>
      <c r="Q1944">
        <v>0.3</v>
      </c>
      <c r="R1944">
        <v>9</v>
      </c>
      <c r="S1944">
        <v>1.2857142857142858</v>
      </c>
      <c r="T1944">
        <v>3</v>
      </c>
      <c r="U1944">
        <v>9.6</v>
      </c>
      <c r="V1944">
        <v>1134.4313725490197</v>
      </c>
      <c r="W1944">
        <v>2</v>
      </c>
    </row>
    <row r="1945" spans="1:23" x14ac:dyDescent="0.2">
      <c r="A1945">
        <v>2021</v>
      </c>
      <c r="B1945" t="s">
        <v>23</v>
      </c>
      <c r="C1945" t="s">
        <v>271</v>
      </c>
      <c r="D1945">
        <v>24</v>
      </c>
      <c r="E1945">
        <v>2</v>
      </c>
      <c r="F1945">
        <v>13</v>
      </c>
      <c r="G1945" t="s">
        <v>48</v>
      </c>
      <c r="H1945" s="1">
        <v>15</v>
      </c>
      <c r="I1945" s="1">
        <v>68</v>
      </c>
      <c r="J1945" s="1">
        <v>71</v>
      </c>
      <c r="K1945" s="1">
        <f>J1945-I1945</f>
        <v>3</v>
      </c>
      <c r="L1945" s="1">
        <v>157</v>
      </c>
      <c r="M1945" s="1">
        <v>78</v>
      </c>
      <c r="N1945" s="1">
        <v>2</v>
      </c>
      <c r="O1945" s="1">
        <v>3</v>
      </c>
      <c r="P1945" s="1">
        <v>7</v>
      </c>
      <c r="Q1945" s="2">
        <v>0.2586</v>
      </c>
      <c r="R1945" s="1">
        <v>4</v>
      </c>
      <c r="S1945" s="1">
        <f>R1945/P1945</f>
        <v>0.5714285714285714</v>
      </c>
      <c r="T1945" s="1">
        <v>5</v>
      </c>
      <c r="U1945" s="1">
        <v>12.5</v>
      </c>
      <c r="V1945" s="1">
        <v>946.50980392156862</v>
      </c>
      <c r="W1945" s="1">
        <v>4</v>
      </c>
    </row>
    <row r="1946" spans="1:23" x14ac:dyDescent="0.2">
      <c r="A1946">
        <v>2021</v>
      </c>
      <c r="B1946" t="s">
        <v>23</v>
      </c>
      <c r="C1946" t="s">
        <v>271</v>
      </c>
      <c r="D1946">
        <v>25</v>
      </c>
      <c r="E1946">
        <v>1</v>
      </c>
      <c r="F1946">
        <v>8</v>
      </c>
      <c r="G1946" t="s">
        <v>49</v>
      </c>
      <c r="H1946">
        <v>7</v>
      </c>
      <c r="I1946">
        <v>64</v>
      </c>
      <c r="J1946">
        <v>67</v>
      </c>
      <c r="K1946">
        <v>3</v>
      </c>
      <c r="L1946">
        <v>130</v>
      </c>
      <c r="M1946">
        <v>58</v>
      </c>
      <c r="N1946">
        <v>2</v>
      </c>
      <c r="O1946">
        <v>3</v>
      </c>
      <c r="P1946">
        <v>7</v>
      </c>
      <c r="Q1946">
        <v>0.5</v>
      </c>
      <c r="R1946">
        <v>7</v>
      </c>
      <c r="S1946">
        <v>1</v>
      </c>
      <c r="T1946">
        <v>2.5</v>
      </c>
      <c r="U1946">
        <v>12.5</v>
      </c>
      <c r="V1946">
        <v>1830.0653594771243</v>
      </c>
      <c r="W1946">
        <v>1</v>
      </c>
    </row>
    <row r="1947" spans="1:23" x14ac:dyDescent="0.2">
      <c r="A1947">
        <v>2021</v>
      </c>
      <c r="B1947" t="s">
        <v>23</v>
      </c>
      <c r="C1947" t="s">
        <v>271</v>
      </c>
      <c r="D1947">
        <v>25</v>
      </c>
      <c r="E1947">
        <v>2</v>
      </c>
      <c r="F1947">
        <v>7</v>
      </c>
      <c r="G1947" t="s">
        <v>49</v>
      </c>
      <c r="H1947">
        <v>3</v>
      </c>
      <c r="I1947">
        <v>55</v>
      </c>
      <c r="J1947">
        <v>59</v>
      </c>
      <c r="K1947">
        <v>4</v>
      </c>
      <c r="L1947">
        <v>159</v>
      </c>
      <c r="M1947">
        <v>75</v>
      </c>
      <c r="N1947">
        <v>1</v>
      </c>
      <c r="O1947">
        <v>2</v>
      </c>
      <c r="P1947">
        <v>3</v>
      </c>
      <c r="Q1947">
        <v>0.122</v>
      </c>
      <c r="R1947">
        <v>3</v>
      </c>
      <c r="S1947">
        <v>1</v>
      </c>
      <c r="T1947">
        <v>3</v>
      </c>
      <c r="U1947">
        <v>12.5</v>
      </c>
      <c r="V1947">
        <v>446.53594771241831</v>
      </c>
      <c r="W1947">
        <v>2</v>
      </c>
    </row>
    <row r="1948" spans="1:23" x14ac:dyDescent="0.2">
      <c r="A1948">
        <v>2021</v>
      </c>
      <c r="B1948" t="s">
        <v>23</v>
      </c>
      <c r="C1948" t="s">
        <v>271</v>
      </c>
      <c r="D1948">
        <v>26</v>
      </c>
      <c r="E1948">
        <v>1</v>
      </c>
      <c r="F1948">
        <v>1</v>
      </c>
      <c r="G1948" t="s">
        <v>50</v>
      </c>
      <c r="H1948" s="1">
        <v>4</v>
      </c>
      <c r="I1948" s="1">
        <v>58</v>
      </c>
      <c r="J1948" s="1">
        <v>61</v>
      </c>
      <c r="K1948" s="1">
        <f>J1948-I1948</f>
        <v>3</v>
      </c>
      <c r="L1948" s="1">
        <v>140</v>
      </c>
      <c r="M1948" s="1">
        <v>60</v>
      </c>
      <c r="N1948" s="1">
        <v>2</v>
      </c>
      <c r="O1948" s="1">
        <v>4</v>
      </c>
      <c r="P1948" s="1">
        <v>4</v>
      </c>
      <c r="Q1948" s="2">
        <v>0.309</v>
      </c>
      <c r="R1948" s="1">
        <v>7</v>
      </c>
      <c r="S1948" s="1">
        <f>R1948/P1948</f>
        <v>1.75</v>
      </c>
      <c r="T1948" s="1">
        <v>2.5</v>
      </c>
      <c r="U1948" s="1">
        <v>12.5</v>
      </c>
      <c r="V1948" s="1">
        <v>1130.9803921568628</v>
      </c>
      <c r="W1948" s="1">
        <v>4</v>
      </c>
    </row>
    <row r="1949" spans="1:23" x14ac:dyDescent="0.2">
      <c r="A1949">
        <v>2021</v>
      </c>
      <c r="B1949" t="s">
        <v>23</v>
      </c>
      <c r="C1949" t="s">
        <v>271</v>
      </c>
      <c r="D1949">
        <v>26</v>
      </c>
      <c r="E1949">
        <v>2</v>
      </c>
      <c r="F1949">
        <v>1</v>
      </c>
      <c r="G1949" t="s">
        <v>50</v>
      </c>
      <c r="H1949" s="3">
        <v>9</v>
      </c>
      <c r="I1949" s="3">
        <v>67</v>
      </c>
      <c r="J1949" s="3">
        <v>69</v>
      </c>
      <c r="K1949" s="3">
        <f>J1949-I1949</f>
        <v>2</v>
      </c>
      <c r="L1949" s="3">
        <v>187</v>
      </c>
      <c r="M1949" s="3">
        <v>105</v>
      </c>
      <c r="N1949" s="3">
        <v>2</v>
      </c>
      <c r="O1949" s="3">
        <v>2.5</v>
      </c>
      <c r="P1949" s="3">
        <v>8</v>
      </c>
      <c r="Q1949" s="4">
        <v>0.85260000000000002</v>
      </c>
      <c r="R1949" s="3">
        <v>8</v>
      </c>
      <c r="S1949" s="3">
        <f>R1949/P1949</f>
        <v>1</v>
      </c>
      <c r="T1949" s="3">
        <v>3</v>
      </c>
      <c r="U1949" s="3">
        <v>10.4</v>
      </c>
      <c r="V1949" s="3">
        <v>3195.5225098039218</v>
      </c>
      <c r="W1949" s="3">
        <v>5</v>
      </c>
    </row>
    <row r="1950" spans="1:23" x14ac:dyDescent="0.2">
      <c r="A1950">
        <v>2021</v>
      </c>
      <c r="B1950" t="s">
        <v>23</v>
      </c>
      <c r="C1950" t="s">
        <v>271</v>
      </c>
      <c r="D1950">
        <v>27</v>
      </c>
      <c r="E1950">
        <v>1</v>
      </c>
      <c r="F1950">
        <v>12</v>
      </c>
      <c r="G1950" t="s">
        <v>51</v>
      </c>
      <c r="H1950">
        <v>1</v>
      </c>
      <c r="I1950">
        <v>55</v>
      </c>
      <c r="J1950">
        <v>57</v>
      </c>
      <c r="K1950">
        <v>2</v>
      </c>
      <c r="L1950">
        <v>158</v>
      </c>
      <c r="M1950">
        <v>56</v>
      </c>
      <c r="N1950">
        <v>1.5</v>
      </c>
      <c r="O1950">
        <v>2</v>
      </c>
      <c r="P1950">
        <v>1</v>
      </c>
      <c r="Q1950">
        <v>0.2</v>
      </c>
      <c r="R1950">
        <v>2</v>
      </c>
      <c r="S1950">
        <v>2</v>
      </c>
      <c r="T1950">
        <v>2.5</v>
      </c>
      <c r="U1950">
        <v>12.5</v>
      </c>
      <c r="V1950">
        <v>732.02614379084969</v>
      </c>
      <c r="W1950">
        <v>1</v>
      </c>
    </row>
    <row r="1951" spans="1:23" x14ac:dyDescent="0.2">
      <c r="A1951">
        <v>2021</v>
      </c>
      <c r="B1951" t="s">
        <v>23</v>
      </c>
      <c r="C1951" t="s">
        <v>271</v>
      </c>
      <c r="D1951">
        <v>27</v>
      </c>
      <c r="E1951">
        <v>2</v>
      </c>
      <c r="F1951">
        <v>11</v>
      </c>
      <c r="G1951" t="s">
        <v>51</v>
      </c>
      <c r="H1951" s="1">
        <v>10</v>
      </c>
      <c r="I1951" s="1">
        <v>68</v>
      </c>
      <c r="J1951" s="1">
        <v>71</v>
      </c>
      <c r="K1951" s="1">
        <f>J1951-I1951</f>
        <v>3</v>
      </c>
      <c r="L1951" s="1">
        <v>171</v>
      </c>
      <c r="M1951" s="1">
        <v>60</v>
      </c>
      <c r="N1951" s="1">
        <v>2</v>
      </c>
      <c r="O1951" s="1">
        <v>3.5</v>
      </c>
      <c r="P1951" s="1">
        <f>H1951</f>
        <v>10</v>
      </c>
      <c r="Q1951" s="2">
        <v>0.32939999999999997</v>
      </c>
      <c r="R1951" s="1">
        <v>10</v>
      </c>
      <c r="S1951" s="1">
        <f>R1951/P1951</f>
        <v>1</v>
      </c>
      <c r="T1951" s="1">
        <v>5</v>
      </c>
      <c r="U1951" s="1">
        <v>12.5</v>
      </c>
      <c r="V1951" s="1">
        <v>1205.6470588235293</v>
      </c>
      <c r="W1951" s="1">
        <v>5</v>
      </c>
    </row>
    <row r="1952" spans="1:23" x14ac:dyDescent="0.2">
      <c r="A1952">
        <v>2021</v>
      </c>
      <c r="B1952" t="s">
        <v>23</v>
      </c>
      <c r="C1952" t="s">
        <v>271</v>
      </c>
      <c r="D1952">
        <v>28</v>
      </c>
      <c r="E1952">
        <v>1</v>
      </c>
      <c r="F1952">
        <v>8</v>
      </c>
      <c r="G1952" t="s">
        <v>52</v>
      </c>
      <c r="H1952">
        <v>15</v>
      </c>
      <c r="I1952">
        <v>60</v>
      </c>
      <c r="J1952">
        <v>62</v>
      </c>
      <c r="K1952">
        <v>2</v>
      </c>
      <c r="L1952">
        <v>180</v>
      </c>
      <c r="M1952">
        <v>51</v>
      </c>
      <c r="N1952">
        <v>2</v>
      </c>
      <c r="O1952">
        <v>3</v>
      </c>
      <c r="P1952">
        <v>15</v>
      </c>
      <c r="Q1952">
        <v>0.5</v>
      </c>
      <c r="R1952">
        <v>15</v>
      </c>
      <c r="S1952">
        <v>1</v>
      </c>
      <c r="T1952">
        <v>3</v>
      </c>
      <c r="U1952">
        <v>12.5</v>
      </c>
      <c r="V1952">
        <v>1830.0653594771243</v>
      </c>
      <c r="W1952">
        <v>2</v>
      </c>
    </row>
    <row r="1953" spans="1:23" x14ac:dyDescent="0.2">
      <c r="A1953">
        <v>2021</v>
      </c>
      <c r="B1953" t="s">
        <v>23</v>
      </c>
      <c r="C1953" t="s">
        <v>271</v>
      </c>
      <c r="D1953">
        <v>28</v>
      </c>
      <c r="E1953">
        <v>2</v>
      </c>
      <c r="F1953">
        <v>15</v>
      </c>
      <c r="G1953" t="s">
        <v>52</v>
      </c>
      <c r="H1953" s="1">
        <v>10</v>
      </c>
      <c r="I1953" s="1">
        <v>65</v>
      </c>
      <c r="J1953" s="1">
        <v>68</v>
      </c>
      <c r="K1953" s="1">
        <f>J1953-I1953</f>
        <v>3</v>
      </c>
      <c r="L1953" s="1">
        <v>149</v>
      </c>
      <c r="M1953" s="1">
        <v>61</v>
      </c>
      <c r="N1953" s="1">
        <v>1.5</v>
      </c>
      <c r="O1953" s="1">
        <v>4.5</v>
      </c>
      <c r="P1953" s="1">
        <v>8</v>
      </c>
      <c r="Q1953" s="2">
        <v>0.23300000000000001</v>
      </c>
      <c r="R1953" s="1">
        <v>7</v>
      </c>
      <c r="S1953" s="1">
        <f>R1953/P1953</f>
        <v>0.875</v>
      </c>
      <c r="T1953" s="1">
        <v>5</v>
      </c>
      <c r="U1953" s="1">
        <v>12.5</v>
      </c>
      <c r="V1953" s="1">
        <v>852.81045751634008</v>
      </c>
      <c r="W1953" s="1">
        <v>4</v>
      </c>
    </row>
    <row r="1954" spans="1:23" x14ac:dyDescent="0.2">
      <c r="A1954">
        <v>2021</v>
      </c>
      <c r="B1954" t="s">
        <v>23</v>
      </c>
      <c r="C1954" t="s">
        <v>271</v>
      </c>
      <c r="D1954">
        <v>29</v>
      </c>
      <c r="E1954">
        <v>1</v>
      </c>
      <c r="F1954">
        <v>1</v>
      </c>
      <c r="G1954" t="s">
        <v>53</v>
      </c>
      <c r="H1954">
        <v>7</v>
      </c>
      <c r="I1954">
        <v>55</v>
      </c>
      <c r="J1954">
        <v>58</v>
      </c>
      <c r="K1954">
        <v>3</v>
      </c>
      <c r="L1954">
        <v>185</v>
      </c>
      <c r="M1954">
        <v>63</v>
      </c>
      <c r="N1954">
        <v>3</v>
      </c>
      <c r="O1954">
        <v>3</v>
      </c>
      <c r="P1954">
        <v>6</v>
      </c>
      <c r="Q1954">
        <v>0.94099999999999995</v>
      </c>
      <c r="R1954">
        <v>6</v>
      </c>
      <c r="S1954">
        <v>1</v>
      </c>
      <c r="T1954">
        <v>3</v>
      </c>
      <c r="U1954">
        <v>12.5</v>
      </c>
      <c r="V1954">
        <v>3444.1830065359477</v>
      </c>
      <c r="W1954">
        <v>1</v>
      </c>
    </row>
    <row r="1955" spans="1:23" x14ac:dyDescent="0.2">
      <c r="A1955">
        <v>2021</v>
      </c>
      <c r="B1955" t="s">
        <v>23</v>
      </c>
      <c r="C1955" t="s">
        <v>271</v>
      </c>
      <c r="D1955">
        <v>29</v>
      </c>
      <c r="E1955">
        <v>2</v>
      </c>
      <c r="F1955">
        <v>11</v>
      </c>
      <c r="G1955" t="s">
        <v>53</v>
      </c>
      <c r="H1955">
        <v>3</v>
      </c>
      <c r="I1955">
        <v>60</v>
      </c>
      <c r="J1955">
        <v>63</v>
      </c>
      <c r="K1955">
        <v>3</v>
      </c>
      <c r="L1955">
        <v>120</v>
      </c>
      <c r="M1955">
        <v>48</v>
      </c>
      <c r="N1955">
        <v>4</v>
      </c>
      <c r="O1955">
        <v>4</v>
      </c>
      <c r="P1955">
        <v>3</v>
      </c>
      <c r="Q1955">
        <v>0.5</v>
      </c>
      <c r="R1955">
        <v>5</v>
      </c>
      <c r="S1955">
        <v>1.6666666666666667</v>
      </c>
      <c r="T1955">
        <v>3</v>
      </c>
      <c r="U1955">
        <v>12.5</v>
      </c>
      <c r="V1955">
        <v>1830.0653594771243</v>
      </c>
      <c r="W1955">
        <v>2</v>
      </c>
    </row>
    <row r="1956" spans="1:23" x14ac:dyDescent="0.2">
      <c r="A1956">
        <v>2021</v>
      </c>
      <c r="B1956" t="s">
        <v>23</v>
      </c>
      <c r="C1956" t="s">
        <v>271</v>
      </c>
      <c r="D1956">
        <v>30</v>
      </c>
      <c r="E1956">
        <v>1</v>
      </c>
      <c r="F1956">
        <v>10</v>
      </c>
      <c r="G1956" t="s">
        <v>54</v>
      </c>
      <c r="H1956">
        <v>1</v>
      </c>
      <c r="I1956">
        <v>55</v>
      </c>
      <c r="J1956">
        <v>57</v>
      </c>
      <c r="K1956">
        <v>2</v>
      </c>
      <c r="L1956">
        <v>146</v>
      </c>
      <c r="M1956">
        <v>67</v>
      </c>
      <c r="N1956">
        <v>1.5</v>
      </c>
      <c r="O1956">
        <v>4</v>
      </c>
      <c r="P1956">
        <v>1</v>
      </c>
      <c r="Q1956">
        <v>0.1</v>
      </c>
      <c r="R1956">
        <v>2</v>
      </c>
      <c r="S1956">
        <v>2</v>
      </c>
      <c r="T1956">
        <v>2</v>
      </c>
      <c r="U1956">
        <v>12.5</v>
      </c>
      <c r="V1956">
        <v>366.01307189542484</v>
      </c>
      <c r="W1956">
        <v>1</v>
      </c>
    </row>
    <row r="1957" spans="1:23" x14ac:dyDescent="0.2">
      <c r="A1957">
        <v>2021</v>
      </c>
      <c r="B1957" t="s">
        <v>23</v>
      </c>
      <c r="C1957" t="s">
        <v>271</v>
      </c>
      <c r="D1957">
        <v>30</v>
      </c>
      <c r="E1957">
        <v>2</v>
      </c>
      <c r="F1957">
        <v>9</v>
      </c>
      <c r="G1957" t="s">
        <v>54</v>
      </c>
      <c r="H1957" s="3">
        <v>16</v>
      </c>
      <c r="I1957" s="3">
        <v>66</v>
      </c>
      <c r="J1957" s="3">
        <v>70</v>
      </c>
      <c r="K1957" s="3">
        <f>J1957-I1957</f>
        <v>4</v>
      </c>
      <c r="L1957" s="3">
        <v>139</v>
      </c>
      <c r="M1957" s="3">
        <v>83</v>
      </c>
      <c r="N1957" s="3">
        <v>2</v>
      </c>
      <c r="O1957" s="3">
        <v>3</v>
      </c>
      <c r="P1957" s="3">
        <v>16</v>
      </c>
      <c r="Q1957" s="4">
        <v>0.54</v>
      </c>
      <c r="R1957" s="3">
        <v>12</v>
      </c>
      <c r="S1957" s="3">
        <f>R1957/P1957</f>
        <v>0.75</v>
      </c>
      <c r="T1957" s="3">
        <v>2</v>
      </c>
      <c r="U1957" s="3">
        <v>12.5</v>
      </c>
      <c r="V1957" s="3">
        <v>1976.4705882352941</v>
      </c>
      <c r="W1957" s="3">
        <v>2</v>
      </c>
    </row>
    <row r="1958" spans="1:23" x14ac:dyDescent="0.2">
      <c r="A1958">
        <v>2021</v>
      </c>
      <c r="B1958" t="s">
        <v>23</v>
      </c>
      <c r="C1958" t="s">
        <v>271</v>
      </c>
      <c r="D1958">
        <v>31</v>
      </c>
      <c r="E1958">
        <v>1</v>
      </c>
      <c r="F1958">
        <v>5</v>
      </c>
      <c r="G1958" t="s">
        <v>55</v>
      </c>
      <c r="H1958">
        <v>9</v>
      </c>
      <c r="I1958">
        <v>63</v>
      </c>
      <c r="J1958">
        <v>65</v>
      </c>
      <c r="K1958">
        <v>2</v>
      </c>
      <c r="L1958">
        <v>165</v>
      </c>
      <c r="M1958">
        <v>75</v>
      </c>
      <c r="N1958">
        <v>2.5</v>
      </c>
      <c r="O1958">
        <v>3</v>
      </c>
      <c r="P1958">
        <v>9</v>
      </c>
      <c r="Q1958">
        <v>0.8</v>
      </c>
      <c r="R1958">
        <v>8</v>
      </c>
      <c r="S1958">
        <v>0.88888888888888884</v>
      </c>
      <c r="T1958">
        <v>2.5</v>
      </c>
      <c r="U1958">
        <v>12.5</v>
      </c>
      <c r="V1958">
        <v>2928.1045751633987</v>
      </c>
      <c r="W1958">
        <v>2</v>
      </c>
    </row>
    <row r="1959" spans="1:23" x14ac:dyDescent="0.2">
      <c r="A1959">
        <v>2021</v>
      </c>
      <c r="B1959" t="s">
        <v>23</v>
      </c>
      <c r="C1959" t="s">
        <v>271</v>
      </c>
      <c r="D1959">
        <v>31</v>
      </c>
      <c r="E1959">
        <v>2</v>
      </c>
      <c r="F1959">
        <v>3</v>
      </c>
      <c r="G1959" t="s">
        <v>55</v>
      </c>
      <c r="H1959" s="1">
        <v>11</v>
      </c>
      <c r="I1959" s="1">
        <v>65</v>
      </c>
      <c r="J1959" s="1">
        <v>68</v>
      </c>
      <c r="K1959" s="1">
        <f>J1959-I1959</f>
        <v>3</v>
      </c>
      <c r="L1959" s="1">
        <v>154</v>
      </c>
      <c r="M1959" s="1">
        <v>92</v>
      </c>
      <c r="N1959" s="1">
        <v>2</v>
      </c>
      <c r="O1959" s="1">
        <v>3.5</v>
      </c>
      <c r="P1959" s="1">
        <v>7</v>
      </c>
      <c r="Q1959" s="2">
        <v>0.13308749999999997</v>
      </c>
      <c r="R1959" s="1">
        <v>6</v>
      </c>
      <c r="S1959" s="1">
        <f>R1959/P1959</f>
        <v>0.8571428571428571</v>
      </c>
      <c r="T1959" s="1">
        <v>5</v>
      </c>
      <c r="U1959" s="1">
        <v>12.5</v>
      </c>
      <c r="V1959" s="1">
        <v>487.11764705882342</v>
      </c>
      <c r="W1959" s="1">
        <v>5</v>
      </c>
    </row>
    <row r="1960" spans="1:23" x14ac:dyDescent="0.2">
      <c r="A1960">
        <v>2021</v>
      </c>
      <c r="B1960" t="s">
        <v>23</v>
      </c>
      <c r="C1960" t="s">
        <v>271</v>
      </c>
      <c r="D1960">
        <v>32</v>
      </c>
      <c r="E1960">
        <v>1</v>
      </c>
      <c r="F1960">
        <v>8</v>
      </c>
      <c r="G1960" t="s">
        <v>56</v>
      </c>
      <c r="H1960" s="1">
        <v>11</v>
      </c>
      <c r="I1960" s="1">
        <v>62</v>
      </c>
      <c r="J1960" s="1">
        <v>67</v>
      </c>
      <c r="K1960" s="1">
        <f>J1960-I1960</f>
        <v>5</v>
      </c>
      <c r="L1960" s="1">
        <v>120</v>
      </c>
      <c r="M1960" s="1">
        <v>65</v>
      </c>
      <c r="N1960" s="1">
        <v>2</v>
      </c>
      <c r="O1960" s="1">
        <v>2.5</v>
      </c>
      <c r="P1960" s="1">
        <v>11</v>
      </c>
      <c r="Q1960" s="2">
        <v>0.15667500000000001</v>
      </c>
      <c r="R1960" s="1">
        <v>8</v>
      </c>
      <c r="S1960" s="1">
        <f>R1960/P1960</f>
        <v>0.72727272727272729</v>
      </c>
      <c r="T1960" s="1">
        <v>5</v>
      </c>
      <c r="U1960" s="1">
        <v>12.5</v>
      </c>
      <c r="V1960" s="1">
        <v>573.45098039215691</v>
      </c>
      <c r="W1960" s="1">
        <v>5</v>
      </c>
    </row>
    <row r="1961" spans="1:23" x14ac:dyDescent="0.2">
      <c r="A1961">
        <v>2021</v>
      </c>
      <c r="B1961" t="s">
        <v>23</v>
      </c>
      <c r="C1961" t="s">
        <v>271</v>
      </c>
      <c r="D1961">
        <v>32</v>
      </c>
      <c r="E1961">
        <v>2</v>
      </c>
      <c r="F1961">
        <v>9</v>
      </c>
      <c r="G1961" t="s">
        <v>56</v>
      </c>
      <c r="H1961" s="1">
        <v>5</v>
      </c>
      <c r="I1961" s="1">
        <v>68</v>
      </c>
      <c r="J1961" s="1">
        <v>71</v>
      </c>
      <c r="K1961" s="1">
        <f>J1961-I1961</f>
        <v>3</v>
      </c>
      <c r="L1961" s="1">
        <v>175</v>
      </c>
      <c r="M1961" s="1">
        <v>62</v>
      </c>
      <c r="N1961" s="1">
        <v>2</v>
      </c>
      <c r="O1961" s="1">
        <v>3</v>
      </c>
      <c r="P1961" s="1">
        <v>5</v>
      </c>
      <c r="Q1961" s="2">
        <v>0.40640000000000004</v>
      </c>
      <c r="R1961" s="1">
        <v>5</v>
      </c>
      <c r="S1961" s="1">
        <f>R1961/P1961</f>
        <v>1</v>
      </c>
      <c r="T1961" s="1">
        <v>4</v>
      </c>
      <c r="U1961" s="1">
        <v>12.5</v>
      </c>
      <c r="V1961" s="1">
        <v>1487.4771241830067</v>
      </c>
      <c r="W1961" s="1">
        <v>4</v>
      </c>
    </row>
    <row r="1962" spans="1:23" x14ac:dyDescent="0.2">
      <c r="A1962">
        <v>2021</v>
      </c>
      <c r="B1962" t="s">
        <v>23</v>
      </c>
      <c r="C1962" t="s">
        <v>271</v>
      </c>
      <c r="D1962">
        <v>33</v>
      </c>
      <c r="E1962">
        <v>1</v>
      </c>
      <c r="F1962">
        <v>14</v>
      </c>
      <c r="G1962" t="s">
        <v>57</v>
      </c>
      <c r="H1962" s="1">
        <v>8</v>
      </c>
      <c r="I1962" s="1">
        <v>63</v>
      </c>
      <c r="J1962" s="1">
        <v>66</v>
      </c>
      <c r="K1962" s="1">
        <f>J1962-I1962</f>
        <v>3</v>
      </c>
      <c r="L1962" s="1">
        <v>139</v>
      </c>
      <c r="M1962" s="1">
        <v>41</v>
      </c>
      <c r="N1962" s="1">
        <v>3</v>
      </c>
      <c r="O1962" s="1">
        <v>4.5</v>
      </c>
      <c r="P1962" s="1">
        <v>5</v>
      </c>
      <c r="Q1962" s="2">
        <v>0.16850000000000001</v>
      </c>
      <c r="R1962" s="1">
        <v>3</v>
      </c>
      <c r="S1962" s="1">
        <f>R1962/P1962</f>
        <v>0.6</v>
      </c>
      <c r="T1962" s="1">
        <v>5</v>
      </c>
      <c r="U1962" s="1">
        <v>12.5</v>
      </c>
      <c r="V1962" s="1">
        <v>616.7320261437909</v>
      </c>
      <c r="W1962" s="1">
        <v>5</v>
      </c>
    </row>
    <row r="1963" spans="1:23" x14ac:dyDescent="0.2">
      <c r="A1963">
        <v>2021</v>
      </c>
      <c r="B1963" t="s">
        <v>23</v>
      </c>
      <c r="C1963" t="s">
        <v>271</v>
      </c>
      <c r="D1963">
        <v>33</v>
      </c>
      <c r="E1963">
        <v>2</v>
      </c>
      <c r="F1963">
        <v>8</v>
      </c>
      <c r="G1963" t="s">
        <v>57</v>
      </c>
      <c r="H1963" s="1">
        <v>9</v>
      </c>
      <c r="I1963" s="1">
        <v>66</v>
      </c>
      <c r="J1963" s="1">
        <v>70</v>
      </c>
      <c r="K1963" s="1">
        <f>J1963-I1963</f>
        <v>4</v>
      </c>
      <c r="L1963" s="1">
        <v>139</v>
      </c>
      <c r="M1963" s="1">
        <v>88</v>
      </c>
      <c r="N1963" s="1">
        <v>2</v>
      </c>
      <c r="O1963" s="1">
        <v>4</v>
      </c>
      <c r="P1963" s="1">
        <v>9</v>
      </c>
      <c r="Q1963" s="2">
        <v>0.15429375000000001</v>
      </c>
      <c r="R1963" s="1">
        <v>6</v>
      </c>
      <c r="S1963" s="1">
        <f>R1963/P1963</f>
        <v>0.66666666666666663</v>
      </c>
      <c r="T1963" s="1">
        <v>5</v>
      </c>
      <c r="U1963" s="1">
        <v>12.5</v>
      </c>
      <c r="V1963" s="1">
        <v>564.73529411764707</v>
      </c>
      <c r="W1963" s="1">
        <v>6</v>
      </c>
    </row>
    <row r="1964" spans="1:23" x14ac:dyDescent="0.2">
      <c r="A1964">
        <v>2021</v>
      </c>
      <c r="B1964" t="s">
        <v>23</v>
      </c>
      <c r="C1964" t="s">
        <v>271</v>
      </c>
      <c r="D1964">
        <v>34</v>
      </c>
      <c r="E1964">
        <v>1</v>
      </c>
      <c r="F1964">
        <v>6</v>
      </c>
      <c r="G1964" t="s">
        <v>58</v>
      </c>
      <c r="H1964">
        <v>11</v>
      </c>
      <c r="I1964">
        <v>56</v>
      </c>
      <c r="J1964">
        <v>60</v>
      </c>
      <c r="K1964">
        <v>4</v>
      </c>
      <c r="L1964">
        <v>86</v>
      </c>
      <c r="M1964">
        <v>28</v>
      </c>
      <c r="N1964">
        <v>2</v>
      </c>
      <c r="O1964">
        <v>3</v>
      </c>
      <c r="P1964">
        <v>11</v>
      </c>
      <c r="Q1964">
        <v>1</v>
      </c>
      <c r="R1964">
        <v>11</v>
      </c>
      <c r="S1964">
        <v>1</v>
      </c>
      <c r="T1964">
        <v>3</v>
      </c>
      <c r="U1964">
        <v>12.5</v>
      </c>
      <c r="V1964">
        <v>3660.1307189542486</v>
      </c>
      <c r="W1964">
        <v>1</v>
      </c>
    </row>
    <row r="1965" spans="1:23" x14ac:dyDescent="0.2">
      <c r="A1965">
        <v>2021</v>
      </c>
      <c r="B1965" t="s">
        <v>23</v>
      </c>
      <c r="C1965" t="s">
        <v>271</v>
      </c>
      <c r="D1965">
        <v>34</v>
      </c>
      <c r="E1965">
        <v>2</v>
      </c>
      <c r="F1965">
        <v>3</v>
      </c>
      <c r="G1965" t="s">
        <v>58</v>
      </c>
      <c r="H1965">
        <v>11</v>
      </c>
      <c r="I1965">
        <v>56</v>
      </c>
      <c r="J1965">
        <v>58</v>
      </c>
      <c r="K1965">
        <v>2</v>
      </c>
      <c r="L1965">
        <v>161</v>
      </c>
      <c r="M1965">
        <v>37</v>
      </c>
      <c r="N1965">
        <v>1</v>
      </c>
      <c r="O1965">
        <v>2</v>
      </c>
      <c r="P1965">
        <v>11</v>
      </c>
      <c r="Q1965">
        <v>1.21</v>
      </c>
      <c r="R1965">
        <v>11</v>
      </c>
      <c r="S1965">
        <v>1</v>
      </c>
      <c r="T1965">
        <v>3</v>
      </c>
      <c r="U1965">
        <v>12.5</v>
      </c>
      <c r="V1965">
        <v>4428.7581699346401</v>
      </c>
      <c r="W1965">
        <v>1</v>
      </c>
    </row>
    <row r="1966" spans="1:23" x14ac:dyDescent="0.2">
      <c r="A1966">
        <v>2021</v>
      </c>
      <c r="B1966" t="s">
        <v>23</v>
      </c>
      <c r="C1966" t="s">
        <v>271</v>
      </c>
      <c r="D1966">
        <v>35</v>
      </c>
      <c r="E1966">
        <v>1</v>
      </c>
      <c r="F1966">
        <v>9</v>
      </c>
      <c r="G1966" t="s">
        <v>59</v>
      </c>
      <c r="H1966" s="1">
        <v>15</v>
      </c>
      <c r="I1966" s="1">
        <v>68</v>
      </c>
      <c r="J1966" s="1">
        <v>69</v>
      </c>
      <c r="K1966" s="1">
        <f>J1966-I1966</f>
        <v>1</v>
      </c>
      <c r="L1966" s="1">
        <v>141</v>
      </c>
      <c r="M1966" s="1">
        <v>68</v>
      </c>
      <c r="N1966" s="1">
        <v>2</v>
      </c>
      <c r="O1966" s="1">
        <v>2.5</v>
      </c>
      <c r="P1966" s="1">
        <v>14</v>
      </c>
      <c r="Q1966" s="2">
        <v>0.66149999999999998</v>
      </c>
      <c r="R1966" s="1">
        <v>12</v>
      </c>
      <c r="S1966" s="1">
        <f>R1966/P1966</f>
        <v>0.8571428571428571</v>
      </c>
      <c r="T1966" s="1">
        <v>4</v>
      </c>
      <c r="U1966" s="1">
        <v>12.5</v>
      </c>
      <c r="V1966" s="1">
        <v>2421.1764705882356</v>
      </c>
      <c r="W1966" s="1">
        <v>4</v>
      </c>
    </row>
    <row r="1967" spans="1:23" x14ac:dyDescent="0.2">
      <c r="A1967">
        <v>2021</v>
      </c>
      <c r="B1967" t="s">
        <v>23</v>
      </c>
      <c r="C1967" t="s">
        <v>271</v>
      </c>
      <c r="D1967">
        <v>35</v>
      </c>
      <c r="E1967">
        <v>2</v>
      </c>
      <c r="F1967">
        <v>9</v>
      </c>
      <c r="G1967" t="s">
        <v>59</v>
      </c>
      <c r="H1967">
        <v>1</v>
      </c>
      <c r="I1967">
        <v>56</v>
      </c>
      <c r="J1967">
        <v>58</v>
      </c>
      <c r="K1967">
        <v>2</v>
      </c>
      <c r="L1967">
        <v>146</v>
      </c>
      <c r="M1967">
        <v>61</v>
      </c>
      <c r="N1967">
        <v>1.5</v>
      </c>
      <c r="O1967">
        <v>2.5</v>
      </c>
      <c r="P1967">
        <v>1</v>
      </c>
      <c r="Q1967">
        <v>0.2</v>
      </c>
      <c r="R1967">
        <v>1</v>
      </c>
      <c r="S1967">
        <v>1</v>
      </c>
      <c r="T1967" t="s">
        <v>273</v>
      </c>
      <c r="U1967">
        <v>12.5</v>
      </c>
      <c r="V1967">
        <v>732.02614379084969</v>
      </c>
      <c r="W1967">
        <v>1</v>
      </c>
    </row>
    <row r="1968" spans="1:23" x14ac:dyDescent="0.2">
      <c r="A1968">
        <v>2021</v>
      </c>
      <c r="B1968" t="s">
        <v>23</v>
      </c>
      <c r="C1968" t="s">
        <v>271</v>
      </c>
      <c r="D1968">
        <v>36</v>
      </c>
      <c r="E1968">
        <v>1</v>
      </c>
      <c r="F1968">
        <v>2</v>
      </c>
      <c r="G1968" t="s">
        <v>60</v>
      </c>
      <c r="H1968">
        <v>12</v>
      </c>
      <c r="I1968">
        <v>56</v>
      </c>
      <c r="J1968">
        <v>60</v>
      </c>
      <c r="K1968">
        <v>4</v>
      </c>
      <c r="L1968">
        <v>78</v>
      </c>
      <c r="M1968">
        <v>28</v>
      </c>
      <c r="N1968">
        <v>2</v>
      </c>
      <c r="O1968">
        <v>3</v>
      </c>
      <c r="P1968">
        <v>12</v>
      </c>
      <c r="Q1968">
        <v>1</v>
      </c>
      <c r="R1968">
        <v>12</v>
      </c>
      <c r="S1968">
        <v>1</v>
      </c>
      <c r="T1968">
        <v>3</v>
      </c>
      <c r="U1968">
        <v>12.5</v>
      </c>
      <c r="V1968">
        <v>3660.1307189542486</v>
      </c>
      <c r="W1968">
        <v>1</v>
      </c>
    </row>
    <row r="1969" spans="1:23" x14ac:dyDescent="0.2">
      <c r="A1969">
        <v>2021</v>
      </c>
      <c r="B1969" t="s">
        <v>23</v>
      </c>
      <c r="C1969" t="s">
        <v>271</v>
      </c>
      <c r="D1969">
        <v>36</v>
      </c>
      <c r="E1969">
        <v>2</v>
      </c>
      <c r="F1969">
        <v>13</v>
      </c>
      <c r="G1969" t="s">
        <v>60</v>
      </c>
      <c r="H1969">
        <v>7</v>
      </c>
      <c r="I1969">
        <v>60</v>
      </c>
      <c r="J1969">
        <v>63</v>
      </c>
      <c r="K1969">
        <v>3</v>
      </c>
      <c r="L1969">
        <v>102</v>
      </c>
      <c r="M1969">
        <v>22</v>
      </c>
      <c r="N1969">
        <v>2</v>
      </c>
      <c r="O1969">
        <v>3</v>
      </c>
      <c r="P1969">
        <v>7</v>
      </c>
      <c r="Q1969">
        <v>0.9</v>
      </c>
      <c r="R1969">
        <v>7</v>
      </c>
      <c r="S1969">
        <v>1</v>
      </c>
      <c r="T1969">
        <v>3</v>
      </c>
      <c r="U1969">
        <v>12.5</v>
      </c>
      <c r="V1969">
        <v>3294.1176470588234</v>
      </c>
      <c r="W1969">
        <v>2</v>
      </c>
    </row>
    <row r="1970" spans="1:23" x14ac:dyDescent="0.2">
      <c r="A1970">
        <v>2021</v>
      </c>
      <c r="B1970" t="s">
        <v>23</v>
      </c>
      <c r="C1970" t="s">
        <v>271</v>
      </c>
      <c r="D1970">
        <v>37</v>
      </c>
      <c r="E1970">
        <v>1</v>
      </c>
      <c r="F1970">
        <v>14</v>
      </c>
      <c r="G1970" t="s">
        <v>61</v>
      </c>
      <c r="H1970" s="1">
        <v>3</v>
      </c>
      <c r="I1970" s="1">
        <v>66</v>
      </c>
      <c r="J1970" s="1">
        <v>69</v>
      </c>
      <c r="K1970" s="1">
        <f>J1970-I1970</f>
        <v>3</v>
      </c>
      <c r="L1970" s="1">
        <v>90</v>
      </c>
      <c r="M1970" s="1">
        <v>30</v>
      </c>
      <c r="N1970" s="1">
        <v>1.5</v>
      </c>
      <c r="O1970" s="1">
        <v>4.5</v>
      </c>
      <c r="P1970" s="1">
        <v>2</v>
      </c>
      <c r="Q1970" s="2">
        <v>8.4000000000000005E-2</v>
      </c>
      <c r="R1970" s="1">
        <v>1</v>
      </c>
      <c r="S1970" s="1">
        <f>R1970/P1970</f>
        <v>0.5</v>
      </c>
      <c r="T1970" s="1">
        <v>3</v>
      </c>
      <c r="U1970" s="1">
        <v>12.5</v>
      </c>
      <c r="V1970" s="1">
        <v>307.45098039215685</v>
      </c>
      <c r="W1970" s="1">
        <v>5</v>
      </c>
    </row>
    <row r="1971" spans="1:23" x14ac:dyDescent="0.2">
      <c r="A1971">
        <v>2021</v>
      </c>
      <c r="B1971" t="s">
        <v>23</v>
      </c>
      <c r="C1971" t="s">
        <v>271</v>
      </c>
      <c r="D1971">
        <v>37</v>
      </c>
      <c r="E1971">
        <v>2</v>
      </c>
      <c r="F1971">
        <v>15</v>
      </c>
      <c r="G1971" t="s">
        <v>61</v>
      </c>
      <c r="H1971">
        <v>13</v>
      </c>
      <c r="I1971">
        <v>59</v>
      </c>
      <c r="J1971">
        <v>64</v>
      </c>
      <c r="K1971">
        <v>5</v>
      </c>
      <c r="L1971">
        <v>162</v>
      </c>
      <c r="M1971">
        <v>90</v>
      </c>
      <c r="N1971">
        <v>2</v>
      </c>
      <c r="O1971">
        <v>2.5</v>
      </c>
      <c r="P1971">
        <v>10</v>
      </c>
      <c r="Q1971">
        <v>1.5</v>
      </c>
      <c r="R1971">
        <v>10</v>
      </c>
      <c r="S1971">
        <v>1</v>
      </c>
      <c r="T1971">
        <v>2</v>
      </c>
      <c r="U1971">
        <v>8.8000000000000007</v>
      </c>
      <c r="V1971">
        <v>5722.3529411764712</v>
      </c>
      <c r="W1971">
        <v>2</v>
      </c>
    </row>
    <row r="1972" spans="1:23" x14ac:dyDescent="0.2">
      <c r="A1972">
        <v>2021</v>
      </c>
      <c r="B1972" t="s">
        <v>23</v>
      </c>
      <c r="C1972" t="s">
        <v>271</v>
      </c>
      <c r="D1972">
        <v>38</v>
      </c>
      <c r="E1972">
        <v>1</v>
      </c>
      <c r="F1972">
        <v>5</v>
      </c>
      <c r="G1972" t="s">
        <v>62</v>
      </c>
      <c r="H1972" s="1">
        <v>4</v>
      </c>
      <c r="I1972" s="1">
        <v>65</v>
      </c>
      <c r="J1972" s="1">
        <v>70</v>
      </c>
      <c r="K1972" s="1">
        <f>J1972-I1972</f>
        <v>5</v>
      </c>
      <c r="L1972" s="1">
        <v>101</v>
      </c>
      <c r="M1972" s="1">
        <v>46</v>
      </c>
      <c r="N1972" s="1">
        <v>2</v>
      </c>
      <c r="O1972" s="1">
        <v>4</v>
      </c>
      <c r="P1972" s="1">
        <v>2</v>
      </c>
      <c r="Q1972" s="2">
        <v>0.20499999999999999</v>
      </c>
      <c r="R1972" s="1">
        <v>2</v>
      </c>
      <c r="S1972" s="1">
        <f>R1972/P1972</f>
        <v>1</v>
      </c>
      <c r="T1972" s="1">
        <v>4</v>
      </c>
      <c r="U1972" s="1">
        <v>12.5</v>
      </c>
      <c r="V1972" s="1">
        <v>750.32679738562092</v>
      </c>
      <c r="W1972" s="1">
        <v>5</v>
      </c>
    </row>
    <row r="1973" spans="1:23" x14ac:dyDescent="0.2">
      <c r="A1973">
        <v>2021</v>
      </c>
      <c r="B1973" t="s">
        <v>23</v>
      </c>
      <c r="C1973" t="s">
        <v>271</v>
      </c>
      <c r="D1973">
        <v>38</v>
      </c>
      <c r="E1973">
        <v>2</v>
      </c>
      <c r="F1973">
        <v>3</v>
      </c>
      <c r="G1973" t="s">
        <v>62</v>
      </c>
      <c r="H1973">
        <v>1</v>
      </c>
      <c r="I1973">
        <v>55</v>
      </c>
      <c r="J1973">
        <v>56</v>
      </c>
      <c r="K1973">
        <v>1</v>
      </c>
      <c r="L1973">
        <v>147</v>
      </c>
      <c r="M1973">
        <v>27</v>
      </c>
      <c r="N1973">
        <v>3</v>
      </c>
      <c r="O1973">
        <v>3</v>
      </c>
      <c r="P1973">
        <v>1</v>
      </c>
      <c r="Q1973">
        <v>0.13100000000000001</v>
      </c>
      <c r="R1973">
        <v>2</v>
      </c>
      <c r="S1973">
        <v>2</v>
      </c>
      <c r="T1973">
        <v>2</v>
      </c>
      <c r="U1973">
        <v>12.5</v>
      </c>
      <c r="V1973">
        <v>479.47712418300648</v>
      </c>
      <c r="W1973">
        <v>1</v>
      </c>
    </row>
    <row r="1974" spans="1:23" x14ac:dyDescent="0.2">
      <c r="A1974">
        <v>2021</v>
      </c>
      <c r="B1974" t="s">
        <v>23</v>
      </c>
      <c r="C1974" t="s">
        <v>271</v>
      </c>
      <c r="D1974">
        <v>39</v>
      </c>
      <c r="E1974">
        <v>1</v>
      </c>
      <c r="F1974">
        <v>15</v>
      </c>
      <c r="G1974" t="s">
        <v>63</v>
      </c>
      <c r="H1974" s="1">
        <v>10</v>
      </c>
      <c r="I1974" s="1">
        <v>62</v>
      </c>
      <c r="J1974" s="1">
        <v>66</v>
      </c>
      <c r="K1974" s="1">
        <f>J1974-I1974</f>
        <v>4</v>
      </c>
      <c r="L1974" s="1">
        <v>148</v>
      </c>
      <c r="M1974" s="1">
        <v>60</v>
      </c>
      <c r="N1974" s="1">
        <v>2.5</v>
      </c>
      <c r="O1974" s="1">
        <v>4.5</v>
      </c>
      <c r="P1974" s="1">
        <v>8</v>
      </c>
      <c r="Q1974" s="2">
        <v>0.26</v>
      </c>
      <c r="R1974" s="1">
        <v>6</v>
      </c>
      <c r="S1974" s="1">
        <f>R1974/P1974</f>
        <v>0.75</v>
      </c>
      <c r="T1974" s="1">
        <v>3.5</v>
      </c>
      <c r="U1974" s="1">
        <v>12.5</v>
      </c>
      <c r="V1974" s="1">
        <v>951.63398692810449</v>
      </c>
      <c r="W1974" s="1">
        <v>4</v>
      </c>
    </row>
    <row r="1975" spans="1:23" x14ac:dyDescent="0.2">
      <c r="A1975">
        <v>2021</v>
      </c>
      <c r="B1975" t="s">
        <v>23</v>
      </c>
      <c r="C1975" t="s">
        <v>271</v>
      </c>
      <c r="D1975">
        <v>39</v>
      </c>
      <c r="E1975">
        <v>2</v>
      </c>
      <c r="F1975">
        <v>4</v>
      </c>
      <c r="G1975" t="s">
        <v>63</v>
      </c>
      <c r="H1975" s="1">
        <v>8</v>
      </c>
      <c r="I1975" s="1">
        <v>62</v>
      </c>
      <c r="J1975" s="1">
        <v>67</v>
      </c>
      <c r="K1975" s="1">
        <f>J1975-I1975</f>
        <v>5</v>
      </c>
      <c r="L1975" s="1">
        <v>86</v>
      </c>
      <c r="M1975" s="1">
        <v>15</v>
      </c>
      <c r="N1975" s="1">
        <v>2</v>
      </c>
      <c r="O1975" s="1">
        <v>4</v>
      </c>
      <c r="P1975" s="1">
        <v>5</v>
      </c>
      <c r="Q1975" s="2">
        <v>0.19800000000000001</v>
      </c>
      <c r="R1975" s="1">
        <v>4</v>
      </c>
      <c r="S1975" s="1">
        <f>R1975/P1975</f>
        <v>0.8</v>
      </c>
      <c r="T1975" s="1">
        <v>5</v>
      </c>
      <c r="U1975" s="1">
        <v>12.5</v>
      </c>
      <c r="V1975" s="1">
        <v>724.7058823529411</v>
      </c>
      <c r="W1975" s="1">
        <v>5</v>
      </c>
    </row>
    <row r="1976" spans="1:23" x14ac:dyDescent="0.2">
      <c r="A1976">
        <v>2021</v>
      </c>
      <c r="B1976" t="s">
        <v>23</v>
      </c>
      <c r="C1976" t="s">
        <v>271</v>
      </c>
      <c r="D1976">
        <v>40</v>
      </c>
      <c r="E1976">
        <v>1</v>
      </c>
      <c r="F1976">
        <v>12</v>
      </c>
      <c r="G1976" t="s">
        <v>64</v>
      </c>
      <c r="H1976" s="1">
        <v>9</v>
      </c>
      <c r="I1976" s="1">
        <v>67</v>
      </c>
      <c r="J1976" s="1">
        <v>70</v>
      </c>
      <c r="K1976" s="1">
        <f>J1976-I1976</f>
        <v>3</v>
      </c>
      <c r="L1976" s="1">
        <v>47</v>
      </c>
      <c r="M1976" s="1">
        <v>45</v>
      </c>
      <c r="N1976" s="1">
        <v>2</v>
      </c>
      <c r="O1976" s="1">
        <v>2.5</v>
      </c>
      <c r="P1976" s="1">
        <f>H1976</f>
        <v>9</v>
      </c>
      <c r="Q1976" s="2">
        <v>0.12</v>
      </c>
      <c r="R1976" s="1">
        <v>9</v>
      </c>
      <c r="S1976" s="1">
        <f>R1976/P1976</f>
        <v>1</v>
      </c>
      <c r="T1976" s="1">
        <v>3</v>
      </c>
      <c r="U1976" s="1">
        <v>12.5</v>
      </c>
      <c r="V1976" s="1">
        <v>439.21568627450984</v>
      </c>
      <c r="W1976" s="1">
        <v>3</v>
      </c>
    </row>
    <row r="1977" spans="1:23" x14ac:dyDescent="0.2">
      <c r="A1977">
        <v>2021</v>
      </c>
      <c r="B1977" t="s">
        <v>23</v>
      </c>
      <c r="C1977" t="s">
        <v>271</v>
      </c>
      <c r="D1977">
        <v>40</v>
      </c>
      <c r="E1977">
        <v>2</v>
      </c>
      <c r="F1977">
        <v>14</v>
      </c>
      <c r="G1977" t="s">
        <v>64</v>
      </c>
      <c r="H1977">
        <v>14</v>
      </c>
      <c r="I1977">
        <v>55</v>
      </c>
      <c r="J1977">
        <v>57</v>
      </c>
      <c r="K1977">
        <v>2</v>
      </c>
      <c r="L1977">
        <v>156</v>
      </c>
      <c r="M1977">
        <v>81</v>
      </c>
      <c r="N1977">
        <v>1.5</v>
      </c>
      <c r="O1977">
        <v>2</v>
      </c>
      <c r="P1977">
        <v>14</v>
      </c>
      <c r="Q1977">
        <v>1.3</v>
      </c>
      <c r="R1977">
        <v>16</v>
      </c>
      <c r="S1977">
        <v>1.1428571428571428</v>
      </c>
      <c r="T1977">
        <v>2</v>
      </c>
      <c r="U1977">
        <v>12.5</v>
      </c>
      <c r="V1977">
        <v>4758.169934640523</v>
      </c>
      <c r="W1977">
        <v>1</v>
      </c>
    </row>
    <row r="1978" spans="1:23" x14ac:dyDescent="0.2">
      <c r="A1978">
        <v>2021</v>
      </c>
      <c r="B1978" t="s">
        <v>23</v>
      </c>
      <c r="C1978" t="s">
        <v>271</v>
      </c>
      <c r="D1978">
        <v>41</v>
      </c>
      <c r="E1978">
        <v>1</v>
      </c>
      <c r="F1978">
        <v>7</v>
      </c>
      <c r="G1978" t="s">
        <v>65</v>
      </c>
      <c r="H1978" s="1">
        <v>10</v>
      </c>
      <c r="I1978" s="1">
        <v>68</v>
      </c>
      <c r="J1978" s="1">
        <v>73</v>
      </c>
      <c r="K1978" s="1">
        <f>J1978-I1978</f>
        <v>5</v>
      </c>
      <c r="L1978" s="1">
        <v>115</v>
      </c>
      <c r="M1978" s="1">
        <v>32</v>
      </c>
      <c r="N1978" s="1">
        <v>3</v>
      </c>
      <c r="O1978" s="1">
        <v>5</v>
      </c>
      <c r="P1978" s="1">
        <v>2</v>
      </c>
      <c r="Q1978" s="2">
        <v>0.10199999999999999</v>
      </c>
      <c r="R1978" s="1">
        <v>2</v>
      </c>
      <c r="S1978" s="1">
        <f>R1978/P1978</f>
        <v>1</v>
      </c>
      <c r="T1978" s="1">
        <v>5</v>
      </c>
      <c r="U1978" s="1">
        <v>12.5</v>
      </c>
      <c r="V1978" s="1">
        <v>373.33333333333326</v>
      </c>
      <c r="W1978" s="1">
        <v>5</v>
      </c>
    </row>
    <row r="1979" spans="1:23" x14ac:dyDescent="0.2">
      <c r="A1979">
        <v>2021</v>
      </c>
      <c r="B1979" t="s">
        <v>23</v>
      </c>
      <c r="C1979" t="s">
        <v>271</v>
      </c>
      <c r="D1979">
        <v>41</v>
      </c>
      <c r="E1979">
        <v>2</v>
      </c>
      <c r="F1979">
        <v>9</v>
      </c>
      <c r="G1979" t="s">
        <v>65</v>
      </c>
      <c r="H1979" s="1">
        <v>6</v>
      </c>
      <c r="I1979" s="1">
        <v>70</v>
      </c>
      <c r="J1979" s="1">
        <v>73</v>
      </c>
      <c r="K1979" s="1">
        <f>J1979-I1979</f>
        <v>3</v>
      </c>
      <c r="L1979" s="1">
        <v>152</v>
      </c>
      <c r="M1979" s="1">
        <v>125</v>
      </c>
      <c r="N1979" s="1">
        <v>2</v>
      </c>
      <c r="O1979" s="1">
        <v>2.5</v>
      </c>
      <c r="P1979" s="1">
        <v>6</v>
      </c>
      <c r="Q1979" s="2">
        <v>0.25775999999999999</v>
      </c>
      <c r="R1979" s="1">
        <v>5</v>
      </c>
      <c r="S1979" s="1">
        <f>R1979/P1979</f>
        <v>0.83333333333333337</v>
      </c>
      <c r="T1979" s="1">
        <v>3</v>
      </c>
      <c r="U1979" s="1">
        <v>12.5</v>
      </c>
      <c r="V1979" s="1">
        <v>943.435294117647</v>
      </c>
      <c r="W1979" s="1">
        <v>3</v>
      </c>
    </row>
    <row r="1980" spans="1:23" x14ac:dyDescent="0.2">
      <c r="A1980">
        <v>2021</v>
      </c>
      <c r="B1980" t="s">
        <v>23</v>
      </c>
      <c r="C1980" t="s">
        <v>271</v>
      </c>
      <c r="D1980">
        <v>42</v>
      </c>
      <c r="E1980">
        <v>1</v>
      </c>
      <c r="F1980">
        <v>3</v>
      </c>
      <c r="G1980" t="s">
        <v>66</v>
      </c>
      <c r="H1980" s="3">
        <v>2</v>
      </c>
      <c r="I1980" s="3">
        <v>70</v>
      </c>
      <c r="J1980" s="3">
        <v>72</v>
      </c>
      <c r="K1980" s="3">
        <f>J1980-I1980</f>
        <v>2</v>
      </c>
      <c r="L1980" s="3">
        <v>158</v>
      </c>
      <c r="M1980" s="3">
        <v>77</v>
      </c>
      <c r="N1980" s="3">
        <v>2</v>
      </c>
      <c r="O1980" s="3">
        <v>2.5</v>
      </c>
      <c r="P1980" s="3">
        <v>8</v>
      </c>
      <c r="Q1980" s="4">
        <v>0.33</v>
      </c>
      <c r="R1980" s="3">
        <v>6</v>
      </c>
      <c r="S1980" s="3">
        <f>R1980/P1980</f>
        <v>0.75</v>
      </c>
      <c r="T1980" s="3">
        <v>4</v>
      </c>
      <c r="U1980" s="3">
        <v>12.5</v>
      </c>
      <c r="V1980" s="3">
        <v>1207.8431372549019</v>
      </c>
      <c r="W1980" s="3">
        <v>5</v>
      </c>
    </row>
    <row r="1981" spans="1:23" x14ac:dyDescent="0.2">
      <c r="A1981">
        <v>2021</v>
      </c>
      <c r="B1981" t="s">
        <v>23</v>
      </c>
      <c r="C1981" t="s">
        <v>271</v>
      </c>
      <c r="D1981">
        <v>42</v>
      </c>
      <c r="E1981">
        <v>2</v>
      </c>
      <c r="F1981">
        <v>13</v>
      </c>
      <c r="G1981" t="s">
        <v>66</v>
      </c>
      <c r="H1981">
        <v>1</v>
      </c>
      <c r="I1981">
        <v>63</v>
      </c>
      <c r="J1981">
        <v>65</v>
      </c>
      <c r="K1981">
        <v>2</v>
      </c>
      <c r="L1981">
        <v>165</v>
      </c>
      <c r="M1981">
        <v>75</v>
      </c>
      <c r="N1981">
        <v>1.5</v>
      </c>
      <c r="O1981">
        <v>2.5</v>
      </c>
      <c r="P1981">
        <v>1</v>
      </c>
      <c r="Q1981">
        <v>0.1</v>
      </c>
      <c r="R1981">
        <v>1</v>
      </c>
      <c r="S1981">
        <v>1</v>
      </c>
      <c r="T1981" t="s">
        <v>273</v>
      </c>
      <c r="U1981">
        <v>12.5</v>
      </c>
      <c r="V1981">
        <v>366.01307189542484</v>
      </c>
      <c r="W1981">
        <v>2</v>
      </c>
    </row>
    <row r="1982" spans="1:23" x14ac:dyDescent="0.2">
      <c r="A1982">
        <v>2021</v>
      </c>
      <c r="B1982" t="s">
        <v>23</v>
      </c>
      <c r="C1982" t="s">
        <v>271</v>
      </c>
      <c r="D1982">
        <v>43</v>
      </c>
      <c r="E1982">
        <v>1</v>
      </c>
      <c r="F1982">
        <v>10</v>
      </c>
      <c r="G1982" t="s">
        <v>67</v>
      </c>
      <c r="H1982">
        <v>13</v>
      </c>
      <c r="I1982">
        <v>50</v>
      </c>
      <c r="J1982">
        <v>53</v>
      </c>
      <c r="K1982">
        <v>3</v>
      </c>
      <c r="L1982">
        <v>165</v>
      </c>
      <c r="M1982">
        <v>52</v>
      </c>
      <c r="N1982">
        <v>2</v>
      </c>
      <c r="O1982">
        <v>2</v>
      </c>
      <c r="P1982">
        <v>10</v>
      </c>
      <c r="Q1982">
        <v>0.9</v>
      </c>
      <c r="R1982">
        <v>10</v>
      </c>
      <c r="S1982">
        <v>1</v>
      </c>
      <c r="T1982">
        <v>2</v>
      </c>
      <c r="U1982">
        <v>11.4</v>
      </c>
      <c r="V1982">
        <v>3335.5294117647059</v>
      </c>
      <c r="W1982">
        <v>2</v>
      </c>
    </row>
    <row r="1983" spans="1:23" x14ac:dyDescent="0.2">
      <c r="A1983">
        <v>2021</v>
      </c>
      <c r="B1983" t="s">
        <v>23</v>
      </c>
      <c r="C1983" t="s">
        <v>271</v>
      </c>
      <c r="D1983">
        <v>43</v>
      </c>
      <c r="E1983">
        <v>2</v>
      </c>
      <c r="F1983">
        <v>10</v>
      </c>
      <c r="G1983" t="s">
        <v>67</v>
      </c>
      <c r="H1983" s="1">
        <v>10</v>
      </c>
      <c r="I1983" s="1">
        <v>62</v>
      </c>
      <c r="J1983" s="1">
        <v>66</v>
      </c>
      <c r="K1983" s="1">
        <f>J1983-I1983</f>
        <v>4</v>
      </c>
      <c r="L1983" s="1">
        <v>137</v>
      </c>
      <c r="M1983" s="1">
        <v>51</v>
      </c>
      <c r="N1983" s="1">
        <v>2</v>
      </c>
      <c r="O1983" s="1">
        <v>3.5</v>
      </c>
      <c r="P1983" s="1">
        <v>9</v>
      </c>
      <c r="Q1983" s="2">
        <v>0.17959999999999998</v>
      </c>
      <c r="R1983" s="1">
        <v>9</v>
      </c>
      <c r="S1983" s="1">
        <f>R1983/P1983</f>
        <v>1</v>
      </c>
      <c r="T1983" s="1">
        <v>3</v>
      </c>
      <c r="U1983" s="1">
        <v>12.5</v>
      </c>
      <c r="V1983" s="1">
        <v>657.35947712418283</v>
      </c>
      <c r="W1983" s="1">
        <v>4</v>
      </c>
    </row>
    <row r="1984" spans="1:23" x14ac:dyDescent="0.2">
      <c r="A1984">
        <v>2021</v>
      </c>
      <c r="B1984" t="s">
        <v>23</v>
      </c>
      <c r="C1984" t="s">
        <v>271</v>
      </c>
      <c r="D1984">
        <v>44</v>
      </c>
      <c r="E1984">
        <v>1</v>
      </c>
      <c r="F1984">
        <v>14</v>
      </c>
      <c r="G1984" t="s">
        <v>68</v>
      </c>
      <c r="H1984" s="1">
        <v>8</v>
      </c>
      <c r="I1984" s="1">
        <v>66</v>
      </c>
      <c r="J1984" s="1">
        <v>70</v>
      </c>
      <c r="K1984" s="1">
        <f>J1984-I1984</f>
        <v>4</v>
      </c>
      <c r="L1984" s="1">
        <v>171</v>
      </c>
      <c r="M1984" s="1">
        <v>64</v>
      </c>
      <c r="N1984" s="1">
        <v>1.5</v>
      </c>
      <c r="O1984" s="1">
        <v>4</v>
      </c>
      <c r="P1984" s="1">
        <v>6</v>
      </c>
      <c r="Q1984" s="2">
        <v>0.184</v>
      </c>
      <c r="R1984" s="1">
        <v>5</v>
      </c>
      <c r="S1984" s="1">
        <f>R1984/P1984</f>
        <v>0.83333333333333337</v>
      </c>
      <c r="T1984" s="1">
        <v>3.5</v>
      </c>
      <c r="U1984" s="1">
        <v>12.5</v>
      </c>
      <c r="V1984" s="1">
        <v>673.46405228758169</v>
      </c>
      <c r="W1984" s="1">
        <v>4</v>
      </c>
    </row>
    <row r="1985" spans="1:23" x14ac:dyDescent="0.2">
      <c r="A1985">
        <v>2021</v>
      </c>
      <c r="B1985" t="s">
        <v>23</v>
      </c>
      <c r="C1985" t="s">
        <v>271</v>
      </c>
      <c r="D1985">
        <v>44</v>
      </c>
      <c r="E1985">
        <v>2</v>
      </c>
      <c r="F1985">
        <v>12</v>
      </c>
      <c r="G1985" t="s">
        <v>68</v>
      </c>
      <c r="H1985">
        <v>12</v>
      </c>
      <c r="I1985">
        <v>50</v>
      </c>
      <c r="J1985">
        <v>52</v>
      </c>
      <c r="K1985">
        <v>2</v>
      </c>
      <c r="L1985">
        <v>162</v>
      </c>
      <c r="M1985">
        <v>62</v>
      </c>
      <c r="N1985">
        <v>2</v>
      </c>
      <c r="O1985">
        <v>2</v>
      </c>
      <c r="P1985">
        <v>10</v>
      </c>
      <c r="Q1985">
        <v>1.1000000000000001</v>
      </c>
      <c r="R1985">
        <v>8</v>
      </c>
      <c r="S1985">
        <v>0.8</v>
      </c>
      <c r="T1985">
        <v>3</v>
      </c>
      <c r="U1985">
        <v>12.5</v>
      </c>
      <c r="V1985">
        <v>4026.1437908496737</v>
      </c>
      <c r="W1985">
        <v>2</v>
      </c>
    </row>
    <row r="1986" spans="1:23" x14ac:dyDescent="0.2">
      <c r="A1986">
        <v>2021</v>
      </c>
      <c r="B1986" t="s">
        <v>23</v>
      </c>
      <c r="C1986" t="s">
        <v>271</v>
      </c>
      <c r="D1986">
        <v>45</v>
      </c>
      <c r="E1986">
        <v>1</v>
      </c>
      <c r="F1986">
        <v>7</v>
      </c>
      <c r="G1986" t="s">
        <v>69</v>
      </c>
      <c r="H1986" s="1">
        <v>5</v>
      </c>
      <c r="I1986" s="1">
        <v>63</v>
      </c>
      <c r="J1986" s="1">
        <v>64</v>
      </c>
      <c r="K1986" s="1">
        <f>J1986-I1986</f>
        <v>1</v>
      </c>
      <c r="L1986" s="1">
        <v>193</v>
      </c>
      <c r="M1986" s="1">
        <v>93</v>
      </c>
      <c r="N1986" s="1">
        <v>2</v>
      </c>
      <c r="O1986" s="1">
        <v>3</v>
      </c>
      <c r="P1986" s="1">
        <v>4</v>
      </c>
      <c r="Q1986" s="2">
        <v>4.725E-2</v>
      </c>
      <c r="R1986" s="1">
        <v>5</v>
      </c>
      <c r="S1986" s="1">
        <f>R1986/P1986</f>
        <v>1.25</v>
      </c>
      <c r="T1986" s="1">
        <v>5</v>
      </c>
      <c r="U1986" s="1">
        <v>12.5</v>
      </c>
      <c r="V1986" s="1">
        <v>172.94117647058823</v>
      </c>
      <c r="W1986" s="1">
        <v>4</v>
      </c>
    </row>
    <row r="1987" spans="1:23" x14ac:dyDescent="0.2">
      <c r="A1987">
        <v>2021</v>
      </c>
      <c r="B1987" t="s">
        <v>23</v>
      </c>
      <c r="C1987" t="s">
        <v>271</v>
      </c>
      <c r="D1987">
        <v>45</v>
      </c>
      <c r="E1987">
        <v>2</v>
      </c>
      <c r="F1987">
        <v>11</v>
      </c>
      <c r="G1987" t="s">
        <v>69</v>
      </c>
      <c r="H1987">
        <v>6</v>
      </c>
      <c r="I1987">
        <v>62</v>
      </c>
      <c r="J1987">
        <v>66</v>
      </c>
      <c r="K1987">
        <v>4</v>
      </c>
      <c r="L1987">
        <v>67</v>
      </c>
      <c r="M1987">
        <v>20</v>
      </c>
      <c r="N1987">
        <v>4</v>
      </c>
      <c r="O1987">
        <v>5</v>
      </c>
      <c r="P1987">
        <v>5</v>
      </c>
      <c r="Q1987">
        <v>0.13500000000000001</v>
      </c>
      <c r="R1987">
        <v>3</v>
      </c>
      <c r="S1987">
        <v>0.6</v>
      </c>
      <c r="T1987">
        <v>3</v>
      </c>
      <c r="U1987">
        <v>12.5</v>
      </c>
      <c r="V1987">
        <v>494.11764705882354</v>
      </c>
      <c r="W1987">
        <v>1</v>
      </c>
    </row>
    <row r="1988" spans="1:23" x14ac:dyDescent="0.2">
      <c r="A1988">
        <v>2021</v>
      </c>
      <c r="B1988" t="s">
        <v>23</v>
      </c>
      <c r="C1988" t="s">
        <v>271</v>
      </c>
      <c r="D1988">
        <v>46</v>
      </c>
      <c r="E1988">
        <v>1</v>
      </c>
      <c r="F1988">
        <v>8</v>
      </c>
      <c r="G1988" t="s">
        <v>70</v>
      </c>
      <c r="H1988" s="1">
        <v>2</v>
      </c>
      <c r="I1988" s="1">
        <v>64</v>
      </c>
      <c r="J1988" s="1">
        <v>67</v>
      </c>
      <c r="K1988" s="1">
        <f>J1988-I1988</f>
        <v>3</v>
      </c>
      <c r="L1988" s="1">
        <v>86</v>
      </c>
      <c r="M1988" s="1">
        <v>30</v>
      </c>
      <c r="N1988" s="1">
        <v>1.5</v>
      </c>
      <c r="O1988" s="1">
        <v>5</v>
      </c>
      <c r="P1988" s="1">
        <v>2</v>
      </c>
      <c r="Q1988" s="2">
        <v>7.4999999999999997E-3</v>
      </c>
      <c r="R1988" s="1">
        <v>1</v>
      </c>
      <c r="S1988" s="1">
        <f>R1988/P1988</f>
        <v>0.5</v>
      </c>
      <c r="T1988" s="1">
        <v>5</v>
      </c>
      <c r="U1988" s="1">
        <v>12.5</v>
      </c>
      <c r="V1988" s="1">
        <v>27.450980392156865</v>
      </c>
      <c r="W1988" s="1">
        <v>5</v>
      </c>
    </row>
    <row r="1989" spans="1:23" x14ac:dyDescent="0.2">
      <c r="A1989">
        <v>2021</v>
      </c>
      <c r="B1989" t="s">
        <v>23</v>
      </c>
      <c r="C1989" t="s">
        <v>271</v>
      </c>
      <c r="D1989">
        <v>46</v>
      </c>
      <c r="E1989">
        <v>2</v>
      </c>
      <c r="F1989">
        <v>15</v>
      </c>
      <c r="G1989" t="s">
        <v>70</v>
      </c>
      <c r="H1989" s="1">
        <v>9</v>
      </c>
      <c r="I1989" s="1">
        <v>67</v>
      </c>
      <c r="J1989" s="1">
        <v>72</v>
      </c>
      <c r="K1989" s="1">
        <f>J1989-I1989</f>
        <v>5</v>
      </c>
      <c r="L1989" s="1">
        <v>127</v>
      </c>
      <c r="M1989" s="1">
        <v>80</v>
      </c>
      <c r="N1989" s="1">
        <v>2</v>
      </c>
      <c r="O1989" s="1">
        <v>3.5</v>
      </c>
      <c r="P1989" s="1">
        <f>H1989</f>
        <v>9</v>
      </c>
      <c r="Q1989" s="2">
        <v>5.3249999999999999E-2</v>
      </c>
      <c r="R1989" s="1">
        <v>9</v>
      </c>
      <c r="S1989" s="1">
        <f>R1989/P1989</f>
        <v>1</v>
      </c>
      <c r="T1989" s="1">
        <v>5</v>
      </c>
      <c r="U1989" s="1">
        <v>12.5</v>
      </c>
      <c r="V1989" s="1">
        <v>194.9019607843137</v>
      </c>
      <c r="W1989" s="1">
        <v>6</v>
      </c>
    </row>
    <row r="1990" spans="1:23" x14ac:dyDescent="0.2">
      <c r="A1990">
        <v>2021</v>
      </c>
      <c r="B1990" t="s">
        <v>23</v>
      </c>
      <c r="C1990" t="s">
        <v>271</v>
      </c>
      <c r="D1990">
        <v>47</v>
      </c>
      <c r="E1990">
        <v>1</v>
      </c>
      <c r="F1990">
        <v>9</v>
      </c>
      <c r="G1990" t="s">
        <v>71</v>
      </c>
      <c r="H1990">
        <v>15</v>
      </c>
      <c r="I1990">
        <v>53</v>
      </c>
      <c r="J1990">
        <v>54</v>
      </c>
      <c r="K1990">
        <v>1</v>
      </c>
      <c r="L1990">
        <v>130</v>
      </c>
      <c r="M1990">
        <v>68</v>
      </c>
      <c r="N1990">
        <v>2</v>
      </c>
      <c r="O1990">
        <v>1.5</v>
      </c>
      <c r="P1990">
        <v>15</v>
      </c>
      <c r="Q1990">
        <v>1.6</v>
      </c>
      <c r="R1990">
        <v>13</v>
      </c>
      <c r="S1990">
        <v>0.8666666666666667</v>
      </c>
      <c r="T1990">
        <v>2</v>
      </c>
      <c r="U1990">
        <v>10.6</v>
      </c>
      <c r="V1990">
        <v>5983.3725490196093</v>
      </c>
      <c r="W1990">
        <v>2</v>
      </c>
    </row>
    <row r="1991" spans="1:23" x14ac:dyDescent="0.2">
      <c r="A1991">
        <v>2021</v>
      </c>
      <c r="B1991" t="s">
        <v>23</v>
      </c>
      <c r="C1991" t="s">
        <v>271</v>
      </c>
      <c r="D1991">
        <v>47</v>
      </c>
      <c r="E1991">
        <v>2</v>
      </c>
      <c r="F1991">
        <v>7</v>
      </c>
      <c r="G1991" t="s">
        <v>71</v>
      </c>
      <c r="H1991">
        <v>9</v>
      </c>
      <c r="I1991">
        <v>64</v>
      </c>
      <c r="J1991">
        <v>67</v>
      </c>
      <c r="K1991">
        <v>3</v>
      </c>
      <c r="L1991">
        <v>122</v>
      </c>
      <c r="M1991">
        <v>55</v>
      </c>
      <c r="N1991">
        <v>1.5</v>
      </c>
      <c r="O1991">
        <v>3.5</v>
      </c>
      <c r="P1991">
        <v>9</v>
      </c>
      <c r="Q1991">
        <v>0.5</v>
      </c>
      <c r="R1991">
        <v>7</v>
      </c>
      <c r="S1991">
        <v>0.77777777777777779</v>
      </c>
      <c r="T1991">
        <v>2.5</v>
      </c>
      <c r="U1991">
        <v>12.5</v>
      </c>
      <c r="V1991">
        <v>1830.0653594771243</v>
      </c>
      <c r="W1991">
        <v>1</v>
      </c>
    </row>
    <row r="1992" spans="1:23" x14ac:dyDescent="0.2">
      <c r="A1992">
        <v>2021</v>
      </c>
      <c r="B1992" t="s">
        <v>23</v>
      </c>
      <c r="C1992" t="s">
        <v>271</v>
      </c>
      <c r="D1992">
        <v>48</v>
      </c>
      <c r="E1992">
        <v>1</v>
      </c>
      <c r="F1992">
        <v>4</v>
      </c>
      <c r="G1992" t="s">
        <v>72</v>
      </c>
      <c r="H1992">
        <v>15</v>
      </c>
      <c r="I1992">
        <v>58</v>
      </c>
      <c r="J1992">
        <v>58</v>
      </c>
      <c r="K1992">
        <v>0</v>
      </c>
      <c r="L1992">
        <v>156</v>
      </c>
      <c r="M1992">
        <v>59</v>
      </c>
      <c r="N1992">
        <v>2</v>
      </c>
      <c r="O1992">
        <v>2</v>
      </c>
      <c r="P1992">
        <v>15</v>
      </c>
      <c r="Q1992">
        <v>1.5</v>
      </c>
      <c r="R1992">
        <v>10</v>
      </c>
      <c r="S1992">
        <v>0.66666666666666663</v>
      </c>
      <c r="T1992">
        <v>2</v>
      </c>
      <c r="U1992">
        <v>10.199999999999999</v>
      </c>
      <c r="V1992">
        <v>5634.5098039215691</v>
      </c>
      <c r="W1992">
        <v>1</v>
      </c>
    </row>
    <row r="1993" spans="1:23" x14ac:dyDescent="0.2">
      <c r="A1993">
        <v>2021</v>
      </c>
      <c r="B1993" t="s">
        <v>23</v>
      </c>
      <c r="C1993" t="s">
        <v>271</v>
      </c>
      <c r="D1993">
        <v>48</v>
      </c>
      <c r="E1993">
        <v>2</v>
      </c>
      <c r="F1993">
        <v>5</v>
      </c>
      <c r="G1993" t="s">
        <v>72</v>
      </c>
      <c r="H1993" s="1">
        <v>4</v>
      </c>
      <c r="I1993" s="1">
        <v>61</v>
      </c>
      <c r="J1993" s="1">
        <v>66</v>
      </c>
      <c r="K1993" s="1">
        <f>J1993-I1993</f>
        <v>5</v>
      </c>
      <c r="L1993" s="1">
        <v>101</v>
      </c>
      <c r="M1993" s="1">
        <v>41</v>
      </c>
      <c r="N1993" s="1">
        <v>2</v>
      </c>
      <c r="O1993" s="1">
        <v>3.5</v>
      </c>
      <c r="P1993" s="1">
        <v>4</v>
      </c>
      <c r="Q1993" s="2">
        <v>0.32</v>
      </c>
      <c r="R1993" s="1">
        <v>3</v>
      </c>
      <c r="S1993" s="1">
        <f>R1993/P1993</f>
        <v>0.75</v>
      </c>
      <c r="T1993" s="1">
        <v>3.5</v>
      </c>
      <c r="U1993" s="1">
        <v>12.5</v>
      </c>
      <c r="V1993" s="1">
        <v>1171.2418300653596</v>
      </c>
      <c r="W1993" s="1">
        <v>3</v>
      </c>
    </row>
    <row r="1994" spans="1:23" x14ac:dyDescent="0.2">
      <c r="A1994">
        <v>2021</v>
      </c>
      <c r="B1994" t="s">
        <v>23</v>
      </c>
      <c r="C1994" t="s">
        <v>271</v>
      </c>
      <c r="D1994">
        <v>49</v>
      </c>
      <c r="E1994">
        <v>1</v>
      </c>
      <c r="F1994">
        <v>6</v>
      </c>
      <c r="G1994" t="s">
        <v>73</v>
      </c>
      <c r="H1994">
        <v>7</v>
      </c>
      <c r="I1994">
        <v>55</v>
      </c>
      <c r="J1994">
        <v>57</v>
      </c>
      <c r="K1994">
        <v>2</v>
      </c>
      <c r="L1994">
        <v>143</v>
      </c>
      <c r="M1994">
        <v>29</v>
      </c>
      <c r="N1994">
        <v>3</v>
      </c>
      <c r="O1994">
        <v>3</v>
      </c>
      <c r="P1994">
        <v>7</v>
      </c>
      <c r="Q1994">
        <v>0.161</v>
      </c>
      <c r="R1994">
        <v>3</v>
      </c>
      <c r="S1994">
        <v>0.42857142857142855</v>
      </c>
      <c r="T1994">
        <v>4</v>
      </c>
      <c r="U1994">
        <v>12.5</v>
      </c>
      <c r="V1994">
        <v>589.281045751634</v>
      </c>
      <c r="W1994">
        <v>1</v>
      </c>
    </row>
    <row r="1995" spans="1:23" x14ac:dyDescent="0.2">
      <c r="A1995">
        <v>2021</v>
      </c>
      <c r="B1995" t="s">
        <v>23</v>
      </c>
      <c r="C1995" t="s">
        <v>271</v>
      </c>
      <c r="D1995">
        <v>49</v>
      </c>
      <c r="E1995">
        <v>2</v>
      </c>
      <c r="F1995">
        <v>6</v>
      </c>
      <c r="G1995" t="s">
        <v>73</v>
      </c>
      <c r="H1995" s="1">
        <v>11</v>
      </c>
      <c r="I1995" s="1">
        <v>63</v>
      </c>
      <c r="J1995" s="1">
        <v>68</v>
      </c>
      <c r="K1995" s="1">
        <f t="shared" ref="K1995:K2001" si="98">J1995-I1995</f>
        <v>5</v>
      </c>
      <c r="L1995" s="1">
        <v>126</v>
      </c>
      <c r="M1995" s="1">
        <v>56</v>
      </c>
      <c r="N1995" s="1">
        <v>1.5</v>
      </c>
      <c r="O1995" s="1">
        <v>4</v>
      </c>
      <c r="P1995" s="1">
        <v>6</v>
      </c>
      <c r="Q1995" s="2">
        <v>0.122</v>
      </c>
      <c r="R1995" s="1">
        <v>6</v>
      </c>
      <c r="S1995" s="1">
        <f t="shared" ref="S1995:S2001" si="99">R1995/P1995</f>
        <v>1</v>
      </c>
      <c r="T1995" s="1">
        <v>5</v>
      </c>
      <c r="U1995" s="1">
        <v>12.5</v>
      </c>
      <c r="V1995" s="1">
        <v>446.53594771241831</v>
      </c>
      <c r="W1995" s="1">
        <v>4</v>
      </c>
    </row>
    <row r="1996" spans="1:23" x14ac:dyDescent="0.2">
      <c r="A1996">
        <v>2021</v>
      </c>
      <c r="B1996" t="s">
        <v>23</v>
      </c>
      <c r="C1996" t="s">
        <v>271</v>
      </c>
      <c r="D1996">
        <v>50</v>
      </c>
      <c r="E1996">
        <v>1</v>
      </c>
      <c r="F1996">
        <v>4</v>
      </c>
      <c r="G1996" t="s">
        <v>74</v>
      </c>
      <c r="H1996" s="1">
        <v>4</v>
      </c>
      <c r="I1996" s="1">
        <v>61</v>
      </c>
      <c r="J1996" s="1">
        <v>64</v>
      </c>
      <c r="K1996" s="1">
        <f t="shared" si="98"/>
        <v>3</v>
      </c>
      <c r="L1996" s="1">
        <v>151</v>
      </c>
      <c r="M1996" s="1">
        <v>62</v>
      </c>
      <c r="N1996" s="1">
        <v>3</v>
      </c>
      <c r="O1996" s="1">
        <v>3.5</v>
      </c>
      <c r="P1996" s="1">
        <v>4</v>
      </c>
      <c r="Q1996" s="2">
        <v>0.32500000000000001</v>
      </c>
      <c r="R1996" s="1">
        <v>4</v>
      </c>
      <c r="S1996" s="1">
        <f t="shared" si="99"/>
        <v>1</v>
      </c>
      <c r="T1996" s="1">
        <v>5</v>
      </c>
      <c r="U1996" s="1">
        <v>10.5</v>
      </c>
      <c r="V1996" s="1">
        <v>1216.7320261437908</v>
      </c>
      <c r="W1996" s="1">
        <v>2</v>
      </c>
    </row>
    <row r="1997" spans="1:23" x14ac:dyDescent="0.2">
      <c r="A1997">
        <v>2021</v>
      </c>
      <c r="B1997" t="s">
        <v>23</v>
      </c>
      <c r="C1997" t="s">
        <v>271</v>
      </c>
      <c r="D1997">
        <v>50</v>
      </c>
      <c r="E1997">
        <v>2</v>
      </c>
      <c r="F1997">
        <v>13</v>
      </c>
      <c r="G1997" t="s">
        <v>74</v>
      </c>
      <c r="H1997" s="1">
        <v>5</v>
      </c>
      <c r="I1997" s="1">
        <v>56</v>
      </c>
      <c r="J1997" s="1">
        <v>61</v>
      </c>
      <c r="K1997" s="1">
        <f t="shared" si="98"/>
        <v>5</v>
      </c>
      <c r="L1997" s="1">
        <v>123</v>
      </c>
      <c r="M1997" s="1">
        <v>80</v>
      </c>
      <c r="N1997" s="1">
        <v>2</v>
      </c>
      <c r="O1997" s="1">
        <v>2.5</v>
      </c>
      <c r="P1997" s="1">
        <v>4</v>
      </c>
      <c r="Q1997" s="2">
        <v>0.76800000000000002</v>
      </c>
      <c r="R1997" s="1">
        <v>4</v>
      </c>
      <c r="S1997" s="1">
        <f t="shared" si="99"/>
        <v>1</v>
      </c>
      <c r="T1997" s="1">
        <v>3</v>
      </c>
      <c r="U1997" s="1">
        <v>8.1</v>
      </c>
      <c r="V1997" s="1">
        <v>2952.3325490196075</v>
      </c>
      <c r="W1997" s="1">
        <v>2</v>
      </c>
    </row>
    <row r="1998" spans="1:23" x14ac:dyDescent="0.2">
      <c r="A1998">
        <v>2021</v>
      </c>
      <c r="B1998" t="s">
        <v>23</v>
      </c>
      <c r="C1998" t="s">
        <v>271</v>
      </c>
      <c r="D1998">
        <v>51</v>
      </c>
      <c r="E1998">
        <v>1</v>
      </c>
      <c r="F1998">
        <v>13</v>
      </c>
      <c r="G1998" t="s">
        <v>75</v>
      </c>
      <c r="H1998" s="1">
        <v>3</v>
      </c>
      <c r="I1998" s="1">
        <v>60</v>
      </c>
      <c r="J1998" s="1">
        <v>64</v>
      </c>
      <c r="K1998" s="1">
        <f t="shared" si="98"/>
        <v>4</v>
      </c>
      <c r="L1998" s="1">
        <v>128</v>
      </c>
      <c r="M1998" s="1">
        <v>50</v>
      </c>
      <c r="N1998" s="1">
        <v>2</v>
      </c>
      <c r="O1998" s="1">
        <v>3</v>
      </c>
      <c r="P1998" s="1">
        <v>2</v>
      </c>
      <c r="Q1998" s="2">
        <v>0.10199999999999999</v>
      </c>
      <c r="R1998" s="1">
        <v>2</v>
      </c>
      <c r="S1998" s="1">
        <f t="shared" si="99"/>
        <v>1</v>
      </c>
      <c r="T1998" s="1">
        <v>3</v>
      </c>
      <c r="U1998" s="1">
        <v>12.5</v>
      </c>
      <c r="V1998" s="1">
        <v>373.33333333333326</v>
      </c>
      <c r="W1998" s="1">
        <v>5</v>
      </c>
    </row>
    <row r="1999" spans="1:23" x14ac:dyDescent="0.2">
      <c r="A1999">
        <v>2021</v>
      </c>
      <c r="B1999" t="s">
        <v>23</v>
      </c>
      <c r="C1999" t="s">
        <v>271</v>
      </c>
      <c r="D1999">
        <v>51</v>
      </c>
      <c r="E1999">
        <v>2</v>
      </c>
      <c r="F1999">
        <v>15</v>
      </c>
      <c r="G1999" t="s">
        <v>75</v>
      </c>
      <c r="H1999" s="1">
        <v>11</v>
      </c>
      <c r="I1999" s="1">
        <v>60</v>
      </c>
      <c r="J1999" s="1">
        <v>64</v>
      </c>
      <c r="K1999" s="1">
        <f t="shared" si="98"/>
        <v>4</v>
      </c>
      <c r="L1999" s="1">
        <v>178</v>
      </c>
      <c r="M1999" s="1">
        <v>85</v>
      </c>
      <c r="N1999" s="1">
        <v>2</v>
      </c>
      <c r="O1999" s="1">
        <v>2.5</v>
      </c>
      <c r="P1999" s="1">
        <v>8</v>
      </c>
      <c r="Q1999" s="2">
        <v>0.37860000000000005</v>
      </c>
      <c r="R1999" s="1">
        <v>7</v>
      </c>
      <c r="S1999" s="1">
        <f t="shared" si="99"/>
        <v>0.875</v>
      </c>
      <c r="T1999" s="1">
        <v>4</v>
      </c>
      <c r="U1999" s="1">
        <v>12.5</v>
      </c>
      <c r="V1999" s="1">
        <v>1385.7254901960787</v>
      </c>
      <c r="W1999" s="1">
        <v>6</v>
      </c>
    </row>
    <row r="2000" spans="1:23" x14ac:dyDescent="0.2">
      <c r="A2000">
        <v>2021</v>
      </c>
      <c r="B2000" t="s">
        <v>23</v>
      </c>
      <c r="C2000" t="s">
        <v>271</v>
      </c>
      <c r="D2000">
        <v>52</v>
      </c>
      <c r="E2000">
        <v>1</v>
      </c>
      <c r="F2000">
        <v>13</v>
      </c>
      <c r="G2000" t="s">
        <v>76</v>
      </c>
      <c r="H2000" s="1">
        <v>10</v>
      </c>
      <c r="I2000" s="1">
        <v>70</v>
      </c>
      <c r="J2000" s="1">
        <v>71</v>
      </c>
      <c r="K2000" s="1">
        <f t="shared" si="98"/>
        <v>1</v>
      </c>
      <c r="L2000" s="1">
        <v>150</v>
      </c>
      <c r="M2000" s="1">
        <v>73</v>
      </c>
      <c r="N2000" s="1">
        <v>2</v>
      </c>
      <c r="O2000" s="1">
        <v>3.5</v>
      </c>
      <c r="P2000" s="1">
        <v>6</v>
      </c>
      <c r="Q2000" s="2">
        <v>0.21672000000000002</v>
      </c>
      <c r="R2000" s="1">
        <v>4</v>
      </c>
      <c r="S2000" s="1">
        <f t="shared" si="99"/>
        <v>0.66666666666666663</v>
      </c>
      <c r="T2000" s="1">
        <v>5</v>
      </c>
      <c r="U2000" s="1">
        <v>12.5</v>
      </c>
      <c r="V2000" s="1">
        <v>793.22352941176473</v>
      </c>
      <c r="W2000" s="1">
        <v>7</v>
      </c>
    </row>
    <row r="2001" spans="1:23" x14ac:dyDescent="0.2">
      <c r="A2001">
        <v>2021</v>
      </c>
      <c r="B2001" t="s">
        <v>23</v>
      </c>
      <c r="C2001" t="s">
        <v>271</v>
      </c>
      <c r="D2001">
        <v>52</v>
      </c>
      <c r="E2001">
        <v>2</v>
      </c>
      <c r="F2001">
        <v>5</v>
      </c>
      <c r="G2001" t="s">
        <v>76</v>
      </c>
      <c r="H2001" s="1">
        <v>10</v>
      </c>
      <c r="I2001" s="1">
        <v>65</v>
      </c>
      <c r="J2001" s="1">
        <v>68</v>
      </c>
      <c r="K2001" s="1">
        <f t="shared" si="98"/>
        <v>3</v>
      </c>
      <c r="L2001" s="1">
        <v>202</v>
      </c>
      <c r="M2001" s="1">
        <v>108</v>
      </c>
      <c r="N2001" s="1">
        <v>2</v>
      </c>
      <c r="O2001" s="1">
        <v>2.5</v>
      </c>
      <c r="P2001" s="1">
        <v>10</v>
      </c>
      <c r="Q2001" s="2">
        <v>0.75</v>
      </c>
      <c r="R2001" s="1">
        <v>11</v>
      </c>
      <c r="S2001" s="1">
        <f t="shared" si="99"/>
        <v>1.1000000000000001</v>
      </c>
      <c r="T2001" s="1">
        <v>5</v>
      </c>
      <c r="U2001" s="1">
        <v>12.5</v>
      </c>
      <c r="V2001" s="1">
        <v>2745.0980392156862</v>
      </c>
      <c r="W2001" s="1">
        <v>5</v>
      </c>
    </row>
    <row r="2002" spans="1:23" x14ac:dyDescent="0.2">
      <c r="A2002">
        <v>2021</v>
      </c>
      <c r="B2002" t="s">
        <v>23</v>
      </c>
      <c r="C2002" t="s">
        <v>271</v>
      </c>
      <c r="D2002">
        <v>53</v>
      </c>
      <c r="E2002">
        <v>1</v>
      </c>
      <c r="F2002">
        <v>5</v>
      </c>
      <c r="G2002" t="s">
        <v>77</v>
      </c>
      <c r="H2002">
        <v>6</v>
      </c>
      <c r="I2002">
        <v>55</v>
      </c>
      <c r="J2002">
        <v>61</v>
      </c>
      <c r="K2002">
        <v>6</v>
      </c>
      <c r="L2002">
        <v>167</v>
      </c>
      <c r="M2002">
        <v>42</v>
      </c>
      <c r="N2002">
        <v>3</v>
      </c>
      <c r="O2002">
        <v>5</v>
      </c>
      <c r="P2002">
        <v>6</v>
      </c>
      <c r="Q2002">
        <v>0.59799999999999998</v>
      </c>
      <c r="R2002">
        <v>2</v>
      </c>
      <c r="S2002">
        <v>0.33333333333333331</v>
      </c>
      <c r="T2002">
        <v>4</v>
      </c>
      <c r="U2002">
        <v>12.5</v>
      </c>
      <c r="V2002">
        <v>2188.7581699346406</v>
      </c>
      <c r="W2002">
        <v>1</v>
      </c>
    </row>
    <row r="2003" spans="1:23" x14ac:dyDescent="0.2">
      <c r="A2003">
        <v>2021</v>
      </c>
      <c r="B2003" t="s">
        <v>23</v>
      </c>
      <c r="C2003" t="s">
        <v>271</v>
      </c>
      <c r="D2003">
        <v>53</v>
      </c>
      <c r="E2003">
        <v>2</v>
      </c>
      <c r="F2003">
        <v>3</v>
      </c>
      <c r="G2003" t="s">
        <v>77</v>
      </c>
      <c r="H2003">
        <v>12</v>
      </c>
      <c r="I2003">
        <v>55</v>
      </c>
      <c r="J2003">
        <v>57</v>
      </c>
      <c r="K2003">
        <v>2</v>
      </c>
      <c r="L2003">
        <v>170</v>
      </c>
      <c r="M2003">
        <v>64</v>
      </c>
      <c r="N2003">
        <v>2</v>
      </c>
      <c r="O2003">
        <v>3</v>
      </c>
      <c r="P2003">
        <v>12</v>
      </c>
      <c r="Q2003">
        <v>0.6</v>
      </c>
      <c r="R2003">
        <v>10</v>
      </c>
      <c r="S2003">
        <v>0.83333333333333337</v>
      </c>
      <c r="T2003">
        <v>3</v>
      </c>
      <c r="U2003">
        <v>12.5</v>
      </c>
      <c r="V2003">
        <v>2196.0784313725489</v>
      </c>
      <c r="W2003">
        <v>1</v>
      </c>
    </row>
    <row r="2004" spans="1:23" x14ac:dyDescent="0.2">
      <c r="A2004">
        <v>2021</v>
      </c>
      <c r="B2004" t="s">
        <v>23</v>
      </c>
      <c r="C2004" t="s">
        <v>271</v>
      </c>
      <c r="D2004">
        <v>54</v>
      </c>
      <c r="E2004">
        <v>1</v>
      </c>
      <c r="F2004">
        <v>14</v>
      </c>
      <c r="G2004" t="s">
        <v>78</v>
      </c>
      <c r="H2004">
        <v>10</v>
      </c>
      <c r="I2004">
        <v>50</v>
      </c>
      <c r="J2004">
        <v>53</v>
      </c>
      <c r="K2004">
        <v>3</v>
      </c>
      <c r="L2004">
        <v>182</v>
      </c>
      <c r="M2004">
        <v>78</v>
      </c>
      <c r="N2004">
        <v>2</v>
      </c>
      <c r="O2004">
        <v>2</v>
      </c>
      <c r="P2004">
        <v>6</v>
      </c>
      <c r="Q2004">
        <v>1</v>
      </c>
      <c r="R2004">
        <v>6</v>
      </c>
      <c r="S2004">
        <v>1</v>
      </c>
      <c r="T2004">
        <v>2</v>
      </c>
      <c r="U2004">
        <v>10</v>
      </c>
      <c r="V2004">
        <v>3764.705882352941</v>
      </c>
      <c r="W2004">
        <v>1</v>
      </c>
    </row>
    <row r="2005" spans="1:23" x14ac:dyDescent="0.2">
      <c r="A2005">
        <v>2021</v>
      </c>
      <c r="B2005" t="s">
        <v>23</v>
      </c>
      <c r="C2005" t="s">
        <v>271</v>
      </c>
      <c r="D2005">
        <v>54</v>
      </c>
      <c r="E2005">
        <v>2</v>
      </c>
      <c r="F2005">
        <v>11</v>
      </c>
      <c r="G2005" t="s">
        <v>78</v>
      </c>
      <c r="H2005" s="1">
        <v>12</v>
      </c>
      <c r="I2005" s="1">
        <v>62</v>
      </c>
      <c r="J2005" s="1">
        <v>67</v>
      </c>
      <c r="K2005" s="1">
        <f>J2005-I2005</f>
        <v>5</v>
      </c>
      <c r="L2005" s="1">
        <v>133</v>
      </c>
      <c r="M2005" s="1">
        <v>76</v>
      </c>
      <c r="N2005" s="1">
        <v>2</v>
      </c>
      <c r="O2005" s="1">
        <v>2.5</v>
      </c>
      <c r="P2005" s="1">
        <v>12</v>
      </c>
      <c r="Q2005" s="2">
        <v>7.2749999999999995E-2</v>
      </c>
      <c r="R2005" s="1">
        <v>9</v>
      </c>
      <c r="S2005" s="1">
        <f>R2005/P2005</f>
        <v>0.75</v>
      </c>
      <c r="T2005" s="1">
        <v>5</v>
      </c>
      <c r="U2005" s="1">
        <v>12.5</v>
      </c>
      <c r="V2005" s="1">
        <v>266.27450980392155</v>
      </c>
      <c r="W2005" s="1">
        <v>4</v>
      </c>
    </row>
    <row r="2006" spans="1:23" x14ac:dyDescent="0.2">
      <c r="A2006">
        <v>2021</v>
      </c>
      <c r="B2006" t="s">
        <v>23</v>
      </c>
      <c r="C2006" t="s">
        <v>271</v>
      </c>
      <c r="D2006">
        <v>55</v>
      </c>
      <c r="E2006">
        <v>1</v>
      </c>
      <c r="F2006">
        <v>2</v>
      </c>
      <c r="G2006" t="s">
        <v>79</v>
      </c>
      <c r="H2006" s="1">
        <v>10</v>
      </c>
      <c r="I2006" s="1">
        <v>62</v>
      </c>
      <c r="J2006" s="1">
        <v>66</v>
      </c>
      <c r="K2006" s="1">
        <f>J2006-I2006</f>
        <v>4</v>
      </c>
      <c r="L2006" s="1">
        <v>172</v>
      </c>
      <c r="M2006" s="1">
        <v>88</v>
      </c>
      <c r="N2006" s="1">
        <v>2</v>
      </c>
      <c r="O2006" s="1">
        <v>2</v>
      </c>
      <c r="P2006" s="1">
        <v>8</v>
      </c>
      <c r="Q2006" s="2">
        <v>0.70475999999999983</v>
      </c>
      <c r="R2006" s="1">
        <v>7</v>
      </c>
      <c r="S2006" s="1">
        <f>R2006/P2006</f>
        <v>0.875</v>
      </c>
      <c r="T2006" s="1">
        <v>3</v>
      </c>
      <c r="U2006" s="1">
        <v>9.4</v>
      </c>
      <c r="V2006" s="1">
        <v>2670.9022117647055</v>
      </c>
      <c r="W2006" s="1">
        <v>4</v>
      </c>
    </row>
    <row r="2007" spans="1:23" x14ac:dyDescent="0.2">
      <c r="A2007">
        <v>2021</v>
      </c>
      <c r="B2007" t="s">
        <v>23</v>
      </c>
      <c r="C2007" t="s">
        <v>271</v>
      </c>
      <c r="D2007">
        <v>55</v>
      </c>
      <c r="E2007">
        <v>2</v>
      </c>
      <c r="F2007">
        <v>10</v>
      </c>
      <c r="G2007" t="s">
        <v>79</v>
      </c>
      <c r="H2007">
        <v>16</v>
      </c>
      <c r="I2007">
        <v>52</v>
      </c>
      <c r="J2007">
        <v>55</v>
      </c>
      <c r="K2007">
        <v>3</v>
      </c>
      <c r="L2007">
        <v>188</v>
      </c>
      <c r="M2007">
        <v>75</v>
      </c>
      <c r="N2007">
        <v>2</v>
      </c>
      <c r="O2007">
        <v>2</v>
      </c>
      <c r="P2007">
        <v>12</v>
      </c>
      <c r="Q2007">
        <v>1.5</v>
      </c>
      <c r="R2007">
        <v>12</v>
      </c>
      <c r="S2007">
        <v>1</v>
      </c>
      <c r="T2007">
        <v>2</v>
      </c>
      <c r="U2007">
        <v>10.5</v>
      </c>
      <c r="V2007">
        <v>5615.6862745098042</v>
      </c>
      <c r="W2007">
        <v>1</v>
      </c>
    </row>
    <row r="2008" spans="1:23" x14ac:dyDescent="0.2">
      <c r="A2008">
        <v>2021</v>
      </c>
      <c r="B2008" t="s">
        <v>23</v>
      </c>
      <c r="C2008" t="s">
        <v>271</v>
      </c>
      <c r="D2008">
        <v>56</v>
      </c>
      <c r="E2008">
        <v>1</v>
      </c>
      <c r="F2008">
        <v>4</v>
      </c>
      <c r="G2008" t="s">
        <v>80</v>
      </c>
      <c r="H2008">
        <v>9</v>
      </c>
      <c r="I2008">
        <v>55</v>
      </c>
      <c r="J2008">
        <v>58</v>
      </c>
      <c r="K2008">
        <v>3</v>
      </c>
      <c r="L2008">
        <v>141</v>
      </c>
      <c r="M2008">
        <v>51</v>
      </c>
      <c r="N2008">
        <v>3</v>
      </c>
      <c r="O2008">
        <v>4</v>
      </c>
      <c r="P2008">
        <v>8</v>
      </c>
      <c r="Q2008">
        <v>0.30099999999999999</v>
      </c>
      <c r="R2008">
        <v>4</v>
      </c>
      <c r="S2008">
        <v>0.5</v>
      </c>
      <c r="T2008">
        <v>3</v>
      </c>
      <c r="U2008">
        <v>12.5</v>
      </c>
      <c r="V2008">
        <v>1101.6993464052289</v>
      </c>
      <c r="W2008">
        <v>2</v>
      </c>
    </row>
    <row r="2009" spans="1:23" x14ac:dyDescent="0.2">
      <c r="A2009">
        <v>2021</v>
      </c>
      <c r="B2009" t="s">
        <v>23</v>
      </c>
      <c r="C2009" t="s">
        <v>271</v>
      </c>
      <c r="D2009">
        <v>56</v>
      </c>
      <c r="E2009">
        <v>2</v>
      </c>
      <c r="F2009">
        <v>12</v>
      </c>
      <c r="G2009" t="s">
        <v>80</v>
      </c>
      <c r="H2009" s="1">
        <v>4</v>
      </c>
      <c r="I2009" s="1">
        <v>66</v>
      </c>
      <c r="J2009" s="1">
        <v>71</v>
      </c>
      <c r="K2009" s="1">
        <f>J2009-I2009</f>
        <v>5</v>
      </c>
      <c r="L2009" s="1">
        <v>101</v>
      </c>
      <c r="M2009" s="1">
        <v>38</v>
      </c>
      <c r="N2009" s="1">
        <v>1.5</v>
      </c>
      <c r="O2009" s="1">
        <v>4.5</v>
      </c>
      <c r="P2009" s="1">
        <v>3</v>
      </c>
      <c r="Q2009" s="2">
        <v>0.14000000000000001</v>
      </c>
      <c r="R2009" s="1">
        <v>3</v>
      </c>
      <c r="S2009" s="1">
        <f>R2009/P2009</f>
        <v>1</v>
      </c>
      <c r="T2009" s="1">
        <v>4</v>
      </c>
      <c r="U2009" s="1">
        <v>12.5</v>
      </c>
      <c r="V2009" s="1">
        <v>512.41830065359488</v>
      </c>
      <c r="W2009" s="1">
        <v>4</v>
      </c>
    </row>
    <row r="2010" spans="1:23" x14ac:dyDescent="0.2">
      <c r="A2010">
        <v>2021</v>
      </c>
      <c r="B2010" t="s">
        <v>23</v>
      </c>
      <c r="C2010" t="s">
        <v>271</v>
      </c>
      <c r="D2010">
        <v>57</v>
      </c>
      <c r="E2010">
        <v>1</v>
      </c>
      <c r="F2010">
        <v>1</v>
      </c>
      <c r="G2010" t="s">
        <v>81</v>
      </c>
      <c r="H2010" s="1">
        <v>10</v>
      </c>
      <c r="I2010" s="1">
        <v>60</v>
      </c>
      <c r="J2010" s="1">
        <v>65</v>
      </c>
      <c r="K2010" s="1">
        <f>J2010-I2010</f>
        <v>5</v>
      </c>
      <c r="L2010" s="1">
        <v>110</v>
      </c>
      <c r="M2010" s="1">
        <v>36</v>
      </c>
      <c r="N2010" s="1">
        <v>3</v>
      </c>
      <c r="O2010" s="1">
        <v>4</v>
      </c>
      <c r="P2010" s="1">
        <v>8</v>
      </c>
      <c r="Q2010" s="2">
        <v>0.84799999999999998</v>
      </c>
      <c r="R2010" s="1">
        <v>8</v>
      </c>
      <c r="S2010" s="1">
        <f>R2010/P2010</f>
        <v>1</v>
      </c>
      <c r="T2010" s="1">
        <v>3</v>
      </c>
      <c r="U2010" s="1">
        <v>12.5</v>
      </c>
      <c r="V2010" s="1">
        <v>3103.790849673203</v>
      </c>
      <c r="W2010" s="1">
        <v>4</v>
      </c>
    </row>
    <row r="2011" spans="1:23" x14ac:dyDescent="0.2">
      <c r="A2011">
        <v>2021</v>
      </c>
      <c r="B2011" t="s">
        <v>23</v>
      </c>
      <c r="C2011" t="s">
        <v>271</v>
      </c>
      <c r="D2011">
        <v>57</v>
      </c>
      <c r="E2011">
        <v>2</v>
      </c>
      <c r="F2011">
        <v>13</v>
      </c>
      <c r="G2011" t="s">
        <v>81</v>
      </c>
      <c r="H2011" s="1">
        <v>7</v>
      </c>
      <c r="I2011" s="1">
        <v>62</v>
      </c>
      <c r="J2011" s="1">
        <v>67</v>
      </c>
      <c r="K2011" s="1">
        <f>J2011-I2011</f>
        <v>5</v>
      </c>
      <c r="L2011" s="1">
        <v>167</v>
      </c>
      <c r="M2011" s="1">
        <v>53</v>
      </c>
      <c r="N2011" s="1">
        <v>2</v>
      </c>
      <c r="O2011" s="1">
        <v>3.5</v>
      </c>
      <c r="P2011" s="1">
        <v>7</v>
      </c>
      <c r="Q2011" s="2">
        <v>0.15875</v>
      </c>
      <c r="R2011" s="1">
        <v>5</v>
      </c>
      <c r="S2011" s="1">
        <f>R2011/P2011</f>
        <v>0.7142857142857143</v>
      </c>
      <c r="T2011" s="1">
        <v>5</v>
      </c>
      <c r="U2011" s="1">
        <v>12.5</v>
      </c>
      <c r="V2011" s="1">
        <v>581.04575163398692</v>
      </c>
      <c r="W2011" s="1">
        <v>5</v>
      </c>
    </row>
    <row r="2012" spans="1:23" x14ac:dyDescent="0.2">
      <c r="A2012">
        <v>2021</v>
      </c>
      <c r="B2012" t="s">
        <v>23</v>
      </c>
      <c r="C2012" t="s">
        <v>271</v>
      </c>
      <c r="D2012">
        <v>58</v>
      </c>
      <c r="E2012">
        <v>1</v>
      </c>
      <c r="F2012">
        <v>10</v>
      </c>
      <c r="G2012" t="s">
        <v>82</v>
      </c>
      <c r="H2012">
        <v>8</v>
      </c>
      <c r="I2012">
        <v>60</v>
      </c>
      <c r="J2012">
        <v>62</v>
      </c>
      <c r="K2012">
        <v>2</v>
      </c>
      <c r="L2012">
        <v>180</v>
      </c>
      <c r="M2012">
        <v>56</v>
      </c>
      <c r="N2012">
        <v>2</v>
      </c>
      <c r="O2012">
        <v>3</v>
      </c>
      <c r="P2012">
        <v>8</v>
      </c>
      <c r="Q2012">
        <v>0.8</v>
      </c>
      <c r="R2012">
        <v>9</v>
      </c>
      <c r="S2012">
        <v>1.125</v>
      </c>
      <c r="T2012">
        <v>3</v>
      </c>
      <c r="U2012">
        <v>12.5</v>
      </c>
      <c r="V2012">
        <v>2928.1045751633987</v>
      </c>
      <c r="W2012">
        <v>2</v>
      </c>
    </row>
    <row r="2013" spans="1:23" x14ac:dyDescent="0.2">
      <c r="A2013">
        <v>2021</v>
      </c>
      <c r="B2013" t="s">
        <v>23</v>
      </c>
      <c r="C2013" t="s">
        <v>271</v>
      </c>
      <c r="D2013">
        <v>58</v>
      </c>
      <c r="E2013">
        <v>2</v>
      </c>
      <c r="F2013">
        <v>3</v>
      </c>
      <c r="G2013" t="s">
        <v>82</v>
      </c>
      <c r="H2013" s="1">
        <v>6</v>
      </c>
      <c r="I2013" s="1">
        <v>59</v>
      </c>
      <c r="J2013" s="1">
        <v>63</v>
      </c>
      <c r="K2013" s="1">
        <f>J2013-I2013</f>
        <v>4</v>
      </c>
      <c r="L2013" s="1">
        <v>126</v>
      </c>
      <c r="M2013" s="1">
        <v>50</v>
      </c>
      <c r="N2013" s="1">
        <v>1.5</v>
      </c>
      <c r="O2013" s="1">
        <v>4</v>
      </c>
      <c r="P2013" s="1">
        <v>4</v>
      </c>
      <c r="Q2013" s="2">
        <v>0.33600000000000002</v>
      </c>
      <c r="R2013" s="1">
        <v>4</v>
      </c>
      <c r="S2013" s="1">
        <f>R2013/P2013</f>
        <v>1</v>
      </c>
      <c r="T2013" s="1">
        <v>4</v>
      </c>
      <c r="U2013" s="1">
        <v>12.5</v>
      </c>
      <c r="V2013" s="1">
        <v>1229.8039215686274</v>
      </c>
      <c r="W2013" s="1">
        <v>6</v>
      </c>
    </row>
    <row r="2014" spans="1:23" x14ac:dyDescent="0.2">
      <c r="A2014">
        <v>2021</v>
      </c>
      <c r="B2014" t="s">
        <v>23</v>
      </c>
      <c r="C2014" t="s">
        <v>271</v>
      </c>
      <c r="D2014">
        <v>59</v>
      </c>
      <c r="E2014">
        <v>1</v>
      </c>
      <c r="F2014">
        <v>12</v>
      </c>
      <c r="G2014" t="s">
        <v>83</v>
      </c>
      <c r="H2014">
        <v>15</v>
      </c>
      <c r="I2014">
        <v>57</v>
      </c>
      <c r="J2014">
        <v>58</v>
      </c>
      <c r="K2014">
        <v>1</v>
      </c>
      <c r="L2014">
        <v>156</v>
      </c>
      <c r="M2014">
        <v>80</v>
      </c>
      <c r="N2014">
        <v>2</v>
      </c>
      <c r="O2014">
        <v>2</v>
      </c>
      <c r="P2014">
        <v>12</v>
      </c>
      <c r="Q2014">
        <v>0.5</v>
      </c>
      <c r="R2014">
        <v>11</v>
      </c>
      <c r="S2014">
        <v>0.91666666666666663</v>
      </c>
      <c r="T2014">
        <v>2</v>
      </c>
      <c r="U2014">
        <v>14.4</v>
      </c>
      <c r="V2014">
        <v>1790.3267973856209</v>
      </c>
      <c r="W2014">
        <v>1</v>
      </c>
    </row>
    <row r="2015" spans="1:23" x14ac:dyDescent="0.2">
      <c r="A2015">
        <v>2021</v>
      </c>
      <c r="B2015" t="s">
        <v>23</v>
      </c>
      <c r="C2015" t="s">
        <v>271</v>
      </c>
      <c r="D2015">
        <v>59</v>
      </c>
      <c r="E2015">
        <v>2</v>
      </c>
      <c r="F2015">
        <v>11</v>
      </c>
      <c r="G2015" t="s">
        <v>83</v>
      </c>
      <c r="H2015" s="1">
        <v>10</v>
      </c>
      <c r="I2015" s="1">
        <v>63</v>
      </c>
      <c r="J2015" s="1">
        <v>66</v>
      </c>
      <c r="K2015" s="1">
        <f>J2015-I2015</f>
        <v>3</v>
      </c>
      <c r="L2015" s="1">
        <v>128</v>
      </c>
      <c r="M2015" s="1">
        <v>48</v>
      </c>
      <c r="N2015" s="1">
        <v>3</v>
      </c>
      <c r="O2015" s="1">
        <v>4</v>
      </c>
      <c r="P2015" s="1">
        <v>3</v>
      </c>
      <c r="Q2015" s="2">
        <v>6.7500000000000004E-2</v>
      </c>
      <c r="R2015" s="1">
        <v>3</v>
      </c>
      <c r="S2015" s="1">
        <f>R2015/P2015</f>
        <v>1</v>
      </c>
      <c r="T2015" s="1">
        <v>4.5</v>
      </c>
      <c r="U2015" s="1">
        <v>12.5</v>
      </c>
      <c r="V2015" s="1">
        <v>247.05882352941177</v>
      </c>
      <c r="W2015" s="1">
        <v>5</v>
      </c>
    </row>
    <row r="2016" spans="1:23" x14ac:dyDescent="0.2">
      <c r="A2016">
        <v>2021</v>
      </c>
      <c r="B2016" t="s">
        <v>23</v>
      </c>
      <c r="C2016" t="s">
        <v>271</v>
      </c>
      <c r="D2016">
        <v>60</v>
      </c>
      <c r="E2016">
        <v>1</v>
      </c>
      <c r="F2016">
        <v>8</v>
      </c>
      <c r="G2016" t="s">
        <v>84</v>
      </c>
      <c r="H2016" s="1">
        <v>7</v>
      </c>
      <c r="I2016" s="1">
        <v>65</v>
      </c>
      <c r="J2016" s="1">
        <v>67</v>
      </c>
      <c r="K2016" s="1">
        <f>J2016-I2016</f>
        <v>2</v>
      </c>
      <c r="L2016" s="1">
        <v>168</v>
      </c>
      <c r="M2016" s="1">
        <v>73</v>
      </c>
      <c r="N2016" s="1">
        <v>2</v>
      </c>
      <c r="O2016" s="1">
        <v>2.5</v>
      </c>
      <c r="P2016" s="1">
        <v>6</v>
      </c>
      <c r="Q2016" s="2">
        <v>0.53300000000000003</v>
      </c>
      <c r="R2016" s="1">
        <v>6</v>
      </c>
      <c r="S2016" s="1">
        <f>R2016/P2016</f>
        <v>1</v>
      </c>
      <c r="T2016" s="1">
        <v>3</v>
      </c>
      <c r="U2016" s="1">
        <v>12.5</v>
      </c>
      <c r="V2016" s="1">
        <v>1950.8496732026142</v>
      </c>
      <c r="W2016" s="1">
        <v>3</v>
      </c>
    </row>
    <row r="2017" spans="1:23" x14ac:dyDescent="0.2">
      <c r="A2017">
        <v>2021</v>
      </c>
      <c r="B2017" t="s">
        <v>23</v>
      </c>
      <c r="C2017" t="s">
        <v>271</v>
      </c>
      <c r="D2017">
        <v>60</v>
      </c>
      <c r="E2017">
        <v>2</v>
      </c>
      <c r="F2017">
        <v>14</v>
      </c>
      <c r="G2017" t="s">
        <v>84</v>
      </c>
      <c r="H2017" s="1">
        <v>2</v>
      </c>
      <c r="I2017" s="1">
        <v>63</v>
      </c>
      <c r="J2017" s="1">
        <v>66</v>
      </c>
      <c r="K2017" s="1">
        <f>J2017-I2017</f>
        <v>3</v>
      </c>
      <c r="L2017" s="1">
        <v>70</v>
      </c>
      <c r="M2017" s="1">
        <v>20</v>
      </c>
      <c r="N2017" s="1">
        <v>1.5</v>
      </c>
      <c r="O2017" s="1">
        <v>5</v>
      </c>
      <c r="P2017" s="1">
        <v>2</v>
      </c>
      <c r="Q2017" s="2">
        <v>2.2499999999999999E-2</v>
      </c>
      <c r="R2017" s="1">
        <v>2</v>
      </c>
      <c r="S2017" s="1">
        <f>R2017/P2017</f>
        <v>1</v>
      </c>
      <c r="T2017" s="1">
        <v>5</v>
      </c>
      <c r="U2017" s="1">
        <v>12.5</v>
      </c>
      <c r="V2017" s="1">
        <v>82.35294117647058</v>
      </c>
      <c r="W2017" s="1">
        <v>6</v>
      </c>
    </row>
    <row r="2018" spans="1:23" x14ac:dyDescent="0.2">
      <c r="A2018">
        <v>2021</v>
      </c>
      <c r="B2018" t="s">
        <v>23</v>
      </c>
      <c r="C2018" t="s">
        <v>271</v>
      </c>
      <c r="D2018">
        <v>61</v>
      </c>
      <c r="E2018">
        <v>1</v>
      </c>
      <c r="F2018">
        <v>12</v>
      </c>
      <c r="G2018" t="s">
        <v>85</v>
      </c>
      <c r="H2018">
        <v>10</v>
      </c>
      <c r="I2018">
        <v>56</v>
      </c>
      <c r="J2018">
        <v>60</v>
      </c>
      <c r="K2018">
        <v>4</v>
      </c>
      <c r="L2018">
        <v>64</v>
      </c>
      <c r="M2018">
        <v>19</v>
      </c>
      <c r="N2018">
        <v>3</v>
      </c>
      <c r="O2018">
        <v>3</v>
      </c>
      <c r="P2018">
        <v>8</v>
      </c>
      <c r="Q2018">
        <v>1.492</v>
      </c>
      <c r="R2018">
        <v>8</v>
      </c>
      <c r="S2018">
        <v>1</v>
      </c>
      <c r="T2018">
        <v>2</v>
      </c>
      <c r="U2018">
        <v>12.5</v>
      </c>
      <c r="V2018">
        <v>5460.9150326797389</v>
      </c>
      <c r="W2018">
        <v>2</v>
      </c>
    </row>
    <row r="2019" spans="1:23" x14ac:dyDescent="0.2">
      <c r="A2019">
        <v>2021</v>
      </c>
      <c r="B2019" t="s">
        <v>23</v>
      </c>
      <c r="C2019" t="s">
        <v>271</v>
      </c>
      <c r="D2019">
        <v>61</v>
      </c>
      <c r="E2019">
        <v>2</v>
      </c>
      <c r="F2019">
        <v>2</v>
      </c>
      <c r="G2019" t="s">
        <v>85</v>
      </c>
      <c r="H2019" s="1">
        <v>11</v>
      </c>
      <c r="I2019" s="1">
        <v>66</v>
      </c>
      <c r="J2019" s="1">
        <v>71</v>
      </c>
      <c r="K2019" s="1">
        <f>J2019-I2019</f>
        <v>5</v>
      </c>
      <c r="L2019" s="1">
        <v>187</v>
      </c>
      <c r="M2019" s="1">
        <v>100</v>
      </c>
      <c r="N2019" s="1">
        <v>2</v>
      </c>
      <c r="O2019" s="1">
        <v>2</v>
      </c>
      <c r="P2019" s="1">
        <v>10</v>
      </c>
      <c r="Q2019" s="2">
        <v>0.92400000000000004</v>
      </c>
      <c r="R2019" s="1">
        <v>7</v>
      </c>
      <c r="S2019" s="1">
        <f>R2019/P2019</f>
        <v>0.7</v>
      </c>
      <c r="T2019" s="1">
        <v>3</v>
      </c>
      <c r="U2019" s="1">
        <v>12.5</v>
      </c>
      <c r="V2019" s="1">
        <v>3381.960784313726</v>
      </c>
      <c r="W2019" s="1">
        <v>5</v>
      </c>
    </row>
    <row r="2020" spans="1:23" x14ac:dyDescent="0.2">
      <c r="A2020">
        <v>2021</v>
      </c>
      <c r="B2020" t="s">
        <v>23</v>
      </c>
      <c r="C2020" t="s">
        <v>271</v>
      </c>
      <c r="D2020">
        <v>62</v>
      </c>
      <c r="E2020">
        <v>1</v>
      </c>
      <c r="F2020">
        <v>7</v>
      </c>
      <c r="G2020" t="s">
        <v>86</v>
      </c>
      <c r="H2020">
        <v>11</v>
      </c>
      <c r="I2020">
        <v>52</v>
      </c>
      <c r="J2020">
        <v>57</v>
      </c>
      <c r="K2020">
        <v>5</v>
      </c>
      <c r="L2020">
        <v>193</v>
      </c>
      <c r="M2020">
        <v>76</v>
      </c>
      <c r="N2020">
        <v>2</v>
      </c>
      <c r="O2020">
        <v>1.5</v>
      </c>
      <c r="P2020">
        <v>10</v>
      </c>
      <c r="Q2020">
        <v>1.3</v>
      </c>
      <c r="R2020">
        <v>9</v>
      </c>
      <c r="S2020">
        <v>0.9</v>
      </c>
      <c r="T2020">
        <v>2</v>
      </c>
      <c r="U2020">
        <v>9.8000000000000007</v>
      </c>
      <c r="V2020">
        <v>4904.9934640522879</v>
      </c>
      <c r="W2020">
        <v>2</v>
      </c>
    </row>
    <row r="2021" spans="1:23" x14ac:dyDescent="0.2">
      <c r="A2021">
        <v>2021</v>
      </c>
      <c r="B2021" t="s">
        <v>23</v>
      </c>
      <c r="C2021" t="s">
        <v>271</v>
      </c>
      <c r="D2021">
        <v>62</v>
      </c>
      <c r="E2021">
        <v>2</v>
      </c>
      <c r="F2021">
        <v>4</v>
      </c>
      <c r="G2021" t="s">
        <v>86</v>
      </c>
      <c r="H2021" s="1">
        <v>11</v>
      </c>
      <c r="I2021" s="1">
        <v>59</v>
      </c>
      <c r="J2021" s="1">
        <v>64</v>
      </c>
      <c r="K2021" s="1">
        <f>J2021-I2021</f>
        <v>5</v>
      </c>
      <c r="L2021" s="1">
        <v>122</v>
      </c>
      <c r="M2021" s="1">
        <v>90</v>
      </c>
      <c r="N2021" s="1">
        <v>2</v>
      </c>
      <c r="O2021" s="1">
        <v>2.5</v>
      </c>
      <c r="P2021" s="1">
        <f>H2021</f>
        <v>11</v>
      </c>
      <c r="Q2021" s="2">
        <v>0.1515</v>
      </c>
      <c r="R2021" s="1">
        <v>8</v>
      </c>
      <c r="S2021" s="1">
        <f>R2021/P2021</f>
        <v>0.72727272727272729</v>
      </c>
      <c r="T2021" s="1">
        <v>5</v>
      </c>
      <c r="U2021" s="1">
        <v>12.5</v>
      </c>
      <c r="V2021" s="1">
        <v>554.50980392156862</v>
      </c>
      <c r="W2021" s="1">
        <v>5</v>
      </c>
    </row>
    <row r="2022" spans="1:23" x14ac:dyDescent="0.2">
      <c r="A2022">
        <v>2021</v>
      </c>
      <c r="B2022" t="s">
        <v>23</v>
      </c>
      <c r="C2022" t="s">
        <v>271</v>
      </c>
      <c r="D2022">
        <v>63</v>
      </c>
      <c r="E2022">
        <v>1</v>
      </c>
      <c r="F2022">
        <v>6</v>
      </c>
      <c r="G2022" t="s">
        <v>87</v>
      </c>
      <c r="H2022" s="1">
        <v>12</v>
      </c>
      <c r="I2022" s="1">
        <v>54</v>
      </c>
      <c r="J2022" s="1">
        <v>58</v>
      </c>
      <c r="K2022" s="1">
        <f>J2022-I2022</f>
        <v>4</v>
      </c>
      <c r="L2022" s="1">
        <v>117</v>
      </c>
      <c r="M2022" s="1">
        <v>58</v>
      </c>
      <c r="N2022" s="1">
        <v>1</v>
      </c>
      <c r="O2022" s="1">
        <v>2.5</v>
      </c>
      <c r="P2022" s="1">
        <f>H2022-2</f>
        <v>10</v>
      </c>
      <c r="Q2022" s="2">
        <v>0.13800000000000001</v>
      </c>
      <c r="R2022" s="1">
        <v>10</v>
      </c>
      <c r="S2022" s="1">
        <f>R2022/P2022</f>
        <v>1</v>
      </c>
      <c r="T2022" s="1">
        <v>5</v>
      </c>
      <c r="U2022" s="1">
        <v>12.5</v>
      </c>
      <c r="V2022" s="1">
        <v>505.09803921568641</v>
      </c>
      <c r="W2022" s="1">
        <v>6</v>
      </c>
    </row>
    <row r="2023" spans="1:23" x14ac:dyDescent="0.2">
      <c r="A2023">
        <v>2021</v>
      </c>
      <c r="B2023" t="s">
        <v>23</v>
      </c>
      <c r="C2023" t="s">
        <v>271</v>
      </c>
      <c r="D2023">
        <v>63</v>
      </c>
      <c r="E2023">
        <v>2</v>
      </c>
      <c r="F2023">
        <v>3</v>
      </c>
      <c r="G2023" t="s">
        <v>87</v>
      </c>
      <c r="H2023" s="1">
        <v>14</v>
      </c>
      <c r="I2023" s="1">
        <v>64</v>
      </c>
      <c r="J2023" s="1">
        <v>67</v>
      </c>
      <c r="K2023" s="1">
        <f>J2023-I2023</f>
        <v>3</v>
      </c>
      <c r="L2023" s="1">
        <v>201</v>
      </c>
      <c r="M2023" s="1">
        <v>81</v>
      </c>
      <c r="N2023" s="1">
        <v>2</v>
      </c>
      <c r="O2023" s="1">
        <v>2.5</v>
      </c>
      <c r="P2023" s="1">
        <f>H2023</f>
        <v>14</v>
      </c>
      <c r="Q2023" s="2">
        <v>0.46800000000000003</v>
      </c>
      <c r="R2023" s="1">
        <v>16</v>
      </c>
      <c r="S2023" s="1">
        <f>R2023/P2023</f>
        <v>1.1428571428571428</v>
      </c>
      <c r="T2023" s="1">
        <v>5</v>
      </c>
      <c r="U2023" s="1">
        <v>12.5</v>
      </c>
      <c r="V2023" s="1">
        <v>1712.9411764705883</v>
      </c>
      <c r="W2023" s="1">
        <v>4</v>
      </c>
    </row>
    <row r="2024" spans="1:23" x14ac:dyDescent="0.2">
      <c r="A2024">
        <v>2021</v>
      </c>
      <c r="B2024" t="s">
        <v>23</v>
      </c>
      <c r="C2024" t="s">
        <v>271</v>
      </c>
      <c r="D2024">
        <v>64</v>
      </c>
      <c r="E2024">
        <v>1</v>
      </c>
      <c r="F2024">
        <v>2</v>
      </c>
      <c r="G2024" t="s">
        <v>88</v>
      </c>
      <c r="H2024" s="1">
        <v>3</v>
      </c>
      <c r="I2024" s="1">
        <v>68</v>
      </c>
      <c r="J2024" s="1">
        <v>72</v>
      </c>
      <c r="K2024" s="1">
        <f>J2024-I2024</f>
        <v>4</v>
      </c>
      <c r="L2024" s="1">
        <v>221</v>
      </c>
      <c r="M2024" s="1">
        <v>109</v>
      </c>
      <c r="N2024" s="1">
        <v>3</v>
      </c>
      <c r="O2024" s="1">
        <v>4</v>
      </c>
      <c r="P2024" s="1">
        <v>2</v>
      </c>
      <c r="Q2024" s="2">
        <v>7.4999999999999997E-2</v>
      </c>
      <c r="R2024" s="1">
        <v>3</v>
      </c>
      <c r="S2024" s="1">
        <f>R2024/P2024</f>
        <v>1.5</v>
      </c>
      <c r="T2024" s="1">
        <v>4</v>
      </c>
      <c r="U2024" s="1">
        <v>12.5</v>
      </c>
      <c r="V2024" s="1">
        <v>274.50980392156862</v>
      </c>
      <c r="W2024" s="1">
        <v>2</v>
      </c>
    </row>
    <row r="2025" spans="1:23" x14ac:dyDescent="0.2">
      <c r="A2025">
        <v>2021</v>
      </c>
      <c r="B2025" t="s">
        <v>23</v>
      </c>
      <c r="C2025" t="s">
        <v>271</v>
      </c>
      <c r="D2025">
        <v>64</v>
      </c>
      <c r="E2025">
        <v>2</v>
      </c>
      <c r="F2025">
        <v>6</v>
      </c>
      <c r="G2025" t="s">
        <v>88</v>
      </c>
      <c r="H2025">
        <v>1</v>
      </c>
      <c r="I2025">
        <v>55</v>
      </c>
      <c r="J2025">
        <v>57</v>
      </c>
      <c r="K2025">
        <v>2</v>
      </c>
      <c r="L2025">
        <v>24</v>
      </c>
      <c r="M2025">
        <v>10</v>
      </c>
      <c r="N2025">
        <v>3</v>
      </c>
      <c r="O2025">
        <v>3</v>
      </c>
      <c r="P2025">
        <v>1</v>
      </c>
      <c r="Q2025">
        <v>5.1999999999999998E-2</v>
      </c>
      <c r="R2025">
        <v>1</v>
      </c>
      <c r="S2025">
        <v>1</v>
      </c>
      <c r="T2025">
        <v>4</v>
      </c>
      <c r="U2025">
        <v>12.5</v>
      </c>
      <c r="V2025">
        <v>190.32679738562092</v>
      </c>
      <c r="W2025">
        <v>1</v>
      </c>
    </row>
    <row r="2026" spans="1:23" x14ac:dyDescent="0.2">
      <c r="A2026">
        <v>2021</v>
      </c>
      <c r="B2026" t="s">
        <v>23</v>
      </c>
      <c r="C2026" t="s">
        <v>271</v>
      </c>
      <c r="D2026">
        <v>65</v>
      </c>
      <c r="E2026">
        <v>1</v>
      </c>
      <c r="F2026">
        <v>4</v>
      </c>
      <c r="G2026" t="s">
        <v>89</v>
      </c>
      <c r="H2026">
        <v>12</v>
      </c>
      <c r="I2026">
        <v>56</v>
      </c>
      <c r="J2026">
        <v>60</v>
      </c>
      <c r="K2026">
        <v>4</v>
      </c>
      <c r="L2026">
        <v>86</v>
      </c>
      <c r="M2026">
        <v>28</v>
      </c>
      <c r="N2026">
        <v>2</v>
      </c>
      <c r="O2026">
        <v>3</v>
      </c>
      <c r="P2026">
        <v>12</v>
      </c>
      <c r="Q2026">
        <v>1.45</v>
      </c>
      <c r="R2026">
        <v>11</v>
      </c>
      <c r="S2026">
        <v>0.91666666666666663</v>
      </c>
      <c r="T2026">
        <v>2.5</v>
      </c>
      <c r="U2026">
        <v>12.5</v>
      </c>
      <c r="V2026">
        <v>5307.1895424836603</v>
      </c>
      <c r="W2026">
        <v>1</v>
      </c>
    </row>
    <row r="2027" spans="1:23" x14ac:dyDescent="0.2">
      <c r="A2027">
        <v>2021</v>
      </c>
      <c r="B2027" t="s">
        <v>23</v>
      </c>
      <c r="C2027" t="s">
        <v>271</v>
      </c>
      <c r="D2027">
        <v>65</v>
      </c>
      <c r="E2027">
        <v>2</v>
      </c>
      <c r="F2027">
        <v>2</v>
      </c>
      <c r="G2027" t="s">
        <v>89</v>
      </c>
      <c r="H2027" s="1">
        <v>8</v>
      </c>
      <c r="I2027" s="1">
        <v>63</v>
      </c>
      <c r="J2027" s="1">
        <v>67</v>
      </c>
      <c r="K2027" s="1">
        <f>J2027-I2027</f>
        <v>4</v>
      </c>
      <c r="L2027" s="1">
        <v>148</v>
      </c>
      <c r="M2027" s="1">
        <v>51</v>
      </c>
      <c r="N2027" s="1">
        <v>2</v>
      </c>
      <c r="O2027" s="1">
        <v>3</v>
      </c>
      <c r="P2027" s="1">
        <v>6</v>
      </c>
      <c r="Q2027" s="2">
        <v>0.15679999999999999</v>
      </c>
      <c r="R2027" s="1">
        <v>6</v>
      </c>
      <c r="S2027" s="1">
        <f>R2027/P2027</f>
        <v>1</v>
      </c>
      <c r="T2027" s="1">
        <v>2.5</v>
      </c>
      <c r="U2027" s="1">
        <v>12.5</v>
      </c>
      <c r="V2027" s="1">
        <v>573.90849673202615</v>
      </c>
      <c r="W2027" s="1">
        <v>2</v>
      </c>
    </row>
    <row r="2028" spans="1:23" x14ac:dyDescent="0.2">
      <c r="A2028">
        <v>2021</v>
      </c>
      <c r="B2028" t="s">
        <v>23</v>
      </c>
      <c r="C2028" t="s">
        <v>271</v>
      </c>
      <c r="D2028">
        <v>66</v>
      </c>
      <c r="E2028">
        <v>1</v>
      </c>
      <c r="F2028">
        <v>4</v>
      </c>
      <c r="G2028" t="s">
        <v>90</v>
      </c>
      <c r="H2028" s="1">
        <v>12</v>
      </c>
      <c r="I2028" s="1">
        <v>67</v>
      </c>
      <c r="J2028" s="1">
        <v>70</v>
      </c>
      <c r="K2028" s="1">
        <f>J2028-I2028</f>
        <v>3</v>
      </c>
      <c r="L2028" s="1">
        <v>144</v>
      </c>
      <c r="M2028" s="1">
        <v>83</v>
      </c>
      <c r="N2028" s="1">
        <v>2</v>
      </c>
      <c r="O2028" s="1">
        <v>2</v>
      </c>
      <c r="P2028" s="1">
        <f>H2028-1</f>
        <v>11</v>
      </c>
      <c r="Q2028" s="2">
        <v>0.23</v>
      </c>
      <c r="R2028" s="1">
        <v>8</v>
      </c>
      <c r="S2028" s="1">
        <f>R2028/P2028</f>
        <v>0.72727272727272729</v>
      </c>
      <c r="T2028" s="1">
        <v>3</v>
      </c>
      <c r="U2028" s="1">
        <v>12.5</v>
      </c>
      <c r="V2028" s="1">
        <v>841.83006535947709</v>
      </c>
      <c r="W2028" s="1">
        <v>4</v>
      </c>
    </row>
    <row r="2029" spans="1:23" x14ac:dyDescent="0.2">
      <c r="A2029">
        <v>2021</v>
      </c>
      <c r="B2029" t="s">
        <v>23</v>
      </c>
      <c r="C2029" t="s">
        <v>271</v>
      </c>
      <c r="D2029">
        <v>66</v>
      </c>
      <c r="E2029">
        <v>2</v>
      </c>
      <c r="F2029">
        <v>6</v>
      </c>
      <c r="G2029" t="s">
        <v>90</v>
      </c>
      <c r="H2029">
        <v>11</v>
      </c>
      <c r="I2029">
        <v>63</v>
      </c>
      <c r="J2029">
        <v>67</v>
      </c>
      <c r="K2029">
        <v>4</v>
      </c>
      <c r="L2029">
        <v>127</v>
      </c>
      <c r="M2029">
        <v>65</v>
      </c>
      <c r="N2029">
        <v>2</v>
      </c>
      <c r="O2029">
        <v>3</v>
      </c>
      <c r="P2029">
        <v>11</v>
      </c>
      <c r="Q2029">
        <v>1</v>
      </c>
      <c r="R2029">
        <v>12</v>
      </c>
      <c r="S2029">
        <v>1.0909090909090908</v>
      </c>
      <c r="T2029">
        <v>2</v>
      </c>
      <c r="U2029">
        <v>12.5</v>
      </c>
      <c r="V2029">
        <v>3660.1307189542486</v>
      </c>
      <c r="W2029">
        <v>1</v>
      </c>
    </row>
    <row r="2030" spans="1:23" x14ac:dyDescent="0.2">
      <c r="A2030">
        <v>2021</v>
      </c>
      <c r="B2030" t="s">
        <v>23</v>
      </c>
      <c r="C2030" t="s">
        <v>271</v>
      </c>
      <c r="D2030">
        <v>67</v>
      </c>
      <c r="E2030">
        <v>1</v>
      </c>
      <c r="F2030">
        <v>2</v>
      </c>
      <c r="G2030" t="s">
        <v>91</v>
      </c>
      <c r="H2030" s="1">
        <v>7</v>
      </c>
      <c r="I2030" s="1">
        <v>66</v>
      </c>
      <c r="J2030" s="1">
        <v>69</v>
      </c>
      <c r="K2030" s="1">
        <f>J2030-I2030</f>
        <v>3</v>
      </c>
      <c r="L2030" s="1">
        <v>163</v>
      </c>
      <c r="M2030" s="1">
        <v>65</v>
      </c>
      <c r="N2030" s="1">
        <v>1.5</v>
      </c>
      <c r="O2030" s="1">
        <v>4</v>
      </c>
      <c r="P2030" s="1">
        <v>6</v>
      </c>
      <c r="Q2030" s="2">
        <v>0.50900000000000001</v>
      </c>
      <c r="R2030" s="1">
        <v>4</v>
      </c>
      <c r="S2030" s="1">
        <f>R2030/P2030</f>
        <v>0.66666666666666663</v>
      </c>
      <c r="T2030" s="1">
        <v>2</v>
      </c>
      <c r="U2030" s="1">
        <v>12.5</v>
      </c>
      <c r="V2030" s="1">
        <v>1863.0065359477126</v>
      </c>
      <c r="W2030" s="1">
        <v>6</v>
      </c>
    </row>
    <row r="2031" spans="1:23" x14ac:dyDescent="0.2">
      <c r="A2031">
        <v>2021</v>
      </c>
      <c r="B2031" t="s">
        <v>23</v>
      </c>
      <c r="C2031" t="s">
        <v>271</v>
      </c>
      <c r="D2031">
        <v>67</v>
      </c>
      <c r="E2031">
        <v>2</v>
      </c>
      <c r="F2031">
        <v>14</v>
      </c>
      <c r="G2031" t="s">
        <v>91</v>
      </c>
      <c r="H2031">
        <v>16</v>
      </c>
      <c r="I2031">
        <v>55</v>
      </c>
      <c r="J2031">
        <v>57</v>
      </c>
      <c r="K2031">
        <v>2</v>
      </c>
      <c r="L2031">
        <v>169</v>
      </c>
      <c r="M2031">
        <v>78</v>
      </c>
      <c r="N2031">
        <v>2</v>
      </c>
      <c r="O2031">
        <v>2.5</v>
      </c>
      <c r="P2031">
        <v>15</v>
      </c>
      <c r="Q2031">
        <v>1</v>
      </c>
      <c r="R2031">
        <v>12</v>
      </c>
      <c r="S2031">
        <v>0.8</v>
      </c>
      <c r="T2031">
        <v>4</v>
      </c>
      <c r="U2031">
        <v>10.5</v>
      </c>
      <c r="V2031">
        <v>3743.790849673203</v>
      </c>
      <c r="W2031">
        <v>2</v>
      </c>
    </row>
    <row r="2032" spans="1:23" x14ac:dyDescent="0.2">
      <c r="A2032">
        <v>2021</v>
      </c>
      <c r="B2032" t="s">
        <v>23</v>
      </c>
      <c r="C2032" t="s">
        <v>271</v>
      </c>
      <c r="D2032">
        <v>68</v>
      </c>
      <c r="E2032">
        <v>1</v>
      </c>
      <c r="F2032">
        <v>7</v>
      </c>
      <c r="G2032" t="s">
        <v>92</v>
      </c>
      <c r="H2032">
        <v>7</v>
      </c>
      <c r="I2032">
        <v>57</v>
      </c>
      <c r="J2032">
        <v>63</v>
      </c>
      <c r="K2032">
        <v>6</v>
      </c>
      <c r="L2032">
        <v>151</v>
      </c>
      <c r="M2032">
        <v>21</v>
      </c>
      <c r="N2032">
        <v>3</v>
      </c>
      <c r="O2032">
        <v>3</v>
      </c>
      <c r="P2032">
        <v>4</v>
      </c>
      <c r="Q2032">
        <v>0.311</v>
      </c>
      <c r="R2032">
        <v>4</v>
      </c>
      <c r="S2032">
        <v>1</v>
      </c>
      <c r="T2032">
        <v>3</v>
      </c>
      <c r="U2032">
        <v>12.5</v>
      </c>
      <c r="V2032">
        <v>1138.3006535947711</v>
      </c>
      <c r="W2032">
        <v>1</v>
      </c>
    </row>
    <row r="2033" spans="1:23" x14ac:dyDescent="0.2">
      <c r="A2033">
        <v>2021</v>
      </c>
      <c r="B2033" t="s">
        <v>23</v>
      </c>
      <c r="C2033" t="s">
        <v>271</v>
      </c>
      <c r="D2033">
        <v>68</v>
      </c>
      <c r="E2033">
        <v>2</v>
      </c>
      <c r="F2033">
        <v>13</v>
      </c>
      <c r="G2033" t="s">
        <v>92</v>
      </c>
      <c r="H2033" s="1">
        <v>10</v>
      </c>
      <c r="I2033" s="1">
        <v>69</v>
      </c>
      <c r="J2033" s="1">
        <v>74</v>
      </c>
      <c r="K2033" s="1">
        <f>J2033-I2033</f>
        <v>5</v>
      </c>
      <c r="L2033" s="1">
        <v>171</v>
      </c>
      <c r="M2033" s="1">
        <v>108</v>
      </c>
      <c r="N2033" s="1">
        <v>2</v>
      </c>
      <c r="O2033" s="1">
        <v>3.5</v>
      </c>
      <c r="P2033" s="1">
        <v>9</v>
      </c>
      <c r="Q2033" s="2">
        <v>0.24440000000000001</v>
      </c>
      <c r="R2033" s="1">
        <v>6</v>
      </c>
      <c r="S2033" s="1">
        <f>R2033/P2033</f>
        <v>0.66666666666666663</v>
      </c>
      <c r="T2033" s="1">
        <v>5</v>
      </c>
      <c r="U2033" s="1">
        <v>12.5</v>
      </c>
      <c r="V2033" s="1">
        <v>894.53594771241842</v>
      </c>
      <c r="W2033" s="1">
        <v>4</v>
      </c>
    </row>
    <row r="2034" spans="1:23" x14ac:dyDescent="0.2">
      <c r="A2034">
        <v>2021</v>
      </c>
      <c r="B2034" t="s">
        <v>23</v>
      </c>
      <c r="C2034" t="s">
        <v>271</v>
      </c>
      <c r="D2034">
        <v>69</v>
      </c>
      <c r="E2034">
        <v>1</v>
      </c>
      <c r="F2034">
        <v>14</v>
      </c>
      <c r="G2034" t="s">
        <v>93</v>
      </c>
      <c r="H2034" s="1">
        <v>7</v>
      </c>
      <c r="I2034" s="1">
        <v>64</v>
      </c>
      <c r="J2034" s="1">
        <v>69</v>
      </c>
      <c r="K2034" s="1">
        <f>J2034-I2034</f>
        <v>5</v>
      </c>
      <c r="L2034" s="1">
        <v>133</v>
      </c>
      <c r="M2034" s="1">
        <v>88</v>
      </c>
      <c r="N2034" s="1">
        <v>2</v>
      </c>
      <c r="O2034" s="1">
        <v>3</v>
      </c>
      <c r="P2034" s="1">
        <f>H2034</f>
        <v>7</v>
      </c>
      <c r="Q2034" s="2">
        <v>0.33600000000000002</v>
      </c>
      <c r="R2034" s="1">
        <v>5</v>
      </c>
      <c r="S2034" s="1">
        <f>R2034/P2034</f>
        <v>0.7142857142857143</v>
      </c>
      <c r="T2034" s="1">
        <v>5</v>
      </c>
      <c r="U2034" s="1">
        <v>12.5</v>
      </c>
      <c r="V2034" s="1">
        <v>1229.8039215686274</v>
      </c>
      <c r="W2034" s="1">
        <v>5</v>
      </c>
    </row>
    <row r="2035" spans="1:23" x14ac:dyDescent="0.2">
      <c r="A2035">
        <v>2021</v>
      </c>
      <c r="B2035" t="s">
        <v>23</v>
      </c>
      <c r="C2035" t="s">
        <v>271</v>
      </c>
      <c r="D2035">
        <v>69</v>
      </c>
      <c r="E2035">
        <v>2</v>
      </c>
      <c r="F2035">
        <v>15</v>
      </c>
      <c r="G2035" t="s">
        <v>93</v>
      </c>
      <c r="H2035">
        <v>4</v>
      </c>
      <c r="I2035">
        <v>59</v>
      </c>
      <c r="J2035">
        <v>62</v>
      </c>
      <c r="K2035">
        <v>3</v>
      </c>
      <c r="L2035">
        <v>179</v>
      </c>
      <c r="M2035">
        <v>75</v>
      </c>
      <c r="N2035">
        <v>1.5</v>
      </c>
      <c r="O2035">
        <v>2</v>
      </c>
      <c r="P2035">
        <v>4</v>
      </c>
      <c r="Q2035">
        <v>0.5</v>
      </c>
      <c r="R2035">
        <v>4</v>
      </c>
      <c r="S2035">
        <v>1</v>
      </c>
      <c r="T2035">
        <v>2.5</v>
      </c>
      <c r="U2035">
        <v>12.5</v>
      </c>
      <c r="V2035">
        <v>1830.0653594771243</v>
      </c>
      <c r="W2035">
        <v>1</v>
      </c>
    </row>
    <row r="2036" spans="1:23" x14ac:dyDescent="0.2">
      <c r="A2036">
        <v>2021</v>
      </c>
      <c r="B2036" t="s">
        <v>23</v>
      </c>
      <c r="C2036" t="s">
        <v>271</v>
      </c>
      <c r="D2036">
        <v>70</v>
      </c>
      <c r="E2036">
        <v>1</v>
      </c>
      <c r="F2036">
        <v>14</v>
      </c>
      <c r="G2036" t="s">
        <v>94</v>
      </c>
      <c r="H2036">
        <v>12</v>
      </c>
      <c r="I2036">
        <v>60</v>
      </c>
      <c r="J2036">
        <v>62</v>
      </c>
      <c r="K2036">
        <v>2</v>
      </c>
      <c r="L2036">
        <v>181</v>
      </c>
      <c r="M2036">
        <v>61</v>
      </c>
      <c r="N2036">
        <v>2</v>
      </c>
      <c r="O2036">
        <v>3</v>
      </c>
      <c r="P2036">
        <v>12</v>
      </c>
      <c r="Q2036">
        <v>1.4</v>
      </c>
      <c r="R2036">
        <v>15</v>
      </c>
      <c r="S2036">
        <v>1.25</v>
      </c>
      <c r="T2036">
        <v>2</v>
      </c>
      <c r="U2036">
        <v>12.5</v>
      </c>
      <c r="V2036">
        <v>5124.1830065359472</v>
      </c>
      <c r="W2036">
        <v>1</v>
      </c>
    </row>
    <row r="2037" spans="1:23" x14ac:dyDescent="0.2">
      <c r="A2037">
        <v>2021</v>
      </c>
      <c r="B2037" t="s">
        <v>23</v>
      </c>
      <c r="C2037" t="s">
        <v>271</v>
      </c>
      <c r="D2037">
        <v>70</v>
      </c>
      <c r="E2037">
        <v>2</v>
      </c>
      <c r="F2037">
        <v>4</v>
      </c>
      <c r="G2037" t="s">
        <v>94</v>
      </c>
      <c r="H2037" s="1">
        <v>11</v>
      </c>
      <c r="I2037" s="1">
        <v>69</v>
      </c>
      <c r="J2037" s="1">
        <v>73</v>
      </c>
      <c r="K2037" s="1">
        <f>J2037-I2037</f>
        <v>4</v>
      </c>
      <c r="L2037" s="1">
        <v>105</v>
      </c>
      <c r="M2037" s="1">
        <v>35</v>
      </c>
      <c r="N2037" s="1">
        <v>3</v>
      </c>
      <c r="O2037" s="1">
        <v>4.5</v>
      </c>
      <c r="P2037" s="1">
        <v>8</v>
      </c>
      <c r="Q2037" s="2">
        <v>0.18919999999999998</v>
      </c>
      <c r="R2037" s="1">
        <v>9</v>
      </c>
      <c r="S2037" s="1">
        <f>R2037/P2037</f>
        <v>1.125</v>
      </c>
      <c r="T2037" s="1">
        <v>4</v>
      </c>
      <c r="U2037" s="1">
        <v>12.5</v>
      </c>
      <c r="V2037" s="1">
        <v>692.49673202614372</v>
      </c>
      <c r="W2037" s="1">
        <v>5</v>
      </c>
    </row>
    <row r="2038" spans="1:23" x14ac:dyDescent="0.2">
      <c r="A2038">
        <v>2021</v>
      </c>
      <c r="B2038" t="s">
        <v>23</v>
      </c>
      <c r="C2038" t="s">
        <v>271</v>
      </c>
      <c r="D2038">
        <v>71</v>
      </c>
      <c r="E2038">
        <v>1</v>
      </c>
      <c r="F2038">
        <v>7</v>
      </c>
      <c r="G2038" t="s">
        <v>95</v>
      </c>
      <c r="H2038" s="1">
        <v>3</v>
      </c>
      <c r="I2038" s="1">
        <v>60</v>
      </c>
      <c r="J2038" s="1">
        <v>63</v>
      </c>
      <c r="K2038" s="1">
        <f>J2038-I2038</f>
        <v>3</v>
      </c>
      <c r="L2038" s="1">
        <v>152</v>
      </c>
      <c r="M2038" s="1">
        <v>70</v>
      </c>
      <c r="N2038" s="1">
        <v>2</v>
      </c>
      <c r="O2038" s="1">
        <v>3.5</v>
      </c>
      <c r="P2038" s="1">
        <v>3</v>
      </c>
      <c r="Q2038" s="2">
        <v>0.49560000000000004</v>
      </c>
      <c r="R2038" s="1">
        <v>2</v>
      </c>
      <c r="S2038" s="1">
        <f>R2038/P2038</f>
        <v>0.66666666666666663</v>
      </c>
      <c r="T2038" s="1">
        <v>5</v>
      </c>
      <c r="U2038" s="1">
        <v>8.1</v>
      </c>
      <c r="V2038" s="1">
        <v>1905.1770980392164</v>
      </c>
      <c r="W2038" s="1">
        <v>5</v>
      </c>
    </row>
    <row r="2039" spans="1:23" x14ac:dyDescent="0.2">
      <c r="A2039">
        <v>2021</v>
      </c>
      <c r="B2039" t="s">
        <v>23</v>
      </c>
      <c r="C2039" t="s">
        <v>271</v>
      </c>
      <c r="D2039">
        <v>71</v>
      </c>
      <c r="E2039">
        <v>2</v>
      </c>
      <c r="F2039">
        <v>13</v>
      </c>
      <c r="G2039" t="s">
        <v>95</v>
      </c>
      <c r="H2039" s="1">
        <v>13</v>
      </c>
      <c r="I2039" s="1">
        <v>60</v>
      </c>
      <c r="J2039" s="1">
        <v>63</v>
      </c>
      <c r="K2039" s="1">
        <f>J2039-I2039</f>
        <v>3</v>
      </c>
      <c r="L2039" s="1">
        <v>146</v>
      </c>
      <c r="M2039" s="1">
        <v>51</v>
      </c>
      <c r="N2039" s="1">
        <v>2</v>
      </c>
      <c r="O2039" s="1">
        <v>3.5</v>
      </c>
      <c r="P2039" s="1">
        <f>H2039-2</f>
        <v>11</v>
      </c>
      <c r="Q2039" s="2">
        <v>0.91800000000000004</v>
      </c>
      <c r="R2039" s="1">
        <v>9</v>
      </c>
      <c r="S2039" s="1">
        <f>R2039/P2039</f>
        <v>0.81818181818181823</v>
      </c>
      <c r="T2039" s="1">
        <v>5</v>
      </c>
      <c r="U2039" s="1">
        <v>12.5</v>
      </c>
      <c r="V2039" s="1">
        <v>3360</v>
      </c>
      <c r="W2039" s="1">
        <v>5</v>
      </c>
    </row>
    <row r="2040" spans="1:23" x14ac:dyDescent="0.2">
      <c r="A2040">
        <v>2021</v>
      </c>
      <c r="B2040" t="s">
        <v>23</v>
      </c>
      <c r="C2040" t="s">
        <v>271</v>
      </c>
      <c r="D2040">
        <v>72</v>
      </c>
      <c r="E2040">
        <v>1</v>
      </c>
      <c r="F2040">
        <v>4</v>
      </c>
      <c r="G2040" t="s">
        <v>96</v>
      </c>
      <c r="H2040" s="1">
        <v>1</v>
      </c>
      <c r="I2040" s="1">
        <v>65</v>
      </c>
      <c r="J2040" s="1">
        <v>66</v>
      </c>
      <c r="K2040" s="1">
        <f>J2040-I2040</f>
        <v>1</v>
      </c>
      <c r="L2040" s="1">
        <v>133</v>
      </c>
      <c r="M2040" s="1">
        <v>73</v>
      </c>
      <c r="N2040" s="1">
        <v>2</v>
      </c>
      <c r="O2040" s="1">
        <v>3.5</v>
      </c>
      <c r="P2040" s="1">
        <v>1</v>
      </c>
      <c r="Q2040" s="2">
        <v>2.7E-2</v>
      </c>
      <c r="R2040" s="1">
        <v>1</v>
      </c>
      <c r="S2040" s="1">
        <f>R2040/P2040</f>
        <v>1</v>
      </c>
      <c r="T2040" s="1">
        <v>3</v>
      </c>
      <c r="U2040" s="1">
        <v>12.5</v>
      </c>
      <c r="V2040" s="1">
        <v>98.823529411764696</v>
      </c>
      <c r="W2040" s="1">
        <v>6</v>
      </c>
    </row>
    <row r="2041" spans="1:23" x14ac:dyDescent="0.2">
      <c r="A2041">
        <v>2021</v>
      </c>
      <c r="B2041" t="s">
        <v>23</v>
      </c>
      <c r="C2041" t="s">
        <v>271</v>
      </c>
      <c r="D2041">
        <v>72</v>
      </c>
      <c r="E2041">
        <v>2</v>
      </c>
      <c r="F2041">
        <v>13</v>
      </c>
      <c r="G2041" t="s">
        <v>96</v>
      </c>
      <c r="H2041">
        <v>14</v>
      </c>
      <c r="I2041">
        <v>58</v>
      </c>
      <c r="J2041">
        <v>61</v>
      </c>
      <c r="K2041">
        <v>3</v>
      </c>
      <c r="L2041">
        <v>187</v>
      </c>
      <c r="M2041">
        <v>98</v>
      </c>
      <c r="N2041">
        <v>1</v>
      </c>
      <c r="O2041">
        <v>1.5</v>
      </c>
      <c r="P2041">
        <v>13</v>
      </c>
      <c r="Q2041">
        <v>1.4</v>
      </c>
      <c r="R2041">
        <v>10</v>
      </c>
      <c r="S2041">
        <v>0.76923076923076927</v>
      </c>
      <c r="T2041">
        <v>4</v>
      </c>
      <c r="U2041">
        <v>10.6</v>
      </c>
      <c r="V2041">
        <v>5235.4509803921574</v>
      </c>
      <c r="W2041">
        <v>2</v>
      </c>
    </row>
    <row r="2042" spans="1:23" x14ac:dyDescent="0.2">
      <c r="A2042">
        <v>2021</v>
      </c>
      <c r="B2042" t="s">
        <v>23</v>
      </c>
      <c r="C2042" t="s">
        <v>271</v>
      </c>
      <c r="D2042">
        <v>73</v>
      </c>
      <c r="E2042">
        <v>1</v>
      </c>
      <c r="F2042">
        <v>6</v>
      </c>
      <c r="G2042" t="s">
        <v>97</v>
      </c>
      <c r="H2042" s="1">
        <v>11</v>
      </c>
      <c r="I2042" s="1">
        <v>67</v>
      </c>
      <c r="J2042" s="1">
        <v>70</v>
      </c>
      <c r="K2042" s="1">
        <f>J2042-I2042</f>
        <v>3</v>
      </c>
      <c r="L2042" s="1">
        <v>140</v>
      </c>
      <c r="M2042" s="1">
        <v>50</v>
      </c>
      <c r="N2042" s="1">
        <v>1.5</v>
      </c>
      <c r="O2042" s="1">
        <v>4</v>
      </c>
      <c r="P2042" s="1">
        <v>5</v>
      </c>
      <c r="Q2042" s="2">
        <v>0.19800000000000001</v>
      </c>
      <c r="R2042" s="1">
        <v>5</v>
      </c>
      <c r="S2042" s="1">
        <f>R2042/P2042</f>
        <v>1</v>
      </c>
      <c r="T2042" s="1">
        <v>4</v>
      </c>
      <c r="U2042" s="1">
        <v>12.5</v>
      </c>
      <c r="V2042" s="1">
        <v>724.7058823529411</v>
      </c>
      <c r="W2042" s="1">
        <v>4</v>
      </c>
    </row>
    <row r="2043" spans="1:23" x14ac:dyDescent="0.2">
      <c r="A2043">
        <v>2021</v>
      </c>
      <c r="B2043" t="s">
        <v>23</v>
      </c>
      <c r="C2043" t="s">
        <v>271</v>
      </c>
      <c r="D2043">
        <v>73</v>
      </c>
      <c r="E2043">
        <v>2</v>
      </c>
      <c r="F2043">
        <v>3</v>
      </c>
      <c r="G2043" t="s">
        <v>97</v>
      </c>
      <c r="H2043" s="1">
        <v>4</v>
      </c>
      <c r="I2043" s="1">
        <v>67</v>
      </c>
      <c r="J2043" s="1">
        <v>71</v>
      </c>
      <c r="K2043" s="1">
        <f>J2043-I2043</f>
        <v>4</v>
      </c>
      <c r="L2043" s="1">
        <v>81</v>
      </c>
      <c r="M2043" s="1">
        <v>31</v>
      </c>
      <c r="N2043" s="1">
        <v>1.5</v>
      </c>
      <c r="O2043" s="1">
        <v>5</v>
      </c>
      <c r="P2043" s="1">
        <v>2</v>
      </c>
      <c r="Q2043" s="2">
        <v>2.5000000000000001E-2</v>
      </c>
      <c r="R2043" s="1">
        <v>2</v>
      </c>
      <c r="S2043" s="1">
        <f>R2043/P2043</f>
        <v>1</v>
      </c>
      <c r="T2043" s="1">
        <v>5</v>
      </c>
      <c r="U2043" s="1">
        <v>12.5</v>
      </c>
      <c r="V2043" s="1">
        <v>91.503267973856211</v>
      </c>
      <c r="W2043" s="1">
        <v>5</v>
      </c>
    </row>
    <row r="2044" spans="1:23" x14ac:dyDescent="0.2">
      <c r="A2044">
        <v>2021</v>
      </c>
      <c r="B2044" t="s">
        <v>23</v>
      </c>
      <c r="C2044" t="s">
        <v>271</v>
      </c>
      <c r="D2044">
        <v>74</v>
      </c>
      <c r="E2044">
        <v>1</v>
      </c>
      <c r="F2044">
        <v>12</v>
      </c>
      <c r="G2044" t="s">
        <v>98</v>
      </c>
      <c r="H2044">
        <v>9</v>
      </c>
      <c r="I2044">
        <v>57</v>
      </c>
      <c r="J2044">
        <v>60</v>
      </c>
      <c r="K2044">
        <v>3</v>
      </c>
      <c r="L2044">
        <v>171</v>
      </c>
      <c r="M2044">
        <v>66</v>
      </c>
      <c r="N2044">
        <v>2</v>
      </c>
      <c r="O2044">
        <v>2.5</v>
      </c>
      <c r="P2044">
        <v>9</v>
      </c>
      <c r="Q2044">
        <v>0.1</v>
      </c>
      <c r="R2044">
        <v>3</v>
      </c>
      <c r="S2044">
        <v>0.33333333333333331</v>
      </c>
      <c r="T2044">
        <v>5</v>
      </c>
      <c r="U2044">
        <v>15</v>
      </c>
      <c r="V2044">
        <v>355.55555555555554</v>
      </c>
      <c r="W2044">
        <v>1</v>
      </c>
    </row>
    <row r="2045" spans="1:23" x14ac:dyDescent="0.2">
      <c r="A2045">
        <v>2021</v>
      </c>
      <c r="B2045" t="s">
        <v>23</v>
      </c>
      <c r="C2045" t="s">
        <v>271</v>
      </c>
      <c r="D2045">
        <v>74</v>
      </c>
      <c r="E2045">
        <v>2</v>
      </c>
      <c r="F2045">
        <v>4</v>
      </c>
      <c r="G2045" t="s">
        <v>98</v>
      </c>
      <c r="H2045">
        <v>16</v>
      </c>
      <c r="I2045">
        <v>58</v>
      </c>
      <c r="J2045">
        <v>60</v>
      </c>
      <c r="K2045">
        <v>2</v>
      </c>
      <c r="L2045">
        <v>150</v>
      </c>
      <c r="M2045">
        <v>75</v>
      </c>
      <c r="N2045">
        <v>2</v>
      </c>
      <c r="O2045">
        <v>2</v>
      </c>
      <c r="P2045">
        <v>12</v>
      </c>
      <c r="Q2045">
        <v>0.6</v>
      </c>
      <c r="R2045">
        <v>10</v>
      </c>
      <c r="S2045">
        <v>0.83333333333333337</v>
      </c>
      <c r="T2045">
        <v>3</v>
      </c>
      <c r="U2045">
        <v>10.5</v>
      </c>
      <c r="V2045">
        <v>2246.2745098039213</v>
      </c>
      <c r="W2045">
        <v>1</v>
      </c>
    </row>
    <row r="2046" spans="1:23" x14ac:dyDescent="0.2">
      <c r="A2046">
        <v>2021</v>
      </c>
      <c r="B2046" t="s">
        <v>23</v>
      </c>
      <c r="C2046" t="s">
        <v>271</v>
      </c>
      <c r="D2046">
        <v>75</v>
      </c>
      <c r="E2046">
        <v>1</v>
      </c>
      <c r="F2046">
        <v>14</v>
      </c>
      <c r="G2046" t="s">
        <v>99</v>
      </c>
      <c r="H2046">
        <v>5</v>
      </c>
      <c r="I2046">
        <v>56</v>
      </c>
      <c r="J2046">
        <v>60</v>
      </c>
      <c r="K2046">
        <v>4</v>
      </c>
      <c r="L2046">
        <v>90</v>
      </c>
      <c r="M2046">
        <v>28</v>
      </c>
      <c r="N2046">
        <v>3</v>
      </c>
      <c r="O2046">
        <v>4</v>
      </c>
      <c r="P2046">
        <v>4</v>
      </c>
      <c r="Q2046">
        <v>0.14199999999999999</v>
      </c>
      <c r="R2046">
        <v>4</v>
      </c>
      <c r="S2046">
        <v>1</v>
      </c>
      <c r="T2046">
        <v>4</v>
      </c>
      <c r="U2046">
        <v>12.5</v>
      </c>
      <c r="V2046">
        <v>519.73856209150335</v>
      </c>
      <c r="W2046">
        <v>1</v>
      </c>
    </row>
    <row r="2047" spans="1:23" x14ac:dyDescent="0.2">
      <c r="A2047">
        <v>2021</v>
      </c>
      <c r="B2047" t="s">
        <v>23</v>
      </c>
      <c r="C2047" t="s">
        <v>271</v>
      </c>
      <c r="D2047">
        <v>75</v>
      </c>
      <c r="E2047">
        <v>2</v>
      </c>
      <c r="F2047">
        <v>4</v>
      </c>
      <c r="G2047" t="s">
        <v>99</v>
      </c>
      <c r="H2047">
        <v>14</v>
      </c>
      <c r="I2047">
        <v>60</v>
      </c>
      <c r="J2047">
        <v>62</v>
      </c>
      <c r="K2047">
        <v>2</v>
      </c>
      <c r="L2047">
        <v>168</v>
      </c>
      <c r="M2047">
        <v>66</v>
      </c>
      <c r="N2047">
        <v>2</v>
      </c>
      <c r="O2047">
        <v>3</v>
      </c>
      <c r="P2047">
        <v>14</v>
      </c>
      <c r="Q2047">
        <v>0.9</v>
      </c>
      <c r="R2047">
        <v>12</v>
      </c>
      <c r="S2047">
        <v>0.8571428571428571</v>
      </c>
      <c r="T2047">
        <v>3</v>
      </c>
      <c r="U2047">
        <v>12.5</v>
      </c>
      <c r="V2047">
        <v>3294.1176470588234</v>
      </c>
      <c r="W2047">
        <v>1</v>
      </c>
    </row>
    <row r="2048" spans="1:23" x14ac:dyDescent="0.2">
      <c r="A2048">
        <v>2021</v>
      </c>
      <c r="B2048" t="s">
        <v>23</v>
      </c>
      <c r="C2048" t="s">
        <v>271</v>
      </c>
      <c r="D2048">
        <v>76</v>
      </c>
      <c r="E2048">
        <v>1</v>
      </c>
      <c r="F2048">
        <v>3</v>
      </c>
      <c r="G2048" t="s">
        <v>100</v>
      </c>
      <c r="H2048" s="1">
        <v>11</v>
      </c>
      <c r="I2048" s="1">
        <v>61</v>
      </c>
      <c r="J2048" s="1">
        <v>66</v>
      </c>
      <c r="K2048" s="1">
        <f>J2048-I2048</f>
        <v>5</v>
      </c>
      <c r="L2048" s="1">
        <v>126</v>
      </c>
      <c r="M2048" s="1">
        <v>83</v>
      </c>
      <c r="N2048" s="1">
        <v>2</v>
      </c>
      <c r="O2048" s="1">
        <v>2.5</v>
      </c>
      <c r="P2048" s="1">
        <v>10</v>
      </c>
      <c r="Q2048" s="2">
        <v>0.36899999999999999</v>
      </c>
      <c r="R2048" s="1">
        <v>7</v>
      </c>
      <c r="S2048" s="1">
        <f>R2048/P2048</f>
        <v>0.7</v>
      </c>
      <c r="T2048" s="1">
        <v>5</v>
      </c>
      <c r="U2048" s="1">
        <v>12.5</v>
      </c>
      <c r="V2048" s="1">
        <v>1350.5882352941178</v>
      </c>
      <c r="W2048" s="1">
        <v>6</v>
      </c>
    </row>
    <row r="2049" spans="1:23" x14ac:dyDescent="0.2">
      <c r="A2049">
        <v>2021</v>
      </c>
      <c r="B2049" t="s">
        <v>23</v>
      </c>
      <c r="C2049" t="s">
        <v>271</v>
      </c>
      <c r="D2049">
        <v>76</v>
      </c>
      <c r="E2049">
        <v>2</v>
      </c>
      <c r="F2049">
        <v>2</v>
      </c>
      <c r="G2049" t="s">
        <v>100</v>
      </c>
      <c r="H2049">
        <v>8</v>
      </c>
      <c r="I2049">
        <v>63</v>
      </c>
      <c r="J2049">
        <v>66</v>
      </c>
      <c r="K2049">
        <v>3</v>
      </c>
      <c r="L2049">
        <v>115</v>
      </c>
      <c r="M2049">
        <v>40</v>
      </c>
      <c r="N2049">
        <v>1.5</v>
      </c>
      <c r="O2049">
        <v>2</v>
      </c>
      <c r="P2049">
        <v>8</v>
      </c>
      <c r="Q2049">
        <v>0.4</v>
      </c>
      <c r="R2049">
        <v>8</v>
      </c>
      <c r="S2049">
        <v>1</v>
      </c>
      <c r="T2049">
        <v>2.5</v>
      </c>
      <c r="U2049">
        <v>12.5</v>
      </c>
      <c r="V2049">
        <v>1464.0522875816994</v>
      </c>
      <c r="W2049">
        <v>1</v>
      </c>
    </row>
    <row r="2050" spans="1:23" x14ac:dyDescent="0.2">
      <c r="A2050">
        <v>2021</v>
      </c>
      <c r="B2050" t="s">
        <v>23</v>
      </c>
      <c r="C2050" t="s">
        <v>271</v>
      </c>
      <c r="D2050">
        <v>77</v>
      </c>
      <c r="E2050">
        <v>1</v>
      </c>
      <c r="F2050">
        <v>3</v>
      </c>
      <c r="G2050" t="s">
        <v>101</v>
      </c>
      <c r="H2050" s="1">
        <v>8</v>
      </c>
      <c r="I2050" s="1">
        <v>58</v>
      </c>
      <c r="J2050" s="1">
        <v>61</v>
      </c>
      <c r="K2050" s="1">
        <f>J2050-I2050</f>
        <v>3</v>
      </c>
      <c r="L2050" s="1">
        <v>173</v>
      </c>
      <c r="M2050" s="1">
        <v>93</v>
      </c>
      <c r="N2050" s="1">
        <v>2</v>
      </c>
      <c r="O2050" s="1">
        <v>2.5</v>
      </c>
      <c r="P2050" s="1">
        <v>8</v>
      </c>
      <c r="Q2050" s="2">
        <v>0.75509999999999988</v>
      </c>
      <c r="R2050" s="1">
        <v>7</v>
      </c>
      <c r="S2050" s="1">
        <f>R2050/P2050</f>
        <v>0.875</v>
      </c>
      <c r="T2050" s="1">
        <v>5</v>
      </c>
      <c r="U2050" s="1">
        <v>12.5</v>
      </c>
      <c r="V2050" s="1">
        <v>2763.7647058823522</v>
      </c>
      <c r="W2050" s="1">
        <v>4</v>
      </c>
    </row>
    <row r="2051" spans="1:23" x14ac:dyDescent="0.2">
      <c r="A2051">
        <v>2021</v>
      </c>
      <c r="B2051" t="s">
        <v>23</v>
      </c>
      <c r="C2051" t="s">
        <v>271</v>
      </c>
      <c r="D2051">
        <v>77</v>
      </c>
      <c r="E2051">
        <v>2</v>
      </c>
      <c r="F2051">
        <v>12</v>
      </c>
      <c r="G2051" t="s">
        <v>101</v>
      </c>
      <c r="H2051">
        <v>7</v>
      </c>
      <c r="I2051">
        <v>62</v>
      </c>
      <c r="J2051">
        <v>65</v>
      </c>
      <c r="K2051">
        <v>3</v>
      </c>
      <c r="L2051">
        <v>59</v>
      </c>
      <c r="M2051">
        <v>20</v>
      </c>
      <c r="N2051">
        <v>4</v>
      </c>
      <c r="O2051">
        <v>3</v>
      </c>
      <c r="P2051">
        <v>2</v>
      </c>
      <c r="Q2051">
        <v>0.33</v>
      </c>
      <c r="R2051">
        <v>2</v>
      </c>
      <c r="S2051">
        <v>1</v>
      </c>
      <c r="T2051">
        <v>4</v>
      </c>
      <c r="U2051">
        <v>12.5</v>
      </c>
      <c r="V2051">
        <v>1207.8431372549019</v>
      </c>
      <c r="W2051">
        <v>2</v>
      </c>
    </row>
    <row r="2052" spans="1:23" x14ac:dyDescent="0.2">
      <c r="A2052">
        <v>2021</v>
      </c>
      <c r="B2052" t="s">
        <v>23</v>
      </c>
      <c r="C2052" t="s">
        <v>271</v>
      </c>
      <c r="D2052">
        <v>78</v>
      </c>
      <c r="E2052">
        <v>1</v>
      </c>
      <c r="F2052">
        <v>1</v>
      </c>
      <c r="G2052" t="s">
        <v>102</v>
      </c>
      <c r="H2052" s="1">
        <v>7</v>
      </c>
      <c r="I2052" s="1">
        <v>60</v>
      </c>
      <c r="J2052" s="1">
        <v>64</v>
      </c>
      <c r="K2052" s="1">
        <f>J2052-I2052</f>
        <v>4</v>
      </c>
      <c r="L2052" s="1">
        <v>23</v>
      </c>
      <c r="M2052" s="1">
        <v>35</v>
      </c>
      <c r="N2052" s="1">
        <v>2</v>
      </c>
      <c r="O2052" s="1">
        <v>3</v>
      </c>
      <c r="P2052" s="1">
        <f>H2052-2</f>
        <v>5</v>
      </c>
      <c r="Q2052" s="2">
        <v>0.22650000000000001</v>
      </c>
      <c r="R2052" s="1">
        <v>6</v>
      </c>
      <c r="S2052" s="1">
        <f>R2052/P2052</f>
        <v>1.2</v>
      </c>
      <c r="T2052" s="1">
        <v>5</v>
      </c>
      <c r="U2052" s="1">
        <v>12.5</v>
      </c>
      <c r="V2052" s="1">
        <v>829.01960784313724</v>
      </c>
      <c r="W2052" s="1">
        <v>4</v>
      </c>
    </row>
    <row r="2053" spans="1:23" x14ac:dyDescent="0.2">
      <c r="A2053">
        <v>2021</v>
      </c>
      <c r="B2053" t="s">
        <v>23</v>
      </c>
      <c r="C2053" t="s">
        <v>271</v>
      </c>
      <c r="D2053">
        <v>78</v>
      </c>
      <c r="E2053">
        <v>2</v>
      </c>
      <c r="F2053">
        <v>13</v>
      </c>
      <c r="G2053" t="s">
        <v>102</v>
      </c>
      <c r="H2053">
        <v>2</v>
      </c>
      <c r="I2053">
        <v>60</v>
      </c>
      <c r="J2053">
        <v>63</v>
      </c>
      <c r="K2053">
        <v>3</v>
      </c>
      <c r="L2053">
        <v>118</v>
      </c>
      <c r="M2053">
        <v>22</v>
      </c>
      <c r="N2053">
        <v>2</v>
      </c>
      <c r="O2053">
        <v>3</v>
      </c>
      <c r="P2053">
        <v>2</v>
      </c>
      <c r="Q2053">
        <v>0.3</v>
      </c>
      <c r="R2053">
        <v>2</v>
      </c>
      <c r="S2053">
        <v>1</v>
      </c>
      <c r="T2053">
        <v>3</v>
      </c>
      <c r="U2053">
        <v>12.5</v>
      </c>
      <c r="V2053">
        <v>1098.0392156862745</v>
      </c>
      <c r="W2053">
        <v>2</v>
      </c>
    </row>
    <row r="2054" spans="1:23" x14ac:dyDescent="0.2">
      <c r="A2054">
        <v>2021</v>
      </c>
      <c r="B2054" t="s">
        <v>23</v>
      </c>
      <c r="C2054" t="s">
        <v>271</v>
      </c>
      <c r="D2054">
        <v>79</v>
      </c>
      <c r="E2054">
        <v>1</v>
      </c>
      <c r="F2054">
        <v>10</v>
      </c>
      <c r="G2054" t="s">
        <v>103</v>
      </c>
      <c r="H2054" s="1">
        <v>6</v>
      </c>
      <c r="I2054" s="1">
        <v>66</v>
      </c>
      <c r="J2054" s="1">
        <v>71</v>
      </c>
      <c r="K2054" s="1">
        <f>J2054-I2054</f>
        <v>5</v>
      </c>
      <c r="L2054" s="1">
        <v>148</v>
      </c>
      <c r="M2054" s="1">
        <v>56</v>
      </c>
      <c r="N2054" s="1">
        <v>2</v>
      </c>
      <c r="O2054" s="1">
        <v>4</v>
      </c>
      <c r="P2054" s="1">
        <v>4</v>
      </c>
      <c r="Q2054" s="2">
        <v>0.125</v>
      </c>
      <c r="R2054" s="1">
        <v>3</v>
      </c>
      <c r="S2054" s="1">
        <f>R2054/P2054</f>
        <v>0.75</v>
      </c>
      <c r="T2054" s="1">
        <v>3</v>
      </c>
      <c r="U2054" s="1">
        <v>12.5</v>
      </c>
      <c r="V2054" s="1">
        <v>457.51633986928107</v>
      </c>
      <c r="W2054" s="1">
        <v>4</v>
      </c>
    </row>
    <row r="2055" spans="1:23" x14ac:dyDescent="0.2">
      <c r="A2055">
        <v>2021</v>
      </c>
      <c r="B2055" t="s">
        <v>23</v>
      </c>
      <c r="C2055" t="s">
        <v>271</v>
      </c>
      <c r="D2055">
        <v>79</v>
      </c>
      <c r="E2055">
        <v>2</v>
      </c>
      <c r="F2055">
        <v>9</v>
      </c>
      <c r="G2055" t="s">
        <v>103</v>
      </c>
      <c r="H2055">
        <v>4</v>
      </c>
      <c r="I2055">
        <v>64</v>
      </c>
      <c r="J2055">
        <v>67</v>
      </c>
      <c r="K2055">
        <v>3</v>
      </c>
      <c r="L2055">
        <v>120</v>
      </c>
      <c r="M2055">
        <v>80</v>
      </c>
      <c r="N2055">
        <v>1.5</v>
      </c>
      <c r="O2055">
        <v>3.5</v>
      </c>
      <c r="P2055">
        <v>4</v>
      </c>
      <c r="Q2055">
        <v>0.3</v>
      </c>
      <c r="R2055">
        <v>3</v>
      </c>
      <c r="S2055">
        <v>0.75</v>
      </c>
      <c r="T2055">
        <v>2.5</v>
      </c>
      <c r="U2055">
        <v>12.5</v>
      </c>
      <c r="V2055">
        <v>1098.0392156862745</v>
      </c>
      <c r="W2055">
        <v>1</v>
      </c>
    </row>
    <row r="2056" spans="1:23" x14ac:dyDescent="0.2">
      <c r="A2056">
        <v>2021</v>
      </c>
      <c r="B2056" t="s">
        <v>23</v>
      </c>
      <c r="C2056" t="s">
        <v>271</v>
      </c>
      <c r="D2056">
        <v>80</v>
      </c>
      <c r="E2056">
        <v>1</v>
      </c>
      <c r="F2056">
        <v>11</v>
      </c>
      <c r="G2056" t="s">
        <v>104</v>
      </c>
      <c r="H2056" s="1">
        <v>10</v>
      </c>
      <c r="I2056" s="1">
        <v>71</v>
      </c>
      <c r="J2056" s="1">
        <v>75</v>
      </c>
      <c r="K2056" s="1">
        <f>J2056-I2056</f>
        <v>4</v>
      </c>
      <c r="L2056" s="1">
        <v>111</v>
      </c>
      <c r="M2056" s="1">
        <v>41</v>
      </c>
      <c r="N2056" s="1">
        <v>3</v>
      </c>
      <c r="O2056" s="1">
        <v>4</v>
      </c>
      <c r="P2056" s="1">
        <v>6</v>
      </c>
      <c r="Q2056" s="2">
        <v>0.2064</v>
      </c>
      <c r="R2056" s="1">
        <v>6</v>
      </c>
      <c r="S2056" s="1">
        <f>R2056/P2056</f>
        <v>1</v>
      </c>
      <c r="T2056" s="1">
        <v>3.5</v>
      </c>
      <c r="U2056" s="1">
        <v>12.5</v>
      </c>
      <c r="V2056" s="1">
        <v>755.45098039215691</v>
      </c>
      <c r="W2056" s="1">
        <v>5</v>
      </c>
    </row>
    <row r="2057" spans="1:23" x14ac:dyDescent="0.2">
      <c r="A2057">
        <v>2021</v>
      </c>
      <c r="B2057" t="s">
        <v>23</v>
      </c>
      <c r="C2057" t="s">
        <v>271</v>
      </c>
      <c r="D2057">
        <v>80</v>
      </c>
      <c r="E2057">
        <v>2</v>
      </c>
      <c r="F2057">
        <v>7</v>
      </c>
      <c r="G2057" t="s">
        <v>104</v>
      </c>
      <c r="H2057" s="1">
        <v>10</v>
      </c>
      <c r="I2057" s="1">
        <v>66</v>
      </c>
      <c r="J2057" s="1">
        <v>70</v>
      </c>
      <c r="K2057" s="1">
        <f>J2057-I2057</f>
        <v>4</v>
      </c>
      <c r="L2057" s="1">
        <v>114</v>
      </c>
      <c r="M2057" s="1">
        <v>36</v>
      </c>
      <c r="N2057" s="1">
        <v>3</v>
      </c>
      <c r="O2057" s="1">
        <v>4.5</v>
      </c>
      <c r="P2057" s="1">
        <v>4</v>
      </c>
      <c r="Q2057" s="2">
        <v>0.10199999999999999</v>
      </c>
      <c r="R2057" s="1">
        <v>4</v>
      </c>
      <c r="S2057" s="1">
        <f>R2057/P2057</f>
        <v>1</v>
      </c>
      <c r="T2057" s="1">
        <v>5</v>
      </c>
      <c r="U2057" s="1">
        <v>12.5</v>
      </c>
      <c r="V2057" s="1">
        <v>373.33333333333326</v>
      </c>
      <c r="W2057" s="1">
        <v>6</v>
      </c>
    </row>
    <row r="2058" spans="1:23" x14ac:dyDescent="0.2">
      <c r="A2058">
        <v>2021</v>
      </c>
      <c r="B2058" t="s">
        <v>23</v>
      </c>
      <c r="C2058" t="s">
        <v>271</v>
      </c>
      <c r="D2058">
        <v>81</v>
      </c>
      <c r="E2058">
        <v>1</v>
      </c>
      <c r="F2058">
        <v>15</v>
      </c>
      <c r="G2058" t="s">
        <v>105</v>
      </c>
      <c r="H2058" s="1">
        <v>7</v>
      </c>
      <c r="I2058" s="1">
        <v>66</v>
      </c>
      <c r="J2058" s="1">
        <v>69</v>
      </c>
      <c r="K2058" s="1">
        <f>J2058-I2058</f>
        <v>3</v>
      </c>
      <c r="L2058" s="1">
        <v>152</v>
      </c>
      <c r="M2058" s="1">
        <v>70</v>
      </c>
      <c r="N2058" s="1">
        <v>2</v>
      </c>
      <c r="O2058" s="1">
        <v>3.5</v>
      </c>
      <c r="P2058" s="1">
        <v>5</v>
      </c>
      <c r="Q2058" s="2">
        <v>3.7499999999999999E-2</v>
      </c>
      <c r="R2058" s="1">
        <v>2</v>
      </c>
      <c r="S2058" s="1">
        <f>R2058/P2058</f>
        <v>0.4</v>
      </c>
      <c r="T2058" s="1">
        <v>5</v>
      </c>
      <c r="U2058" s="1">
        <v>12.5</v>
      </c>
      <c r="V2058" s="1">
        <v>137.25490196078431</v>
      </c>
      <c r="W2058" s="1">
        <v>6</v>
      </c>
    </row>
    <row r="2059" spans="1:23" x14ac:dyDescent="0.2">
      <c r="A2059">
        <v>2021</v>
      </c>
      <c r="B2059" t="s">
        <v>23</v>
      </c>
      <c r="C2059" t="s">
        <v>271</v>
      </c>
      <c r="D2059">
        <v>81</v>
      </c>
      <c r="E2059">
        <v>2</v>
      </c>
      <c r="F2059">
        <v>2</v>
      </c>
      <c r="G2059" t="s">
        <v>105</v>
      </c>
      <c r="H2059" s="1">
        <v>8</v>
      </c>
      <c r="I2059" s="1">
        <v>61</v>
      </c>
      <c r="J2059" s="1">
        <v>66</v>
      </c>
      <c r="K2059" s="1">
        <f>J2059-I2059</f>
        <v>5</v>
      </c>
      <c r="L2059" s="1">
        <v>93</v>
      </c>
      <c r="M2059" s="1">
        <v>53</v>
      </c>
      <c r="N2059" s="1">
        <v>2</v>
      </c>
      <c r="O2059" s="1">
        <v>4</v>
      </c>
      <c r="P2059" s="1">
        <v>6</v>
      </c>
      <c r="Q2059" s="2">
        <v>0.26</v>
      </c>
      <c r="R2059" s="1">
        <v>5</v>
      </c>
      <c r="S2059" s="1">
        <f>R2059/P2059</f>
        <v>0.83333333333333337</v>
      </c>
      <c r="T2059" s="1">
        <v>2.5</v>
      </c>
      <c r="U2059" s="1">
        <v>12.5</v>
      </c>
      <c r="V2059" s="1">
        <v>951.63398692810449</v>
      </c>
      <c r="W2059" s="1">
        <v>2</v>
      </c>
    </row>
    <row r="2060" spans="1:23" x14ac:dyDescent="0.2">
      <c r="A2060">
        <v>2021</v>
      </c>
      <c r="B2060" t="s">
        <v>23</v>
      </c>
      <c r="C2060" t="s">
        <v>271</v>
      </c>
      <c r="D2060">
        <v>82</v>
      </c>
      <c r="E2060">
        <v>1</v>
      </c>
      <c r="F2060">
        <v>10</v>
      </c>
      <c r="G2060" t="s">
        <v>106</v>
      </c>
      <c r="H2060">
        <v>9</v>
      </c>
      <c r="I2060">
        <v>55</v>
      </c>
      <c r="J2060">
        <v>59</v>
      </c>
      <c r="K2060">
        <v>4</v>
      </c>
      <c r="L2060">
        <v>154</v>
      </c>
      <c r="M2060">
        <v>65</v>
      </c>
      <c r="N2060">
        <v>3</v>
      </c>
      <c r="O2060">
        <v>3</v>
      </c>
      <c r="P2060">
        <v>8</v>
      </c>
      <c r="Q2060">
        <v>0.61099999999999999</v>
      </c>
      <c r="R2060">
        <v>6</v>
      </c>
      <c r="S2060">
        <v>0.75</v>
      </c>
      <c r="T2060">
        <v>3</v>
      </c>
      <c r="U2060">
        <v>12.5</v>
      </c>
      <c r="V2060">
        <v>2236.339869281046</v>
      </c>
      <c r="W2060">
        <v>1</v>
      </c>
    </row>
    <row r="2061" spans="1:23" x14ac:dyDescent="0.2">
      <c r="A2061">
        <v>2021</v>
      </c>
      <c r="B2061" t="s">
        <v>23</v>
      </c>
      <c r="C2061" t="s">
        <v>271</v>
      </c>
      <c r="D2061">
        <v>82</v>
      </c>
      <c r="E2061">
        <v>2</v>
      </c>
      <c r="F2061">
        <v>1</v>
      </c>
      <c r="G2061" t="s">
        <v>106</v>
      </c>
      <c r="H2061">
        <v>11</v>
      </c>
      <c r="I2061">
        <v>56</v>
      </c>
      <c r="J2061">
        <v>58</v>
      </c>
      <c r="K2061">
        <v>2</v>
      </c>
      <c r="L2061">
        <v>125</v>
      </c>
      <c r="M2061">
        <v>65</v>
      </c>
      <c r="N2061">
        <v>1.5</v>
      </c>
      <c r="O2061">
        <v>2</v>
      </c>
      <c r="P2061">
        <v>10</v>
      </c>
      <c r="Q2061">
        <v>1</v>
      </c>
      <c r="R2061">
        <v>10</v>
      </c>
      <c r="S2061">
        <v>1</v>
      </c>
      <c r="T2061">
        <v>3</v>
      </c>
      <c r="U2061">
        <v>12.5</v>
      </c>
      <c r="V2061">
        <v>3660.1307189542486</v>
      </c>
      <c r="W2061">
        <v>2</v>
      </c>
    </row>
    <row r="2062" spans="1:23" x14ac:dyDescent="0.2">
      <c r="A2062">
        <v>2021</v>
      </c>
      <c r="B2062" t="s">
        <v>23</v>
      </c>
      <c r="C2062" t="s">
        <v>271</v>
      </c>
      <c r="D2062">
        <v>83</v>
      </c>
      <c r="E2062">
        <v>1</v>
      </c>
      <c r="F2062">
        <v>9</v>
      </c>
      <c r="G2062" t="s">
        <v>107</v>
      </c>
      <c r="H2062" s="1">
        <v>5</v>
      </c>
      <c r="I2062" s="1">
        <v>63</v>
      </c>
      <c r="J2062" s="1">
        <v>69</v>
      </c>
      <c r="K2062" s="1">
        <f>J2062-I2062</f>
        <v>6</v>
      </c>
      <c r="L2062" s="1">
        <v>102</v>
      </c>
      <c r="M2062" s="1">
        <v>45</v>
      </c>
      <c r="N2062" s="1">
        <v>3</v>
      </c>
      <c r="O2062" s="1">
        <v>4</v>
      </c>
      <c r="P2062" s="1">
        <v>3</v>
      </c>
      <c r="Q2062" s="2">
        <v>9.2880000000000004E-2</v>
      </c>
      <c r="R2062" s="1">
        <v>1</v>
      </c>
      <c r="S2062" s="1">
        <f>R2062/P2062</f>
        <v>0.33333333333333331</v>
      </c>
      <c r="T2062" s="1">
        <v>4</v>
      </c>
      <c r="U2062" s="1">
        <v>12.5</v>
      </c>
      <c r="V2062" s="1">
        <v>339.95294117647057</v>
      </c>
      <c r="W2062" s="1">
        <v>6</v>
      </c>
    </row>
    <row r="2063" spans="1:23" x14ac:dyDescent="0.2">
      <c r="A2063">
        <v>2021</v>
      </c>
      <c r="B2063" t="s">
        <v>23</v>
      </c>
      <c r="C2063" t="s">
        <v>271</v>
      </c>
      <c r="D2063">
        <v>83</v>
      </c>
      <c r="E2063">
        <v>2</v>
      </c>
      <c r="F2063">
        <v>3</v>
      </c>
      <c r="G2063" t="s">
        <v>107</v>
      </c>
      <c r="H2063">
        <v>5</v>
      </c>
      <c r="I2063">
        <v>63</v>
      </c>
      <c r="J2063">
        <v>65</v>
      </c>
      <c r="K2063">
        <v>2</v>
      </c>
      <c r="L2063">
        <v>140</v>
      </c>
      <c r="M2063">
        <v>56</v>
      </c>
      <c r="N2063">
        <v>1.5</v>
      </c>
      <c r="O2063">
        <v>3.5</v>
      </c>
      <c r="P2063">
        <v>5</v>
      </c>
      <c r="Q2063">
        <v>0.5</v>
      </c>
      <c r="R2063">
        <v>5</v>
      </c>
      <c r="S2063">
        <v>1</v>
      </c>
      <c r="T2063">
        <v>3.5</v>
      </c>
      <c r="U2063">
        <v>12.5</v>
      </c>
      <c r="V2063">
        <v>1830.0653594771243</v>
      </c>
      <c r="W2063">
        <v>1</v>
      </c>
    </row>
    <row r="2064" spans="1:23" x14ac:dyDescent="0.2">
      <c r="A2064">
        <v>2021</v>
      </c>
      <c r="B2064" t="s">
        <v>23</v>
      </c>
      <c r="C2064" t="s">
        <v>271</v>
      </c>
      <c r="D2064">
        <v>84</v>
      </c>
      <c r="E2064">
        <v>1</v>
      </c>
      <c r="F2064">
        <v>12</v>
      </c>
      <c r="G2064" t="s">
        <v>108</v>
      </c>
      <c r="H2064" s="1">
        <v>12</v>
      </c>
      <c r="I2064" s="1">
        <v>61</v>
      </c>
      <c r="J2064" s="1">
        <v>66</v>
      </c>
      <c r="K2064" s="1">
        <f>J2064-I2064</f>
        <v>5</v>
      </c>
      <c r="L2064" s="1">
        <v>122</v>
      </c>
      <c r="M2064" s="1">
        <v>46</v>
      </c>
      <c r="N2064" s="1">
        <v>2</v>
      </c>
      <c r="O2064" s="1">
        <v>4.5</v>
      </c>
      <c r="P2064" s="1">
        <v>8</v>
      </c>
      <c r="Q2064" s="2">
        <v>0.22</v>
      </c>
      <c r="R2064" s="1">
        <v>5</v>
      </c>
      <c r="S2064" s="1">
        <f>R2064/P2064</f>
        <v>0.625</v>
      </c>
      <c r="T2064" s="1">
        <v>4</v>
      </c>
      <c r="U2064" s="1">
        <v>12.5</v>
      </c>
      <c r="V2064" s="1">
        <v>805.22875816993462</v>
      </c>
      <c r="W2064" s="1">
        <v>4</v>
      </c>
    </row>
    <row r="2065" spans="1:23" x14ac:dyDescent="0.2">
      <c r="A2065">
        <v>2021</v>
      </c>
      <c r="B2065" t="s">
        <v>23</v>
      </c>
      <c r="C2065" t="s">
        <v>271</v>
      </c>
      <c r="D2065">
        <v>84</v>
      </c>
      <c r="E2065">
        <v>2</v>
      </c>
      <c r="F2065">
        <v>4</v>
      </c>
      <c r="G2065" t="s">
        <v>108</v>
      </c>
      <c r="H2065" s="1">
        <v>8</v>
      </c>
      <c r="I2065" s="1">
        <v>64</v>
      </c>
      <c r="J2065" s="1">
        <v>67</v>
      </c>
      <c r="K2065" s="1">
        <f>J2065-I2065</f>
        <v>3</v>
      </c>
      <c r="L2065" s="1">
        <v>144</v>
      </c>
      <c r="M2065" s="1">
        <v>45</v>
      </c>
      <c r="N2065" s="1">
        <v>3</v>
      </c>
      <c r="O2065" s="1">
        <v>4.5</v>
      </c>
      <c r="P2065" s="1">
        <v>6</v>
      </c>
      <c r="Q2065" s="2">
        <v>7.3999999999999996E-2</v>
      </c>
      <c r="R2065" s="1">
        <v>4</v>
      </c>
      <c r="S2065" s="1">
        <f>R2065/P2065</f>
        <v>0.66666666666666663</v>
      </c>
      <c r="T2065" s="1">
        <v>5</v>
      </c>
      <c r="U2065" s="1">
        <v>12.5</v>
      </c>
      <c r="V2065" s="1">
        <v>270.84967320261438</v>
      </c>
      <c r="W2065" s="1">
        <v>5</v>
      </c>
    </row>
    <row r="2066" spans="1:23" x14ac:dyDescent="0.2">
      <c r="A2066">
        <v>2021</v>
      </c>
      <c r="B2066" t="s">
        <v>23</v>
      </c>
      <c r="C2066" t="s">
        <v>271</v>
      </c>
      <c r="D2066">
        <v>85</v>
      </c>
      <c r="E2066">
        <v>1</v>
      </c>
      <c r="F2066">
        <v>5</v>
      </c>
      <c r="G2066" t="s">
        <v>109</v>
      </c>
      <c r="H2066">
        <v>6</v>
      </c>
      <c r="I2066">
        <v>52</v>
      </c>
      <c r="J2066">
        <v>56</v>
      </c>
      <c r="K2066">
        <v>4</v>
      </c>
      <c r="L2066">
        <v>145</v>
      </c>
      <c r="M2066">
        <v>70</v>
      </c>
      <c r="N2066">
        <v>2</v>
      </c>
      <c r="O2066">
        <v>3</v>
      </c>
      <c r="P2066">
        <v>5</v>
      </c>
      <c r="Q2066">
        <v>0.2</v>
      </c>
      <c r="R2066">
        <v>5</v>
      </c>
      <c r="S2066">
        <v>1</v>
      </c>
      <c r="T2066">
        <v>3</v>
      </c>
      <c r="U2066">
        <v>7.4</v>
      </c>
      <c r="V2066">
        <v>774.69281045751632</v>
      </c>
      <c r="W2066">
        <v>2</v>
      </c>
    </row>
    <row r="2067" spans="1:23" x14ac:dyDescent="0.2">
      <c r="A2067">
        <v>2021</v>
      </c>
      <c r="B2067" t="s">
        <v>23</v>
      </c>
      <c r="C2067" t="s">
        <v>271</v>
      </c>
      <c r="D2067">
        <v>85</v>
      </c>
      <c r="E2067">
        <v>2</v>
      </c>
      <c r="F2067">
        <v>11</v>
      </c>
      <c r="G2067" t="s">
        <v>109</v>
      </c>
      <c r="H2067" s="1">
        <v>5</v>
      </c>
      <c r="I2067" s="1">
        <v>65</v>
      </c>
      <c r="J2067" s="1">
        <v>70</v>
      </c>
      <c r="K2067" s="1">
        <f t="shared" ref="K2067:K2074" si="100">J2067-I2067</f>
        <v>5</v>
      </c>
      <c r="L2067" s="1">
        <v>141</v>
      </c>
      <c r="M2067" s="1">
        <v>63</v>
      </c>
      <c r="N2067" s="1">
        <v>2</v>
      </c>
      <c r="O2067" s="1">
        <v>2</v>
      </c>
      <c r="P2067" s="1">
        <v>4</v>
      </c>
      <c r="Q2067" s="2">
        <v>0.35499999999999998</v>
      </c>
      <c r="R2067" s="1">
        <v>4</v>
      </c>
      <c r="S2067" s="1">
        <f t="shared" ref="S2067:S2074" si="101">R2067/P2067</f>
        <v>1</v>
      </c>
      <c r="T2067" s="1">
        <v>3</v>
      </c>
      <c r="U2067" s="1">
        <v>12.5</v>
      </c>
      <c r="V2067" s="1">
        <v>1299.3464052287582</v>
      </c>
      <c r="W2067" s="1">
        <v>5</v>
      </c>
    </row>
    <row r="2068" spans="1:23" x14ac:dyDescent="0.2">
      <c r="A2068">
        <v>2021</v>
      </c>
      <c r="B2068" t="s">
        <v>23</v>
      </c>
      <c r="C2068" t="s">
        <v>271</v>
      </c>
      <c r="D2068">
        <v>86</v>
      </c>
      <c r="E2068">
        <v>1</v>
      </c>
      <c r="F2068">
        <v>6</v>
      </c>
      <c r="G2068" t="s">
        <v>110</v>
      </c>
      <c r="H2068" s="1">
        <v>2</v>
      </c>
      <c r="I2068" s="1">
        <v>63</v>
      </c>
      <c r="J2068" s="1">
        <v>68</v>
      </c>
      <c r="K2068" s="1">
        <f t="shared" si="100"/>
        <v>5</v>
      </c>
      <c r="L2068" s="1">
        <v>40</v>
      </c>
      <c r="M2068" s="1">
        <v>10</v>
      </c>
      <c r="N2068" s="1">
        <v>1.5</v>
      </c>
      <c r="O2068" s="1">
        <v>5</v>
      </c>
      <c r="P2068" s="1">
        <v>2</v>
      </c>
      <c r="Q2068" s="2">
        <v>6.2E-2</v>
      </c>
      <c r="R2068" s="1">
        <v>1</v>
      </c>
      <c r="S2068" s="1">
        <f t="shared" si="101"/>
        <v>0.5</v>
      </c>
      <c r="T2068" s="1">
        <v>5</v>
      </c>
      <c r="U2068" s="1">
        <v>12.5</v>
      </c>
      <c r="V2068" s="1">
        <v>226.92810457516339</v>
      </c>
      <c r="W2068" s="1">
        <v>6</v>
      </c>
    </row>
    <row r="2069" spans="1:23" x14ac:dyDescent="0.2">
      <c r="A2069">
        <v>2021</v>
      </c>
      <c r="B2069" t="s">
        <v>23</v>
      </c>
      <c r="C2069" t="s">
        <v>271</v>
      </c>
      <c r="D2069">
        <v>86</v>
      </c>
      <c r="E2069">
        <v>2</v>
      </c>
      <c r="F2069">
        <v>15</v>
      </c>
      <c r="G2069" t="s">
        <v>110</v>
      </c>
      <c r="H2069" s="1">
        <v>8</v>
      </c>
      <c r="I2069" s="1">
        <v>57</v>
      </c>
      <c r="J2069" s="1">
        <v>62</v>
      </c>
      <c r="K2069" s="1">
        <f t="shared" si="100"/>
        <v>5</v>
      </c>
      <c r="L2069" s="1">
        <v>158</v>
      </c>
      <c r="M2069" s="1">
        <v>82</v>
      </c>
      <c r="N2069" s="1">
        <v>2</v>
      </c>
      <c r="O2069" s="1">
        <v>3.5</v>
      </c>
      <c r="P2069" s="1">
        <v>8</v>
      </c>
      <c r="Q2069" s="2">
        <v>0.48160000000000003</v>
      </c>
      <c r="R2069" s="1">
        <v>6</v>
      </c>
      <c r="S2069" s="1">
        <f t="shared" si="101"/>
        <v>0.75</v>
      </c>
      <c r="T2069" s="1">
        <v>5</v>
      </c>
      <c r="U2069" s="1">
        <v>12.5</v>
      </c>
      <c r="V2069" s="1">
        <v>1762.7189542483659</v>
      </c>
      <c r="W2069" s="1">
        <v>3</v>
      </c>
    </row>
    <row r="2070" spans="1:23" x14ac:dyDescent="0.2">
      <c r="A2070">
        <v>2021</v>
      </c>
      <c r="B2070" t="s">
        <v>23</v>
      </c>
      <c r="C2070" t="s">
        <v>271</v>
      </c>
      <c r="D2070">
        <v>87</v>
      </c>
      <c r="E2070">
        <v>1</v>
      </c>
      <c r="F2070">
        <v>13</v>
      </c>
      <c r="G2070" t="s">
        <v>111</v>
      </c>
      <c r="H2070" s="1">
        <v>8</v>
      </c>
      <c r="I2070" s="1">
        <v>65</v>
      </c>
      <c r="J2070" s="1">
        <v>70</v>
      </c>
      <c r="K2070" s="1">
        <f t="shared" si="100"/>
        <v>5</v>
      </c>
      <c r="L2070" s="1">
        <v>106</v>
      </c>
      <c r="M2070" s="1">
        <v>42</v>
      </c>
      <c r="N2070" s="1">
        <v>3</v>
      </c>
      <c r="O2070" s="1">
        <v>5</v>
      </c>
      <c r="P2070" s="1">
        <v>5</v>
      </c>
      <c r="Q2070" s="2">
        <v>0.24</v>
      </c>
      <c r="R2070" s="1">
        <v>4</v>
      </c>
      <c r="S2070" s="1">
        <f t="shared" si="101"/>
        <v>0.8</v>
      </c>
      <c r="T2070" s="1">
        <v>5</v>
      </c>
      <c r="U2070" s="1">
        <v>12.5</v>
      </c>
      <c r="V2070" s="1">
        <v>878.43137254901967</v>
      </c>
      <c r="W2070" s="1">
        <v>5</v>
      </c>
    </row>
    <row r="2071" spans="1:23" x14ac:dyDescent="0.2">
      <c r="A2071">
        <v>2021</v>
      </c>
      <c r="B2071" t="s">
        <v>23</v>
      </c>
      <c r="C2071" t="s">
        <v>271</v>
      </c>
      <c r="D2071">
        <v>87</v>
      </c>
      <c r="E2071">
        <v>2</v>
      </c>
      <c r="F2071">
        <v>8</v>
      </c>
      <c r="G2071" t="s">
        <v>111</v>
      </c>
      <c r="H2071" s="1">
        <v>8</v>
      </c>
      <c r="I2071" s="1">
        <v>69</v>
      </c>
      <c r="J2071" s="1">
        <v>74</v>
      </c>
      <c r="K2071" s="1">
        <f t="shared" si="100"/>
        <v>5</v>
      </c>
      <c r="L2071" s="1">
        <v>162</v>
      </c>
      <c r="M2071" s="1">
        <v>92</v>
      </c>
      <c r="N2071" s="1">
        <v>2</v>
      </c>
      <c r="O2071" s="1">
        <v>2.5</v>
      </c>
      <c r="P2071" s="1">
        <v>7</v>
      </c>
      <c r="Q2071" s="2">
        <v>0.57640000000000002</v>
      </c>
      <c r="R2071" s="1">
        <v>3</v>
      </c>
      <c r="S2071" s="1">
        <f t="shared" si="101"/>
        <v>0.42857142857142855</v>
      </c>
      <c r="T2071" s="1">
        <v>2</v>
      </c>
      <c r="U2071" s="1">
        <v>12.5</v>
      </c>
      <c r="V2071" s="1">
        <v>2109.6993464052289</v>
      </c>
      <c r="W2071" s="1">
        <v>3</v>
      </c>
    </row>
    <row r="2072" spans="1:23" x14ac:dyDescent="0.2">
      <c r="A2072">
        <v>2021</v>
      </c>
      <c r="B2072" t="s">
        <v>23</v>
      </c>
      <c r="C2072" t="s">
        <v>271</v>
      </c>
      <c r="D2072">
        <v>88</v>
      </c>
      <c r="E2072">
        <v>1</v>
      </c>
      <c r="F2072">
        <v>13</v>
      </c>
      <c r="G2072" t="s">
        <v>112</v>
      </c>
      <c r="H2072" s="1">
        <v>1</v>
      </c>
      <c r="I2072" s="1">
        <v>62</v>
      </c>
      <c r="J2072" s="1">
        <v>66</v>
      </c>
      <c r="K2072" s="1">
        <f t="shared" si="100"/>
        <v>4</v>
      </c>
      <c r="L2072" s="1">
        <v>161</v>
      </c>
      <c r="M2072" s="1">
        <v>78</v>
      </c>
      <c r="N2072" s="1">
        <v>3</v>
      </c>
      <c r="O2072" s="1">
        <v>3.5</v>
      </c>
      <c r="P2072" s="1">
        <v>1</v>
      </c>
      <c r="Q2072" s="2">
        <v>8.9999999999999993E-3</v>
      </c>
      <c r="R2072" s="1">
        <v>1</v>
      </c>
      <c r="S2072" s="1">
        <f t="shared" si="101"/>
        <v>1</v>
      </c>
      <c r="T2072" s="1">
        <v>5</v>
      </c>
      <c r="U2072" s="1">
        <v>12.5</v>
      </c>
      <c r="V2072" s="1">
        <v>32.941176470588239</v>
      </c>
      <c r="W2072" s="1">
        <v>4</v>
      </c>
    </row>
    <row r="2073" spans="1:23" x14ac:dyDescent="0.2">
      <c r="A2073">
        <v>2021</v>
      </c>
      <c r="B2073" t="s">
        <v>23</v>
      </c>
      <c r="C2073" t="s">
        <v>271</v>
      </c>
      <c r="D2073">
        <v>88</v>
      </c>
      <c r="E2073">
        <v>2</v>
      </c>
      <c r="F2073">
        <v>2</v>
      </c>
      <c r="G2073" t="s">
        <v>112</v>
      </c>
      <c r="H2073" s="1">
        <v>15</v>
      </c>
      <c r="I2073" s="1">
        <v>62</v>
      </c>
      <c r="J2073" s="1">
        <v>66</v>
      </c>
      <c r="K2073" s="1">
        <f t="shared" si="100"/>
        <v>4</v>
      </c>
      <c r="L2073" s="1">
        <v>180</v>
      </c>
      <c r="M2073" s="1">
        <v>72</v>
      </c>
      <c r="N2073" s="1">
        <v>2</v>
      </c>
      <c r="O2073" s="1">
        <v>2.5</v>
      </c>
      <c r="P2073" s="1">
        <f>H2073-2</f>
        <v>13</v>
      </c>
      <c r="Q2073" s="2">
        <v>0.192</v>
      </c>
      <c r="R2073" s="1">
        <v>11</v>
      </c>
      <c r="S2073" s="1">
        <f t="shared" si="101"/>
        <v>0.84615384615384615</v>
      </c>
      <c r="T2073" s="1">
        <v>2</v>
      </c>
      <c r="U2073" s="1">
        <v>12.5</v>
      </c>
      <c r="V2073" s="1">
        <v>702.74509803921569</v>
      </c>
      <c r="W2073" s="1">
        <v>5</v>
      </c>
    </row>
    <row r="2074" spans="1:23" x14ac:dyDescent="0.2">
      <c r="A2074">
        <v>2021</v>
      </c>
      <c r="B2074" t="s">
        <v>23</v>
      </c>
      <c r="C2074" t="s">
        <v>271</v>
      </c>
      <c r="D2074">
        <v>89</v>
      </c>
      <c r="E2074">
        <v>1</v>
      </c>
      <c r="F2074">
        <v>3</v>
      </c>
      <c r="G2074" t="s">
        <v>113</v>
      </c>
      <c r="H2074" s="1">
        <v>13</v>
      </c>
      <c r="I2074" s="1">
        <v>65</v>
      </c>
      <c r="J2074" s="1">
        <v>70</v>
      </c>
      <c r="K2074" s="1">
        <f t="shared" si="100"/>
        <v>5</v>
      </c>
      <c r="L2074" s="1">
        <v>150</v>
      </c>
      <c r="M2074" s="1">
        <v>103</v>
      </c>
      <c r="N2074" s="1">
        <v>2</v>
      </c>
      <c r="O2074" s="1">
        <v>2.5</v>
      </c>
      <c r="P2074" s="1">
        <v>12</v>
      </c>
      <c r="Q2074" s="2">
        <v>0.16400000000000001</v>
      </c>
      <c r="R2074" s="1">
        <v>11</v>
      </c>
      <c r="S2074" s="1">
        <f t="shared" si="101"/>
        <v>0.91666666666666663</v>
      </c>
      <c r="T2074" s="1">
        <v>4</v>
      </c>
      <c r="U2074" s="1">
        <v>7.9</v>
      </c>
      <c r="V2074" s="1">
        <v>631.81803921568633</v>
      </c>
      <c r="W2074" s="1">
        <v>2</v>
      </c>
    </row>
    <row r="2075" spans="1:23" x14ac:dyDescent="0.2">
      <c r="A2075">
        <v>2021</v>
      </c>
      <c r="B2075" t="s">
        <v>23</v>
      </c>
      <c r="C2075" t="s">
        <v>271</v>
      </c>
      <c r="D2075">
        <v>89</v>
      </c>
      <c r="E2075">
        <v>2</v>
      </c>
      <c r="F2075">
        <v>6</v>
      </c>
      <c r="G2075" t="s">
        <v>113</v>
      </c>
      <c r="H2075">
        <v>9</v>
      </c>
      <c r="I2075">
        <v>59</v>
      </c>
      <c r="J2075">
        <v>62</v>
      </c>
      <c r="K2075">
        <v>3</v>
      </c>
      <c r="L2075">
        <v>150</v>
      </c>
      <c r="M2075">
        <v>65</v>
      </c>
      <c r="N2075">
        <v>1.5</v>
      </c>
      <c r="O2075">
        <v>3.5</v>
      </c>
      <c r="P2075">
        <v>9</v>
      </c>
      <c r="Q2075">
        <v>1</v>
      </c>
      <c r="R2075">
        <v>8</v>
      </c>
      <c r="S2075">
        <v>0.88888888888888884</v>
      </c>
      <c r="T2075">
        <v>2.5</v>
      </c>
      <c r="U2075">
        <v>12.5</v>
      </c>
      <c r="V2075">
        <v>3660.1307189542486</v>
      </c>
      <c r="W2075">
        <v>1</v>
      </c>
    </row>
    <row r="2076" spans="1:23" x14ac:dyDescent="0.2">
      <c r="A2076">
        <v>2021</v>
      </c>
      <c r="B2076" t="s">
        <v>23</v>
      </c>
      <c r="C2076" t="s">
        <v>271</v>
      </c>
      <c r="D2076">
        <v>90</v>
      </c>
      <c r="E2076">
        <v>1</v>
      </c>
      <c r="F2076">
        <v>15</v>
      </c>
      <c r="G2076" t="s">
        <v>114</v>
      </c>
      <c r="H2076">
        <v>8</v>
      </c>
      <c r="I2076">
        <v>60</v>
      </c>
      <c r="J2076">
        <v>63</v>
      </c>
      <c r="K2076">
        <v>3</v>
      </c>
      <c r="L2076">
        <v>83</v>
      </c>
      <c r="M2076">
        <v>22</v>
      </c>
      <c r="N2076">
        <v>2</v>
      </c>
      <c r="O2076">
        <v>3</v>
      </c>
      <c r="P2076">
        <v>8</v>
      </c>
      <c r="Q2076">
        <v>0.8</v>
      </c>
      <c r="R2076">
        <v>7</v>
      </c>
      <c r="S2076">
        <v>0.875</v>
      </c>
      <c r="T2076">
        <v>3</v>
      </c>
      <c r="U2076">
        <v>12.5</v>
      </c>
      <c r="V2076">
        <v>2928.1045751633987</v>
      </c>
      <c r="W2076">
        <v>1</v>
      </c>
    </row>
    <row r="2077" spans="1:23" x14ac:dyDescent="0.2">
      <c r="A2077">
        <v>2021</v>
      </c>
      <c r="B2077" t="s">
        <v>23</v>
      </c>
      <c r="C2077" t="s">
        <v>271</v>
      </c>
      <c r="D2077">
        <v>90</v>
      </c>
      <c r="E2077">
        <v>2</v>
      </c>
      <c r="F2077">
        <v>3</v>
      </c>
      <c r="G2077" t="s">
        <v>114</v>
      </c>
      <c r="H2077">
        <v>8</v>
      </c>
      <c r="I2077">
        <v>62</v>
      </c>
      <c r="J2077">
        <v>68</v>
      </c>
      <c r="K2077">
        <v>6</v>
      </c>
      <c r="L2077">
        <v>110</v>
      </c>
      <c r="M2077">
        <v>38</v>
      </c>
      <c r="N2077">
        <v>4</v>
      </c>
      <c r="O2077">
        <v>4</v>
      </c>
      <c r="P2077">
        <v>7</v>
      </c>
      <c r="Q2077">
        <v>0.2</v>
      </c>
      <c r="R2077">
        <v>5</v>
      </c>
      <c r="S2077">
        <v>0.7142857142857143</v>
      </c>
      <c r="T2077">
        <v>2</v>
      </c>
      <c r="U2077">
        <v>12.5</v>
      </c>
      <c r="V2077">
        <v>732.02614379084969</v>
      </c>
      <c r="W2077">
        <v>1</v>
      </c>
    </row>
    <row r="2078" spans="1:23" x14ac:dyDescent="0.2">
      <c r="A2078">
        <v>2021</v>
      </c>
      <c r="B2078" t="s">
        <v>23</v>
      </c>
      <c r="C2078" t="s">
        <v>271</v>
      </c>
      <c r="D2078">
        <v>91</v>
      </c>
      <c r="E2078">
        <v>1</v>
      </c>
      <c r="F2078">
        <v>1</v>
      </c>
      <c r="G2078" t="s">
        <v>115</v>
      </c>
      <c r="H2078" s="1">
        <v>10</v>
      </c>
      <c r="I2078" s="1">
        <v>60</v>
      </c>
      <c r="J2078" s="1">
        <v>65</v>
      </c>
      <c r="K2078" s="1">
        <f>J2078-I2078</f>
        <v>5</v>
      </c>
      <c r="L2078" s="1">
        <v>167</v>
      </c>
      <c r="M2078" s="1">
        <v>96</v>
      </c>
      <c r="N2078" s="1">
        <v>2</v>
      </c>
      <c r="O2078" s="1">
        <v>4</v>
      </c>
      <c r="P2078" s="1">
        <v>9</v>
      </c>
      <c r="Q2078" s="2">
        <v>0.58560000000000001</v>
      </c>
      <c r="R2078" s="1">
        <v>7</v>
      </c>
      <c r="S2078" s="1">
        <f>R2078/P2078</f>
        <v>0.77777777777777779</v>
      </c>
      <c r="T2078" s="1">
        <v>5</v>
      </c>
      <c r="U2078" s="1">
        <v>8.5</v>
      </c>
      <c r="V2078" s="1">
        <v>2241.3552941176472</v>
      </c>
      <c r="W2078" s="1">
        <v>3</v>
      </c>
    </row>
    <row r="2079" spans="1:23" x14ac:dyDescent="0.2">
      <c r="A2079">
        <v>2021</v>
      </c>
      <c r="B2079" t="s">
        <v>23</v>
      </c>
      <c r="C2079" t="s">
        <v>271</v>
      </c>
      <c r="D2079">
        <v>91</v>
      </c>
      <c r="E2079">
        <v>2</v>
      </c>
      <c r="F2079">
        <v>8</v>
      </c>
      <c r="G2079" t="s">
        <v>115</v>
      </c>
      <c r="H2079" s="1">
        <v>14</v>
      </c>
      <c r="I2079" s="1">
        <v>60</v>
      </c>
      <c r="J2079" s="1">
        <v>65</v>
      </c>
      <c r="K2079" s="1">
        <f>J2079-I2079</f>
        <v>5</v>
      </c>
      <c r="L2079" s="1">
        <v>41</v>
      </c>
      <c r="M2079" s="1">
        <v>16</v>
      </c>
      <c r="N2079" s="1">
        <v>2</v>
      </c>
      <c r="O2079" s="1">
        <v>2.5</v>
      </c>
      <c r="P2079" s="1">
        <f>H2079-2</f>
        <v>12</v>
      </c>
      <c r="Q2079" s="2">
        <v>7.4249999999999997E-2</v>
      </c>
      <c r="R2079" s="1">
        <v>11</v>
      </c>
      <c r="S2079" s="1">
        <f>R2079/P2079</f>
        <v>0.91666666666666663</v>
      </c>
      <c r="T2079" s="1">
        <v>5</v>
      </c>
      <c r="U2079" s="1">
        <v>12.5</v>
      </c>
      <c r="V2079" s="1">
        <v>271.76470588235293</v>
      </c>
      <c r="W2079" s="1">
        <v>4</v>
      </c>
    </row>
    <row r="2080" spans="1:23" x14ac:dyDescent="0.2">
      <c r="A2080">
        <v>2021</v>
      </c>
      <c r="B2080" t="s">
        <v>23</v>
      </c>
      <c r="C2080" t="s">
        <v>271</v>
      </c>
      <c r="D2080">
        <v>92</v>
      </c>
      <c r="E2080">
        <v>1</v>
      </c>
      <c r="F2080">
        <v>4</v>
      </c>
      <c r="G2080" t="s">
        <v>116</v>
      </c>
      <c r="H2080">
        <v>5</v>
      </c>
      <c r="I2080">
        <v>58</v>
      </c>
      <c r="J2080">
        <v>60</v>
      </c>
      <c r="K2080">
        <v>2</v>
      </c>
      <c r="L2080">
        <v>116</v>
      </c>
      <c r="M2080">
        <v>22</v>
      </c>
      <c r="N2080">
        <v>2.5</v>
      </c>
      <c r="O2080">
        <v>2</v>
      </c>
      <c r="P2080">
        <v>5</v>
      </c>
      <c r="Q2080">
        <v>0.6</v>
      </c>
      <c r="R2080">
        <v>5</v>
      </c>
      <c r="S2080">
        <v>1</v>
      </c>
      <c r="T2080">
        <v>3</v>
      </c>
      <c r="U2080">
        <v>12.5</v>
      </c>
      <c r="V2080">
        <v>2196.0784313725489</v>
      </c>
      <c r="W2080">
        <v>2</v>
      </c>
    </row>
    <row r="2081" spans="1:23" x14ac:dyDescent="0.2">
      <c r="A2081">
        <v>2021</v>
      </c>
      <c r="B2081" t="s">
        <v>23</v>
      </c>
      <c r="C2081" t="s">
        <v>271</v>
      </c>
      <c r="D2081">
        <v>92</v>
      </c>
      <c r="E2081">
        <v>2</v>
      </c>
      <c r="F2081">
        <v>15</v>
      </c>
      <c r="G2081" t="s">
        <v>116</v>
      </c>
      <c r="H2081" s="1">
        <v>14</v>
      </c>
      <c r="I2081" s="1">
        <v>65</v>
      </c>
      <c r="J2081" s="1">
        <v>70</v>
      </c>
      <c r="K2081" s="1">
        <f>J2081-I2081</f>
        <v>5</v>
      </c>
      <c r="L2081" s="1">
        <v>141</v>
      </c>
      <c r="M2081" s="1">
        <v>59</v>
      </c>
      <c r="N2081" s="1">
        <v>2</v>
      </c>
      <c r="O2081" s="1">
        <v>3.5</v>
      </c>
      <c r="P2081" s="1">
        <f>H2081-2</f>
        <v>12</v>
      </c>
      <c r="Q2081" s="2">
        <v>6.7500000000000004E-2</v>
      </c>
      <c r="R2081" s="1">
        <v>12</v>
      </c>
      <c r="S2081" s="1">
        <f>R2081/P2081</f>
        <v>1</v>
      </c>
      <c r="T2081" s="1">
        <v>5</v>
      </c>
      <c r="U2081" s="1">
        <v>12.5</v>
      </c>
      <c r="V2081" s="1">
        <v>247.05882352941177</v>
      </c>
      <c r="W2081" s="1">
        <v>5</v>
      </c>
    </row>
    <row r="2082" spans="1:23" x14ac:dyDescent="0.2">
      <c r="A2082">
        <v>2021</v>
      </c>
      <c r="B2082" t="s">
        <v>23</v>
      </c>
      <c r="C2082" t="s">
        <v>271</v>
      </c>
      <c r="D2082">
        <v>93</v>
      </c>
      <c r="E2082">
        <v>1</v>
      </c>
      <c r="F2082">
        <v>9</v>
      </c>
      <c r="G2082" t="s">
        <v>117</v>
      </c>
      <c r="H2082">
        <v>4</v>
      </c>
      <c r="I2082">
        <v>55</v>
      </c>
      <c r="J2082">
        <v>57</v>
      </c>
      <c r="K2082">
        <v>2</v>
      </c>
      <c r="L2082">
        <v>186</v>
      </c>
      <c r="M2082">
        <v>71</v>
      </c>
      <c r="N2082">
        <v>2</v>
      </c>
      <c r="O2082">
        <v>3</v>
      </c>
      <c r="P2082">
        <v>4</v>
      </c>
      <c r="Q2082">
        <v>0.2</v>
      </c>
      <c r="R2082">
        <v>4</v>
      </c>
      <c r="S2082">
        <v>1</v>
      </c>
      <c r="T2082">
        <v>3</v>
      </c>
      <c r="U2082">
        <v>12.5</v>
      </c>
      <c r="V2082">
        <v>732.02614379084969</v>
      </c>
      <c r="W2082">
        <v>2</v>
      </c>
    </row>
    <row r="2083" spans="1:23" x14ac:dyDescent="0.2">
      <c r="A2083">
        <v>2021</v>
      </c>
      <c r="B2083" t="s">
        <v>23</v>
      </c>
      <c r="C2083" t="s">
        <v>271</v>
      </c>
      <c r="D2083">
        <v>93</v>
      </c>
      <c r="E2083">
        <v>2</v>
      </c>
      <c r="F2083">
        <v>7</v>
      </c>
      <c r="G2083" t="s">
        <v>117</v>
      </c>
      <c r="H2083" s="1">
        <v>8</v>
      </c>
      <c r="I2083" s="1">
        <v>69</v>
      </c>
      <c r="J2083" s="1">
        <v>74</v>
      </c>
      <c r="K2083" s="1">
        <f>J2083-I2083</f>
        <v>5</v>
      </c>
      <c r="L2083" s="1">
        <v>105</v>
      </c>
      <c r="M2083" s="1">
        <v>41</v>
      </c>
      <c r="N2083" s="1">
        <v>4</v>
      </c>
      <c r="O2083" s="1">
        <v>5</v>
      </c>
      <c r="P2083" s="1">
        <v>1</v>
      </c>
      <c r="Q2083" s="2">
        <v>0.06</v>
      </c>
      <c r="R2083" s="1">
        <v>1</v>
      </c>
      <c r="S2083" s="1">
        <f>R2083/P2083</f>
        <v>1</v>
      </c>
      <c r="T2083" s="1">
        <v>5</v>
      </c>
      <c r="U2083" s="1">
        <v>12.5</v>
      </c>
      <c r="V2083" s="1">
        <v>219.60784313725492</v>
      </c>
      <c r="W2083" s="1">
        <v>6</v>
      </c>
    </row>
    <row r="2084" spans="1:23" x14ac:dyDescent="0.2">
      <c r="A2084">
        <v>2021</v>
      </c>
      <c r="B2084" t="s">
        <v>23</v>
      </c>
      <c r="C2084" t="s">
        <v>271</v>
      </c>
      <c r="D2084">
        <v>94</v>
      </c>
      <c r="E2084">
        <v>1</v>
      </c>
      <c r="F2084">
        <v>6</v>
      </c>
      <c r="G2084" t="s">
        <v>118</v>
      </c>
      <c r="H2084" s="1">
        <v>5</v>
      </c>
      <c r="I2084" s="1">
        <v>61</v>
      </c>
      <c r="J2084" s="1">
        <v>66</v>
      </c>
      <c r="K2084" s="1">
        <f>J2084-I2084</f>
        <v>5</v>
      </c>
      <c r="L2084" s="1">
        <v>127</v>
      </c>
      <c r="M2084" s="1">
        <v>57</v>
      </c>
      <c r="N2084" s="1">
        <v>1.5</v>
      </c>
      <c r="O2084" s="1">
        <v>4</v>
      </c>
      <c r="P2084" s="1">
        <v>5</v>
      </c>
      <c r="Q2084" s="2">
        <v>0.78800000000000003</v>
      </c>
      <c r="R2084" s="1">
        <v>6</v>
      </c>
      <c r="S2084" s="1">
        <f>R2084/P2084</f>
        <v>1.2</v>
      </c>
      <c r="T2084" s="1">
        <v>2</v>
      </c>
      <c r="U2084" s="1">
        <v>12.5</v>
      </c>
      <c r="V2084" s="1">
        <v>2884.1830065359477</v>
      </c>
      <c r="W2084" s="1">
        <v>3</v>
      </c>
    </row>
    <row r="2085" spans="1:23" x14ac:dyDescent="0.2">
      <c r="A2085">
        <v>2021</v>
      </c>
      <c r="B2085" t="s">
        <v>23</v>
      </c>
      <c r="C2085" t="s">
        <v>271</v>
      </c>
      <c r="D2085">
        <v>94</v>
      </c>
      <c r="E2085">
        <v>2</v>
      </c>
      <c r="F2085">
        <v>10</v>
      </c>
      <c r="G2085" t="s">
        <v>118</v>
      </c>
      <c r="H2085" s="1">
        <v>12</v>
      </c>
      <c r="I2085" s="1">
        <v>59</v>
      </c>
      <c r="J2085" s="1">
        <v>64</v>
      </c>
      <c r="K2085" s="1">
        <f>J2085-I2085</f>
        <v>5</v>
      </c>
      <c r="L2085" s="1">
        <v>132</v>
      </c>
      <c r="M2085" s="1">
        <v>48</v>
      </c>
      <c r="N2085" s="1">
        <v>2.5</v>
      </c>
      <c r="O2085" s="1">
        <v>3.5</v>
      </c>
      <c r="P2085" s="1">
        <v>12</v>
      </c>
      <c r="Q2085" s="2">
        <v>1.024</v>
      </c>
      <c r="R2085" s="1">
        <v>12</v>
      </c>
      <c r="S2085" s="1">
        <f>R2085/P2085</f>
        <v>1</v>
      </c>
      <c r="T2085" s="1">
        <v>3.5</v>
      </c>
      <c r="U2085" s="1">
        <v>12.5</v>
      </c>
      <c r="V2085" s="1">
        <v>3747.9738562091507</v>
      </c>
      <c r="W2085" s="1">
        <v>5</v>
      </c>
    </row>
    <row r="2086" spans="1:23" x14ac:dyDescent="0.2">
      <c r="A2086">
        <v>2021</v>
      </c>
      <c r="B2086" t="s">
        <v>23</v>
      </c>
      <c r="C2086" t="s">
        <v>271</v>
      </c>
      <c r="D2086">
        <v>95</v>
      </c>
      <c r="E2086">
        <v>1</v>
      </c>
      <c r="F2086">
        <v>7</v>
      </c>
      <c r="G2086" t="s">
        <v>119</v>
      </c>
      <c r="H2086" s="1">
        <v>11</v>
      </c>
      <c r="I2086" s="1">
        <v>66</v>
      </c>
      <c r="J2086" s="1">
        <v>70</v>
      </c>
      <c r="K2086" s="1">
        <f>J2086-I2086</f>
        <v>4</v>
      </c>
      <c r="L2086" s="1">
        <v>144</v>
      </c>
      <c r="M2086" s="1">
        <v>93</v>
      </c>
      <c r="N2086" s="1">
        <v>2</v>
      </c>
      <c r="O2086" s="1">
        <v>3</v>
      </c>
      <c r="P2086" s="1">
        <f>H2086</f>
        <v>11</v>
      </c>
      <c r="Q2086" s="2">
        <v>8.7749999999999995E-2</v>
      </c>
      <c r="R2086" s="1">
        <v>9</v>
      </c>
      <c r="S2086" s="1">
        <f>R2086/P2086</f>
        <v>0.81818181818181823</v>
      </c>
      <c r="T2086" s="1">
        <v>5</v>
      </c>
      <c r="U2086" s="1">
        <v>12.5</v>
      </c>
      <c r="V2086" s="1">
        <v>321.1764705882353</v>
      </c>
      <c r="W2086" s="1">
        <v>4</v>
      </c>
    </row>
    <row r="2087" spans="1:23" x14ac:dyDescent="0.2">
      <c r="A2087">
        <v>2021</v>
      </c>
      <c r="B2087" t="s">
        <v>23</v>
      </c>
      <c r="C2087" t="s">
        <v>271</v>
      </c>
      <c r="D2087">
        <v>95</v>
      </c>
      <c r="E2087">
        <v>2</v>
      </c>
      <c r="F2087">
        <v>12</v>
      </c>
      <c r="G2087" t="s">
        <v>119</v>
      </c>
      <c r="H2087" s="1">
        <v>13</v>
      </c>
      <c r="I2087" s="1">
        <v>64</v>
      </c>
      <c r="J2087" s="1">
        <v>67</v>
      </c>
      <c r="K2087" s="1">
        <f>J2087-I2087</f>
        <v>3</v>
      </c>
      <c r="L2087" s="1">
        <v>177</v>
      </c>
      <c r="M2087" s="1">
        <v>88</v>
      </c>
      <c r="N2087" s="1">
        <v>2</v>
      </c>
      <c r="O2087" s="1">
        <v>3.5</v>
      </c>
      <c r="P2087" s="1">
        <v>7</v>
      </c>
      <c r="Q2087" s="2">
        <v>0.218</v>
      </c>
      <c r="R2087" s="1">
        <v>9</v>
      </c>
      <c r="S2087" s="1">
        <f>R2087/P2087</f>
        <v>1.2857142857142858</v>
      </c>
      <c r="T2087" s="1">
        <v>5</v>
      </c>
      <c r="U2087" s="1">
        <v>12.5</v>
      </c>
      <c r="V2087" s="1">
        <v>797.90849673202615</v>
      </c>
      <c r="W2087" s="1">
        <v>7</v>
      </c>
    </row>
    <row r="2088" spans="1:23" x14ac:dyDescent="0.2">
      <c r="A2088">
        <v>2021</v>
      </c>
      <c r="B2088" t="s">
        <v>23</v>
      </c>
      <c r="C2088" t="s">
        <v>271</v>
      </c>
      <c r="D2088">
        <v>96</v>
      </c>
      <c r="E2088">
        <v>1</v>
      </c>
      <c r="F2088">
        <v>4</v>
      </c>
      <c r="G2088" t="s">
        <v>120</v>
      </c>
      <c r="H2088">
        <v>5</v>
      </c>
      <c r="I2088">
        <v>56</v>
      </c>
      <c r="J2088">
        <v>58</v>
      </c>
      <c r="K2088">
        <v>2</v>
      </c>
      <c r="L2088">
        <v>107</v>
      </c>
      <c r="M2088">
        <v>15</v>
      </c>
      <c r="N2088">
        <v>5</v>
      </c>
      <c r="O2088">
        <v>5</v>
      </c>
      <c r="P2088">
        <v>2</v>
      </c>
      <c r="Q2088">
        <v>8.5400000000000004E-2</v>
      </c>
      <c r="R2088">
        <v>2</v>
      </c>
      <c r="S2088">
        <v>1</v>
      </c>
      <c r="T2088">
        <v>3</v>
      </c>
      <c r="U2088">
        <v>12.5</v>
      </c>
      <c r="V2088">
        <v>312.57516339869278</v>
      </c>
      <c r="W2088">
        <v>1</v>
      </c>
    </row>
    <row r="2089" spans="1:23" x14ac:dyDescent="0.2">
      <c r="A2089">
        <v>2021</v>
      </c>
      <c r="B2089" t="s">
        <v>23</v>
      </c>
      <c r="C2089" t="s">
        <v>271</v>
      </c>
      <c r="D2089">
        <v>96</v>
      </c>
      <c r="E2089">
        <v>2</v>
      </c>
      <c r="F2089">
        <v>12</v>
      </c>
      <c r="G2089" t="s">
        <v>120</v>
      </c>
      <c r="H2089">
        <v>16</v>
      </c>
      <c r="I2089">
        <v>51</v>
      </c>
      <c r="J2089">
        <v>54</v>
      </c>
      <c r="K2089">
        <v>3</v>
      </c>
      <c r="L2089">
        <v>156</v>
      </c>
      <c r="M2089">
        <v>52</v>
      </c>
      <c r="N2089">
        <v>1</v>
      </c>
      <c r="O2089">
        <v>2.5</v>
      </c>
      <c r="P2089">
        <v>11</v>
      </c>
      <c r="Q2089">
        <v>0.6</v>
      </c>
      <c r="R2089">
        <v>9</v>
      </c>
      <c r="S2089">
        <v>0.81818181818181823</v>
      </c>
      <c r="T2089">
        <v>1</v>
      </c>
      <c r="U2089">
        <v>8.9</v>
      </c>
      <c r="V2089">
        <v>2286.4313725490192</v>
      </c>
      <c r="W2089">
        <v>2</v>
      </c>
    </row>
    <row r="2090" spans="1:23" x14ac:dyDescent="0.2">
      <c r="A2090">
        <v>2021</v>
      </c>
      <c r="B2090" t="s">
        <v>23</v>
      </c>
      <c r="C2090" t="s">
        <v>271</v>
      </c>
      <c r="D2090">
        <v>97</v>
      </c>
      <c r="E2090">
        <v>1</v>
      </c>
      <c r="F2090">
        <v>12</v>
      </c>
      <c r="G2090" t="s">
        <v>121</v>
      </c>
      <c r="H2090" s="1">
        <v>10</v>
      </c>
      <c r="I2090" s="1">
        <v>66</v>
      </c>
      <c r="J2090" s="1">
        <v>70</v>
      </c>
      <c r="K2090" s="1">
        <f>J2090-I2090</f>
        <v>4</v>
      </c>
      <c r="L2090" s="1">
        <v>114</v>
      </c>
      <c r="M2090" s="1">
        <v>26</v>
      </c>
      <c r="N2090" s="1">
        <v>3</v>
      </c>
      <c r="O2090" s="1">
        <v>4.5</v>
      </c>
      <c r="P2090" s="1">
        <v>4</v>
      </c>
      <c r="Q2090" s="2">
        <v>0.10199999999999999</v>
      </c>
      <c r="R2090" s="1">
        <v>4</v>
      </c>
      <c r="S2090" s="1">
        <f>R2090/P2090</f>
        <v>1</v>
      </c>
      <c r="T2090" s="1">
        <v>5</v>
      </c>
      <c r="U2090" s="1">
        <v>12.5</v>
      </c>
      <c r="V2090" s="1">
        <v>373.33333333333326</v>
      </c>
      <c r="W2090" s="1">
        <v>6</v>
      </c>
    </row>
    <row r="2091" spans="1:23" x14ac:dyDescent="0.2">
      <c r="A2091">
        <v>2021</v>
      </c>
      <c r="B2091" t="s">
        <v>23</v>
      </c>
      <c r="C2091" t="s">
        <v>271</v>
      </c>
      <c r="D2091">
        <v>97</v>
      </c>
      <c r="E2091">
        <v>2</v>
      </c>
      <c r="F2091">
        <v>7</v>
      </c>
      <c r="G2091" t="s">
        <v>121</v>
      </c>
      <c r="H2091" s="1">
        <v>12</v>
      </c>
      <c r="I2091" s="1">
        <v>66</v>
      </c>
      <c r="J2091" s="1">
        <v>71</v>
      </c>
      <c r="K2091" s="1">
        <f>J2091-I2091</f>
        <v>5</v>
      </c>
      <c r="L2091" s="1">
        <v>141</v>
      </c>
      <c r="M2091" s="1">
        <v>47</v>
      </c>
      <c r="N2091" s="1">
        <v>3.5</v>
      </c>
      <c r="O2091" s="1">
        <v>4</v>
      </c>
      <c r="P2091" s="1">
        <v>10</v>
      </c>
      <c r="Q2091" s="2">
        <v>0.60499999999999998</v>
      </c>
      <c r="R2091" s="1">
        <v>10</v>
      </c>
      <c r="S2091" s="1">
        <f>R2091/P2091</f>
        <v>1</v>
      </c>
      <c r="T2091" s="1">
        <v>2</v>
      </c>
      <c r="U2091" s="1">
        <v>12.5</v>
      </c>
      <c r="V2091" s="1">
        <v>2214.3790849673201</v>
      </c>
      <c r="W2091" s="1">
        <v>3</v>
      </c>
    </row>
    <row r="2092" spans="1:23" x14ac:dyDescent="0.2">
      <c r="A2092">
        <v>2021</v>
      </c>
      <c r="B2092" t="s">
        <v>23</v>
      </c>
      <c r="C2092" t="s">
        <v>271</v>
      </c>
      <c r="D2092">
        <v>98</v>
      </c>
      <c r="E2092">
        <v>1</v>
      </c>
      <c r="F2092">
        <v>15</v>
      </c>
      <c r="G2092" t="s">
        <v>122</v>
      </c>
      <c r="H2092" s="1">
        <v>3</v>
      </c>
      <c r="I2092" s="1">
        <v>63</v>
      </c>
      <c r="J2092" s="1">
        <v>65</v>
      </c>
      <c r="K2092" s="1">
        <f>J2092-I2092</f>
        <v>2</v>
      </c>
      <c r="L2092" s="1">
        <v>76</v>
      </c>
      <c r="M2092" s="1">
        <v>46</v>
      </c>
      <c r="N2092" s="1">
        <v>1.5</v>
      </c>
      <c r="O2092" s="1">
        <v>4</v>
      </c>
      <c r="P2092" s="1">
        <v>2</v>
      </c>
      <c r="Q2092" s="2">
        <v>2.2499999999999999E-2</v>
      </c>
      <c r="R2092" s="1">
        <v>1</v>
      </c>
      <c r="S2092" s="1">
        <f>R2092/P2092</f>
        <v>0.5</v>
      </c>
      <c r="T2092" s="1">
        <v>4</v>
      </c>
      <c r="U2092" s="1">
        <v>12.5</v>
      </c>
      <c r="V2092" s="1">
        <v>82.35294117647058</v>
      </c>
      <c r="W2092" s="1">
        <v>4</v>
      </c>
    </row>
    <row r="2093" spans="1:23" x14ac:dyDescent="0.2">
      <c r="A2093">
        <v>2021</v>
      </c>
      <c r="B2093" t="s">
        <v>23</v>
      </c>
      <c r="C2093" t="s">
        <v>271</v>
      </c>
      <c r="D2093">
        <v>98</v>
      </c>
      <c r="E2093">
        <v>2</v>
      </c>
      <c r="F2093">
        <v>1</v>
      </c>
      <c r="G2093" t="s">
        <v>122</v>
      </c>
      <c r="H2093">
        <v>1</v>
      </c>
      <c r="I2093">
        <v>63</v>
      </c>
      <c r="J2093">
        <v>67</v>
      </c>
      <c r="K2093">
        <v>4</v>
      </c>
      <c r="L2093">
        <v>140</v>
      </c>
      <c r="M2093">
        <v>60</v>
      </c>
      <c r="N2093">
        <v>2</v>
      </c>
      <c r="O2093">
        <v>3</v>
      </c>
      <c r="P2093">
        <v>1</v>
      </c>
      <c r="Q2093">
        <v>0.2</v>
      </c>
      <c r="R2093">
        <v>1</v>
      </c>
      <c r="S2093">
        <v>1</v>
      </c>
      <c r="T2093">
        <v>3</v>
      </c>
      <c r="U2093">
        <v>12.5</v>
      </c>
      <c r="V2093">
        <v>732.02614379084969</v>
      </c>
      <c r="W2093">
        <v>1</v>
      </c>
    </row>
    <row r="2094" spans="1:23" x14ac:dyDescent="0.2">
      <c r="A2094">
        <v>2021</v>
      </c>
      <c r="B2094" t="s">
        <v>23</v>
      </c>
      <c r="C2094" t="s">
        <v>271</v>
      </c>
      <c r="D2094">
        <v>99</v>
      </c>
      <c r="E2094">
        <v>1</v>
      </c>
      <c r="F2094">
        <v>1</v>
      </c>
      <c r="G2094" t="s">
        <v>123</v>
      </c>
      <c r="H2094" s="1">
        <v>8</v>
      </c>
      <c r="I2094" s="1">
        <v>60</v>
      </c>
      <c r="J2094" s="1">
        <v>63</v>
      </c>
      <c r="K2094" s="1">
        <f>J2094-I2094</f>
        <v>3</v>
      </c>
      <c r="L2094" s="1">
        <v>132</v>
      </c>
      <c r="M2094" s="1">
        <v>58</v>
      </c>
      <c r="N2094" s="1">
        <v>2</v>
      </c>
      <c r="O2094" s="1">
        <v>3.5</v>
      </c>
      <c r="P2094" s="1">
        <v>5</v>
      </c>
      <c r="Q2094" s="2">
        <v>0.1174</v>
      </c>
      <c r="R2094" s="1">
        <v>1</v>
      </c>
      <c r="S2094" s="1">
        <f>R2094/P2094</f>
        <v>0.2</v>
      </c>
      <c r="T2094" s="1">
        <v>5</v>
      </c>
      <c r="U2094" s="1">
        <v>12.5</v>
      </c>
      <c r="V2094" s="1">
        <v>429.69934640522882</v>
      </c>
      <c r="W2094" s="1">
        <v>6</v>
      </c>
    </row>
    <row r="2095" spans="1:23" x14ac:dyDescent="0.2">
      <c r="A2095">
        <v>2021</v>
      </c>
      <c r="B2095" t="s">
        <v>23</v>
      </c>
      <c r="C2095" t="s">
        <v>271</v>
      </c>
      <c r="D2095">
        <v>99</v>
      </c>
      <c r="E2095">
        <v>2</v>
      </c>
      <c r="F2095">
        <v>12</v>
      </c>
      <c r="G2095" t="s">
        <v>123</v>
      </c>
      <c r="H2095">
        <v>6</v>
      </c>
      <c r="I2095">
        <v>63</v>
      </c>
      <c r="J2095">
        <v>65</v>
      </c>
      <c r="K2095">
        <v>2</v>
      </c>
      <c r="L2095">
        <v>152</v>
      </c>
      <c r="M2095">
        <v>52</v>
      </c>
      <c r="N2095">
        <v>2</v>
      </c>
      <c r="O2095">
        <v>3</v>
      </c>
      <c r="P2095">
        <v>6</v>
      </c>
      <c r="Q2095">
        <v>0.4</v>
      </c>
      <c r="R2095">
        <v>6</v>
      </c>
      <c r="S2095">
        <v>1</v>
      </c>
      <c r="T2095">
        <v>2.5</v>
      </c>
      <c r="U2095">
        <v>12.5</v>
      </c>
      <c r="V2095">
        <v>1464.0522875816994</v>
      </c>
      <c r="W2095">
        <v>1</v>
      </c>
    </row>
    <row r="2096" spans="1:23" x14ac:dyDescent="0.2">
      <c r="A2096">
        <v>2021</v>
      </c>
      <c r="B2096" t="s">
        <v>23</v>
      </c>
      <c r="C2096" t="s">
        <v>271</v>
      </c>
      <c r="D2096">
        <v>100</v>
      </c>
      <c r="E2096">
        <v>1</v>
      </c>
      <c r="F2096">
        <v>9</v>
      </c>
      <c r="G2096" t="s">
        <v>124</v>
      </c>
      <c r="H2096" s="1">
        <v>14</v>
      </c>
      <c r="I2096" s="1">
        <v>64</v>
      </c>
      <c r="J2096" s="1">
        <v>69</v>
      </c>
      <c r="K2096" s="1">
        <f t="shared" ref="K2096:K2106" si="102">J2096-I2096</f>
        <v>5</v>
      </c>
      <c r="L2096" s="1">
        <v>135</v>
      </c>
      <c r="M2096" s="1">
        <v>80</v>
      </c>
      <c r="N2096" s="1">
        <v>2.5</v>
      </c>
      <c r="O2096" s="1">
        <v>3.5</v>
      </c>
      <c r="P2096" s="1">
        <v>12</v>
      </c>
      <c r="Q2096" s="2">
        <v>0.51200000000000001</v>
      </c>
      <c r="R2096" s="1">
        <v>11</v>
      </c>
      <c r="S2096" s="1">
        <f t="shared" ref="S2096:S2106" si="103">R2096/P2096</f>
        <v>0.91666666666666663</v>
      </c>
      <c r="T2096" s="1">
        <v>3</v>
      </c>
      <c r="U2096" s="1">
        <v>12.5</v>
      </c>
      <c r="V2096" s="1">
        <v>1873.9869281045753</v>
      </c>
      <c r="W2096" s="1">
        <v>4</v>
      </c>
    </row>
    <row r="2097" spans="1:23" x14ac:dyDescent="0.2">
      <c r="A2097">
        <v>2021</v>
      </c>
      <c r="B2097" t="s">
        <v>23</v>
      </c>
      <c r="C2097" t="s">
        <v>271</v>
      </c>
      <c r="D2097">
        <v>100</v>
      </c>
      <c r="E2097">
        <v>2</v>
      </c>
      <c r="F2097">
        <v>6</v>
      </c>
      <c r="G2097" t="s">
        <v>124</v>
      </c>
      <c r="H2097" s="1">
        <v>8</v>
      </c>
      <c r="I2097" s="1">
        <v>70</v>
      </c>
      <c r="J2097" s="1">
        <v>73</v>
      </c>
      <c r="K2097" s="1">
        <f t="shared" si="102"/>
        <v>3</v>
      </c>
      <c r="L2097" s="1">
        <v>128</v>
      </c>
      <c r="M2097" s="1">
        <v>50</v>
      </c>
      <c r="N2097" s="1">
        <v>2</v>
      </c>
      <c r="O2097" s="1">
        <v>3.5</v>
      </c>
      <c r="P2097" s="1">
        <v>5</v>
      </c>
      <c r="Q2097" s="2">
        <v>0.29149999999999998</v>
      </c>
      <c r="R2097" s="1">
        <v>5</v>
      </c>
      <c r="S2097" s="1">
        <f t="shared" si="103"/>
        <v>1</v>
      </c>
      <c r="T2097" s="1">
        <v>3.5</v>
      </c>
      <c r="U2097" s="1">
        <v>12.5</v>
      </c>
      <c r="V2097" s="1">
        <v>1066.9281045751634</v>
      </c>
      <c r="W2097" s="1">
        <v>2</v>
      </c>
    </row>
    <row r="2098" spans="1:23" x14ac:dyDescent="0.2">
      <c r="A2098">
        <v>2021</v>
      </c>
      <c r="B2098" t="s">
        <v>23</v>
      </c>
      <c r="C2098" t="s">
        <v>271</v>
      </c>
      <c r="D2098">
        <v>101</v>
      </c>
      <c r="E2098">
        <v>1</v>
      </c>
      <c r="F2098">
        <v>5</v>
      </c>
      <c r="G2098" t="s">
        <v>125</v>
      </c>
      <c r="H2098" s="1">
        <v>12</v>
      </c>
      <c r="I2098" s="1">
        <v>57</v>
      </c>
      <c r="J2098" s="1">
        <v>60</v>
      </c>
      <c r="K2098" s="1">
        <f t="shared" si="102"/>
        <v>3</v>
      </c>
      <c r="L2098" s="1">
        <v>152</v>
      </c>
      <c r="M2098" s="1">
        <v>55</v>
      </c>
      <c r="N2098" s="1">
        <v>2.5</v>
      </c>
      <c r="O2098" s="1">
        <v>4</v>
      </c>
      <c r="P2098" s="1">
        <v>10</v>
      </c>
      <c r="Q2098" s="2">
        <v>0.25124999999999997</v>
      </c>
      <c r="R2098" s="1">
        <v>7</v>
      </c>
      <c r="S2098" s="1">
        <f t="shared" si="103"/>
        <v>0.7</v>
      </c>
      <c r="T2098" s="1">
        <v>3</v>
      </c>
      <c r="U2098" s="1">
        <v>12.5</v>
      </c>
      <c r="V2098" s="1">
        <v>919.6078431372548</v>
      </c>
      <c r="W2098" s="1">
        <v>4</v>
      </c>
    </row>
    <row r="2099" spans="1:23" x14ac:dyDescent="0.2">
      <c r="A2099">
        <v>2021</v>
      </c>
      <c r="B2099" t="s">
        <v>23</v>
      </c>
      <c r="C2099" t="s">
        <v>271</v>
      </c>
      <c r="D2099">
        <v>101</v>
      </c>
      <c r="E2099">
        <v>2</v>
      </c>
      <c r="F2099">
        <v>14</v>
      </c>
      <c r="G2099" t="s">
        <v>125</v>
      </c>
      <c r="H2099" s="1">
        <v>14</v>
      </c>
      <c r="I2099" s="1">
        <v>66</v>
      </c>
      <c r="J2099" s="1">
        <v>70</v>
      </c>
      <c r="K2099" s="1">
        <f t="shared" si="102"/>
        <v>4</v>
      </c>
      <c r="L2099" s="1">
        <v>167</v>
      </c>
      <c r="M2099" s="1">
        <v>65</v>
      </c>
      <c r="N2099" s="1">
        <v>2</v>
      </c>
      <c r="O2099" s="1">
        <v>3.5</v>
      </c>
      <c r="P2099" s="1">
        <v>10</v>
      </c>
      <c r="Q2099" s="2">
        <v>6.8240000000000009E-2</v>
      </c>
      <c r="R2099" s="1">
        <v>5</v>
      </c>
      <c r="S2099" s="1">
        <f t="shared" si="103"/>
        <v>0.5</v>
      </c>
      <c r="T2099" s="1">
        <v>5</v>
      </c>
      <c r="U2099" s="1">
        <v>12.5</v>
      </c>
      <c r="V2099" s="1">
        <v>249.76732026143796</v>
      </c>
      <c r="W2099" s="1">
        <v>4</v>
      </c>
    </row>
    <row r="2100" spans="1:23" x14ac:dyDescent="0.2">
      <c r="A2100">
        <v>2021</v>
      </c>
      <c r="B2100" t="s">
        <v>23</v>
      </c>
      <c r="C2100" t="s">
        <v>271</v>
      </c>
      <c r="D2100">
        <v>102</v>
      </c>
      <c r="E2100">
        <v>1</v>
      </c>
      <c r="F2100">
        <v>2</v>
      </c>
      <c r="G2100" t="s">
        <v>126</v>
      </c>
      <c r="H2100" s="1">
        <v>2</v>
      </c>
      <c r="I2100" s="1">
        <v>65</v>
      </c>
      <c r="J2100" s="1">
        <v>66</v>
      </c>
      <c r="K2100" s="1">
        <f t="shared" si="102"/>
        <v>1</v>
      </c>
      <c r="L2100" s="1">
        <v>60</v>
      </c>
      <c r="M2100" s="1">
        <v>15</v>
      </c>
      <c r="N2100" s="1">
        <v>2</v>
      </c>
      <c r="O2100" s="1">
        <v>5</v>
      </c>
      <c r="P2100" s="1">
        <v>1</v>
      </c>
      <c r="Q2100" s="2">
        <v>3.15E-2</v>
      </c>
      <c r="R2100" s="1">
        <v>1</v>
      </c>
      <c r="S2100" s="1">
        <f t="shared" si="103"/>
        <v>1</v>
      </c>
      <c r="T2100" s="1">
        <v>5</v>
      </c>
      <c r="U2100" s="1">
        <v>12.5</v>
      </c>
      <c r="V2100" s="1">
        <v>115.29411764705884</v>
      </c>
      <c r="W2100" s="1">
        <v>6</v>
      </c>
    </row>
    <row r="2101" spans="1:23" x14ac:dyDescent="0.2">
      <c r="A2101">
        <v>2021</v>
      </c>
      <c r="B2101" t="s">
        <v>23</v>
      </c>
      <c r="C2101" t="s">
        <v>271</v>
      </c>
      <c r="D2101">
        <v>102</v>
      </c>
      <c r="E2101">
        <v>2</v>
      </c>
      <c r="F2101">
        <v>1</v>
      </c>
      <c r="G2101" t="s">
        <v>126</v>
      </c>
      <c r="H2101" s="1">
        <v>11</v>
      </c>
      <c r="I2101" s="1">
        <v>63</v>
      </c>
      <c r="J2101" s="1">
        <v>67</v>
      </c>
      <c r="K2101" s="1">
        <f t="shared" si="102"/>
        <v>4</v>
      </c>
      <c r="L2101" s="1">
        <v>176</v>
      </c>
      <c r="M2101" s="1">
        <v>88</v>
      </c>
      <c r="N2101" s="1">
        <v>2</v>
      </c>
      <c r="O2101" s="1">
        <v>1</v>
      </c>
      <c r="P2101" s="1">
        <f>H2101</f>
        <v>11</v>
      </c>
      <c r="Q2101" s="2">
        <v>9.2249999999999999E-2</v>
      </c>
      <c r="R2101" s="1">
        <v>11</v>
      </c>
      <c r="S2101" s="1">
        <f t="shared" si="103"/>
        <v>1</v>
      </c>
      <c r="T2101" s="1">
        <v>5</v>
      </c>
      <c r="U2101" s="1">
        <v>12.5</v>
      </c>
      <c r="V2101" s="1">
        <v>337.64705882352945</v>
      </c>
      <c r="W2101" s="1">
        <v>4</v>
      </c>
    </row>
    <row r="2102" spans="1:23" x14ac:dyDescent="0.2">
      <c r="A2102">
        <v>2021</v>
      </c>
      <c r="B2102" t="s">
        <v>23</v>
      </c>
      <c r="C2102" t="s">
        <v>271</v>
      </c>
      <c r="D2102">
        <v>103</v>
      </c>
      <c r="E2102">
        <v>1</v>
      </c>
      <c r="F2102">
        <v>7</v>
      </c>
      <c r="G2102" t="s">
        <v>127</v>
      </c>
      <c r="H2102" s="1">
        <v>5</v>
      </c>
      <c r="I2102" s="1">
        <v>69</v>
      </c>
      <c r="J2102" s="1">
        <v>74</v>
      </c>
      <c r="K2102" s="1">
        <f t="shared" si="102"/>
        <v>5</v>
      </c>
      <c r="L2102" s="1">
        <v>143</v>
      </c>
      <c r="M2102" s="1">
        <v>88</v>
      </c>
      <c r="N2102" s="1">
        <v>2</v>
      </c>
      <c r="O2102" s="1">
        <v>2</v>
      </c>
      <c r="P2102" s="1">
        <v>5</v>
      </c>
      <c r="Q2102" s="2">
        <v>0.14647500000000002</v>
      </c>
      <c r="R2102" s="1">
        <v>4</v>
      </c>
      <c r="S2102" s="1">
        <f t="shared" si="103"/>
        <v>0.8</v>
      </c>
      <c r="T2102" s="1">
        <v>3</v>
      </c>
      <c r="U2102" s="1">
        <v>12.5</v>
      </c>
      <c r="V2102" s="1">
        <v>536.11764705882365</v>
      </c>
      <c r="W2102" s="1">
        <v>4</v>
      </c>
    </row>
    <row r="2103" spans="1:23" x14ac:dyDescent="0.2">
      <c r="A2103">
        <v>2021</v>
      </c>
      <c r="B2103" t="s">
        <v>23</v>
      </c>
      <c r="C2103" t="s">
        <v>271</v>
      </c>
      <c r="D2103">
        <v>103</v>
      </c>
      <c r="E2103">
        <v>2</v>
      </c>
      <c r="F2103">
        <v>8</v>
      </c>
      <c r="G2103" t="s">
        <v>127</v>
      </c>
      <c r="H2103" s="1">
        <v>10</v>
      </c>
      <c r="I2103" s="1">
        <v>66</v>
      </c>
      <c r="J2103" s="1">
        <v>69</v>
      </c>
      <c r="K2103" s="1">
        <f t="shared" si="102"/>
        <v>3</v>
      </c>
      <c r="L2103" s="1">
        <v>178</v>
      </c>
      <c r="M2103" s="1">
        <v>98</v>
      </c>
      <c r="N2103" s="1">
        <v>2</v>
      </c>
      <c r="O2103" s="1">
        <v>2.5</v>
      </c>
      <c r="P2103" s="1">
        <v>9</v>
      </c>
      <c r="Q2103" s="2">
        <v>0.42</v>
      </c>
      <c r="R2103" s="1">
        <v>7</v>
      </c>
      <c r="S2103" s="1">
        <f t="shared" si="103"/>
        <v>0.77777777777777779</v>
      </c>
      <c r="T2103" s="1">
        <v>4</v>
      </c>
      <c r="U2103" s="1">
        <v>8.5</v>
      </c>
      <c r="V2103" s="1">
        <v>1607.5294117647059</v>
      </c>
      <c r="W2103" s="1">
        <v>3</v>
      </c>
    </row>
    <row r="2104" spans="1:23" x14ac:dyDescent="0.2">
      <c r="A2104">
        <v>2021</v>
      </c>
      <c r="B2104" t="s">
        <v>23</v>
      </c>
      <c r="C2104" t="s">
        <v>271</v>
      </c>
      <c r="D2104">
        <v>104</v>
      </c>
      <c r="E2104">
        <v>1</v>
      </c>
      <c r="F2104">
        <v>7</v>
      </c>
      <c r="G2104" t="s">
        <v>128</v>
      </c>
      <c r="H2104" s="1">
        <v>13</v>
      </c>
      <c r="I2104" s="1">
        <v>70</v>
      </c>
      <c r="J2104" s="1">
        <v>71</v>
      </c>
      <c r="K2104" s="1">
        <f t="shared" si="102"/>
        <v>1</v>
      </c>
      <c r="L2104" s="1">
        <v>179</v>
      </c>
      <c r="M2104" s="1">
        <v>61</v>
      </c>
      <c r="N2104" s="1">
        <v>2</v>
      </c>
      <c r="O2104" s="1">
        <v>3.5</v>
      </c>
      <c r="P2104" s="1">
        <f>H2104-1</f>
        <v>12</v>
      </c>
      <c r="Q2104" s="2">
        <v>0.17549999999999999</v>
      </c>
      <c r="R2104" s="1">
        <v>10</v>
      </c>
      <c r="S2104" s="1">
        <f t="shared" si="103"/>
        <v>0.83333333333333337</v>
      </c>
      <c r="T2104" s="1">
        <v>5</v>
      </c>
      <c r="U2104" s="1">
        <v>12.5</v>
      </c>
      <c r="V2104" s="1">
        <v>642.35294117647061</v>
      </c>
      <c r="W2104" s="1">
        <v>5</v>
      </c>
    </row>
    <row r="2105" spans="1:23" x14ac:dyDescent="0.2">
      <c r="A2105">
        <v>2021</v>
      </c>
      <c r="B2105" t="s">
        <v>23</v>
      </c>
      <c r="C2105" t="s">
        <v>271</v>
      </c>
      <c r="D2105">
        <v>104</v>
      </c>
      <c r="E2105">
        <v>2</v>
      </c>
      <c r="F2105">
        <v>14</v>
      </c>
      <c r="G2105" t="s">
        <v>128</v>
      </c>
      <c r="H2105" s="1">
        <v>12</v>
      </c>
      <c r="I2105" s="1">
        <v>62</v>
      </c>
      <c r="J2105" s="1">
        <v>67</v>
      </c>
      <c r="K2105" s="1">
        <f t="shared" si="102"/>
        <v>5</v>
      </c>
      <c r="L2105" s="1">
        <v>122</v>
      </c>
      <c r="M2105" s="1">
        <v>82</v>
      </c>
      <c r="N2105" s="1">
        <v>2</v>
      </c>
      <c r="O2105" s="1">
        <v>3.5</v>
      </c>
      <c r="P2105" s="1">
        <f>H2105</f>
        <v>12</v>
      </c>
      <c r="Q2105" s="2">
        <v>0.28949999999999998</v>
      </c>
      <c r="R2105" s="1">
        <v>12</v>
      </c>
      <c r="S2105" s="1">
        <f t="shared" si="103"/>
        <v>1</v>
      </c>
      <c r="T2105" s="1">
        <v>5</v>
      </c>
      <c r="U2105" s="1">
        <v>12.5</v>
      </c>
      <c r="V2105" s="1">
        <v>1059.6078431372548</v>
      </c>
      <c r="W2105" s="1">
        <v>5</v>
      </c>
    </row>
    <row r="2106" spans="1:23" x14ac:dyDescent="0.2">
      <c r="A2106">
        <v>2021</v>
      </c>
      <c r="B2106" t="s">
        <v>23</v>
      </c>
      <c r="C2106" t="s">
        <v>271</v>
      </c>
      <c r="D2106">
        <v>105</v>
      </c>
      <c r="E2106">
        <v>1</v>
      </c>
      <c r="F2106">
        <v>10</v>
      </c>
      <c r="G2106" t="s">
        <v>129</v>
      </c>
      <c r="H2106" s="1">
        <v>16</v>
      </c>
      <c r="I2106" s="1">
        <v>64</v>
      </c>
      <c r="J2106" s="1">
        <v>68</v>
      </c>
      <c r="K2106" s="1">
        <f t="shared" si="102"/>
        <v>4</v>
      </c>
      <c r="L2106" s="1">
        <v>120</v>
      </c>
      <c r="M2106" s="1">
        <v>78</v>
      </c>
      <c r="N2106" s="1">
        <v>2</v>
      </c>
      <c r="O2106" s="1">
        <v>3.5</v>
      </c>
      <c r="P2106" s="1">
        <f>H2106-2</f>
        <v>14</v>
      </c>
      <c r="Q2106" s="2">
        <v>6.9750000000000006E-2</v>
      </c>
      <c r="R2106" s="1">
        <v>10</v>
      </c>
      <c r="S2106" s="1">
        <f t="shared" si="103"/>
        <v>0.7142857142857143</v>
      </c>
      <c r="T2106" s="1">
        <v>5</v>
      </c>
      <c r="U2106" s="1">
        <v>12.5</v>
      </c>
      <c r="V2106" s="1">
        <v>255.29411764705881</v>
      </c>
      <c r="W2106" s="1">
        <v>4</v>
      </c>
    </row>
    <row r="2107" spans="1:23" x14ac:dyDescent="0.2">
      <c r="A2107">
        <v>2021</v>
      </c>
      <c r="B2107" t="s">
        <v>23</v>
      </c>
      <c r="C2107" t="s">
        <v>271</v>
      </c>
      <c r="D2107">
        <v>105</v>
      </c>
      <c r="E2107">
        <v>2</v>
      </c>
      <c r="F2107">
        <v>7</v>
      </c>
      <c r="G2107" t="s">
        <v>129</v>
      </c>
      <c r="H2107">
        <v>12</v>
      </c>
      <c r="I2107">
        <v>63</v>
      </c>
      <c r="J2107">
        <v>65</v>
      </c>
      <c r="K2107">
        <v>2</v>
      </c>
      <c r="L2107">
        <v>160</v>
      </c>
      <c r="M2107">
        <v>60</v>
      </c>
      <c r="N2107">
        <v>1.5</v>
      </c>
      <c r="O2107">
        <v>3.5</v>
      </c>
      <c r="P2107">
        <v>12</v>
      </c>
      <c r="Q2107">
        <v>0.7</v>
      </c>
      <c r="R2107">
        <v>10</v>
      </c>
      <c r="S2107">
        <v>0.83333333333333337</v>
      </c>
      <c r="T2107">
        <v>3.5</v>
      </c>
      <c r="U2107">
        <v>12.5</v>
      </c>
      <c r="V2107">
        <v>2562.0915032679736</v>
      </c>
      <c r="W2107">
        <v>1</v>
      </c>
    </row>
    <row r="2108" spans="1:23" x14ac:dyDescent="0.2">
      <c r="A2108">
        <v>2021</v>
      </c>
      <c r="B2108" t="s">
        <v>23</v>
      </c>
      <c r="C2108" t="s">
        <v>271</v>
      </c>
      <c r="D2108">
        <v>106</v>
      </c>
      <c r="E2108">
        <v>1</v>
      </c>
      <c r="F2108">
        <v>12</v>
      </c>
      <c r="G2108" t="s">
        <v>130</v>
      </c>
      <c r="H2108">
        <v>9</v>
      </c>
      <c r="I2108">
        <v>56</v>
      </c>
      <c r="J2108">
        <v>59</v>
      </c>
      <c r="K2108">
        <v>3</v>
      </c>
      <c r="L2108">
        <v>190</v>
      </c>
      <c r="M2108">
        <v>71</v>
      </c>
      <c r="N2108">
        <v>1.5</v>
      </c>
      <c r="O2108">
        <v>2</v>
      </c>
      <c r="P2108">
        <v>9</v>
      </c>
      <c r="Q2108">
        <v>0.4</v>
      </c>
      <c r="R2108">
        <v>9</v>
      </c>
      <c r="S2108">
        <v>1</v>
      </c>
      <c r="T2108">
        <v>2.5</v>
      </c>
      <c r="U2108">
        <v>12.5</v>
      </c>
      <c r="V2108">
        <v>1464.0522875816994</v>
      </c>
      <c r="W2108">
        <v>1</v>
      </c>
    </row>
    <row r="2109" spans="1:23" x14ac:dyDescent="0.2">
      <c r="A2109">
        <v>2021</v>
      </c>
      <c r="B2109" t="s">
        <v>23</v>
      </c>
      <c r="C2109" t="s">
        <v>271</v>
      </c>
      <c r="D2109">
        <v>106</v>
      </c>
      <c r="E2109">
        <v>2</v>
      </c>
      <c r="F2109">
        <v>2</v>
      </c>
      <c r="G2109" t="s">
        <v>130</v>
      </c>
      <c r="H2109" s="1">
        <v>12</v>
      </c>
      <c r="I2109" s="1">
        <v>61</v>
      </c>
      <c r="J2109" s="1">
        <v>65</v>
      </c>
      <c r="K2109" s="1">
        <f>J2109-I2109</f>
        <v>4</v>
      </c>
      <c r="L2109" s="1">
        <v>150</v>
      </c>
      <c r="M2109" s="1">
        <v>90</v>
      </c>
      <c r="N2109" s="1">
        <v>1</v>
      </c>
      <c r="O2109" s="1">
        <v>2.5</v>
      </c>
      <c r="P2109" s="1">
        <f>H2109-2</f>
        <v>10</v>
      </c>
      <c r="Q2109" s="2">
        <v>0.17685000000000001</v>
      </c>
      <c r="R2109" s="1">
        <v>10</v>
      </c>
      <c r="S2109" s="1">
        <f>R2109/P2109</f>
        <v>1</v>
      </c>
      <c r="T2109" s="1">
        <v>3</v>
      </c>
      <c r="U2109" s="1">
        <v>12.5</v>
      </c>
      <c r="V2109" s="1">
        <v>647.2941176470589</v>
      </c>
      <c r="W2109" s="1">
        <v>4</v>
      </c>
    </row>
    <row r="2110" spans="1:23" x14ac:dyDescent="0.2">
      <c r="A2110">
        <v>2021</v>
      </c>
      <c r="B2110" t="s">
        <v>23</v>
      </c>
      <c r="C2110" t="s">
        <v>271</v>
      </c>
      <c r="D2110">
        <v>107</v>
      </c>
      <c r="E2110">
        <v>1</v>
      </c>
      <c r="F2110">
        <v>7</v>
      </c>
      <c r="G2110" t="s">
        <v>131</v>
      </c>
      <c r="H2110">
        <v>10</v>
      </c>
      <c r="I2110">
        <v>50</v>
      </c>
      <c r="J2110">
        <v>55</v>
      </c>
      <c r="K2110">
        <v>5</v>
      </c>
      <c r="L2110">
        <v>142</v>
      </c>
      <c r="M2110">
        <v>69</v>
      </c>
      <c r="N2110">
        <v>2</v>
      </c>
      <c r="O2110">
        <v>1.5</v>
      </c>
      <c r="P2110">
        <v>8</v>
      </c>
      <c r="Q2110">
        <v>0.6</v>
      </c>
      <c r="R2110">
        <v>5</v>
      </c>
      <c r="S2110">
        <v>0.625</v>
      </c>
      <c r="T2110">
        <v>3</v>
      </c>
      <c r="U2110">
        <v>12.8</v>
      </c>
      <c r="V2110">
        <v>2188.5490196078431</v>
      </c>
      <c r="W2110">
        <v>2</v>
      </c>
    </row>
    <row r="2111" spans="1:23" x14ac:dyDescent="0.2">
      <c r="A2111">
        <v>2021</v>
      </c>
      <c r="B2111" t="s">
        <v>23</v>
      </c>
      <c r="C2111" t="s">
        <v>271</v>
      </c>
      <c r="D2111">
        <v>107</v>
      </c>
      <c r="E2111">
        <v>2</v>
      </c>
      <c r="F2111">
        <v>1</v>
      </c>
      <c r="G2111" t="s">
        <v>131</v>
      </c>
      <c r="H2111">
        <v>6</v>
      </c>
      <c r="I2111">
        <v>60</v>
      </c>
      <c r="J2111">
        <v>62</v>
      </c>
      <c r="K2111">
        <v>2</v>
      </c>
      <c r="L2111">
        <v>176</v>
      </c>
      <c r="M2111">
        <v>62</v>
      </c>
      <c r="N2111">
        <v>2.5</v>
      </c>
      <c r="O2111">
        <v>3</v>
      </c>
      <c r="P2111">
        <v>6</v>
      </c>
      <c r="Q2111">
        <v>0.6</v>
      </c>
      <c r="R2111">
        <v>6</v>
      </c>
      <c r="S2111">
        <v>1</v>
      </c>
      <c r="T2111">
        <v>3</v>
      </c>
      <c r="U2111">
        <v>12.5</v>
      </c>
      <c r="V2111">
        <v>2196.0784313725489</v>
      </c>
      <c r="W2111">
        <v>1</v>
      </c>
    </row>
    <row r="2112" spans="1:23" x14ac:dyDescent="0.2">
      <c r="A2112">
        <v>2021</v>
      </c>
      <c r="B2112" t="s">
        <v>23</v>
      </c>
      <c r="C2112" t="s">
        <v>271</v>
      </c>
      <c r="D2112">
        <v>108</v>
      </c>
      <c r="E2112">
        <v>1</v>
      </c>
      <c r="F2112">
        <v>13</v>
      </c>
      <c r="G2112" t="s">
        <v>132</v>
      </c>
      <c r="H2112">
        <v>15</v>
      </c>
      <c r="I2112">
        <v>54</v>
      </c>
      <c r="J2112">
        <v>59</v>
      </c>
      <c r="K2112">
        <v>5</v>
      </c>
      <c r="L2112">
        <v>160</v>
      </c>
      <c r="M2112">
        <v>64</v>
      </c>
      <c r="N2112">
        <v>1</v>
      </c>
      <c r="O2112">
        <v>2</v>
      </c>
      <c r="P2112">
        <v>15</v>
      </c>
      <c r="Q2112">
        <v>0.7</v>
      </c>
      <c r="R2112">
        <v>16</v>
      </c>
      <c r="S2112">
        <v>1.0666666666666667</v>
      </c>
      <c r="T2112">
        <v>2</v>
      </c>
      <c r="U2112">
        <v>11.9</v>
      </c>
      <c r="V2112">
        <v>2579.660130718954</v>
      </c>
      <c r="W2112">
        <v>1</v>
      </c>
    </row>
    <row r="2113" spans="1:23" x14ac:dyDescent="0.2">
      <c r="A2113">
        <v>2021</v>
      </c>
      <c r="B2113" t="s">
        <v>23</v>
      </c>
      <c r="C2113" t="s">
        <v>271</v>
      </c>
      <c r="D2113">
        <v>108</v>
      </c>
      <c r="E2113">
        <v>2</v>
      </c>
      <c r="F2113">
        <v>14</v>
      </c>
      <c r="G2113" t="s">
        <v>132</v>
      </c>
      <c r="H2113" s="1">
        <v>3</v>
      </c>
      <c r="I2113" s="1">
        <v>62</v>
      </c>
      <c r="J2113" s="1">
        <v>65</v>
      </c>
      <c r="K2113" s="1">
        <f>J2113-I2113</f>
        <v>3</v>
      </c>
      <c r="L2113" s="1">
        <v>68</v>
      </c>
      <c r="M2113" s="1">
        <v>25</v>
      </c>
      <c r="N2113" s="1">
        <v>3</v>
      </c>
      <c r="O2113" s="1">
        <v>4</v>
      </c>
      <c r="P2113" s="1">
        <v>2</v>
      </c>
      <c r="Q2113" s="2">
        <v>8.2000000000000003E-2</v>
      </c>
      <c r="R2113" s="1">
        <v>2</v>
      </c>
      <c r="S2113" s="1">
        <f>R2113/P2113</f>
        <v>1</v>
      </c>
      <c r="T2113" s="1">
        <v>5</v>
      </c>
      <c r="U2113" s="1">
        <v>12.5</v>
      </c>
      <c r="V2113" s="1">
        <v>300.13071895424832</v>
      </c>
      <c r="W2113" s="1">
        <v>5</v>
      </c>
    </row>
    <row r="2114" spans="1:23" x14ac:dyDescent="0.2">
      <c r="A2114">
        <v>2021</v>
      </c>
      <c r="B2114" t="s">
        <v>23</v>
      </c>
      <c r="C2114" t="s">
        <v>271</v>
      </c>
      <c r="D2114">
        <v>109</v>
      </c>
      <c r="E2114">
        <v>1</v>
      </c>
      <c r="F2114">
        <v>12</v>
      </c>
      <c r="G2114" t="s">
        <v>133</v>
      </c>
      <c r="H2114">
        <v>8</v>
      </c>
      <c r="I2114">
        <v>57</v>
      </c>
      <c r="J2114">
        <v>59</v>
      </c>
      <c r="K2114">
        <v>2</v>
      </c>
      <c r="L2114">
        <v>141</v>
      </c>
      <c r="M2114">
        <v>54</v>
      </c>
      <c r="N2114">
        <v>2</v>
      </c>
      <c r="O2114">
        <v>2</v>
      </c>
      <c r="P2114">
        <v>7</v>
      </c>
      <c r="Q2114">
        <v>0.22600000000000001</v>
      </c>
      <c r="R2114">
        <v>8</v>
      </c>
      <c r="S2114">
        <v>1.1428571428571428</v>
      </c>
      <c r="T2114">
        <v>3</v>
      </c>
      <c r="U2114">
        <v>12.5</v>
      </c>
      <c r="V2114">
        <v>827.18954248366026</v>
      </c>
      <c r="W2114">
        <v>2</v>
      </c>
    </row>
    <row r="2115" spans="1:23" x14ac:dyDescent="0.2">
      <c r="A2115">
        <v>2021</v>
      </c>
      <c r="B2115" t="s">
        <v>23</v>
      </c>
      <c r="C2115" t="s">
        <v>271</v>
      </c>
      <c r="D2115">
        <v>109</v>
      </c>
      <c r="E2115">
        <v>2</v>
      </c>
      <c r="F2115">
        <v>1</v>
      </c>
      <c r="G2115" t="s">
        <v>133</v>
      </c>
      <c r="H2115" s="1">
        <v>10</v>
      </c>
      <c r="I2115" s="1">
        <v>62</v>
      </c>
      <c r="J2115" s="1">
        <v>65</v>
      </c>
      <c r="K2115" s="1">
        <f>J2115-I2115</f>
        <v>3</v>
      </c>
      <c r="L2115" s="1">
        <v>138</v>
      </c>
      <c r="M2115" s="1">
        <v>81</v>
      </c>
      <c r="N2115" s="1">
        <v>3</v>
      </c>
      <c r="O2115" s="1">
        <v>4</v>
      </c>
      <c r="P2115" s="1">
        <f>H2115-1</f>
        <v>9</v>
      </c>
      <c r="Q2115" s="2">
        <v>0.16087499999999999</v>
      </c>
      <c r="R2115" s="1">
        <v>10</v>
      </c>
      <c r="S2115" s="1">
        <f>R2115/P2115</f>
        <v>1.1111111111111112</v>
      </c>
      <c r="T2115" s="1">
        <v>5</v>
      </c>
      <c r="U2115" s="1">
        <v>12.5</v>
      </c>
      <c r="V2115" s="1">
        <v>588.82352941176464</v>
      </c>
      <c r="W2115" s="1">
        <v>4</v>
      </c>
    </row>
    <row r="2116" spans="1:23" x14ac:dyDescent="0.2">
      <c r="A2116">
        <v>2021</v>
      </c>
      <c r="B2116" t="s">
        <v>23</v>
      </c>
      <c r="C2116" t="s">
        <v>271</v>
      </c>
      <c r="D2116">
        <v>110</v>
      </c>
      <c r="E2116">
        <v>1</v>
      </c>
      <c r="F2116">
        <v>15</v>
      </c>
      <c r="G2116" t="s">
        <v>134</v>
      </c>
      <c r="H2116">
        <v>14</v>
      </c>
      <c r="I2116">
        <v>55</v>
      </c>
      <c r="J2116">
        <v>60</v>
      </c>
      <c r="K2116">
        <v>5</v>
      </c>
      <c r="L2116">
        <v>177</v>
      </c>
      <c r="M2116">
        <v>89</v>
      </c>
      <c r="N2116">
        <v>1</v>
      </c>
      <c r="O2116">
        <v>2.5</v>
      </c>
      <c r="P2116">
        <v>14</v>
      </c>
      <c r="Q2116">
        <v>1</v>
      </c>
      <c r="R2116">
        <v>11</v>
      </c>
      <c r="S2116">
        <v>0.7857142857142857</v>
      </c>
      <c r="T2116">
        <v>2</v>
      </c>
      <c r="U2116">
        <v>9.9</v>
      </c>
      <c r="V2116">
        <v>3768.8888888888887</v>
      </c>
      <c r="W2116">
        <v>2</v>
      </c>
    </row>
    <row r="2117" spans="1:23" x14ac:dyDescent="0.2">
      <c r="A2117">
        <v>2021</v>
      </c>
      <c r="B2117" t="s">
        <v>23</v>
      </c>
      <c r="C2117" t="s">
        <v>271</v>
      </c>
      <c r="D2117">
        <v>110</v>
      </c>
      <c r="E2117">
        <v>2</v>
      </c>
      <c r="F2117">
        <v>10</v>
      </c>
      <c r="G2117" t="s">
        <v>134</v>
      </c>
      <c r="H2117" s="1">
        <v>10</v>
      </c>
      <c r="I2117" s="1">
        <v>64</v>
      </c>
      <c r="J2117" s="1">
        <v>67</v>
      </c>
      <c r="K2117" s="1">
        <f>J2117-I2117</f>
        <v>3</v>
      </c>
      <c r="L2117" s="1">
        <v>172</v>
      </c>
      <c r="M2117" s="1">
        <v>80</v>
      </c>
      <c r="N2117" s="1">
        <v>2</v>
      </c>
      <c r="O2117" s="1">
        <v>3</v>
      </c>
      <c r="P2117" s="1">
        <v>9</v>
      </c>
      <c r="Q2117" s="2">
        <v>7.5300000000000006E-2</v>
      </c>
      <c r="R2117" s="1">
        <v>5</v>
      </c>
      <c r="S2117" s="1">
        <f>R2117/P2117</f>
        <v>0.55555555555555558</v>
      </c>
      <c r="T2117" s="1">
        <v>5</v>
      </c>
      <c r="U2117" s="1">
        <v>12.5</v>
      </c>
      <c r="V2117" s="1">
        <v>275.60784313725492</v>
      </c>
      <c r="W2117" s="1">
        <v>4</v>
      </c>
    </row>
    <row r="2118" spans="1:23" x14ac:dyDescent="0.2">
      <c r="A2118">
        <v>2021</v>
      </c>
      <c r="B2118" t="s">
        <v>23</v>
      </c>
      <c r="C2118" t="s">
        <v>271</v>
      </c>
      <c r="D2118">
        <v>111</v>
      </c>
      <c r="E2118">
        <v>1</v>
      </c>
      <c r="F2118">
        <v>5</v>
      </c>
      <c r="G2118" t="s">
        <v>135</v>
      </c>
      <c r="H2118" s="1">
        <v>7</v>
      </c>
      <c r="I2118" s="1">
        <v>58</v>
      </c>
      <c r="J2118" s="1">
        <v>62</v>
      </c>
      <c r="K2118" s="1">
        <f>J2118-I2118</f>
        <v>4</v>
      </c>
      <c r="L2118" s="1">
        <v>42</v>
      </c>
      <c r="M2118" s="1">
        <v>35</v>
      </c>
      <c r="N2118" s="1">
        <v>1</v>
      </c>
      <c r="O2118" s="1">
        <v>2</v>
      </c>
      <c r="P2118" s="1">
        <f>H2118</f>
        <v>7</v>
      </c>
      <c r="Q2118" s="2">
        <v>7.8750000000000001E-2</v>
      </c>
      <c r="R2118" s="1">
        <v>7</v>
      </c>
      <c r="S2118" s="1">
        <f>R2118/P2118</f>
        <v>1</v>
      </c>
      <c r="T2118" s="1">
        <v>2</v>
      </c>
      <c r="U2118" s="1">
        <v>12.5</v>
      </c>
      <c r="V2118" s="1">
        <v>288.23529411764707</v>
      </c>
      <c r="W2118" s="1">
        <v>4</v>
      </c>
    </row>
    <row r="2119" spans="1:23" x14ac:dyDescent="0.2">
      <c r="A2119">
        <v>2021</v>
      </c>
      <c r="B2119" t="s">
        <v>23</v>
      </c>
      <c r="C2119" t="s">
        <v>271</v>
      </c>
      <c r="D2119">
        <v>111</v>
      </c>
      <c r="E2119">
        <v>2</v>
      </c>
      <c r="F2119">
        <v>5</v>
      </c>
      <c r="G2119" t="s">
        <v>135</v>
      </c>
      <c r="H2119" s="1">
        <v>2</v>
      </c>
      <c r="I2119" s="1">
        <v>71</v>
      </c>
      <c r="J2119" s="1">
        <v>75</v>
      </c>
      <c r="K2119" s="1">
        <f>J2119-I2119</f>
        <v>4</v>
      </c>
      <c r="L2119" s="1">
        <v>107</v>
      </c>
      <c r="M2119" s="1">
        <v>33</v>
      </c>
      <c r="N2119" s="1">
        <v>2</v>
      </c>
      <c r="O2119" s="1">
        <v>4</v>
      </c>
      <c r="P2119" s="1">
        <v>2</v>
      </c>
      <c r="Q2119" s="2">
        <v>0.12079999999999999</v>
      </c>
      <c r="R2119" s="1">
        <v>2</v>
      </c>
      <c r="S2119" s="1">
        <f>R2119/P2119</f>
        <v>1</v>
      </c>
      <c r="T2119" s="1">
        <v>5</v>
      </c>
      <c r="U2119" s="1">
        <v>12.5</v>
      </c>
      <c r="V2119" s="1">
        <v>442.14379084967322</v>
      </c>
      <c r="W2119" s="1">
        <v>4</v>
      </c>
    </row>
    <row r="2120" spans="1:23" x14ac:dyDescent="0.2">
      <c r="A2120">
        <v>2021</v>
      </c>
      <c r="B2120" t="s">
        <v>23</v>
      </c>
      <c r="C2120" t="s">
        <v>271</v>
      </c>
      <c r="D2120">
        <v>112</v>
      </c>
      <c r="E2120">
        <v>1</v>
      </c>
      <c r="F2120">
        <v>3</v>
      </c>
      <c r="G2120" t="s">
        <v>136</v>
      </c>
      <c r="H2120" s="1">
        <v>8</v>
      </c>
      <c r="I2120" s="1">
        <v>67</v>
      </c>
      <c r="J2120" s="1">
        <v>72</v>
      </c>
      <c r="K2120" s="1">
        <f>J2120-I2120</f>
        <v>5</v>
      </c>
      <c r="L2120" s="1">
        <v>116</v>
      </c>
      <c r="M2120" s="1">
        <v>41</v>
      </c>
      <c r="N2120" s="1">
        <v>2</v>
      </c>
      <c r="O2120" s="1">
        <v>4.5</v>
      </c>
      <c r="P2120" s="1">
        <v>6</v>
      </c>
      <c r="Q2120" s="2">
        <v>0.13500000000000001</v>
      </c>
      <c r="R2120" s="1">
        <v>5</v>
      </c>
      <c r="S2120" s="1">
        <f>R2120/P2120</f>
        <v>0.83333333333333337</v>
      </c>
      <c r="T2120" s="1">
        <v>3</v>
      </c>
      <c r="U2120" s="1">
        <v>12.5</v>
      </c>
      <c r="V2120" s="1">
        <v>494.11764705882354</v>
      </c>
      <c r="W2120" s="1">
        <v>5</v>
      </c>
    </row>
    <row r="2121" spans="1:23" x14ac:dyDescent="0.2">
      <c r="A2121">
        <v>2021</v>
      </c>
      <c r="B2121" t="s">
        <v>23</v>
      </c>
      <c r="C2121" t="s">
        <v>271</v>
      </c>
      <c r="D2121">
        <v>112</v>
      </c>
      <c r="E2121">
        <v>2</v>
      </c>
      <c r="F2121">
        <v>1</v>
      </c>
      <c r="G2121" t="s">
        <v>136</v>
      </c>
      <c r="H2121">
        <v>5</v>
      </c>
      <c r="I2121">
        <v>56</v>
      </c>
      <c r="J2121">
        <v>60</v>
      </c>
      <c r="K2121">
        <v>4</v>
      </c>
      <c r="L2121">
        <v>78</v>
      </c>
      <c r="M2121">
        <v>28</v>
      </c>
      <c r="N2121">
        <v>1.5</v>
      </c>
      <c r="O2121">
        <v>4</v>
      </c>
      <c r="P2121">
        <v>5</v>
      </c>
      <c r="Q2121">
        <v>0.3</v>
      </c>
      <c r="R2121">
        <v>5</v>
      </c>
      <c r="S2121">
        <v>1</v>
      </c>
      <c r="T2121">
        <v>2.5</v>
      </c>
      <c r="U2121">
        <v>12.5</v>
      </c>
      <c r="V2121">
        <v>1098.0392156862745</v>
      </c>
      <c r="W2121">
        <v>1</v>
      </c>
    </row>
    <row r="2122" spans="1:23" x14ac:dyDescent="0.2">
      <c r="A2122">
        <v>2021</v>
      </c>
      <c r="B2122" t="s">
        <v>23</v>
      </c>
      <c r="C2122" t="s">
        <v>271</v>
      </c>
      <c r="D2122">
        <v>113</v>
      </c>
      <c r="E2122">
        <v>1</v>
      </c>
      <c r="F2122">
        <v>5</v>
      </c>
      <c r="G2122" t="s">
        <v>137</v>
      </c>
      <c r="H2122">
        <v>13</v>
      </c>
      <c r="I2122">
        <v>53</v>
      </c>
      <c r="J2122">
        <v>55</v>
      </c>
      <c r="K2122">
        <v>2</v>
      </c>
      <c r="L2122">
        <v>169</v>
      </c>
      <c r="M2122">
        <v>68</v>
      </c>
      <c r="N2122">
        <v>2</v>
      </c>
      <c r="O2122">
        <v>1.5</v>
      </c>
      <c r="P2122">
        <v>13</v>
      </c>
      <c r="Q2122">
        <v>1</v>
      </c>
      <c r="R2122">
        <v>13</v>
      </c>
      <c r="S2122">
        <v>1</v>
      </c>
      <c r="T2122">
        <v>3</v>
      </c>
      <c r="U2122">
        <v>19.399999999999999</v>
      </c>
      <c r="V2122">
        <v>3371.5032679738561</v>
      </c>
      <c r="W2122">
        <v>2</v>
      </c>
    </row>
    <row r="2123" spans="1:23" x14ac:dyDescent="0.2">
      <c r="A2123">
        <v>2021</v>
      </c>
      <c r="B2123" t="s">
        <v>23</v>
      </c>
      <c r="C2123" t="s">
        <v>271</v>
      </c>
      <c r="D2123">
        <v>113</v>
      </c>
      <c r="E2123">
        <v>2</v>
      </c>
      <c r="F2123">
        <v>10</v>
      </c>
      <c r="G2123" t="s">
        <v>137</v>
      </c>
      <c r="H2123">
        <v>16</v>
      </c>
      <c r="I2123">
        <v>54</v>
      </c>
      <c r="J2123">
        <v>57</v>
      </c>
      <c r="K2123">
        <v>3</v>
      </c>
      <c r="L2123">
        <v>153</v>
      </c>
      <c r="M2123">
        <v>84</v>
      </c>
      <c r="N2123">
        <v>2</v>
      </c>
      <c r="O2123">
        <v>2.5</v>
      </c>
      <c r="P2123">
        <v>16</v>
      </c>
      <c r="Q2123">
        <v>0.9</v>
      </c>
      <c r="R2123">
        <v>13</v>
      </c>
      <c r="S2123">
        <v>0.8125</v>
      </c>
      <c r="T2123">
        <v>4</v>
      </c>
      <c r="U2123">
        <v>8.5</v>
      </c>
      <c r="V2123">
        <v>3444.7058823529419</v>
      </c>
      <c r="W2123">
        <v>2</v>
      </c>
    </row>
    <row r="2124" spans="1:23" x14ac:dyDescent="0.2">
      <c r="A2124">
        <v>2021</v>
      </c>
      <c r="B2124" t="s">
        <v>23</v>
      </c>
      <c r="C2124" t="s">
        <v>271</v>
      </c>
      <c r="D2124">
        <v>114</v>
      </c>
      <c r="E2124">
        <v>1</v>
      </c>
      <c r="F2124">
        <v>4</v>
      </c>
      <c r="G2124" t="s">
        <v>138</v>
      </c>
      <c r="H2124" s="1">
        <v>11</v>
      </c>
      <c r="I2124" s="1">
        <v>66</v>
      </c>
      <c r="J2124" s="1">
        <v>69</v>
      </c>
      <c r="K2124" s="1">
        <f>J2124-I2124</f>
        <v>3</v>
      </c>
      <c r="L2124" s="1">
        <v>136</v>
      </c>
      <c r="M2124" s="1">
        <v>51</v>
      </c>
      <c r="N2124" s="1">
        <v>2</v>
      </c>
      <c r="O2124" s="1">
        <v>4.5</v>
      </c>
      <c r="P2124" s="1">
        <v>6</v>
      </c>
      <c r="Q2124" s="2">
        <v>0.13500000000000001</v>
      </c>
      <c r="R2124" s="1">
        <v>4</v>
      </c>
      <c r="S2124" s="1">
        <f>R2124/P2124</f>
        <v>0.66666666666666663</v>
      </c>
      <c r="T2124" s="1">
        <v>5</v>
      </c>
      <c r="U2124" s="1">
        <v>12.5</v>
      </c>
      <c r="V2124" s="1">
        <v>494.11764705882354</v>
      </c>
      <c r="W2124" s="1">
        <v>5</v>
      </c>
    </row>
    <row r="2125" spans="1:23" x14ac:dyDescent="0.2">
      <c r="A2125">
        <v>2021</v>
      </c>
      <c r="B2125" t="s">
        <v>23</v>
      </c>
      <c r="C2125" t="s">
        <v>271</v>
      </c>
      <c r="D2125">
        <v>114</v>
      </c>
      <c r="E2125">
        <v>2</v>
      </c>
      <c r="F2125">
        <v>7</v>
      </c>
      <c r="G2125" t="s">
        <v>138</v>
      </c>
      <c r="H2125">
        <v>6</v>
      </c>
      <c r="I2125">
        <v>55</v>
      </c>
      <c r="J2125">
        <v>58</v>
      </c>
      <c r="K2125">
        <v>3</v>
      </c>
      <c r="L2125">
        <v>146</v>
      </c>
      <c r="M2125">
        <v>56</v>
      </c>
      <c r="N2125">
        <v>2</v>
      </c>
      <c r="O2125">
        <v>3</v>
      </c>
      <c r="P2125">
        <v>6</v>
      </c>
      <c r="Q2125">
        <v>0.4</v>
      </c>
      <c r="R2125">
        <v>6</v>
      </c>
      <c r="S2125">
        <v>1</v>
      </c>
      <c r="T2125">
        <v>2.5</v>
      </c>
      <c r="U2125">
        <v>12.5</v>
      </c>
      <c r="V2125">
        <v>1464.0522875816994</v>
      </c>
      <c r="W2125">
        <v>2</v>
      </c>
    </row>
    <row r="2126" spans="1:23" x14ac:dyDescent="0.2">
      <c r="A2126">
        <v>2021</v>
      </c>
      <c r="B2126" t="s">
        <v>23</v>
      </c>
      <c r="C2126" t="s">
        <v>271</v>
      </c>
      <c r="D2126">
        <v>115</v>
      </c>
      <c r="E2126">
        <v>1</v>
      </c>
      <c r="F2126">
        <v>4</v>
      </c>
      <c r="G2126" t="s">
        <v>139</v>
      </c>
      <c r="H2126" s="1">
        <v>14</v>
      </c>
      <c r="I2126" s="1">
        <v>64</v>
      </c>
      <c r="J2126" s="1">
        <v>68</v>
      </c>
      <c r="K2126" s="1">
        <f>J2126-I2126</f>
        <v>4</v>
      </c>
      <c r="L2126" s="1">
        <v>131</v>
      </c>
      <c r="M2126" s="1">
        <v>85</v>
      </c>
      <c r="N2126" s="1">
        <v>2</v>
      </c>
      <c r="O2126" s="1">
        <v>3.5</v>
      </c>
      <c r="P2126" s="1">
        <f>H2126-2</f>
        <v>12</v>
      </c>
      <c r="Q2126" s="2">
        <v>9.2699999999999991E-2</v>
      </c>
      <c r="R2126" s="1">
        <v>9</v>
      </c>
      <c r="S2126" s="1">
        <f>R2126/P2126</f>
        <v>0.75</v>
      </c>
      <c r="T2126" s="1">
        <v>5</v>
      </c>
      <c r="U2126" s="1">
        <v>12.5</v>
      </c>
      <c r="V2126" s="1">
        <v>339.29411764705878</v>
      </c>
      <c r="W2126" s="1">
        <v>5</v>
      </c>
    </row>
    <row r="2127" spans="1:23" x14ac:dyDescent="0.2">
      <c r="A2127">
        <v>2021</v>
      </c>
      <c r="B2127" t="s">
        <v>23</v>
      </c>
      <c r="C2127" t="s">
        <v>271</v>
      </c>
      <c r="D2127">
        <v>115</v>
      </c>
      <c r="E2127">
        <v>2</v>
      </c>
      <c r="F2127">
        <v>6</v>
      </c>
      <c r="G2127" t="s">
        <v>139</v>
      </c>
      <c r="H2127">
        <v>12</v>
      </c>
      <c r="I2127">
        <v>55</v>
      </c>
      <c r="J2127">
        <v>58</v>
      </c>
      <c r="K2127">
        <v>3</v>
      </c>
      <c r="L2127">
        <v>165</v>
      </c>
      <c r="M2127">
        <v>81</v>
      </c>
      <c r="N2127">
        <v>1</v>
      </c>
      <c r="O2127">
        <v>3</v>
      </c>
      <c r="P2127">
        <v>12</v>
      </c>
      <c r="Q2127">
        <v>0.8</v>
      </c>
      <c r="R2127">
        <v>11</v>
      </c>
      <c r="S2127">
        <v>0.91666666666666663</v>
      </c>
      <c r="T2127">
        <v>2</v>
      </c>
      <c r="U2127">
        <v>10.3</v>
      </c>
      <c r="V2127">
        <v>3001.7254901960787</v>
      </c>
      <c r="W2127">
        <v>2</v>
      </c>
    </row>
    <row r="2128" spans="1:23" x14ac:dyDescent="0.2">
      <c r="A2128">
        <v>2021</v>
      </c>
      <c r="B2128" t="s">
        <v>23</v>
      </c>
      <c r="C2128" t="s">
        <v>271</v>
      </c>
      <c r="D2128">
        <v>116</v>
      </c>
      <c r="E2128">
        <v>1</v>
      </c>
      <c r="F2128">
        <v>15</v>
      </c>
      <c r="G2128" t="s">
        <v>140</v>
      </c>
      <c r="H2128" s="1">
        <v>11</v>
      </c>
      <c r="I2128" s="1">
        <v>69</v>
      </c>
      <c r="J2128" s="1">
        <v>70</v>
      </c>
      <c r="K2128" s="1">
        <f>J2128-I2128</f>
        <v>1</v>
      </c>
      <c r="L2128" s="1">
        <v>202</v>
      </c>
      <c r="M2128" s="1">
        <v>107</v>
      </c>
      <c r="N2128" s="1">
        <v>2</v>
      </c>
      <c r="O2128" s="1">
        <v>2</v>
      </c>
      <c r="P2128" s="1">
        <v>11</v>
      </c>
      <c r="Q2128" s="2">
        <v>0.56000000000000005</v>
      </c>
      <c r="R2128" s="1">
        <v>11</v>
      </c>
      <c r="S2128" s="1">
        <f>R2128/P2128</f>
        <v>1</v>
      </c>
      <c r="T2128" s="1">
        <v>4</v>
      </c>
      <c r="U2128" s="1">
        <v>9.1</v>
      </c>
      <c r="V2128" s="1">
        <v>2129.3176470588242</v>
      </c>
      <c r="W2128" s="1">
        <v>4</v>
      </c>
    </row>
    <row r="2129" spans="1:23" x14ac:dyDescent="0.2">
      <c r="A2129">
        <v>2021</v>
      </c>
      <c r="B2129" t="s">
        <v>23</v>
      </c>
      <c r="C2129" t="s">
        <v>271</v>
      </c>
      <c r="D2129">
        <v>116</v>
      </c>
      <c r="E2129">
        <v>2</v>
      </c>
      <c r="F2129">
        <v>12</v>
      </c>
      <c r="G2129" t="s">
        <v>140</v>
      </c>
      <c r="H2129">
        <v>1</v>
      </c>
      <c r="I2129">
        <v>55</v>
      </c>
      <c r="J2129">
        <v>56</v>
      </c>
      <c r="K2129">
        <v>1</v>
      </c>
      <c r="L2129">
        <v>160</v>
      </c>
      <c r="M2129">
        <v>60</v>
      </c>
      <c r="N2129">
        <v>2</v>
      </c>
      <c r="O2129">
        <v>3</v>
      </c>
      <c r="P2129">
        <v>1</v>
      </c>
      <c r="Q2129">
        <v>0.1</v>
      </c>
      <c r="R2129">
        <v>1</v>
      </c>
      <c r="S2129">
        <v>1</v>
      </c>
      <c r="T2129">
        <v>2</v>
      </c>
      <c r="U2129">
        <v>12.5</v>
      </c>
      <c r="V2129">
        <v>366.01307189542484</v>
      </c>
      <c r="W2129">
        <v>1</v>
      </c>
    </row>
    <row r="2130" spans="1:23" x14ac:dyDescent="0.2">
      <c r="A2130">
        <v>2021</v>
      </c>
      <c r="B2130" t="s">
        <v>23</v>
      </c>
      <c r="C2130" t="s">
        <v>271</v>
      </c>
      <c r="D2130">
        <v>117</v>
      </c>
      <c r="E2130">
        <v>1</v>
      </c>
      <c r="F2130">
        <v>11</v>
      </c>
      <c r="G2130" t="s">
        <v>141</v>
      </c>
      <c r="H2130">
        <v>16</v>
      </c>
      <c r="I2130">
        <v>55</v>
      </c>
      <c r="J2130">
        <v>58</v>
      </c>
      <c r="K2130">
        <v>3</v>
      </c>
      <c r="L2130">
        <v>170</v>
      </c>
      <c r="M2130">
        <v>61</v>
      </c>
      <c r="N2130">
        <v>2</v>
      </c>
      <c r="O2130">
        <v>1.5</v>
      </c>
      <c r="P2130">
        <v>12</v>
      </c>
      <c r="Q2130">
        <v>0.8</v>
      </c>
      <c r="R2130">
        <v>12</v>
      </c>
      <c r="S2130">
        <v>1</v>
      </c>
      <c r="T2130">
        <v>3</v>
      </c>
      <c r="U2130">
        <v>8.8000000000000007</v>
      </c>
      <c r="V2130">
        <v>3051.9215686274515</v>
      </c>
      <c r="W2130">
        <v>1</v>
      </c>
    </row>
    <row r="2131" spans="1:23" x14ac:dyDescent="0.2">
      <c r="A2131">
        <v>2021</v>
      </c>
      <c r="B2131" t="s">
        <v>23</v>
      </c>
      <c r="C2131" t="s">
        <v>271</v>
      </c>
      <c r="D2131">
        <v>117</v>
      </c>
      <c r="E2131">
        <v>2</v>
      </c>
      <c r="F2131">
        <v>12</v>
      </c>
      <c r="G2131" t="s">
        <v>141</v>
      </c>
      <c r="H2131">
        <v>2</v>
      </c>
      <c r="I2131">
        <v>55</v>
      </c>
      <c r="J2131">
        <v>57</v>
      </c>
      <c r="K2131">
        <v>2</v>
      </c>
      <c r="L2131">
        <v>65</v>
      </c>
      <c r="M2131">
        <v>24</v>
      </c>
      <c r="N2131">
        <v>3</v>
      </c>
      <c r="O2131">
        <v>4</v>
      </c>
      <c r="P2131">
        <v>3</v>
      </c>
      <c r="Q2131">
        <v>0.185</v>
      </c>
      <c r="R2131">
        <v>2</v>
      </c>
      <c r="S2131">
        <v>0.66666666666666663</v>
      </c>
      <c r="T2131">
        <v>3</v>
      </c>
      <c r="U2131">
        <v>12.5</v>
      </c>
      <c r="V2131">
        <v>677.12418300653599</v>
      </c>
      <c r="W2131">
        <v>1</v>
      </c>
    </row>
    <row r="2132" spans="1:23" x14ac:dyDescent="0.2">
      <c r="A2132">
        <v>2021</v>
      </c>
      <c r="B2132" t="s">
        <v>23</v>
      </c>
      <c r="C2132" t="s">
        <v>271</v>
      </c>
      <c r="D2132">
        <v>118</v>
      </c>
      <c r="E2132">
        <v>1</v>
      </c>
      <c r="F2132">
        <v>13</v>
      </c>
      <c r="G2132" t="s">
        <v>142</v>
      </c>
      <c r="H2132">
        <v>2</v>
      </c>
      <c r="I2132">
        <v>59</v>
      </c>
      <c r="J2132">
        <v>63</v>
      </c>
      <c r="K2132">
        <v>4</v>
      </c>
      <c r="L2132">
        <v>110</v>
      </c>
      <c r="M2132">
        <v>33</v>
      </c>
      <c r="N2132">
        <v>5</v>
      </c>
      <c r="O2132">
        <v>5</v>
      </c>
      <c r="P2132">
        <v>2</v>
      </c>
      <c r="Q2132">
        <v>0.26200000000000001</v>
      </c>
      <c r="R2132">
        <v>2</v>
      </c>
      <c r="S2132">
        <v>1</v>
      </c>
      <c r="T2132">
        <v>5</v>
      </c>
      <c r="U2132">
        <v>12.5</v>
      </c>
      <c r="V2132">
        <v>958.95424836601296</v>
      </c>
      <c r="W2132">
        <v>2</v>
      </c>
    </row>
    <row r="2133" spans="1:23" x14ac:dyDescent="0.2">
      <c r="A2133">
        <v>2021</v>
      </c>
      <c r="B2133" t="s">
        <v>23</v>
      </c>
      <c r="C2133" t="s">
        <v>271</v>
      </c>
      <c r="D2133">
        <v>118</v>
      </c>
      <c r="E2133">
        <v>2</v>
      </c>
      <c r="F2133">
        <v>15</v>
      </c>
      <c r="G2133" t="s">
        <v>142</v>
      </c>
      <c r="H2133" s="3">
        <v>2</v>
      </c>
      <c r="I2133" s="3">
        <v>65</v>
      </c>
      <c r="J2133" s="3">
        <v>67</v>
      </c>
      <c r="K2133" s="3">
        <f t="shared" ref="K2133:K2142" si="104">J2133-I2133</f>
        <v>2</v>
      </c>
      <c r="L2133" s="3">
        <v>53</v>
      </c>
      <c r="M2133" s="3">
        <v>30</v>
      </c>
      <c r="N2133" s="3">
        <v>4</v>
      </c>
      <c r="O2133" s="3">
        <v>5</v>
      </c>
      <c r="P2133" s="3">
        <v>1</v>
      </c>
      <c r="Q2133" s="4">
        <v>0.02</v>
      </c>
      <c r="R2133" s="3">
        <v>1</v>
      </c>
      <c r="S2133" s="3">
        <f t="shared" ref="S2133:S2142" si="105">R2133/P2133</f>
        <v>1</v>
      </c>
      <c r="T2133" s="3">
        <v>5</v>
      </c>
      <c r="U2133" s="3">
        <v>12.5</v>
      </c>
      <c r="V2133" s="3">
        <v>73.202614379084977</v>
      </c>
      <c r="W2133" s="3">
        <v>8</v>
      </c>
    </row>
    <row r="2134" spans="1:23" x14ac:dyDescent="0.2">
      <c r="A2134">
        <v>2021</v>
      </c>
      <c r="B2134" t="s">
        <v>23</v>
      </c>
      <c r="C2134" t="s">
        <v>271</v>
      </c>
      <c r="D2134">
        <v>119</v>
      </c>
      <c r="E2134">
        <v>1</v>
      </c>
      <c r="F2134">
        <v>10</v>
      </c>
      <c r="G2134" t="s">
        <v>143</v>
      </c>
      <c r="H2134" s="1">
        <v>6</v>
      </c>
      <c r="I2134" s="1">
        <v>70</v>
      </c>
      <c r="J2134" s="1">
        <v>74</v>
      </c>
      <c r="K2134" s="1">
        <f t="shared" si="104"/>
        <v>4</v>
      </c>
      <c r="L2134" s="1">
        <v>176</v>
      </c>
      <c r="M2134" s="1">
        <v>86</v>
      </c>
      <c r="N2134" s="1">
        <v>2</v>
      </c>
      <c r="O2134" s="1">
        <v>2.5</v>
      </c>
      <c r="P2134" s="1">
        <v>6</v>
      </c>
      <c r="Q2134" s="2">
        <v>0.34320000000000001</v>
      </c>
      <c r="R2134" s="1">
        <v>7</v>
      </c>
      <c r="S2134" s="1">
        <f t="shared" si="105"/>
        <v>1.1666666666666667</v>
      </c>
      <c r="T2134" s="1">
        <v>3.5</v>
      </c>
      <c r="U2134" s="1">
        <v>12.5</v>
      </c>
      <c r="V2134" s="1">
        <v>1256.1568627450981</v>
      </c>
      <c r="W2134" s="1">
        <v>3</v>
      </c>
    </row>
    <row r="2135" spans="1:23" x14ac:dyDescent="0.2">
      <c r="A2135">
        <v>2021</v>
      </c>
      <c r="B2135" t="s">
        <v>23</v>
      </c>
      <c r="C2135" t="s">
        <v>271</v>
      </c>
      <c r="D2135">
        <v>119</v>
      </c>
      <c r="E2135">
        <v>2</v>
      </c>
      <c r="F2135">
        <v>9</v>
      </c>
      <c r="G2135" t="s">
        <v>143</v>
      </c>
      <c r="H2135" s="3">
        <v>6</v>
      </c>
      <c r="I2135" s="3">
        <v>65</v>
      </c>
      <c r="J2135" s="3">
        <v>67</v>
      </c>
      <c r="K2135" s="3">
        <f t="shared" si="104"/>
        <v>2</v>
      </c>
      <c r="L2135" s="3">
        <v>121</v>
      </c>
      <c r="M2135" s="3">
        <v>55</v>
      </c>
      <c r="N2135" s="3">
        <v>2</v>
      </c>
      <c r="O2135" s="3">
        <v>4</v>
      </c>
      <c r="P2135" s="3">
        <v>5</v>
      </c>
      <c r="Q2135" s="4">
        <v>0.12</v>
      </c>
      <c r="R2135" s="3">
        <v>5</v>
      </c>
      <c r="S2135" s="3">
        <f t="shared" si="105"/>
        <v>1</v>
      </c>
      <c r="T2135" s="3">
        <v>4</v>
      </c>
      <c r="U2135" s="3">
        <v>12.5</v>
      </c>
      <c r="V2135" s="3">
        <v>439.21568627450984</v>
      </c>
      <c r="W2135" s="3">
        <v>4</v>
      </c>
    </row>
    <row r="2136" spans="1:23" x14ac:dyDescent="0.2">
      <c r="A2136">
        <v>2021</v>
      </c>
      <c r="B2136" t="s">
        <v>23</v>
      </c>
      <c r="C2136" t="s">
        <v>271</v>
      </c>
      <c r="D2136">
        <v>120</v>
      </c>
      <c r="E2136">
        <v>1</v>
      </c>
      <c r="F2136">
        <v>13</v>
      </c>
      <c r="G2136" t="s">
        <v>144</v>
      </c>
      <c r="H2136" s="1">
        <v>8</v>
      </c>
      <c r="I2136" s="1">
        <v>64</v>
      </c>
      <c r="J2136" s="1">
        <v>68</v>
      </c>
      <c r="K2136" s="1">
        <f t="shared" si="104"/>
        <v>4</v>
      </c>
      <c r="L2136" s="1">
        <v>114</v>
      </c>
      <c r="M2136" s="1">
        <v>26</v>
      </c>
      <c r="N2136" s="1">
        <v>2</v>
      </c>
      <c r="O2136" s="1">
        <v>4</v>
      </c>
      <c r="P2136" s="1">
        <v>4</v>
      </c>
      <c r="Q2136" s="2">
        <v>0.10199999999999999</v>
      </c>
      <c r="R2136" s="1">
        <v>3</v>
      </c>
      <c r="S2136" s="1">
        <f t="shared" si="105"/>
        <v>0.75</v>
      </c>
      <c r="T2136" s="1">
        <v>5</v>
      </c>
      <c r="U2136" s="1">
        <v>12.5</v>
      </c>
      <c r="V2136" s="1">
        <v>373.33333333333326</v>
      </c>
      <c r="W2136" s="1">
        <v>4</v>
      </c>
    </row>
    <row r="2137" spans="1:23" x14ac:dyDescent="0.2">
      <c r="A2137">
        <v>2021</v>
      </c>
      <c r="B2137" t="s">
        <v>23</v>
      </c>
      <c r="C2137" t="s">
        <v>271</v>
      </c>
      <c r="D2137">
        <v>120</v>
      </c>
      <c r="E2137">
        <v>2</v>
      </c>
      <c r="F2137">
        <v>11</v>
      </c>
      <c r="G2137" t="s">
        <v>144</v>
      </c>
      <c r="H2137" s="1">
        <v>7</v>
      </c>
      <c r="I2137" s="1">
        <v>57</v>
      </c>
      <c r="J2137" s="1">
        <v>62</v>
      </c>
      <c r="K2137" s="1">
        <f t="shared" si="104"/>
        <v>5</v>
      </c>
      <c r="L2137" s="1">
        <v>60</v>
      </c>
      <c r="M2137" s="1">
        <v>21</v>
      </c>
      <c r="N2137" s="1">
        <v>3</v>
      </c>
      <c r="O2137" s="1">
        <v>5</v>
      </c>
      <c r="P2137" s="1">
        <v>4</v>
      </c>
      <c r="Q2137" s="2">
        <v>0.10199999999999999</v>
      </c>
      <c r="R2137" s="1">
        <v>4</v>
      </c>
      <c r="S2137" s="1">
        <f t="shared" si="105"/>
        <v>1</v>
      </c>
      <c r="T2137" s="1">
        <v>5</v>
      </c>
      <c r="U2137" s="1">
        <v>12.5</v>
      </c>
      <c r="V2137" s="1">
        <v>373.33333333333326</v>
      </c>
      <c r="W2137" s="1">
        <v>4</v>
      </c>
    </row>
    <row r="2138" spans="1:23" x14ac:dyDescent="0.2">
      <c r="A2138">
        <v>2021</v>
      </c>
      <c r="B2138" t="s">
        <v>23</v>
      </c>
      <c r="C2138" t="s">
        <v>271</v>
      </c>
      <c r="D2138">
        <v>121</v>
      </c>
      <c r="E2138">
        <v>1</v>
      </c>
      <c r="F2138">
        <v>6</v>
      </c>
      <c r="G2138" t="s">
        <v>145</v>
      </c>
      <c r="H2138" s="1">
        <v>14</v>
      </c>
      <c r="I2138" s="1">
        <v>65</v>
      </c>
      <c r="J2138" s="1">
        <v>70</v>
      </c>
      <c r="K2138" s="1">
        <f t="shared" si="104"/>
        <v>5</v>
      </c>
      <c r="L2138" s="1">
        <v>91</v>
      </c>
      <c r="M2138" s="1">
        <v>21</v>
      </c>
      <c r="N2138" s="1">
        <v>2</v>
      </c>
      <c r="O2138" s="1">
        <v>4.5</v>
      </c>
      <c r="P2138" s="1">
        <v>7</v>
      </c>
      <c r="Q2138" s="2">
        <v>0.16800000000000001</v>
      </c>
      <c r="R2138" s="1">
        <v>7</v>
      </c>
      <c r="S2138" s="1">
        <f t="shared" si="105"/>
        <v>1</v>
      </c>
      <c r="T2138" s="1">
        <v>3</v>
      </c>
      <c r="U2138" s="1">
        <v>12.5</v>
      </c>
      <c r="V2138" s="1">
        <v>614.9019607843137</v>
      </c>
      <c r="W2138" s="1">
        <v>6</v>
      </c>
    </row>
    <row r="2139" spans="1:23" x14ac:dyDescent="0.2">
      <c r="A2139">
        <v>2021</v>
      </c>
      <c r="B2139" t="s">
        <v>23</v>
      </c>
      <c r="C2139" t="s">
        <v>271</v>
      </c>
      <c r="D2139">
        <v>121</v>
      </c>
      <c r="E2139">
        <v>2</v>
      </c>
      <c r="F2139">
        <v>6</v>
      </c>
      <c r="G2139" t="s">
        <v>145</v>
      </c>
      <c r="H2139" s="1">
        <v>8</v>
      </c>
      <c r="I2139" s="1">
        <v>62</v>
      </c>
      <c r="J2139" s="1">
        <v>67</v>
      </c>
      <c r="K2139" s="1">
        <f t="shared" si="104"/>
        <v>5</v>
      </c>
      <c r="L2139" s="1">
        <v>130</v>
      </c>
      <c r="M2139" s="1">
        <v>41</v>
      </c>
      <c r="N2139" s="1">
        <v>1.5</v>
      </c>
      <c r="O2139" s="1">
        <v>4.5</v>
      </c>
      <c r="P2139" s="1">
        <v>6</v>
      </c>
      <c r="Q2139" s="2">
        <v>0.36</v>
      </c>
      <c r="R2139" s="1">
        <v>4</v>
      </c>
      <c r="S2139" s="1">
        <f t="shared" si="105"/>
        <v>0.66666666666666663</v>
      </c>
      <c r="T2139" s="1">
        <v>4</v>
      </c>
      <c r="U2139" s="1">
        <v>12.5</v>
      </c>
      <c r="V2139" s="1">
        <v>1317.6470588235293</v>
      </c>
      <c r="W2139" s="1">
        <v>6</v>
      </c>
    </row>
    <row r="2140" spans="1:23" x14ac:dyDescent="0.2">
      <c r="A2140">
        <v>2021</v>
      </c>
      <c r="B2140" t="s">
        <v>23</v>
      </c>
      <c r="C2140" t="s">
        <v>271</v>
      </c>
      <c r="D2140">
        <v>122</v>
      </c>
      <c r="E2140">
        <v>1</v>
      </c>
      <c r="F2140">
        <v>3</v>
      </c>
      <c r="G2140" t="s">
        <v>146</v>
      </c>
      <c r="H2140" s="1">
        <v>12</v>
      </c>
      <c r="I2140" s="1">
        <v>57</v>
      </c>
      <c r="J2140" s="1">
        <v>62</v>
      </c>
      <c r="K2140" s="1">
        <f t="shared" si="104"/>
        <v>5</v>
      </c>
      <c r="L2140" s="1">
        <v>128</v>
      </c>
      <c r="M2140" s="1">
        <v>78</v>
      </c>
      <c r="N2140" s="1">
        <v>2</v>
      </c>
      <c r="O2140" s="1">
        <v>3.5</v>
      </c>
      <c r="P2140" s="1">
        <f>H2140</f>
        <v>12</v>
      </c>
      <c r="Q2140" s="2">
        <v>0.17399999999999999</v>
      </c>
      <c r="R2140" s="1">
        <v>9</v>
      </c>
      <c r="S2140" s="1">
        <f t="shared" si="105"/>
        <v>0.75</v>
      </c>
      <c r="T2140" s="1">
        <v>5</v>
      </c>
      <c r="U2140" s="1">
        <v>12.5</v>
      </c>
      <c r="V2140" s="1">
        <v>636.86274509803923</v>
      </c>
      <c r="W2140" s="1">
        <v>2</v>
      </c>
    </row>
    <row r="2141" spans="1:23" x14ac:dyDescent="0.2">
      <c r="A2141">
        <v>2021</v>
      </c>
      <c r="B2141" t="s">
        <v>23</v>
      </c>
      <c r="C2141" t="s">
        <v>271</v>
      </c>
      <c r="D2141">
        <v>122</v>
      </c>
      <c r="E2141">
        <v>2</v>
      </c>
      <c r="F2141">
        <v>2</v>
      </c>
      <c r="G2141" t="s">
        <v>146</v>
      </c>
      <c r="H2141" s="1">
        <v>14</v>
      </c>
      <c r="I2141" s="1">
        <v>65</v>
      </c>
      <c r="J2141" s="1">
        <v>69</v>
      </c>
      <c r="K2141" s="1">
        <f t="shared" si="104"/>
        <v>4</v>
      </c>
      <c r="L2141" s="1">
        <v>150</v>
      </c>
      <c r="M2141" s="1">
        <v>88</v>
      </c>
      <c r="N2141" s="1">
        <v>2</v>
      </c>
      <c r="O2141" s="1">
        <v>2.5</v>
      </c>
      <c r="P2141" s="1">
        <f>H2141</f>
        <v>14</v>
      </c>
      <c r="Q2141" s="2">
        <v>9.1799999999999993E-2</v>
      </c>
      <c r="R2141" s="1">
        <v>6</v>
      </c>
      <c r="S2141" s="1">
        <f t="shared" si="105"/>
        <v>0.42857142857142855</v>
      </c>
      <c r="T2141" s="1">
        <v>5</v>
      </c>
      <c r="U2141" s="1">
        <v>12.5</v>
      </c>
      <c r="V2141" s="1">
        <v>335.99999999999994</v>
      </c>
      <c r="W2141" s="1">
        <v>3</v>
      </c>
    </row>
    <row r="2142" spans="1:23" x14ac:dyDescent="0.2">
      <c r="A2142">
        <v>2021</v>
      </c>
      <c r="B2142" t="s">
        <v>23</v>
      </c>
      <c r="C2142" t="s">
        <v>271</v>
      </c>
      <c r="D2142">
        <v>123</v>
      </c>
      <c r="E2142">
        <v>1</v>
      </c>
      <c r="F2142">
        <v>1</v>
      </c>
      <c r="G2142" t="s">
        <v>147</v>
      </c>
      <c r="H2142" s="1">
        <v>14</v>
      </c>
      <c r="I2142" s="1">
        <v>61</v>
      </c>
      <c r="J2142" s="1">
        <v>64</v>
      </c>
      <c r="K2142" s="1">
        <f t="shared" si="104"/>
        <v>3</v>
      </c>
      <c r="L2142" s="1">
        <v>172</v>
      </c>
      <c r="M2142" s="1">
        <v>100</v>
      </c>
      <c r="N2142" s="1">
        <v>2</v>
      </c>
      <c r="O2142" s="1">
        <v>3</v>
      </c>
      <c r="P2142" s="1">
        <v>13</v>
      </c>
      <c r="Q2142" s="2">
        <v>0.40304999999999996</v>
      </c>
      <c r="R2142" s="1">
        <v>9</v>
      </c>
      <c r="S2142" s="1">
        <f t="shared" si="105"/>
        <v>0.69230769230769229</v>
      </c>
      <c r="T2142" s="1">
        <v>5</v>
      </c>
      <c r="U2142" s="1">
        <v>9.1</v>
      </c>
      <c r="V2142" s="1">
        <v>1532.5383529411765</v>
      </c>
      <c r="W2142" s="1">
        <v>5</v>
      </c>
    </row>
    <row r="2143" spans="1:23" x14ac:dyDescent="0.2">
      <c r="A2143">
        <v>2021</v>
      </c>
      <c r="B2143" t="s">
        <v>23</v>
      </c>
      <c r="C2143" t="s">
        <v>271</v>
      </c>
      <c r="D2143">
        <v>123</v>
      </c>
      <c r="E2143">
        <v>2</v>
      </c>
      <c r="F2143">
        <v>6</v>
      </c>
      <c r="G2143" t="s">
        <v>147</v>
      </c>
      <c r="H2143">
        <v>3</v>
      </c>
      <c r="I2143">
        <v>55</v>
      </c>
      <c r="J2143">
        <v>59</v>
      </c>
      <c r="K2143">
        <v>4</v>
      </c>
      <c r="L2143">
        <v>87</v>
      </c>
      <c r="M2143">
        <v>28</v>
      </c>
      <c r="N2143">
        <v>1</v>
      </c>
      <c r="O2143">
        <v>2</v>
      </c>
      <c r="P2143">
        <v>3</v>
      </c>
      <c r="Q2143">
        <v>0.6</v>
      </c>
      <c r="R2143">
        <v>3</v>
      </c>
      <c r="S2143">
        <v>1</v>
      </c>
      <c r="T2143">
        <v>3</v>
      </c>
      <c r="U2143">
        <v>12.5</v>
      </c>
      <c r="V2143">
        <v>2196.0784313725489</v>
      </c>
      <c r="W2143">
        <v>2</v>
      </c>
    </row>
    <row r="2144" spans="1:23" x14ac:dyDescent="0.2">
      <c r="A2144">
        <v>2021</v>
      </c>
      <c r="B2144" t="s">
        <v>23</v>
      </c>
      <c r="C2144" t="s">
        <v>271</v>
      </c>
      <c r="D2144">
        <v>124</v>
      </c>
      <c r="E2144">
        <v>1</v>
      </c>
      <c r="F2144">
        <v>4</v>
      </c>
      <c r="G2144" t="s">
        <v>148</v>
      </c>
      <c r="H2144" s="1">
        <v>12</v>
      </c>
      <c r="I2144" s="1">
        <v>68</v>
      </c>
      <c r="J2144" s="1">
        <v>71</v>
      </c>
      <c r="K2144" s="1">
        <f>J2144-I2144</f>
        <v>3</v>
      </c>
      <c r="L2144" s="1">
        <v>122</v>
      </c>
      <c r="M2144" s="1">
        <v>30</v>
      </c>
      <c r="N2144" s="1">
        <v>3</v>
      </c>
      <c r="O2144" s="1">
        <v>4.5</v>
      </c>
      <c r="P2144" s="1">
        <v>6</v>
      </c>
      <c r="Q2144" s="2">
        <v>0.215</v>
      </c>
      <c r="R2144" s="1">
        <v>4</v>
      </c>
      <c r="S2144" s="1">
        <f>R2144/P2144</f>
        <v>0.66666666666666663</v>
      </c>
      <c r="T2144" s="1">
        <v>4</v>
      </c>
      <c r="U2144" s="1">
        <v>12.5</v>
      </c>
      <c r="V2144" s="1">
        <v>786.92810457516339</v>
      </c>
      <c r="W2144" s="1">
        <v>4</v>
      </c>
    </row>
    <row r="2145" spans="1:23" x14ac:dyDescent="0.2">
      <c r="A2145">
        <v>2021</v>
      </c>
      <c r="B2145" t="s">
        <v>23</v>
      </c>
      <c r="C2145" t="s">
        <v>271</v>
      </c>
      <c r="D2145">
        <v>124</v>
      </c>
      <c r="E2145">
        <v>2</v>
      </c>
      <c r="F2145">
        <v>6</v>
      </c>
      <c r="G2145" t="s">
        <v>148</v>
      </c>
      <c r="H2145" s="1">
        <v>13</v>
      </c>
      <c r="I2145" s="1">
        <v>66</v>
      </c>
      <c r="J2145" s="1">
        <v>68</v>
      </c>
      <c r="K2145" s="1">
        <f>J2145-I2145</f>
        <v>2</v>
      </c>
      <c r="L2145" s="1">
        <v>134</v>
      </c>
      <c r="M2145" s="1">
        <v>46</v>
      </c>
      <c r="N2145" s="1">
        <v>2</v>
      </c>
      <c r="O2145" s="1">
        <v>3.5</v>
      </c>
      <c r="P2145" s="1">
        <f>H2145</f>
        <v>13</v>
      </c>
      <c r="Q2145" s="2">
        <v>0.3</v>
      </c>
      <c r="R2145" s="1">
        <v>9</v>
      </c>
      <c r="S2145" s="1">
        <f>R2145/P2145</f>
        <v>0.69230769230769229</v>
      </c>
      <c r="T2145" s="1">
        <v>5</v>
      </c>
      <c r="U2145" s="1">
        <v>12.5</v>
      </c>
      <c r="V2145" s="1">
        <v>1098.0392156862745</v>
      </c>
      <c r="W2145" s="1">
        <v>4</v>
      </c>
    </row>
    <row r="2146" spans="1:23" x14ac:dyDescent="0.2">
      <c r="A2146">
        <v>2021</v>
      </c>
      <c r="B2146" t="s">
        <v>23</v>
      </c>
      <c r="C2146" t="s">
        <v>271</v>
      </c>
      <c r="D2146">
        <v>125</v>
      </c>
      <c r="E2146">
        <v>1</v>
      </c>
      <c r="F2146">
        <v>11</v>
      </c>
      <c r="G2146" t="s">
        <v>149</v>
      </c>
      <c r="H2146">
        <v>11</v>
      </c>
      <c r="I2146">
        <v>55</v>
      </c>
      <c r="J2146">
        <v>59</v>
      </c>
      <c r="K2146">
        <v>4</v>
      </c>
      <c r="L2146">
        <v>86</v>
      </c>
      <c r="M2146">
        <v>33</v>
      </c>
      <c r="N2146">
        <v>2</v>
      </c>
      <c r="O2146">
        <v>3</v>
      </c>
      <c r="P2146">
        <v>11</v>
      </c>
      <c r="Q2146">
        <v>1.1000000000000001</v>
      </c>
      <c r="R2146">
        <v>10</v>
      </c>
      <c r="S2146">
        <v>0.90909090909090906</v>
      </c>
      <c r="T2146">
        <v>2.5</v>
      </c>
      <c r="U2146">
        <v>12.5</v>
      </c>
      <c r="V2146">
        <v>4026.1437908496737</v>
      </c>
      <c r="W2146">
        <v>2</v>
      </c>
    </row>
    <row r="2147" spans="1:23" x14ac:dyDescent="0.2">
      <c r="A2147">
        <v>2021</v>
      </c>
      <c r="B2147" t="s">
        <v>23</v>
      </c>
      <c r="C2147" t="s">
        <v>271</v>
      </c>
      <c r="D2147">
        <v>125</v>
      </c>
      <c r="E2147">
        <v>2</v>
      </c>
      <c r="F2147">
        <v>13</v>
      </c>
      <c r="G2147" t="s">
        <v>149</v>
      </c>
      <c r="H2147" s="1">
        <v>9</v>
      </c>
      <c r="I2147" s="1">
        <v>57</v>
      </c>
      <c r="J2147" s="1">
        <v>61</v>
      </c>
      <c r="K2147" s="1">
        <f>J2147-I2147</f>
        <v>4</v>
      </c>
      <c r="L2147" s="1">
        <v>141</v>
      </c>
      <c r="M2147" s="1">
        <v>75</v>
      </c>
      <c r="N2147" s="1">
        <v>2</v>
      </c>
      <c r="O2147" s="1">
        <v>4</v>
      </c>
      <c r="P2147" s="1">
        <f>H2147</f>
        <v>9</v>
      </c>
      <c r="Q2147" s="2">
        <v>5.4599999999999996E-2</v>
      </c>
      <c r="R2147" s="1">
        <v>6</v>
      </c>
      <c r="S2147" s="1">
        <f>R2147/P2147</f>
        <v>0.66666666666666663</v>
      </c>
      <c r="T2147" s="1">
        <v>5</v>
      </c>
      <c r="U2147" s="1">
        <v>12.5</v>
      </c>
      <c r="V2147" s="1">
        <v>199.84313725490196</v>
      </c>
      <c r="W2147" s="1">
        <v>7</v>
      </c>
    </row>
    <row r="2148" spans="1:23" x14ac:dyDescent="0.2">
      <c r="A2148">
        <v>2021</v>
      </c>
      <c r="B2148" t="s">
        <v>23</v>
      </c>
      <c r="C2148" t="s">
        <v>271</v>
      </c>
      <c r="D2148">
        <v>126</v>
      </c>
      <c r="E2148">
        <v>1</v>
      </c>
      <c r="F2148">
        <v>9</v>
      </c>
      <c r="G2148" t="s">
        <v>150</v>
      </c>
      <c r="H2148" s="1">
        <v>11</v>
      </c>
      <c r="I2148" s="1">
        <v>60</v>
      </c>
      <c r="J2148" s="1">
        <v>65</v>
      </c>
      <c r="K2148" s="1">
        <f>J2148-I2148</f>
        <v>5</v>
      </c>
      <c r="L2148" s="1">
        <v>117</v>
      </c>
      <c r="M2148" s="1">
        <v>70</v>
      </c>
      <c r="N2148" s="1">
        <v>2</v>
      </c>
      <c r="O2148" s="1">
        <v>3</v>
      </c>
      <c r="P2148" s="1">
        <v>10</v>
      </c>
      <c r="Q2148" s="2">
        <v>0.38250000000000001</v>
      </c>
      <c r="R2148" s="1">
        <v>8</v>
      </c>
      <c r="S2148" s="1">
        <f>R2148/P2148</f>
        <v>0.8</v>
      </c>
      <c r="T2148" s="1">
        <v>5</v>
      </c>
      <c r="U2148" s="1">
        <v>12.5</v>
      </c>
      <c r="V2148" s="1">
        <v>1400</v>
      </c>
      <c r="W2148" s="1">
        <v>5</v>
      </c>
    </row>
    <row r="2149" spans="1:23" x14ac:dyDescent="0.2">
      <c r="A2149">
        <v>2021</v>
      </c>
      <c r="B2149" t="s">
        <v>23</v>
      </c>
      <c r="C2149" t="s">
        <v>271</v>
      </c>
      <c r="D2149">
        <v>126</v>
      </c>
      <c r="E2149">
        <v>2</v>
      </c>
      <c r="F2149">
        <v>5</v>
      </c>
      <c r="G2149" t="s">
        <v>150</v>
      </c>
      <c r="H2149" s="1">
        <v>7</v>
      </c>
      <c r="I2149" s="1">
        <v>67</v>
      </c>
      <c r="J2149" s="1">
        <v>70</v>
      </c>
      <c r="K2149" s="1">
        <f>J2149-I2149</f>
        <v>3</v>
      </c>
      <c r="L2149" s="1">
        <v>152</v>
      </c>
      <c r="M2149" s="1">
        <v>66</v>
      </c>
      <c r="N2149" s="1">
        <v>1.5</v>
      </c>
      <c r="O2149" s="1">
        <v>4</v>
      </c>
      <c r="P2149" s="1">
        <v>6</v>
      </c>
      <c r="Q2149" s="2">
        <v>0.81499999999999995</v>
      </c>
      <c r="R2149" s="1">
        <v>4</v>
      </c>
      <c r="S2149" s="1">
        <f>R2149/P2149</f>
        <v>0.66666666666666663</v>
      </c>
      <c r="T2149" s="1">
        <v>2</v>
      </c>
      <c r="U2149" s="1">
        <v>12.5</v>
      </c>
      <c r="V2149" s="1">
        <v>2983.0065359477126</v>
      </c>
      <c r="W2149" s="1">
        <v>6</v>
      </c>
    </row>
    <row r="2150" spans="1:23" x14ac:dyDescent="0.2">
      <c r="A2150">
        <v>2021</v>
      </c>
      <c r="B2150" t="s">
        <v>23</v>
      </c>
      <c r="C2150" t="s">
        <v>271</v>
      </c>
      <c r="D2150">
        <v>127</v>
      </c>
      <c r="E2150">
        <v>1</v>
      </c>
      <c r="F2150">
        <v>14</v>
      </c>
      <c r="G2150" t="s">
        <v>151</v>
      </c>
      <c r="H2150" s="1">
        <v>14</v>
      </c>
      <c r="I2150" s="1">
        <v>59</v>
      </c>
      <c r="J2150" s="1">
        <v>62</v>
      </c>
      <c r="K2150" s="1">
        <f>J2150-I2150</f>
        <v>3</v>
      </c>
      <c r="L2150" s="1">
        <v>162</v>
      </c>
      <c r="M2150" s="1">
        <v>80</v>
      </c>
      <c r="N2150" s="1">
        <v>2.5</v>
      </c>
      <c r="O2150" s="1">
        <v>3.5</v>
      </c>
      <c r="P2150" s="1">
        <v>12</v>
      </c>
      <c r="Q2150" s="2">
        <v>0.38900000000000001</v>
      </c>
      <c r="R2150" s="1">
        <v>11</v>
      </c>
      <c r="S2150" s="1">
        <f>R2150/P2150</f>
        <v>0.91666666666666663</v>
      </c>
      <c r="T2150" s="1">
        <v>3</v>
      </c>
      <c r="U2150" s="1">
        <v>12.5</v>
      </c>
      <c r="V2150" s="1">
        <v>1423.7908496732025</v>
      </c>
      <c r="W2150" s="1">
        <v>4</v>
      </c>
    </row>
    <row r="2151" spans="1:23" x14ac:dyDescent="0.2">
      <c r="A2151">
        <v>2021</v>
      </c>
      <c r="B2151" t="s">
        <v>23</v>
      </c>
      <c r="C2151" t="s">
        <v>271</v>
      </c>
      <c r="D2151">
        <v>127</v>
      </c>
      <c r="E2151">
        <v>2</v>
      </c>
      <c r="F2151">
        <v>3</v>
      </c>
      <c r="G2151" t="s">
        <v>151</v>
      </c>
      <c r="H2151">
        <v>16</v>
      </c>
      <c r="I2151">
        <v>55</v>
      </c>
      <c r="J2151">
        <v>60</v>
      </c>
      <c r="K2151">
        <v>5</v>
      </c>
      <c r="L2151">
        <v>158</v>
      </c>
      <c r="M2151">
        <v>71</v>
      </c>
      <c r="N2151">
        <v>1</v>
      </c>
      <c r="O2151">
        <v>1.5</v>
      </c>
      <c r="P2151">
        <v>12</v>
      </c>
      <c r="Q2151">
        <v>1.1000000000000001</v>
      </c>
      <c r="R2151">
        <v>10</v>
      </c>
      <c r="S2151">
        <v>0.83333333333333337</v>
      </c>
      <c r="T2151">
        <v>2</v>
      </c>
      <c r="U2151">
        <v>10.7</v>
      </c>
      <c r="V2151">
        <v>4108.9673202614385</v>
      </c>
      <c r="W2151">
        <v>2</v>
      </c>
    </row>
    <row r="2152" spans="1:23" x14ac:dyDescent="0.2">
      <c r="A2152">
        <v>2021</v>
      </c>
      <c r="B2152" t="s">
        <v>23</v>
      </c>
      <c r="C2152" t="s">
        <v>271</v>
      </c>
      <c r="D2152">
        <v>128</v>
      </c>
      <c r="E2152">
        <v>1</v>
      </c>
      <c r="F2152">
        <v>10</v>
      </c>
      <c r="G2152" t="s">
        <v>152</v>
      </c>
      <c r="H2152">
        <v>3</v>
      </c>
      <c r="I2152">
        <v>56</v>
      </c>
      <c r="J2152">
        <v>59</v>
      </c>
      <c r="K2152">
        <v>3</v>
      </c>
      <c r="L2152">
        <v>100</v>
      </c>
      <c r="M2152">
        <v>32</v>
      </c>
      <c r="N2152">
        <v>5</v>
      </c>
      <c r="O2152">
        <v>4</v>
      </c>
      <c r="P2152">
        <v>3</v>
      </c>
      <c r="Q2152">
        <v>0.19800000000000001</v>
      </c>
      <c r="R2152">
        <v>3</v>
      </c>
      <c r="S2152">
        <v>1</v>
      </c>
      <c r="T2152">
        <v>2</v>
      </c>
      <c r="U2152">
        <v>12.5</v>
      </c>
      <c r="V2152">
        <v>724.7058823529411</v>
      </c>
      <c r="W2152">
        <v>2</v>
      </c>
    </row>
    <row r="2153" spans="1:23" x14ac:dyDescent="0.2">
      <c r="A2153">
        <v>2021</v>
      </c>
      <c r="B2153" t="s">
        <v>23</v>
      </c>
      <c r="C2153" t="s">
        <v>271</v>
      </c>
      <c r="D2153">
        <v>128</v>
      </c>
      <c r="E2153">
        <v>2</v>
      </c>
      <c r="F2153">
        <v>15</v>
      </c>
      <c r="G2153" t="s">
        <v>152</v>
      </c>
      <c r="H2153" s="1">
        <v>11</v>
      </c>
      <c r="I2153" s="1">
        <v>63</v>
      </c>
      <c r="J2153" s="1">
        <v>68</v>
      </c>
      <c r="K2153" s="1">
        <f>J2153-I2153</f>
        <v>5</v>
      </c>
      <c r="L2153" s="1">
        <v>132</v>
      </c>
      <c r="M2153" s="1">
        <v>73</v>
      </c>
      <c r="N2153" s="1">
        <v>2</v>
      </c>
      <c r="O2153" s="1">
        <v>3</v>
      </c>
      <c r="P2153" s="1">
        <v>7</v>
      </c>
      <c r="Q2153" s="2">
        <v>0.5222</v>
      </c>
      <c r="R2153" s="1">
        <v>7</v>
      </c>
      <c r="S2153" s="1">
        <f>R2153/P2153</f>
        <v>1</v>
      </c>
      <c r="T2153" s="1">
        <v>5</v>
      </c>
      <c r="U2153" s="1">
        <v>12.5</v>
      </c>
      <c r="V2153" s="1">
        <v>1911.3202614379084</v>
      </c>
      <c r="W2153" s="1">
        <v>4</v>
      </c>
    </row>
    <row r="2154" spans="1:23" x14ac:dyDescent="0.2">
      <c r="A2154">
        <v>2021</v>
      </c>
      <c r="B2154" t="s">
        <v>23</v>
      </c>
      <c r="C2154" t="s">
        <v>271</v>
      </c>
      <c r="D2154">
        <v>129</v>
      </c>
      <c r="E2154">
        <v>1</v>
      </c>
      <c r="F2154">
        <v>12</v>
      </c>
      <c r="G2154" t="s">
        <v>153</v>
      </c>
      <c r="H2154">
        <v>4</v>
      </c>
      <c r="I2154">
        <v>55</v>
      </c>
      <c r="J2154">
        <v>57</v>
      </c>
      <c r="K2154">
        <v>2</v>
      </c>
      <c r="L2154">
        <v>158</v>
      </c>
      <c r="M2154">
        <v>71</v>
      </c>
      <c r="N2154">
        <v>2</v>
      </c>
      <c r="O2154">
        <v>3</v>
      </c>
      <c r="P2154">
        <v>4</v>
      </c>
      <c r="Q2154">
        <v>0.2</v>
      </c>
      <c r="R2154">
        <v>3</v>
      </c>
      <c r="S2154">
        <v>0.75</v>
      </c>
      <c r="T2154">
        <v>2.5</v>
      </c>
      <c r="U2154">
        <v>12.5</v>
      </c>
      <c r="V2154">
        <v>732.02614379084969</v>
      </c>
      <c r="W2154">
        <v>2</v>
      </c>
    </row>
    <row r="2155" spans="1:23" x14ac:dyDescent="0.2">
      <c r="A2155">
        <v>2021</v>
      </c>
      <c r="B2155" t="s">
        <v>23</v>
      </c>
      <c r="C2155" t="s">
        <v>271</v>
      </c>
      <c r="D2155">
        <v>129</v>
      </c>
      <c r="E2155">
        <v>2</v>
      </c>
      <c r="F2155">
        <v>5</v>
      </c>
      <c r="G2155" t="s">
        <v>153</v>
      </c>
      <c r="H2155" s="1">
        <v>7</v>
      </c>
      <c r="I2155" s="1">
        <v>66</v>
      </c>
      <c r="J2155" s="1">
        <v>71</v>
      </c>
      <c r="K2155" s="1">
        <f>J2155-I2155</f>
        <v>5</v>
      </c>
      <c r="L2155" s="1">
        <v>80</v>
      </c>
      <c r="M2155" s="1">
        <v>33</v>
      </c>
      <c r="N2155" s="1">
        <v>1.5</v>
      </c>
      <c r="O2155" s="1">
        <v>3.5</v>
      </c>
      <c r="P2155" s="1">
        <v>5</v>
      </c>
      <c r="Q2155" s="2">
        <v>6.0999999999999999E-2</v>
      </c>
      <c r="R2155" s="1">
        <v>4</v>
      </c>
      <c r="S2155" s="1">
        <f>R2155/P2155</f>
        <v>0.8</v>
      </c>
      <c r="T2155" s="1">
        <v>5</v>
      </c>
      <c r="U2155" s="1">
        <v>12.5</v>
      </c>
      <c r="V2155" s="1">
        <v>223.26797385620915</v>
      </c>
      <c r="W2155" s="1">
        <v>5</v>
      </c>
    </row>
    <row r="2156" spans="1:23" x14ac:dyDescent="0.2">
      <c r="A2156">
        <v>2021</v>
      </c>
      <c r="B2156" t="s">
        <v>23</v>
      </c>
      <c r="C2156" t="s">
        <v>271</v>
      </c>
      <c r="D2156">
        <v>130</v>
      </c>
      <c r="E2156">
        <v>1</v>
      </c>
      <c r="F2156">
        <v>1</v>
      </c>
      <c r="G2156" t="s">
        <v>154</v>
      </c>
      <c r="H2156">
        <v>6</v>
      </c>
      <c r="I2156">
        <v>58</v>
      </c>
      <c r="J2156">
        <v>60</v>
      </c>
      <c r="K2156">
        <v>2</v>
      </c>
      <c r="L2156">
        <v>117</v>
      </c>
      <c r="M2156">
        <v>22</v>
      </c>
      <c r="N2156">
        <v>2</v>
      </c>
      <c r="O2156">
        <v>3</v>
      </c>
      <c r="P2156">
        <v>6</v>
      </c>
      <c r="Q2156">
        <v>0.8</v>
      </c>
      <c r="R2156">
        <v>7</v>
      </c>
      <c r="S2156">
        <v>1.1666666666666667</v>
      </c>
      <c r="T2156">
        <v>2</v>
      </c>
      <c r="U2156">
        <v>12.5</v>
      </c>
      <c r="V2156">
        <v>2928.1045751633987</v>
      </c>
      <c r="W2156">
        <v>1</v>
      </c>
    </row>
    <row r="2157" spans="1:23" x14ac:dyDescent="0.2">
      <c r="A2157">
        <v>2021</v>
      </c>
      <c r="B2157" t="s">
        <v>23</v>
      </c>
      <c r="C2157" t="s">
        <v>271</v>
      </c>
      <c r="D2157">
        <v>130</v>
      </c>
      <c r="E2157">
        <v>2</v>
      </c>
      <c r="F2157">
        <v>10</v>
      </c>
      <c r="G2157" t="s">
        <v>154</v>
      </c>
      <c r="H2157">
        <v>10</v>
      </c>
      <c r="I2157">
        <v>50</v>
      </c>
      <c r="J2157">
        <v>53</v>
      </c>
      <c r="K2157">
        <v>3</v>
      </c>
      <c r="L2157">
        <v>157</v>
      </c>
      <c r="M2157">
        <v>73</v>
      </c>
      <c r="N2157">
        <v>2</v>
      </c>
      <c r="O2157">
        <v>2</v>
      </c>
      <c r="P2157">
        <v>10</v>
      </c>
      <c r="Q2157">
        <v>0.8</v>
      </c>
      <c r="R2157">
        <v>7</v>
      </c>
      <c r="S2157">
        <v>0.7</v>
      </c>
      <c r="T2157">
        <v>1</v>
      </c>
      <c r="U2157">
        <v>9.8000000000000007</v>
      </c>
      <c r="V2157">
        <v>3018.4575163398699</v>
      </c>
      <c r="W2157">
        <v>1</v>
      </c>
    </row>
    <row r="2158" spans="1:23" x14ac:dyDescent="0.2">
      <c r="A2158">
        <v>2021</v>
      </c>
      <c r="B2158" t="s">
        <v>23</v>
      </c>
      <c r="C2158" t="s">
        <v>271</v>
      </c>
      <c r="D2158">
        <v>131</v>
      </c>
      <c r="E2158">
        <v>1</v>
      </c>
      <c r="F2158">
        <v>13</v>
      </c>
      <c r="G2158" t="s">
        <v>155</v>
      </c>
      <c r="H2158">
        <v>7</v>
      </c>
      <c r="I2158">
        <v>59</v>
      </c>
      <c r="J2158">
        <v>62</v>
      </c>
      <c r="K2158">
        <v>3</v>
      </c>
      <c r="L2158">
        <v>125</v>
      </c>
      <c r="M2158">
        <v>51</v>
      </c>
      <c r="N2158">
        <v>1.5</v>
      </c>
      <c r="O2158">
        <v>3.5</v>
      </c>
      <c r="P2158">
        <v>7</v>
      </c>
      <c r="Q2158">
        <v>0.7</v>
      </c>
      <c r="R2158">
        <v>7</v>
      </c>
      <c r="S2158">
        <v>1</v>
      </c>
      <c r="T2158">
        <v>3.5</v>
      </c>
      <c r="U2158">
        <v>12.5</v>
      </c>
      <c r="V2158">
        <v>2562.0915032679736</v>
      </c>
      <c r="W2158">
        <v>1</v>
      </c>
    </row>
    <row r="2159" spans="1:23" x14ac:dyDescent="0.2">
      <c r="A2159">
        <v>2021</v>
      </c>
      <c r="B2159" t="s">
        <v>23</v>
      </c>
      <c r="C2159" t="s">
        <v>271</v>
      </c>
      <c r="D2159">
        <v>131</v>
      </c>
      <c r="E2159">
        <v>2</v>
      </c>
      <c r="F2159">
        <v>4</v>
      </c>
      <c r="G2159" t="s">
        <v>155</v>
      </c>
      <c r="H2159">
        <v>5</v>
      </c>
      <c r="I2159">
        <v>55</v>
      </c>
      <c r="J2159">
        <v>59</v>
      </c>
      <c r="K2159">
        <v>4</v>
      </c>
      <c r="L2159">
        <v>74</v>
      </c>
      <c r="M2159">
        <v>33</v>
      </c>
      <c r="N2159">
        <v>2</v>
      </c>
      <c r="O2159">
        <v>2</v>
      </c>
      <c r="P2159">
        <v>5</v>
      </c>
      <c r="Q2159">
        <v>0.22</v>
      </c>
      <c r="R2159">
        <v>5</v>
      </c>
      <c r="S2159">
        <v>1</v>
      </c>
      <c r="T2159">
        <v>3</v>
      </c>
      <c r="U2159">
        <v>12.5</v>
      </c>
      <c r="V2159">
        <v>805.22875816993462</v>
      </c>
      <c r="W2159">
        <v>1</v>
      </c>
    </row>
    <row r="2160" spans="1:23" x14ac:dyDescent="0.2">
      <c r="A2160">
        <v>2021</v>
      </c>
      <c r="B2160" t="s">
        <v>23</v>
      </c>
      <c r="C2160" t="s">
        <v>271</v>
      </c>
      <c r="D2160">
        <v>132</v>
      </c>
      <c r="E2160">
        <v>1</v>
      </c>
      <c r="F2160">
        <v>8</v>
      </c>
      <c r="G2160" t="s">
        <v>156</v>
      </c>
      <c r="H2160">
        <v>15</v>
      </c>
      <c r="I2160">
        <v>55</v>
      </c>
      <c r="J2160">
        <v>58</v>
      </c>
      <c r="K2160">
        <v>3</v>
      </c>
      <c r="L2160">
        <v>182</v>
      </c>
      <c r="M2160">
        <v>76</v>
      </c>
      <c r="N2160">
        <v>2.5</v>
      </c>
      <c r="O2160">
        <v>2.5</v>
      </c>
      <c r="P2160">
        <v>14</v>
      </c>
      <c r="Q2160">
        <v>1</v>
      </c>
      <c r="R2160">
        <v>13</v>
      </c>
      <c r="S2160">
        <v>0.9285714285714286</v>
      </c>
      <c r="T2160">
        <v>2.5</v>
      </c>
      <c r="U2160">
        <v>12.5</v>
      </c>
      <c r="V2160">
        <v>3660.1307189542486</v>
      </c>
      <c r="W2160">
        <v>2</v>
      </c>
    </row>
    <row r="2161" spans="1:23" x14ac:dyDescent="0.2">
      <c r="A2161">
        <v>2021</v>
      </c>
      <c r="B2161" t="s">
        <v>23</v>
      </c>
      <c r="C2161" t="s">
        <v>271</v>
      </c>
      <c r="D2161">
        <v>132</v>
      </c>
      <c r="E2161">
        <v>2</v>
      </c>
      <c r="F2161">
        <v>14</v>
      </c>
      <c r="G2161" t="s">
        <v>156</v>
      </c>
      <c r="H2161" s="1">
        <v>4</v>
      </c>
      <c r="I2161" s="1">
        <v>59</v>
      </c>
      <c r="J2161" s="1">
        <v>63</v>
      </c>
      <c r="K2161" s="1">
        <f>J2161-I2161</f>
        <v>4</v>
      </c>
      <c r="L2161" s="1">
        <v>158</v>
      </c>
      <c r="M2161" s="1">
        <v>80</v>
      </c>
      <c r="N2161" s="1">
        <v>2</v>
      </c>
      <c r="O2161" s="1">
        <v>3.5</v>
      </c>
      <c r="P2161" s="1">
        <f>H2161-2</f>
        <v>2</v>
      </c>
      <c r="Q2161" s="2">
        <v>5.4900000000000004E-2</v>
      </c>
      <c r="R2161" s="1">
        <v>2</v>
      </c>
      <c r="S2161" s="1">
        <f>R2161/P2161</f>
        <v>1</v>
      </c>
      <c r="T2161" s="1">
        <v>5</v>
      </c>
      <c r="U2161" s="1">
        <v>12.5</v>
      </c>
      <c r="V2161" s="1">
        <v>200.94117647058823</v>
      </c>
      <c r="W2161" s="1">
        <v>5</v>
      </c>
    </row>
    <row r="2162" spans="1:23" x14ac:dyDescent="0.2">
      <c r="A2162">
        <v>2021</v>
      </c>
      <c r="B2162" t="s">
        <v>23</v>
      </c>
      <c r="C2162" t="s">
        <v>271</v>
      </c>
      <c r="D2162">
        <v>133</v>
      </c>
      <c r="E2162">
        <v>1</v>
      </c>
      <c r="F2162">
        <v>6</v>
      </c>
      <c r="G2162" t="s">
        <v>266</v>
      </c>
      <c r="H2162">
        <v>13</v>
      </c>
      <c r="I2162">
        <v>54</v>
      </c>
      <c r="J2162">
        <v>56</v>
      </c>
      <c r="K2162">
        <v>2</v>
      </c>
      <c r="L2162">
        <v>157</v>
      </c>
      <c r="M2162">
        <v>82</v>
      </c>
      <c r="N2162">
        <v>2</v>
      </c>
      <c r="O2162">
        <v>1.5</v>
      </c>
      <c r="P2162">
        <v>10</v>
      </c>
      <c r="Q2162">
        <v>0.5</v>
      </c>
      <c r="R2162">
        <v>10</v>
      </c>
      <c r="S2162">
        <v>1</v>
      </c>
      <c r="T2162">
        <v>3</v>
      </c>
      <c r="U2162">
        <v>10.6</v>
      </c>
      <c r="V2162">
        <v>1869.8039215686274</v>
      </c>
      <c r="W2162">
        <v>2</v>
      </c>
    </row>
    <row r="2163" spans="1:23" x14ac:dyDescent="0.2">
      <c r="A2163">
        <v>2021</v>
      </c>
      <c r="B2163" t="s">
        <v>23</v>
      </c>
      <c r="C2163" t="s">
        <v>271</v>
      </c>
      <c r="D2163">
        <v>133</v>
      </c>
      <c r="E2163">
        <v>2</v>
      </c>
      <c r="F2163">
        <v>9</v>
      </c>
      <c r="G2163" t="s">
        <v>266</v>
      </c>
      <c r="H2163" s="1">
        <v>8</v>
      </c>
      <c r="I2163" s="1">
        <v>69</v>
      </c>
      <c r="J2163" s="1">
        <v>70</v>
      </c>
      <c r="K2163" s="1">
        <f>J2163-I2163</f>
        <v>1</v>
      </c>
      <c r="L2163" s="1">
        <v>153</v>
      </c>
      <c r="M2163" s="1">
        <v>84</v>
      </c>
      <c r="N2163" s="1">
        <v>2</v>
      </c>
      <c r="O2163" s="1">
        <v>3.5</v>
      </c>
      <c r="P2163" s="1">
        <f>H2163-2</f>
        <v>6</v>
      </c>
      <c r="Q2163" s="2">
        <v>0.255</v>
      </c>
      <c r="R2163" s="1">
        <v>4</v>
      </c>
      <c r="S2163" s="1">
        <f>R2163/P2163</f>
        <v>0.66666666666666663</v>
      </c>
      <c r="T2163" s="1">
        <v>4</v>
      </c>
      <c r="U2163" s="1">
        <v>12.5</v>
      </c>
      <c r="V2163" s="1">
        <v>933.33333333333337</v>
      </c>
      <c r="W2163" s="1">
        <v>3</v>
      </c>
    </row>
    <row r="2164" spans="1:23" x14ac:dyDescent="0.2">
      <c r="A2164">
        <v>2021</v>
      </c>
      <c r="B2164" t="s">
        <v>23</v>
      </c>
      <c r="C2164" t="s">
        <v>271</v>
      </c>
      <c r="D2164">
        <v>134</v>
      </c>
      <c r="E2164">
        <v>1</v>
      </c>
      <c r="F2164">
        <v>8</v>
      </c>
      <c r="G2164" t="s">
        <v>159</v>
      </c>
      <c r="H2164" s="1">
        <v>7</v>
      </c>
      <c r="I2164" s="1">
        <v>63</v>
      </c>
      <c r="J2164" s="1">
        <v>66</v>
      </c>
      <c r="K2164" s="1">
        <f>J2164-I2164</f>
        <v>3</v>
      </c>
      <c r="L2164" s="1">
        <v>122</v>
      </c>
      <c r="M2164" s="1">
        <v>58</v>
      </c>
      <c r="N2164" s="1">
        <v>2</v>
      </c>
      <c r="O2164" s="1">
        <v>3.5</v>
      </c>
      <c r="P2164" s="1">
        <v>7</v>
      </c>
      <c r="Q2164" s="2">
        <v>2.9531249999999998E-2</v>
      </c>
      <c r="R2164" s="1">
        <v>2</v>
      </c>
      <c r="S2164" s="1">
        <f>R2164/P2164</f>
        <v>0.2857142857142857</v>
      </c>
      <c r="T2164" s="1">
        <v>5</v>
      </c>
      <c r="U2164" s="1">
        <v>12.5</v>
      </c>
      <c r="V2164" s="1">
        <v>108.08823529411764</v>
      </c>
      <c r="W2164" s="1">
        <v>4</v>
      </c>
    </row>
    <row r="2165" spans="1:23" x14ac:dyDescent="0.2">
      <c r="A2165">
        <v>2021</v>
      </c>
      <c r="B2165" t="s">
        <v>23</v>
      </c>
      <c r="C2165" t="s">
        <v>271</v>
      </c>
      <c r="D2165">
        <v>134</v>
      </c>
      <c r="E2165">
        <v>2</v>
      </c>
      <c r="F2165">
        <v>7</v>
      </c>
      <c r="G2165" t="s">
        <v>159</v>
      </c>
      <c r="H2165" s="1">
        <v>10</v>
      </c>
      <c r="I2165" s="1">
        <v>62</v>
      </c>
      <c r="J2165" s="1">
        <v>65</v>
      </c>
      <c r="K2165" s="1">
        <f>J2165-I2165</f>
        <v>3</v>
      </c>
      <c r="L2165" s="1">
        <v>161</v>
      </c>
      <c r="M2165" s="1">
        <v>70</v>
      </c>
      <c r="N2165" s="1">
        <v>2</v>
      </c>
      <c r="O2165" s="1">
        <v>3.5</v>
      </c>
      <c r="P2165" s="1">
        <v>7</v>
      </c>
      <c r="Q2165" s="2">
        <v>0.75090000000000012</v>
      </c>
      <c r="R2165" s="1">
        <v>5</v>
      </c>
      <c r="S2165" s="1">
        <f>R2165/P2165</f>
        <v>0.7142857142857143</v>
      </c>
      <c r="T2165" s="1">
        <v>5</v>
      </c>
      <c r="U2165" s="1">
        <v>12.5</v>
      </c>
      <c r="V2165" s="1">
        <v>2748.3921568627457</v>
      </c>
      <c r="W2165" s="1">
        <v>5</v>
      </c>
    </row>
    <row r="2166" spans="1:23" x14ac:dyDescent="0.2">
      <c r="A2166">
        <v>2021</v>
      </c>
      <c r="B2166" t="s">
        <v>23</v>
      </c>
      <c r="C2166" t="s">
        <v>271</v>
      </c>
      <c r="D2166">
        <v>135</v>
      </c>
      <c r="E2166">
        <v>1</v>
      </c>
      <c r="F2166">
        <v>7</v>
      </c>
      <c r="G2166" t="s">
        <v>267</v>
      </c>
      <c r="H2166" s="1">
        <v>12</v>
      </c>
      <c r="I2166" s="1">
        <v>61</v>
      </c>
      <c r="J2166" s="1">
        <v>66</v>
      </c>
      <c r="K2166" s="1">
        <f>J2166-I2166</f>
        <v>5</v>
      </c>
      <c r="L2166" s="1">
        <v>122</v>
      </c>
      <c r="M2166" s="1">
        <v>46</v>
      </c>
      <c r="N2166" s="1">
        <v>2</v>
      </c>
      <c r="O2166" s="1">
        <v>4.5</v>
      </c>
      <c r="P2166" s="1">
        <v>8</v>
      </c>
      <c r="Q2166" s="2">
        <v>0.22</v>
      </c>
      <c r="R2166" s="1">
        <v>5</v>
      </c>
      <c r="S2166" s="1">
        <f>R2166/P2166</f>
        <v>0.625</v>
      </c>
      <c r="T2166" s="1">
        <v>4</v>
      </c>
      <c r="U2166" s="1">
        <v>12.5</v>
      </c>
      <c r="V2166" s="1">
        <v>805.22875816993462</v>
      </c>
      <c r="W2166" s="1">
        <v>4</v>
      </c>
    </row>
    <row r="2167" spans="1:23" x14ac:dyDescent="0.2">
      <c r="A2167">
        <v>2021</v>
      </c>
      <c r="B2167" t="s">
        <v>23</v>
      </c>
      <c r="C2167" t="s">
        <v>271</v>
      </c>
      <c r="D2167">
        <v>135</v>
      </c>
      <c r="E2167">
        <v>2</v>
      </c>
      <c r="F2167">
        <v>15</v>
      </c>
      <c r="G2167" t="s">
        <v>267</v>
      </c>
      <c r="H2167" s="1">
        <v>3</v>
      </c>
      <c r="I2167" s="1">
        <v>65</v>
      </c>
      <c r="J2167" s="1">
        <v>70</v>
      </c>
      <c r="K2167" s="1">
        <f>J2167-I2167</f>
        <v>5</v>
      </c>
      <c r="L2167" s="1">
        <v>144</v>
      </c>
      <c r="M2167" s="1">
        <v>58</v>
      </c>
      <c r="N2167" s="1">
        <v>2</v>
      </c>
      <c r="O2167" s="1">
        <v>2.5</v>
      </c>
      <c r="P2167" s="1">
        <v>3</v>
      </c>
      <c r="Q2167" s="2">
        <v>0.497</v>
      </c>
      <c r="R2167" s="1">
        <v>3</v>
      </c>
      <c r="S2167" s="1">
        <f>R2167/P2167</f>
        <v>1</v>
      </c>
      <c r="T2167" s="1">
        <v>3</v>
      </c>
      <c r="U2167" s="1">
        <v>12.5</v>
      </c>
      <c r="V2167" s="1">
        <v>1819.0849673202615</v>
      </c>
      <c r="W2167" s="1">
        <v>4</v>
      </c>
    </row>
    <row r="2168" spans="1:23" x14ac:dyDescent="0.2">
      <c r="A2168">
        <v>2021</v>
      </c>
      <c r="B2168" t="s">
        <v>23</v>
      </c>
      <c r="C2168" t="s">
        <v>271</v>
      </c>
      <c r="D2168">
        <v>136</v>
      </c>
      <c r="E2168">
        <v>1</v>
      </c>
      <c r="F2168">
        <v>4</v>
      </c>
      <c r="G2168" t="s">
        <v>161</v>
      </c>
      <c r="H2168">
        <v>2</v>
      </c>
      <c r="I2168">
        <v>58</v>
      </c>
      <c r="J2168">
        <v>60</v>
      </c>
      <c r="K2168">
        <v>2</v>
      </c>
      <c r="L2168">
        <v>116</v>
      </c>
      <c r="M2168">
        <v>22</v>
      </c>
      <c r="N2168">
        <v>1.5</v>
      </c>
      <c r="O2168">
        <v>2</v>
      </c>
      <c r="P2168">
        <v>2</v>
      </c>
      <c r="Q2168">
        <v>0.2</v>
      </c>
      <c r="R2168">
        <v>3</v>
      </c>
      <c r="S2168">
        <v>1.5</v>
      </c>
      <c r="T2168">
        <v>2.5</v>
      </c>
      <c r="U2168">
        <v>12.5</v>
      </c>
      <c r="V2168">
        <v>732.02614379084969</v>
      </c>
      <c r="W2168">
        <v>2</v>
      </c>
    </row>
    <row r="2169" spans="1:23" x14ac:dyDescent="0.2">
      <c r="A2169">
        <v>2021</v>
      </c>
      <c r="B2169" t="s">
        <v>23</v>
      </c>
      <c r="C2169" t="s">
        <v>271</v>
      </c>
      <c r="D2169">
        <v>136</v>
      </c>
      <c r="E2169">
        <v>2</v>
      </c>
      <c r="F2169">
        <v>12</v>
      </c>
      <c r="G2169" t="s">
        <v>161</v>
      </c>
      <c r="H2169" s="1">
        <v>7</v>
      </c>
      <c r="I2169" s="1">
        <v>61</v>
      </c>
      <c r="J2169" s="1">
        <v>66</v>
      </c>
      <c r="K2169" s="1">
        <f>J2169-I2169</f>
        <v>5</v>
      </c>
      <c r="L2169" s="1">
        <v>101</v>
      </c>
      <c r="M2169" s="1">
        <v>38</v>
      </c>
      <c r="N2169" s="1">
        <v>2</v>
      </c>
      <c r="O2169" s="1">
        <v>2</v>
      </c>
      <c r="P2169" s="1">
        <f>H2169</f>
        <v>7</v>
      </c>
      <c r="Q2169" s="2">
        <v>0.06</v>
      </c>
      <c r="R2169" s="1">
        <v>7</v>
      </c>
      <c r="S2169" s="1">
        <f>R2169/P2169</f>
        <v>1</v>
      </c>
      <c r="T2169" s="1">
        <v>3</v>
      </c>
      <c r="U2169" s="1">
        <v>12.5</v>
      </c>
      <c r="V2169" s="1">
        <v>219.60784313725492</v>
      </c>
      <c r="W2169" s="1">
        <v>4</v>
      </c>
    </row>
    <row r="2170" spans="1:23" x14ac:dyDescent="0.2">
      <c r="A2170">
        <v>2021</v>
      </c>
      <c r="B2170" t="s">
        <v>23</v>
      </c>
      <c r="C2170" t="s">
        <v>271</v>
      </c>
      <c r="D2170">
        <v>137</v>
      </c>
      <c r="E2170">
        <v>1</v>
      </c>
      <c r="F2170">
        <v>15</v>
      </c>
      <c r="G2170" t="s">
        <v>162</v>
      </c>
      <c r="H2170">
        <v>15</v>
      </c>
      <c r="I2170">
        <v>55</v>
      </c>
      <c r="J2170">
        <v>57</v>
      </c>
      <c r="K2170">
        <v>2</v>
      </c>
      <c r="L2170">
        <v>152</v>
      </c>
      <c r="M2170">
        <v>68</v>
      </c>
      <c r="N2170">
        <v>2</v>
      </c>
      <c r="O2170">
        <v>2</v>
      </c>
      <c r="P2170">
        <v>11</v>
      </c>
      <c r="Q2170">
        <v>1</v>
      </c>
      <c r="R2170">
        <v>11</v>
      </c>
      <c r="S2170">
        <v>1</v>
      </c>
      <c r="T2170">
        <v>3</v>
      </c>
      <c r="U2170">
        <v>8.8000000000000007</v>
      </c>
      <c r="V2170">
        <v>3814.9019607843138</v>
      </c>
      <c r="W2170">
        <v>1</v>
      </c>
    </row>
    <row r="2171" spans="1:23" x14ac:dyDescent="0.2">
      <c r="A2171">
        <v>2021</v>
      </c>
      <c r="B2171" t="s">
        <v>23</v>
      </c>
      <c r="C2171" t="s">
        <v>271</v>
      </c>
      <c r="D2171">
        <v>137</v>
      </c>
      <c r="E2171">
        <v>2</v>
      </c>
      <c r="F2171">
        <v>5</v>
      </c>
      <c r="G2171" t="s">
        <v>162</v>
      </c>
      <c r="H2171">
        <v>16</v>
      </c>
      <c r="I2171">
        <v>58</v>
      </c>
      <c r="J2171">
        <v>60</v>
      </c>
      <c r="K2171">
        <v>2</v>
      </c>
      <c r="L2171">
        <v>190</v>
      </c>
      <c r="M2171">
        <v>65</v>
      </c>
      <c r="N2171">
        <v>2</v>
      </c>
      <c r="O2171">
        <v>2.5</v>
      </c>
      <c r="P2171">
        <v>13</v>
      </c>
      <c r="Q2171">
        <v>0.6</v>
      </c>
      <c r="R2171">
        <v>9</v>
      </c>
      <c r="S2171">
        <v>0.69230769230769229</v>
      </c>
      <c r="T2171">
        <v>4</v>
      </c>
      <c r="U2171">
        <v>10.1</v>
      </c>
      <c r="V2171">
        <v>2256.3137254901962</v>
      </c>
      <c r="W2171">
        <v>1</v>
      </c>
    </row>
    <row r="2172" spans="1:23" x14ac:dyDescent="0.2">
      <c r="A2172">
        <v>2021</v>
      </c>
      <c r="B2172" t="s">
        <v>23</v>
      </c>
      <c r="C2172" t="s">
        <v>271</v>
      </c>
      <c r="D2172">
        <v>138</v>
      </c>
      <c r="E2172">
        <v>1</v>
      </c>
      <c r="F2172">
        <v>4</v>
      </c>
      <c r="G2172" t="s">
        <v>163</v>
      </c>
      <c r="H2172" s="1">
        <v>12</v>
      </c>
      <c r="I2172" s="1">
        <v>62</v>
      </c>
      <c r="J2172" s="1">
        <v>66</v>
      </c>
      <c r="K2172" s="1">
        <f>J2172-I2172</f>
        <v>4</v>
      </c>
      <c r="L2172" s="1">
        <v>154</v>
      </c>
      <c r="M2172" s="1">
        <v>113</v>
      </c>
      <c r="N2172" s="1">
        <v>2</v>
      </c>
      <c r="O2172" s="1">
        <v>2.5</v>
      </c>
      <c r="P2172" s="1">
        <f>H2172-1</f>
        <v>11</v>
      </c>
      <c r="Q2172" s="2">
        <v>0.13125000000000001</v>
      </c>
      <c r="R2172" s="1">
        <v>9</v>
      </c>
      <c r="S2172" s="1">
        <f>R2172/P2172</f>
        <v>0.81818181818181823</v>
      </c>
      <c r="T2172" s="1">
        <v>2</v>
      </c>
      <c r="U2172" s="1">
        <v>12.5</v>
      </c>
      <c r="V2172" s="1">
        <v>480.39215686274514</v>
      </c>
      <c r="W2172" s="1">
        <v>2</v>
      </c>
    </row>
    <row r="2173" spans="1:23" x14ac:dyDescent="0.2">
      <c r="A2173">
        <v>2021</v>
      </c>
      <c r="B2173" t="s">
        <v>23</v>
      </c>
      <c r="C2173" t="s">
        <v>271</v>
      </c>
      <c r="D2173">
        <v>138</v>
      </c>
      <c r="E2173">
        <v>2</v>
      </c>
      <c r="F2173">
        <v>7</v>
      </c>
      <c r="G2173" t="s">
        <v>163</v>
      </c>
      <c r="H2173">
        <v>15</v>
      </c>
      <c r="I2173">
        <v>58</v>
      </c>
      <c r="J2173">
        <v>60</v>
      </c>
      <c r="K2173">
        <v>2</v>
      </c>
      <c r="L2173">
        <v>152</v>
      </c>
      <c r="M2173">
        <v>80</v>
      </c>
      <c r="N2173">
        <v>2</v>
      </c>
      <c r="O2173">
        <v>2</v>
      </c>
      <c r="P2173">
        <v>15</v>
      </c>
      <c r="Q2173">
        <v>0.6</v>
      </c>
      <c r="R2173">
        <v>14</v>
      </c>
      <c r="S2173">
        <v>0.93333333333333335</v>
      </c>
      <c r="T2173">
        <v>3</v>
      </c>
      <c r="U2173">
        <v>11.1</v>
      </c>
      <c r="V2173">
        <v>2231.2156862745096</v>
      </c>
      <c r="W2173">
        <v>1</v>
      </c>
    </row>
    <row r="2174" spans="1:23" x14ac:dyDescent="0.2">
      <c r="A2174">
        <v>2021</v>
      </c>
      <c r="B2174" t="s">
        <v>23</v>
      </c>
      <c r="C2174" t="s">
        <v>271</v>
      </c>
      <c r="D2174">
        <v>139</v>
      </c>
      <c r="E2174">
        <v>1</v>
      </c>
      <c r="F2174">
        <v>13</v>
      </c>
      <c r="G2174" t="s">
        <v>164</v>
      </c>
      <c r="H2174" s="1">
        <v>1</v>
      </c>
      <c r="I2174" s="1">
        <v>66</v>
      </c>
      <c r="J2174" s="1">
        <v>70</v>
      </c>
      <c r="K2174" s="1">
        <f>J2174-I2174</f>
        <v>4</v>
      </c>
      <c r="L2174" s="1">
        <v>95</v>
      </c>
      <c r="M2174" s="1">
        <v>32</v>
      </c>
      <c r="N2174" s="1">
        <v>2</v>
      </c>
      <c r="O2174" s="1">
        <v>3</v>
      </c>
      <c r="P2174" s="1">
        <v>1</v>
      </c>
      <c r="Q2174" s="2">
        <v>0.16200000000000001</v>
      </c>
      <c r="R2174" s="1">
        <v>2</v>
      </c>
      <c r="S2174" s="1">
        <f>R2174/P2174</f>
        <v>2</v>
      </c>
      <c r="T2174" s="1">
        <v>3</v>
      </c>
      <c r="U2174" s="1">
        <v>12.5</v>
      </c>
      <c r="V2174" s="1">
        <v>592.94117647058818</v>
      </c>
      <c r="W2174" s="1">
        <v>2</v>
      </c>
    </row>
    <row r="2175" spans="1:23" x14ac:dyDescent="0.2">
      <c r="A2175">
        <v>2021</v>
      </c>
      <c r="B2175" t="s">
        <v>23</v>
      </c>
      <c r="C2175" t="s">
        <v>271</v>
      </c>
      <c r="D2175">
        <v>139</v>
      </c>
      <c r="E2175">
        <v>2</v>
      </c>
      <c r="F2175">
        <v>10</v>
      </c>
      <c r="G2175" t="s">
        <v>164</v>
      </c>
      <c r="H2175">
        <v>1</v>
      </c>
      <c r="I2175">
        <v>59</v>
      </c>
      <c r="J2175">
        <v>62</v>
      </c>
      <c r="K2175">
        <v>3</v>
      </c>
      <c r="L2175">
        <v>149</v>
      </c>
      <c r="M2175">
        <v>45</v>
      </c>
      <c r="N2175">
        <v>1.5</v>
      </c>
      <c r="O2175">
        <v>3.5</v>
      </c>
      <c r="P2175">
        <v>1</v>
      </c>
      <c r="Q2175">
        <v>0.1</v>
      </c>
      <c r="R2175">
        <v>1</v>
      </c>
      <c r="S2175">
        <v>1</v>
      </c>
      <c r="T2175">
        <v>3.5</v>
      </c>
      <c r="U2175">
        <v>12.5</v>
      </c>
      <c r="V2175">
        <v>366.01307189542484</v>
      </c>
      <c r="W2175">
        <v>2</v>
      </c>
    </row>
    <row r="2176" spans="1:23" x14ac:dyDescent="0.2">
      <c r="A2176">
        <v>2021</v>
      </c>
      <c r="B2176" t="s">
        <v>23</v>
      </c>
      <c r="C2176" t="s">
        <v>271</v>
      </c>
      <c r="D2176">
        <v>140</v>
      </c>
      <c r="E2176">
        <v>1</v>
      </c>
      <c r="F2176">
        <v>14</v>
      </c>
      <c r="G2176" t="s">
        <v>165</v>
      </c>
      <c r="H2176">
        <v>8</v>
      </c>
      <c r="I2176">
        <v>63</v>
      </c>
      <c r="J2176">
        <v>67</v>
      </c>
      <c r="K2176">
        <v>4</v>
      </c>
      <c r="L2176">
        <v>120</v>
      </c>
      <c r="M2176">
        <v>60</v>
      </c>
      <c r="N2176">
        <v>2</v>
      </c>
      <c r="O2176">
        <v>3</v>
      </c>
      <c r="P2176">
        <v>8</v>
      </c>
      <c r="Q2176">
        <v>0.8</v>
      </c>
      <c r="R2176">
        <v>8</v>
      </c>
      <c r="S2176">
        <v>1</v>
      </c>
      <c r="T2176">
        <v>3</v>
      </c>
      <c r="U2176">
        <v>12.5</v>
      </c>
      <c r="V2176">
        <v>2928.1045751633987</v>
      </c>
      <c r="W2176">
        <v>1</v>
      </c>
    </row>
    <row r="2177" spans="1:23" x14ac:dyDescent="0.2">
      <c r="A2177">
        <v>2021</v>
      </c>
      <c r="B2177" t="s">
        <v>23</v>
      </c>
      <c r="C2177" t="s">
        <v>271</v>
      </c>
      <c r="D2177">
        <v>140</v>
      </c>
      <c r="E2177">
        <v>2</v>
      </c>
      <c r="F2177">
        <v>11</v>
      </c>
      <c r="G2177" t="s">
        <v>165</v>
      </c>
      <c r="H2177" s="1">
        <v>14</v>
      </c>
      <c r="I2177" s="1">
        <v>58</v>
      </c>
      <c r="J2177" s="1">
        <v>60</v>
      </c>
      <c r="K2177" s="1">
        <f>J2177-I2177</f>
        <v>2</v>
      </c>
      <c r="L2177" s="1">
        <v>111</v>
      </c>
      <c r="M2177" s="1">
        <v>42</v>
      </c>
      <c r="N2177" s="1">
        <v>1.5</v>
      </c>
      <c r="O2177" s="1">
        <v>4</v>
      </c>
      <c r="P2177" s="1">
        <v>10</v>
      </c>
      <c r="Q2177" s="2">
        <v>0.21</v>
      </c>
      <c r="R2177" s="1">
        <v>7</v>
      </c>
      <c r="S2177" s="1">
        <f>R2177/P2177</f>
        <v>0.7</v>
      </c>
      <c r="T2177" s="1">
        <v>2.5</v>
      </c>
      <c r="U2177" s="1">
        <v>12.5</v>
      </c>
      <c r="V2177" s="1">
        <v>768.62745098039215</v>
      </c>
      <c r="W2177" s="1">
        <v>5</v>
      </c>
    </row>
    <row r="2178" spans="1:23" x14ac:dyDescent="0.2">
      <c r="A2178">
        <v>2021</v>
      </c>
      <c r="B2178" t="s">
        <v>23</v>
      </c>
      <c r="C2178" t="s">
        <v>271</v>
      </c>
      <c r="D2178">
        <v>141</v>
      </c>
      <c r="E2178">
        <v>1</v>
      </c>
      <c r="F2178">
        <v>14</v>
      </c>
      <c r="G2178" t="s">
        <v>166</v>
      </c>
      <c r="H2178">
        <v>16</v>
      </c>
      <c r="I2178">
        <v>56</v>
      </c>
      <c r="J2178">
        <v>57</v>
      </c>
      <c r="K2178">
        <v>1</v>
      </c>
      <c r="L2178">
        <v>185</v>
      </c>
      <c r="M2178">
        <v>95</v>
      </c>
      <c r="N2178">
        <v>1</v>
      </c>
      <c r="O2178">
        <v>2</v>
      </c>
      <c r="P2178">
        <v>15</v>
      </c>
      <c r="Q2178">
        <v>1</v>
      </c>
      <c r="R2178">
        <v>14</v>
      </c>
      <c r="S2178">
        <v>0.93333333333333335</v>
      </c>
      <c r="T2178">
        <v>3</v>
      </c>
      <c r="U2178">
        <v>9.1</v>
      </c>
      <c r="V2178">
        <v>3802.3529411764707</v>
      </c>
      <c r="W2178">
        <v>2</v>
      </c>
    </row>
    <row r="2179" spans="1:23" x14ac:dyDescent="0.2">
      <c r="A2179">
        <v>2021</v>
      </c>
      <c r="B2179" t="s">
        <v>23</v>
      </c>
      <c r="C2179" t="s">
        <v>271</v>
      </c>
      <c r="D2179">
        <v>141</v>
      </c>
      <c r="E2179">
        <v>2</v>
      </c>
      <c r="F2179">
        <v>14</v>
      </c>
      <c r="G2179" t="s">
        <v>166</v>
      </c>
      <c r="H2179" s="1">
        <v>3</v>
      </c>
      <c r="I2179" s="1">
        <v>68</v>
      </c>
      <c r="J2179" s="1">
        <v>72</v>
      </c>
      <c r="K2179" s="1">
        <f>J2179-I2179</f>
        <v>4</v>
      </c>
      <c r="L2179" s="1">
        <v>221</v>
      </c>
      <c r="M2179" s="1">
        <v>109</v>
      </c>
      <c r="N2179" s="1">
        <v>3</v>
      </c>
      <c r="O2179" s="1">
        <v>4</v>
      </c>
      <c r="P2179" s="1">
        <v>2</v>
      </c>
      <c r="Q2179" s="2">
        <v>7.4999999999999997E-2</v>
      </c>
      <c r="R2179" s="1">
        <v>3</v>
      </c>
      <c r="S2179" s="1">
        <f>R2179/P2179</f>
        <v>1.5</v>
      </c>
      <c r="T2179" s="1">
        <v>4</v>
      </c>
      <c r="U2179" s="1">
        <v>12.5</v>
      </c>
      <c r="V2179" s="1">
        <v>274.50980392156862</v>
      </c>
      <c r="W2179" s="1">
        <v>2</v>
      </c>
    </row>
    <row r="2180" spans="1:23" x14ac:dyDescent="0.2">
      <c r="A2180">
        <v>2021</v>
      </c>
      <c r="B2180" t="s">
        <v>23</v>
      </c>
      <c r="C2180" t="s">
        <v>271</v>
      </c>
      <c r="D2180">
        <v>142</v>
      </c>
      <c r="E2180">
        <v>1</v>
      </c>
      <c r="F2180">
        <v>8</v>
      </c>
      <c r="G2180" t="s">
        <v>167</v>
      </c>
      <c r="H2180" s="1">
        <v>12</v>
      </c>
      <c r="I2180" s="1">
        <v>58</v>
      </c>
      <c r="J2180" s="1">
        <v>61</v>
      </c>
      <c r="K2180" s="1">
        <f>J2180-I2180</f>
        <v>3</v>
      </c>
      <c r="L2180" s="1">
        <v>205</v>
      </c>
      <c r="M2180" s="1">
        <v>97</v>
      </c>
      <c r="N2180" s="1">
        <v>2</v>
      </c>
      <c r="O2180" s="1">
        <v>2</v>
      </c>
      <c r="P2180" s="1">
        <v>12</v>
      </c>
      <c r="Q2180" s="2">
        <v>0.19600000000000001</v>
      </c>
      <c r="R2180" s="1">
        <v>8</v>
      </c>
      <c r="S2180" s="1">
        <f>R2180/P2180</f>
        <v>0.66666666666666663</v>
      </c>
      <c r="T2180" s="1">
        <v>5</v>
      </c>
      <c r="U2180" s="1">
        <v>12.1</v>
      </c>
      <c r="V2180" s="1">
        <v>720.66509803921576</v>
      </c>
      <c r="W2180" s="1">
        <v>4</v>
      </c>
    </row>
    <row r="2181" spans="1:23" x14ac:dyDescent="0.2">
      <c r="A2181">
        <v>2021</v>
      </c>
      <c r="B2181" t="s">
        <v>23</v>
      </c>
      <c r="C2181" t="s">
        <v>271</v>
      </c>
      <c r="D2181">
        <v>142</v>
      </c>
      <c r="E2181">
        <v>2</v>
      </c>
      <c r="F2181">
        <v>1</v>
      </c>
      <c r="G2181" t="s">
        <v>167</v>
      </c>
      <c r="H2181" s="1">
        <v>9</v>
      </c>
      <c r="I2181" s="1">
        <v>56</v>
      </c>
      <c r="J2181" s="1">
        <v>60</v>
      </c>
      <c r="K2181" s="1">
        <f>J2181-I2181</f>
        <v>4</v>
      </c>
      <c r="L2181" s="1">
        <v>116</v>
      </c>
      <c r="M2181" s="1">
        <v>74</v>
      </c>
      <c r="N2181" s="1">
        <v>2</v>
      </c>
      <c r="O2181" s="1">
        <v>2.5</v>
      </c>
      <c r="P2181" s="1">
        <v>8</v>
      </c>
      <c r="Q2181" s="2">
        <v>9.9000000000000005E-2</v>
      </c>
      <c r="R2181" s="1">
        <v>10</v>
      </c>
      <c r="S2181" s="1">
        <f>R2181/P2181</f>
        <v>1.25</v>
      </c>
      <c r="T2181" s="1">
        <v>5</v>
      </c>
      <c r="U2181" s="1">
        <v>12.5</v>
      </c>
      <c r="V2181" s="1">
        <v>362.35294117647055</v>
      </c>
      <c r="W2181" s="1">
        <v>2</v>
      </c>
    </row>
    <row r="2182" spans="1:23" x14ac:dyDescent="0.2">
      <c r="A2182">
        <v>2021</v>
      </c>
      <c r="B2182" t="s">
        <v>23</v>
      </c>
      <c r="C2182" t="s">
        <v>271</v>
      </c>
      <c r="D2182">
        <v>143</v>
      </c>
      <c r="E2182">
        <v>1</v>
      </c>
      <c r="F2182">
        <v>5</v>
      </c>
      <c r="G2182" t="s">
        <v>168</v>
      </c>
      <c r="H2182" s="1">
        <v>4</v>
      </c>
      <c r="I2182" s="1">
        <v>63</v>
      </c>
      <c r="J2182" s="1">
        <v>68</v>
      </c>
      <c r="K2182" s="1">
        <f>J2182-I2182</f>
        <v>5</v>
      </c>
      <c r="L2182" s="1">
        <v>130</v>
      </c>
      <c r="M2182" s="1">
        <v>68</v>
      </c>
      <c r="N2182" s="1">
        <v>3</v>
      </c>
      <c r="O2182" s="1">
        <v>3.5</v>
      </c>
      <c r="P2182" s="1">
        <v>3</v>
      </c>
      <c r="Q2182" s="2">
        <v>0.36</v>
      </c>
      <c r="R2182" s="1">
        <v>3</v>
      </c>
      <c r="S2182" s="1">
        <f>R2182/P2182</f>
        <v>1</v>
      </c>
      <c r="T2182" s="1">
        <v>4</v>
      </c>
      <c r="U2182" s="1">
        <v>7.9</v>
      </c>
      <c r="V2182" s="1">
        <v>1386.9176470588236</v>
      </c>
      <c r="W2182" s="1">
        <v>3</v>
      </c>
    </row>
    <row r="2183" spans="1:23" x14ac:dyDescent="0.2">
      <c r="A2183">
        <v>2021</v>
      </c>
      <c r="B2183" t="s">
        <v>23</v>
      </c>
      <c r="C2183" t="s">
        <v>271</v>
      </c>
      <c r="D2183">
        <v>143</v>
      </c>
      <c r="E2183">
        <v>2</v>
      </c>
      <c r="F2183">
        <v>13</v>
      </c>
      <c r="G2183" t="s">
        <v>168</v>
      </c>
      <c r="H2183">
        <v>12</v>
      </c>
      <c r="I2183">
        <v>58</v>
      </c>
      <c r="J2183">
        <v>60</v>
      </c>
      <c r="K2183">
        <v>2</v>
      </c>
      <c r="L2183">
        <v>116</v>
      </c>
      <c r="M2183">
        <v>22</v>
      </c>
      <c r="N2183">
        <v>2</v>
      </c>
      <c r="O2183">
        <v>3</v>
      </c>
      <c r="P2183">
        <v>12</v>
      </c>
      <c r="Q2183">
        <v>0.3</v>
      </c>
      <c r="R2183">
        <v>10</v>
      </c>
      <c r="S2183">
        <v>0.83333333333333337</v>
      </c>
      <c r="T2183">
        <v>3</v>
      </c>
      <c r="U2183">
        <v>12.5</v>
      </c>
      <c r="V2183">
        <v>1098.0392156862745</v>
      </c>
      <c r="W2183">
        <v>2</v>
      </c>
    </row>
    <row r="2184" spans="1:23" x14ac:dyDescent="0.2">
      <c r="A2184">
        <v>2021</v>
      </c>
      <c r="B2184" t="s">
        <v>23</v>
      </c>
      <c r="C2184" t="s">
        <v>271</v>
      </c>
      <c r="D2184">
        <v>144</v>
      </c>
      <c r="E2184">
        <v>1</v>
      </c>
      <c r="F2184">
        <v>8</v>
      </c>
      <c r="G2184" t="s">
        <v>169</v>
      </c>
      <c r="H2184" s="1">
        <v>12</v>
      </c>
      <c r="I2184" s="1">
        <v>68</v>
      </c>
      <c r="J2184" s="1">
        <v>71</v>
      </c>
      <c r="K2184" s="1">
        <f>J2184-I2184</f>
        <v>3</v>
      </c>
      <c r="L2184" s="1">
        <v>122</v>
      </c>
      <c r="M2184" s="1">
        <v>30</v>
      </c>
      <c r="N2184" s="1">
        <v>3</v>
      </c>
      <c r="O2184" s="1">
        <v>4.5</v>
      </c>
      <c r="P2184" s="1">
        <v>6</v>
      </c>
      <c r="Q2184" s="2">
        <v>0.215</v>
      </c>
      <c r="R2184" s="1">
        <v>4</v>
      </c>
      <c r="S2184" s="1">
        <f>R2184/P2184</f>
        <v>0.66666666666666663</v>
      </c>
      <c r="T2184" s="1">
        <v>4</v>
      </c>
      <c r="U2184" s="1">
        <v>12.5</v>
      </c>
      <c r="V2184" s="1">
        <v>786.92810457516339</v>
      </c>
      <c r="W2184" s="1">
        <v>4</v>
      </c>
    </row>
    <row r="2185" spans="1:23" x14ac:dyDescent="0.2">
      <c r="A2185">
        <v>2021</v>
      </c>
      <c r="B2185" t="s">
        <v>23</v>
      </c>
      <c r="C2185" t="s">
        <v>271</v>
      </c>
      <c r="D2185">
        <v>144</v>
      </c>
      <c r="E2185">
        <v>2</v>
      </c>
      <c r="F2185">
        <v>8</v>
      </c>
      <c r="G2185" t="s">
        <v>169</v>
      </c>
      <c r="H2185" s="1">
        <v>9</v>
      </c>
      <c r="I2185" s="1">
        <v>58</v>
      </c>
      <c r="J2185" s="1">
        <v>63</v>
      </c>
      <c r="K2185" s="1">
        <f>J2185-I2185</f>
        <v>5</v>
      </c>
      <c r="L2185" s="1">
        <v>195</v>
      </c>
      <c r="M2185" s="1">
        <v>95</v>
      </c>
      <c r="N2185" s="1">
        <v>2</v>
      </c>
      <c r="O2185" s="1">
        <v>2</v>
      </c>
      <c r="P2185" s="1">
        <v>8</v>
      </c>
      <c r="Q2185" s="2">
        <v>2</v>
      </c>
      <c r="R2185" s="1">
        <v>9</v>
      </c>
      <c r="S2185" s="1">
        <f>R2185/P2185</f>
        <v>1.125</v>
      </c>
      <c r="T2185" s="1">
        <v>1</v>
      </c>
      <c r="U2185" s="1">
        <v>10.1</v>
      </c>
      <c r="V2185" s="1">
        <v>7521.0457516339875</v>
      </c>
      <c r="W2185" s="1">
        <v>4</v>
      </c>
    </row>
    <row r="2186" spans="1:23" x14ac:dyDescent="0.2">
      <c r="A2186">
        <v>2021</v>
      </c>
      <c r="B2186" t="s">
        <v>23</v>
      </c>
      <c r="C2186" t="s">
        <v>271</v>
      </c>
      <c r="D2186">
        <v>145</v>
      </c>
      <c r="E2186">
        <v>1</v>
      </c>
      <c r="F2186">
        <v>3</v>
      </c>
      <c r="G2186" t="s">
        <v>170</v>
      </c>
      <c r="H2186" s="1">
        <v>3</v>
      </c>
      <c r="I2186" s="1">
        <v>63</v>
      </c>
      <c r="J2186" s="1">
        <v>67</v>
      </c>
      <c r="K2186" s="1">
        <f>J2186-I2186</f>
        <v>4</v>
      </c>
      <c r="L2186" s="1">
        <v>136</v>
      </c>
      <c r="M2186" s="1">
        <v>69</v>
      </c>
      <c r="N2186" s="1">
        <v>2.5</v>
      </c>
      <c r="O2186" s="1">
        <v>3</v>
      </c>
      <c r="P2186" s="1">
        <v>3</v>
      </c>
      <c r="Q2186" s="2">
        <v>0.13519999999999999</v>
      </c>
      <c r="R2186" s="1">
        <v>3</v>
      </c>
      <c r="S2186" s="1">
        <f>R2186/P2186</f>
        <v>1</v>
      </c>
      <c r="T2186" s="1">
        <v>3</v>
      </c>
      <c r="U2186" s="1">
        <v>12.5</v>
      </c>
      <c r="V2186" s="1">
        <v>494.84967320261444</v>
      </c>
      <c r="W2186" s="1">
        <v>4</v>
      </c>
    </row>
    <row r="2187" spans="1:23" x14ac:dyDescent="0.2">
      <c r="A2187">
        <v>2021</v>
      </c>
      <c r="B2187" t="s">
        <v>23</v>
      </c>
      <c r="C2187" t="s">
        <v>271</v>
      </c>
      <c r="D2187">
        <v>145</v>
      </c>
      <c r="E2187">
        <v>2</v>
      </c>
      <c r="F2187">
        <v>11</v>
      </c>
      <c r="G2187" t="s">
        <v>170</v>
      </c>
      <c r="H2187" s="1">
        <v>12</v>
      </c>
      <c r="I2187" s="1">
        <v>60</v>
      </c>
      <c r="J2187" s="1">
        <v>63</v>
      </c>
      <c r="K2187" s="1">
        <f>J2187-I2187</f>
        <v>3</v>
      </c>
      <c r="L2187" s="1">
        <v>165</v>
      </c>
      <c r="M2187" s="1">
        <v>73</v>
      </c>
      <c r="N2187" s="1">
        <v>2</v>
      </c>
      <c r="O2187" s="1">
        <v>2</v>
      </c>
      <c r="P2187" s="1">
        <v>11</v>
      </c>
      <c r="Q2187" s="2">
        <v>0.246</v>
      </c>
      <c r="R2187" s="1">
        <v>9</v>
      </c>
      <c r="S2187" s="1">
        <f>R2187/P2187</f>
        <v>0.81818181818181823</v>
      </c>
      <c r="T2187" s="1">
        <v>3</v>
      </c>
      <c r="U2187" s="1">
        <v>7.8</v>
      </c>
      <c r="V2187" s="1">
        <v>948.75607843137266</v>
      </c>
      <c r="W2187" s="1">
        <v>3</v>
      </c>
    </row>
    <row r="2188" spans="1:23" x14ac:dyDescent="0.2">
      <c r="A2188">
        <v>2021</v>
      </c>
      <c r="B2188" t="s">
        <v>23</v>
      </c>
      <c r="C2188" t="s">
        <v>271</v>
      </c>
      <c r="D2188">
        <v>146</v>
      </c>
      <c r="E2188">
        <v>1</v>
      </c>
      <c r="F2188">
        <v>5</v>
      </c>
      <c r="G2188" t="s">
        <v>171</v>
      </c>
      <c r="H2188">
        <v>7</v>
      </c>
      <c r="I2188">
        <v>64</v>
      </c>
      <c r="J2188">
        <v>67</v>
      </c>
      <c r="K2188">
        <v>3</v>
      </c>
      <c r="L2188">
        <v>122</v>
      </c>
      <c r="M2188">
        <v>62</v>
      </c>
      <c r="N2188">
        <v>2</v>
      </c>
      <c r="O2188">
        <v>3</v>
      </c>
      <c r="P2188">
        <v>7</v>
      </c>
      <c r="Q2188">
        <v>0.5</v>
      </c>
      <c r="R2188">
        <v>7</v>
      </c>
      <c r="S2188">
        <v>1</v>
      </c>
      <c r="T2188">
        <v>2.5</v>
      </c>
      <c r="U2188">
        <v>12.5</v>
      </c>
      <c r="V2188">
        <v>1830.0653594771243</v>
      </c>
      <c r="W2188">
        <v>1</v>
      </c>
    </row>
    <row r="2189" spans="1:23" x14ac:dyDescent="0.2">
      <c r="A2189">
        <v>2021</v>
      </c>
      <c r="B2189" t="s">
        <v>23</v>
      </c>
      <c r="C2189" t="s">
        <v>271</v>
      </c>
      <c r="D2189">
        <v>146</v>
      </c>
      <c r="E2189">
        <v>2</v>
      </c>
      <c r="F2189">
        <v>5</v>
      </c>
      <c r="G2189" t="s">
        <v>171</v>
      </c>
      <c r="H2189" s="1">
        <v>17</v>
      </c>
      <c r="I2189" s="1">
        <v>58</v>
      </c>
      <c r="J2189" s="1">
        <v>62</v>
      </c>
      <c r="K2189" s="1">
        <f t="shared" ref="K2189:K2196" si="106">J2189-I2189</f>
        <v>4</v>
      </c>
      <c r="L2189" s="1">
        <v>162</v>
      </c>
      <c r="M2189" s="1">
        <v>73</v>
      </c>
      <c r="N2189" s="1">
        <v>2</v>
      </c>
      <c r="O2189" s="1">
        <v>3</v>
      </c>
      <c r="P2189" s="1">
        <v>10</v>
      </c>
      <c r="Q2189" s="2">
        <v>0.51119999999999999</v>
      </c>
      <c r="R2189" s="1">
        <v>11</v>
      </c>
      <c r="S2189" s="1">
        <f t="shared" ref="S2189:S2196" si="107">R2189/P2189</f>
        <v>1.1000000000000001</v>
      </c>
      <c r="T2189" s="1">
        <v>3</v>
      </c>
      <c r="U2189" s="1">
        <v>9.6</v>
      </c>
      <c r="V2189" s="1">
        <v>1933.0710588235295</v>
      </c>
      <c r="W2189" s="1">
        <v>3</v>
      </c>
    </row>
    <row r="2190" spans="1:23" x14ac:dyDescent="0.2">
      <c r="A2190">
        <v>2021</v>
      </c>
      <c r="B2190" t="s">
        <v>23</v>
      </c>
      <c r="C2190" t="s">
        <v>271</v>
      </c>
      <c r="D2190">
        <v>147</v>
      </c>
      <c r="E2190">
        <v>1</v>
      </c>
      <c r="F2190">
        <v>9</v>
      </c>
      <c r="G2190" t="s">
        <v>172</v>
      </c>
      <c r="H2190" s="1">
        <v>6</v>
      </c>
      <c r="I2190" s="1">
        <v>70</v>
      </c>
      <c r="J2190" s="1">
        <v>72</v>
      </c>
      <c r="K2190" s="1">
        <f t="shared" si="106"/>
        <v>2</v>
      </c>
      <c r="L2190" s="1">
        <v>78</v>
      </c>
      <c r="M2190" s="1">
        <v>37</v>
      </c>
      <c r="N2190" s="1">
        <v>2.5</v>
      </c>
      <c r="O2190" s="1">
        <v>4</v>
      </c>
      <c r="P2190" s="1">
        <v>1</v>
      </c>
      <c r="Q2190" s="2">
        <v>0.05</v>
      </c>
      <c r="R2190" s="1">
        <v>1</v>
      </c>
      <c r="S2190" s="1">
        <f t="shared" si="107"/>
        <v>1</v>
      </c>
      <c r="T2190" s="1">
        <v>5</v>
      </c>
      <c r="U2190" s="1">
        <v>12.5</v>
      </c>
      <c r="V2190" s="1">
        <v>183.00653594771242</v>
      </c>
      <c r="W2190" s="1">
        <v>6</v>
      </c>
    </row>
    <row r="2191" spans="1:23" x14ac:dyDescent="0.2">
      <c r="A2191">
        <v>2021</v>
      </c>
      <c r="B2191" t="s">
        <v>23</v>
      </c>
      <c r="C2191" t="s">
        <v>271</v>
      </c>
      <c r="D2191">
        <v>147</v>
      </c>
      <c r="E2191">
        <v>2</v>
      </c>
      <c r="F2191">
        <v>7</v>
      </c>
      <c r="G2191" t="s">
        <v>172</v>
      </c>
      <c r="H2191" s="1">
        <v>10</v>
      </c>
      <c r="I2191" s="1">
        <v>63</v>
      </c>
      <c r="J2191" s="1">
        <v>67</v>
      </c>
      <c r="K2191" s="1">
        <f t="shared" si="106"/>
        <v>4</v>
      </c>
      <c r="L2191" s="1">
        <v>87</v>
      </c>
      <c r="M2191" s="1">
        <v>40</v>
      </c>
      <c r="N2191" s="1">
        <v>3</v>
      </c>
      <c r="O2191" s="1">
        <v>4</v>
      </c>
      <c r="P2191" s="1">
        <v>6</v>
      </c>
      <c r="Q2191" s="2">
        <v>0.36399999999999999</v>
      </c>
      <c r="R2191" s="1">
        <v>6</v>
      </c>
      <c r="S2191" s="1">
        <f t="shared" si="107"/>
        <v>1</v>
      </c>
      <c r="T2191" s="1">
        <v>3.5</v>
      </c>
      <c r="U2191" s="1">
        <v>12.5</v>
      </c>
      <c r="V2191" s="1">
        <v>1332.2875816993464</v>
      </c>
      <c r="W2191" s="1">
        <v>5</v>
      </c>
    </row>
    <row r="2192" spans="1:23" x14ac:dyDescent="0.2">
      <c r="A2192">
        <v>2021</v>
      </c>
      <c r="B2192" t="s">
        <v>23</v>
      </c>
      <c r="C2192" t="s">
        <v>271</v>
      </c>
      <c r="D2192">
        <v>148</v>
      </c>
      <c r="E2192">
        <v>1</v>
      </c>
      <c r="F2192">
        <v>12</v>
      </c>
      <c r="G2192" t="s">
        <v>173</v>
      </c>
      <c r="H2192" s="1">
        <v>3</v>
      </c>
      <c r="I2192" s="1">
        <v>66</v>
      </c>
      <c r="J2192" s="1">
        <v>70</v>
      </c>
      <c r="K2192" s="1">
        <f t="shared" si="106"/>
        <v>4</v>
      </c>
      <c r="L2192" s="1">
        <v>107</v>
      </c>
      <c r="M2192" s="1">
        <v>45</v>
      </c>
      <c r="N2192" s="1">
        <v>2</v>
      </c>
      <c r="O2192" s="1">
        <v>2.5</v>
      </c>
      <c r="P2192" s="1">
        <v>3</v>
      </c>
      <c r="Q2192" s="2">
        <v>0.24099999999999999</v>
      </c>
      <c r="R2192" s="1">
        <v>2</v>
      </c>
      <c r="S2192" s="1">
        <f t="shared" si="107"/>
        <v>0.66666666666666663</v>
      </c>
      <c r="T2192" s="1">
        <v>2</v>
      </c>
      <c r="U2192" s="1">
        <v>12.5</v>
      </c>
      <c r="V2192" s="1">
        <v>882.09150326797385</v>
      </c>
      <c r="W2192" s="1">
        <v>3</v>
      </c>
    </row>
    <row r="2193" spans="1:23" x14ac:dyDescent="0.2">
      <c r="A2193">
        <v>2021</v>
      </c>
      <c r="B2193" t="s">
        <v>23</v>
      </c>
      <c r="C2193" t="s">
        <v>271</v>
      </c>
      <c r="D2193">
        <v>148</v>
      </c>
      <c r="E2193">
        <v>2</v>
      </c>
      <c r="F2193">
        <v>10</v>
      </c>
      <c r="G2193" t="s">
        <v>173</v>
      </c>
      <c r="H2193" s="1">
        <v>4</v>
      </c>
      <c r="I2193" s="1">
        <v>66</v>
      </c>
      <c r="J2193" s="1">
        <v>67</v>
      </c>
      <c r="K2193" s="1">
        <f t="shared" si="106"/>
        <v>1</v>
      </c>
      <c r="L2193" s="1">
        <v>115</v>
      </c>
      <c r="M2193" s="1">
        <v>55</v>
      </c>
      <c r="N2193" s="1">
        <v>2</v>
      </c>
      <c r="O2193" s="1">
        <v>4.5</v>
      </c>
      <c r="P2193" s="1">
        <v>4</v>
      </c>
      <c r="Q2193" s="2">
        <v>0.36799999999999999</v>
      </c>
      <c r="R2193" s="1">
        <v>5</v>
      </c>
      <c r="S2193" s="1">
        <f t="shared" si="107"/>
        <v>1.25</v>
      </c>
      <c r="T2193" s="1">
        <v>2</v>
      </c>
      <c r="U2193" s="1">
        <v>12.5</v>
      </c>
      <c r="V2193" s="1">
        <v>1346.9281045751634</v>
      </c>
      <c r="W2193" s="1">
        <v>4</v>
      </c>
    </row>
    <row r="2194" spans="1:23" x14ac:dyDescent="0.2">
      <c r="A2194">
        <v>2021</v>
      </c>
      <c r="B2194" t="s">
        <v>23</v>
      </c>
      <c r="C2194" t="s">
        <v>271</v>
      </c>
      <c r="D2194">
        <v>149</v>
      </c>
      <c r="E2194">
        <v>1</v>
      </c>
      <c r="F2194">
        <v>6</v>
      </c>
      <c r="G2194" t="s">
        <v>174</v>
      </c>
      <c r="H2194" s="1">
        <v>13</v>
      </c>
      <c r="I2194" s="1">
        <v>67</v>
      </c>
      <c r="J2194" s="1">
        <v>70</v>
      </c>
      <c r="K2194" s="1">
        <f t="shared" si="106"/>
        <v>3</v>
      </c>
      <c r="L2194" s="1">
        <v>53</v>
      </c>
      <c r="M2194" s="1">
        <v>31</v>
      </c>
      <c r="N2194" s="1">
        <v>2.5</v>
      </c>
      <c r="O2194" s="1">
        <v>4.5</v>
      </c>
      <c r="P2194" s="1">
        <v>10</v>
      </c>
      <c r="Q2194" s="2">
        <v>0.35</v>
      </c>
      <c r="R2194" s="1">
        <v>9</v>
      </c>
      <c r="S2194" s="1">
        <f t="shared" si="107"/>
        <v>0.9</v>
      </c>
      <c r="T2194" s="1">
        <v>5</v>
      </c>
      <c r="U2194" s="1">
        <v>12.5</v>
      </c>
      <c r="V2194" s="1">
        <v>1281.0457516339868</v>
      </c>
      <c r="W2194" s="1">
        <v>6</v>
      </c>
    </row>
    <row r="2195" spans="1:23" x14ac:dyDescent="0.2">
      <c r="A2195">
        <v>2021</v>
      </c>
      <c r="B2195" t="s">
        <v>23</v>
      </c>
      <c r="C2195" t="s">
        <v>271</v>
      </c>
      <c r="D2195">
        <v>149</v>
      </c>
      <c r="E2195">
        <v>2</v>
      </c>
      <c r="F2195">
        <v>6</v>
      </c>
      <c r="G2195" t="s">
        <v>174</v>
      </c>
      <c r="H2195" s="1">
        <v>10</v>
      </c>
      <c r="I2195" s="1">
        <v>66</v>
      </c>
      <c r="J2195" s="1">
        <v>70</v>
      </c>
      <c r="K2195" s="1">
        <f t="shared" si="106"/>
        <v>4</v>
      </c>
      <c r="L2195" s="1">
        <v>114</v>
      </c>
      <c r="M2195" s="1">
        <v>37</v>
      </c>
      <c r="N2195" s="1">
        <v>1.5</v>
      </c>
      <c r="O2195" s="1">
        <v>4</v>
      </c>
      <c r="P2195" s="1">
        <v>8</v>
      </c>
      <c r="Q2195" s="2">
        <v>0.3775</v>
      </c>
      <c r="R2195" s="1">
        <v>7</v>
      </c>
      <c r="S2195" s="1">
        <f t="shared" si="107"/>
        <v>0.875</v>
      </c>
      <c r="T2195" s="1">
        <v>4</v>
      </c>
      <c r="U2195" s="1">
        <v>12.5</v>
      </c>
      <c r="V2195" s="1">
        <v>1381.6993464052289</v>
      </c>
      <c r="W2195" s="1">
        <v>3</v>
      </c>
    </row>
    <row r="2196" spans="1:23" x14ac:dyDescent="0.2">
      <c r="A2196">
        <v>2021</v>
      </c>
      <c r="B2196" t="s">
        <v>23</v>
      </c>
      <c r="C2196" t="s">
        <v>271</v>
      </c>
      <c r="D2196">
        <v>150</v>
      </c>
      <c r="E2196">
        <v>1</v>
      </c>
      <c r="F2196">
        <v>2</v>
      </c>
      <c r="G2196" t="s">
        <v>175</v>
      </c>
      <c r="H2196" s="1">
        <v>7</v>
      </c>
      <c r="I2196" s="1">
        <v>62</v>
      </c>
      <c r="J2196" s="1">
        <v>67</v>
      </c>
      <c r="K2196" s="1">
        <f t="shared" si="106"/>
        <v>5</v>
      </c>
      <c r="L2196" s="1">
        <v>145</v>
      </c>
      <c r="M2196" s="1">
        <v>70</v>
      </c>
      <c r="N2196" s="1">
        <v>2</v>
      </c>
      <c r="O2196" s="1">
        <v>2.5</v>
      </c>
      <c r="P2196" s="1">
        <v>7</v>
      </c>
      <c r="Q2196" s="2">
        <v>1.19</v>
      </c>
      <c r="R2196" s="1">
        <v>6</v>
      </c>
      <c r="S2196" s="1">
        <f t="shared" si="107"/>
        <v>0.8571428571428571</v>
      </c>
      <c r="T2196" s="1">
        <v>2</v>
      </c>
      <c r="U2196" s="1">
        <v>12.5</v>
      </c>
      <c r="V2196" s="1">
        <v>4355.5555555555557</v>
      </c>
      <c r="W2196" s="1">
        <v>5</v>
      </c>
    </row>
    <row r="2197" spans="1:23" x14ac:dyDescent="0.2">
      <c r="A2197">
        <v>2021</v>
      </c>
      <c r="B2197" t="s">
        <v>23</v>
      </c>
      <c r="C2197" t="s">
        <v>271</v>
      </c>
      <c r="D2197">
        <v>150</v>
      </c>
      <c r="E2197">
        <v>2</v>
      </c>
      <c r="F2197">
        <v>7</v>
      </c>
      <c r="G2197" t="s">
        <v>175</v>
      </c>
      <c r="H2197">
        <v>2</v>
      </c>
      <c r="I2197">
        <v>58</v>
      </c>
      <c r="J2197">
        <v>60</v>
      </c>
      <c r="K2197">
        <v>2</v>
      </c>
      <c r="L2197">
        <v>102</v>
      </c>
      <c r="M2197">
        <v>27</v>
      </c>
      <c r="N2197">
        <v>1.5</v>
      </c>
      <c r="O2197">
        <v>2</v>
      </c>
      <c r="P2197">
        <v>2</v>
      </c>
      <c r="Q2197">
        <v>0.2</v>
      </c>
      <c r="R2197">
        <v>3</v>
      </c>
      <c r="S2197">
        <v>1.5</v>
      </c>
      <c r="T2197">
        <v>2.5</v>
      </c>
      <c r="U2197">
        <v>12.5</v>
      </c>
      <c r="V2197">
        <v>732.02614379084969</v>
      </c>
      <c r="W2197">
        <v>1</v>
      </c>
    </row>
    <row r="2198" spans="1:23" x14ac:dyDescent="0.2">
      <c r="A2198">
        <v>2021</v>
      </c>
      <c r="B2198" t="s">
        <v>23</v>
      </c>
      <c r="C2198" t="s">
        <v>271</v>
      </c>
      <c r="D2198">
        <v>151</v>
      </c>
      <c r="E2198">
        <v>1</v>
      </c>
      <c r="F2198">
        <v>5</v>
      </c>
      <c r="G2198" t="s">
        <v>176</v>
      </c>
      <c r="H2198">
        <v>1</v>
      </c>
      <c r="I2198">
        <v>63</v>
      </c>
      <c r="J2198">
        <v>65</v>
      </c>
      <c r="K2198">
        <v>2</v>
      </c>
      <c r="L2198">
        <v>140</v>
      </c>
      <c r="M2198">
        <v>56</v>
      </c>
      <c r="N2198">
        <v>1.5</v>
      </c>
      <c r="O2198">
        <v>2.5</v>
      </c>
      <c r="P2198">
        <v>1</v>
      </c>
      <c r="Q2198">
        <v>0.1</v>
      </c>
      <c r="R2198">
        <v>1</v>
      </c>
      <c r="S2198">
        <v>1</v>
      </c>
      <c r="T2198" t="s">
        <v>273</v>
      </c>
      <c r="U2198">
        <v>12.5</v>
      </c>
      <c r="V2198">
        <v>366.01307189542484</v>
      </c>
      <c r="W2198">
        <v>1</v>
      </c>
    </row>
    <row r="2199" spans="1:23" x14ac:dyDescent="0.2">
      <c r="A2199">
        <v>2021</v>
      </c>
      <c r="B2199" t="s">
        <v>23</v>
      </c>
      <c r="C2199" t="s">
        <v>271</v>
      </c>
      <c r="D2199">
        <v>151</v>
      </c>
      <c r="E2199">
        <v>2</v>
      </c>
      <c r="F2199">
        <v>2</v>
      </c>
      <c r="G2199" t="s">
        <v>176</v>
      </c>
      <c r="H2199" s="1">
        <v>13</v>
      </c>
      <c r="I2199" s="1">
        <v>63</v>
      </c>
      <c r="J2199" s="1">
        <v>69</v>
      </c>
      <c r="K2199" s="1">
        <f t="shared" ref="K2199:K2208" si="108">J2199-I2199</f>
        <v>6</v>
      </c>
      <c r="L2199" s="1">
        <v>143</v>
      </c>
      <c r="M2199" s="1">
        <v>73</v>
      </c>
      <c r="N2199" s="1">
        <v>2</v>
      </c>
      <c r="O2199" s="1">
        <v>3</v>
      </c>
      <c r="P2199" s="1">
        <f>H2199</f>
        <v>13</v>
      </c>
      <c r="Q2199" s="2">
        <v>0.13800000000000001</v>
      </c>
      <c r="R2199" s="1">
        <v>7</v>
      </c>
      <c r="S2199" s="1">
        <f t="shared" ref="S2199:S2208" si="109">R2199/P2199</f>
        <v>0.53846153846153844</v>
      </c>
      <c r="T2199" s="1">
        <v>5</v>
      </c>
      <c r="U2199" s="1">
        <v>12.5</v>
      </c>
      <c r="V2199" s="1">
        <v>505.09803921568641</v>
      </c>
      <c r="W2199" s="1">
        <v>3</v>
      </c>
    </row>
    <row r="2200" spans="1:23" x14ac:dyDescent="0.2">
      <c r="A2200">
        <v>2021</v>
      </c>
      <c r="B2200" t="s">
        <v>23</v>
      </c>
      <c r="C2200" t="s">
        <v>271</v>
      </c>
      <c r="D2200">
        <v>152</v>
      </c>
      <c r="E2200">
        <v>1</v>
      </c>
      <c r="F2200">
        <v>8</v>
      </c>
      <c r="G2200" t="s">
        <v>177</v>
      </c>
      <c r="H2200" s="1">
        <v>12</v>
      </c>
      <c r="I2200" s="1">
        <v>59</v>
      </c>
      <c r="J2200" s="1">
        <v>64</v>
      </c>
      <c r="K2200" s="1">
        <f t="shared" si="108"/>
        <v>5</v>
      </c>
      <c r="L2200" s="1">
        <v>132</v>
      </c>
      <c r="M2200" s="1">
        <v>67</v>
      </c>
      <c r="N2200" s="1">
        <v>3</v>
      </c>
      <c r="O2200" s="1">
        <v>4</v>
      </c>
      <c r="P2200" s="1">
        <v>7</v>
      </c>
      <c r="Q2200" s="2">
        <v>0.17460000000000001</v>
      </c>
      <c r="R2200" s="1">
        <v>4</v>
      </c>
      <c r="S2200" s="1">
        <f t="shared" si="109"/>
        <v>0.5714285714285714</v>
      </c>
      <c r="T2200" s="1">
        <v>5</v>
      </c>
      <c r="U2200" s="1">
        <v>12.5</v>
      </c>
      <c r="V2200" s="1">
        <v>639.05882352941182</v>
      </c>
      <c r="W2200" s="1">
        <v>5</v>
      </c>
    </row>
    <row r="2201" spans="1:23" x14ac:dyDescent="0.2">
      <c r="A2201">
        <v>2021</v>
      </c>
      <c r="B2201" t="s">
        <v>23</v>
      </c>
      <c r="C2201" t="s">
        <v>271</v>
      </c>
      <c r="D2201">
        <v>152</v>
      </c>
      <c r="E2201">
        <v>2</v>
      </c>
      <c r="F2201">
        <v>8</v>
      </c>
      <c r="G2201" t="s">
        <v>177</v>
      </c>
      <c r="H2201" s="1">
        <v>12</v>
      </c>
      <c r="I2201" s="1">
        <v>57</v>
      </c>
      <c r="J2201" s="1">
        <v>62</v>
      </c>
      <c r="K2201" s="1">
        <f t="shared" si="108"/>
        <v>5</v>
      </c>
      <c r="L2201" s="1">
        <v>129</v>
      </c>
      <c r="M2201" s="1">
        <v>60</v>
      </c>
      <c r="N2201" s="1">
        <v>2</v>
      </c>
      <c r="O2201" s="1">
        <v>3.5</v>
      </c>
      <c r="P2201" s="1">
        <f>H2201-2</f>
        <v>10</v>
      </c>
      <c r="Q2201" s="2">
        <v>0.24299999999999999</v>
      </c>
      <c r="R2201" s="1">
        <v>10</v>
      </c>
      <c r="S2201" s="1">
        <f t="shared" si="109"/>
        <v>1</v>
      </c>
      <c r="T2201" s="1">
        <v>3</v>
      </c>
      <c r="U2201" s="1">
        <v>12.5</v>
      </c>
      <c r="V2201" s="1">
        <v>889.41176470588243</v>
      </c>
      <c r="W2201" s="1">
        <v>5</v>
      </c>
    </row>
    <row r="2202" spans="1:23" x14ac:dyDescent="0.2">
      <c r="A2202">
        <v>2021</v>
      </c>
      <c r="B2202" t="s">
        <v>23</v>
      </c>
      <c r="C2202" t="s">
        <v>271</v>
      </c>
      <c r="D2202">
        <v>153</v>
      </c>
      <c r="E2202">
        <v>1</v>
      </c>
      <c r="F2202">
        <v>11</v>
      </c>
      <c r="G2202" t="s">
        <v>178</v>
      </c>
      <c r="H2202" s="1">
        <v>13</v>
      </c>
      <c r="I2202" s="1">
        <v>67</v>
      </c>
      <c r="J2202" s="1">
        <v>68</v>
      </c>
      <c r="K2202" s="1">
        <f t="shared" si="108"/>
        <v>1</v>
      </c>
      <c r="L2202" s="1">
        <v>168</v>
      </c>
      <c r="M2202" s="1">
        <v>105</v>
      </c>
      <c r="N2202" s="1">
        <v>3</v>
      </c>
      <c r="O2202" s="1">
        <v>4</v>
      </c>
      <c r="P2202" s="1">
        <f>H2202-1</f>
        <v>12</v>
      </c>
      <c r="Q2202" s="2">
        <v>0.25469999999999998</v>
      </c>
      <c r="R2202" s="1">
        <v>10</v>
      </c>
      <c r="S2202" s="1">
        <f t="shared" si="109"/>
        <v>0.83333333333333337</v>
      </c>
      <c r="T2202" s="1">
        <v>5</v>
      </c>
      <c r="U2202" s="1">
        <v>12.5</v>
      </c>
      <c r="V2202" s="1">
        <v>932.23529411764707</v>
      </c>
      <c r="W2202" s="1">
        <v>6</v>
      </c>
    </row>
    <row r="2203" spans="1:23" x14ac:dyDescent="0.2">
      <c r="A2203">
        <v>2021</v>
      </c>
      <c r="B2203" t="s">
        <v>23</v>
      </c>
      <c r="C2203" t="s">
        <v>271</v>
      </c>
      <c r="D2203">
        <v>153</v>
      </c>
      <c r="E2203">
        <v>2</v>
      </c>
      <c r="F2203">
        <v>5</v>
      </c>
      <c r="G2203" t="s">
        <v>178</v>
      </c>
      <c r="H2203" s="1">
        <v>9</v>
      </c>
      <c r="I2203" s="1">
        <v>67</v>
      </c>
      <c r="J2203" s="1">
        <v>72</v>
      </c>
      <c r="K2203" s="1">
        <f t="shared" si="108"/>
        <v>5</v>
      </c>
      <c r="L2203" s="1">
        <v>132</v>
      </c>
      <c r="M2203" s="1">
        <v>45</v>
      </c>
      <c r="N2203" s="1">
        <v>2</v>
      </c>
      <c r="O2203" s="1">
        <v>3.5</v>
      </c>
      <c r="P2203" s="1">
        <v>7</v>
      </c>
      <c r="Q2203" s="2">
        <v>4.4999999999999998E-2</v>
      </c>
      <c r="R2203" s="1">
        <v>2</v>
      </c>
      <c r="S2203" s="1">
        <f t="shared" si="109"/>
        <v>0.2857142857142857</v>
      </c>
      <c r="T2203" s="1">
        <v>5</v>
      </c>
      <c r="U2203" s="1">
        <v>12.5</v>
      </c>
      <c r="V2203" s="1">
        <v>164.70588235294116</v>
      </c>
      <c r="W2203" s="1">
        <v>6</v>
      </c>
    </row>
    <row r="2204" spans="1:23" x14ac:dyDescent="0.2">
      <c r="A2204">
        <v>2021</v>
      </c>
      <c r="B2204" t="s">
        <v>23</v>
      </c>
      <c r="C2204" t="s">
        <v>271</v>
      </c>
      <c r="D2204">
        <v>154</v>
      </c>
      <c r="E2204">
        <v>1</v>
      </c>
      <c r="F2204">
        <v>2</v>
      </c>
      <c r="G2204" t="s">
        <v>179</v>
      </c>
      <c r="H2204" s="1">
        <v>7</v>
      </c>
      <c r="I2204" s="1">
        <v>70</v>
      </c>
      <c r="J2204" s="1">
        <v>74</v>
      </c>
      <c r="K2204" s="1">
        <f t="shared" si="108"/>
        <v>4</v>
      </c>
      <c r="L2204" s="1">
        <v>150</v>
      </c>
      <c r="M2204" s="1">
        <v>88</v>
      </c>
      <c r="N2204" s="1">
        <v>2</v>
      </c>
      <c r="O2204" s="1">
        <v>2</v>
      </c>
      <c r="P2204" s="1">
        <f>H2204-2</f>
        <v>5</v>
      </c>
      <c r="Q2204" s="2">
        <v>0.10439999999999999</v>
      </c>
      <c r="R2204" s="1">
        <v>3</v>
      </c>
      <c r="S2204" s="1">
        <f t="shared" si="109"/>
        <v>0.6</v>
      </c>
      <c r="T2204" s="1">
        <v>3</v>
      </c>
      <c r="U2204" s="1">
        <v>12.5</v>
      </c>
      <c r="V2204" s="1">
        <v>382.11764705882354</v>
      </c>
      <c r="W2204" s="1">
        <v>5</v>
      </c>
    </row>
    <row r="2205" spans="1:23" x14ac:dyDescent="0.2">
      <c r="A2205">
        <v>2021</v>
      </c>
      <c r="B2205" t="s">
        <v>23</v>
      </c>
      <c r="C2205" t="s">
        <v>271</v>
      </c>
      <c r="D2205">
        <v>154</v>
      </c>
      <c r="E2205">
        <v>2</v>
      </c>
      <c r="F2205">
        <v>11</v>
      </c>
      <c r="G2205" t="s">
        <v>179</v>
      </c>
      <c r="H2205" s="1">
        <v>4</v>
      </c>
      <c r="I2205" s="1">
        <v>62</v>
      </c>
      <c r="J2205" s="1">
        <v>66</v>
      </c>
      <c r="K2205" s="1">
        <f t="shared" si="108"/>
        <v>4</v>
      </c>
      <c r="L2205" s="1">
        <v>53</v>
      </c>
      <c r="M2205" s="1">
        <v>70</v>
      </c>
      <c r="N2205" s="1">
        <v>1</v>
      </c>
      <c r="O2205" s="1">
        <v>2.5</v>
      </c>
      <c r="P2205" s="1">
        <f>H2205-2</f>
        <v>2</v>
      </c>
      <c r="Q2205" s="2">
        <v>0.18584999999999999</v>
      </c>
      <c r="R2205" s="1">
        <v>3</v>
      </c>
      <c r="S2205" s="1">
        <f t="shared" si="109"/>
        <v>1.5</v>
      </c>
      <c r="T2205" s="1">
        <v>2</v>
      </c>
      <c r="U2205" s="1">
        <v>12.5</v>
      </c>
      <c r="V2205" s="1">
        <v>680.23529411764707</v>
      </c>
      <c r="W2205" s="1">
        <v>3</v>
      </c>
    </row>
    <row r="2206" spans="1:23" x14ac:dyDescent="0.2">
      <c r="A2206">
        <v>2021</v>
      </c>
      <c r="B2206" t="s">
        <v>23</v>
      </c>
      <c r="C2206" t="s">
        <v>271</v>
      </c>
      <c r="D2206">
        <v>155</v>
      </c>
      <c r="E2206">
        <v>1</v>
      </c>
      <c r="F2206">
        <v>2</v>
      </c>
      <c r="G2206" t="s">
        <v>180</v>
      </c>
      <c r="H2206" s="1">
        <v>8</v>
      </c>
      <c r="I2206" s="1">
        <v>68</v>
      </c>
      <c r="J2206" s="1">
        <v>70</v>
      </c>
      <c r="K2206" s="1">
        <f t="shared" si="108"/>
        <v>2</v>
      </c>
      <c r="L2206" s="1">
        <v>164</v>
      </c>
      <c r="M2206" s="1">
        <v>83</v>
      </c>
      <c r="N2206" s="1">
        <v>2</v>
      </c>
      <c r="O2206" s="1">
        <v>2.5</v>
      </c>
      <c r="P2206" s="1">
        <f>H2206-2</f>
        <v>6</v>
      </c>
      <c r="Q2206" s="2">
        <v>0.09</v>
      </c>
      <c r="R2206" s="1">
        <v>4</v>
      </c>
      <c r="S2206" s="1">
        <f t="shared" si="109"/>
        <v>0.66666666666666663</v>
      </c>
      <c r="T2206" s="1">
        <v>5</v>
      </c>
      <c r="U2206" s="1">
        <v>12.5</v>
      </c>
      <c r="V2206" s="1">
        <v>329.41176470588232</v>
      </c>
      <c r="W2206" s="1">
        <v>4</v>
      </c>
    </row>
    <row r="2207" spans="1:23" x14ac:dyDescent="0.2">
      <c r="A2207">
        <v>2021</v>
      </c>
      <c r="B2207" t="s">
        <v>23</v>
      </c>
      <c r="C2207" t="s">
        <v>271</v>
      </c>
      <c r="D2207">
        <v>155</v>
      </c>
      <c r="E2207">
        <v>2</v>
      </c>
      <c r="F2207">
        <v>5</v>
      </c>
      <c r="G2207" t="s">
        <v>180</v>
      </c>
      <c r="H2207" s="3">
        <v>2</v>
      </c>
      <c r="I2207" s="3">
        <v>70</v>
      </c>
      <c r="J2207" s="3">
        <v>72</v>
      </c>
      <c r="K2207" s="3">
        <f t="shared" si="108"/>
        <v>2</v>
      </c>
      <c r="L2207" s="3">
        <v>158</v>
      </c>
      <c r="M2207" s="3">
        <v>77</v>
      </c>
      <c r="N2207" s="3">
        <v>2</v>
      </c>
      <c r="O2207" s="3">
        <v>2.5</v>
      </c>
      <c r="P2207" s="3">
        <v>8</v>
      </c>
      <c r="Q2207" s="4">
        <v>0.33</v>
      </c>
      <c r="R2207" s="3">
        <v>6</v>
      </c>
      <c r="S2207" s="3">
        <f t="shared" si="109"/>
        <v>0.75</v>
      </c>
      <c r="T2207" s="3">
        <v>4</v>
      </c>
      <c r="U2207" s="3">
        <v>12.5</v>
      </c>
      <c r="V2207" s="3">
        <v>1207.8431372549019</v>
      </c>
      <c r="W2207" s="3">
        <v>5</v>
      </c>
    </row>
    <row r="2208" spans="1:23" x14ac:dyDescent="0.2">
      <c r="A2208">
        <v>2021</v>
      </c>
      <c r="B2208" t="s">
        <v>23</v>
      </c>
      <c r="C2208" t="s">
        <v>271</v>
      </c>
      <c r="D2208">
        <v>156</v>
      </c>
      <c r="E2208">
        <v>1</v>
      </c>
      <c r="F2208">
        <v>8</v>
      </c>
      <c r="G2208" t="s">
        <v>181</v>
      </c>
      <c r="H2208" s="1">
        <v>5</v>
      </c>
      <c r="I2208" s="1">
        <v>69</v>
      </c>
      <c r="J2208" s="1">
        <v>73</v>
      </c>
      <c r="K2208" s="1">
        <f t="shared" si="108"/>
        <v>4</v>
      </c>
      <c r="L2208" s="1">
        <v>123</v>
      </c>
      <c r="M2208" s="1">
        <v>45</v>
      </c>
      <c r="N2208" s="1">
        <v>3</v>
      </c>
      <c r="O2208" s="1">
        <v>4.5</v>
      </c>
      <c r="P2208" s="1">
        <v>5</v>
      </c>
      <c r="Q2208" s="2">
        <v>0.14959999999999998</v>
      </c>
      <c r="R2208" s="1">
        <v>5</v>
      </c>
      <c r="S2208" s="1">
        <f t="shared" si="109"/>
        <v>1</v>
      </c>
      <c r="T2208" s="1">
        <v>4</v>
      </c>
      <c r="U2208" s="1">
        <v>12.5</v>
      </c>
      <c r="V2208" s="1">
        <v>547.55555555555554</v>
      </c>
      <c r="W2208" s="1">
        <v>4</v>
      </c>
    </row>
    <row r="2209" spans="1:23" x14ac:dyDescent="0.2">
      <c r="A2209">
        <v>2021</v>
      </c>
      <c r="B2209" t="s">
        <v>23</v>
      </c>
      <c r="C2209" t="s">
        <v>271</v>
      </c>
      <c r="D2209">
        <v>156</v>
      </c>
      <c r="E2209">
        <v>2</v>
      </c>
      <c r="F2209">
        <v>3</v>
      </c>
      <c r="G2209" t="s">
        <v>181</v>
      </c>
      <c r="H2209">
        <v>4</v>
      </c>
      <c r="I2209">
        <v>63</v>
      </c>
      <c r="J2209">
        <v>65</v>
      </c>
      <c r="K2209">
        <v>2</v>
      </c>
      <c r="L2209">
        <v>145</v>
      </c>
      <c r="M2209">
        <v>75</v>
      </c>
      <c r="N2209">
        <v>1.5</v>
      </c>
      <c r="O2209">
        <v>2.5</v>
      </c>
      <c r="P2209">
        <v>4</v>
      </c>
      <c r="Q2209">
        <v>0.2</v>
      </c>
      <c r="R2209">
        <v>3</v>
      </c>
      <c r="S2209">
        <v>0.75</v>
      </c>
      <c r="T2209" t="s">
        <v>273</v>
      </c>
      <c r="U2209">
        <v>12.5</v>
      </c>
      <c r="V2209">
        <v>732.02614379084969</v>
      </c>
      <c r="W2209">
        <v>1</v>
      </c>
    </row>
    <row r="2210" spans="1:23" x14ac:dyDescent="0.2">
      <c r="A2210">
        <v>2021</v>
      </c>
      <c r="B2210" t="s">
        <v>23</v>
      </c>
      <c r="C2210" t="s">
        <v>271</v>
      </c>
      <c r="D2210">
        <v>157</v>
      </c>
      <c r="E2210">
        <v>1</v>
      </c>
      <c r="F2210">
        <v>9</v>
      </c>
      <c r="G2210" t="s">
        <v>182</v>
      </c>
      <c r="H2210" s="1">
        <v>7</v>
      </c>
      <c r="I2210" s="1">
        <v>65</v>
      </c>
      <c r="J2210" s="1">
        <v>66</v>
      </c>
      <c r="K2210" s="1">
        <f>J2210-I2210</f>
        <v>1</v>
      </c>
      <c r="L2210" s="1">
        <v>89</v>
      </c>
      <c r="M2210" s="1">
        <v>42</v>
      </c>
      <c r="N2210" s="1">
        <v>2.5</v>
      </c>
      <c r="O2210" s="1">
        <v>4.5</v>
      </c>
      <c r="P2210" s="1">
        <v>5</v>
      </c>
      <c r="Q2210" s="2">
        <v>0.122</v>
      </c>
      <c r="R2210" s="1">
        <v>4</v>
      </c>
      <c r="S2210" s="1">
        <f>R2210/P2210</f>
        <v>0.8</v>
      </c>
      <c r="T2210" s="1">
        <v>5</v>
      </c>
      <c r="U2210" s="1">
        <v>12.5</v>
      </c>
      <c r="V2210" s="1">
        <v>446.53594771241831</v>
      </c>
      <c r="W2210" s="1">
        <v>5</v>
      </c>
    </row>
    <row r="2211" spans="1:23" x14ac:dyDescent="0.2">
      <c r="A2211">
        <v>2021</v>
      </c>
      <c r="B2211" t="s">
        <v>23</v>
      </c>
      <c r="C2211" t="s">
        <v>271</v>
      </c>
      <c r="D2211">
        <v>157</v>
      </c>
      <c r="E2211">
        <v>2</v>
      </c>
      <c r="F2211">
        <v>13</v>
      </c>
      <c r="G2211" t="s">
        <v>182</v>
      </c>
      <c r="H2211" s="1">
        <v>11</v>
      </c>
      <c r="I2211" s="1">
        <v>64</v>
      </c>
      <c r="J2211" s="1">
        <v>68</v>
      </c>
      <c r="K2211" s="1">
        <f>J2211-I2211</f>
        <v>4</v>
      </c>
      <c r="L2211" s="1">
        <v>155</v>
      </c>
      <c r="M2211" s="1">
        <v>93</v>
      </c>
      <c r="N2211" s="1">
        <v>2</v>
      </c>
      <c r="O2211" s="1">
        <v>2.5</v>
      </c>
      <c r="P2211" s="1">
        <v>10</v>
      </c>
      <c r="Q2211" s="2">
        <v>0.20884499999999998</v>
      </c>
      <c r="R2211" s="1">
        <v>9</v>
      </c>
      <c r="S2211" s="1">
        <f>R2211/P2211</f>
        <v>0.9</v>
      </c>
      <c r="T2211" s="1">
        <v>5</v>
      </c>
      <c r="U2211" s="1">
        <v>12.5</v>
      </c>
      <c r="V2211" s="1">
        <v>764.40000000000009</v>
      </c>
      <c r="W2211" s="1">
        <v>4</v>
      </c>
    </row>
    <row r="2212" spans="1:23" x14ac:dyDescent="0.2">
      <c r="A2212">
        <v>2021</v>
      </c>
      <c r="B2212" t="s">
        <v>23</v>
      </c>
      <c r="C2212" t="s">
        <v>271</v>
      </c>
      <c r="D2212">
        <v>158</v>
      </c>
      <c r="E2212">
        <v>1</v>
      </c>
      <c r="F2212">
        <v>5</v>
      </c>
      <c r="G2212" t="s">
        <v>183</v>
      </c>
      <c r="H2212">
        <v>16</v>
      </c>
      <c r="I2212">
        <v>54</v>
      </c>
      <c r="J2212">
        <v>57</v>
      </c>
      <c r="K2212">
        <v>3</v>
      </c>
      <c r="L2212">
        <v>189</v>
      </c>
      <c r="M2212">
        <v>61</v>
      </c>
      <c r="N2212">
        <v>2</v>
      </c>
      <c r="O2212">
        <v>2.5</v>
      </c>
      <c r="P2212">
        <v>8</v>
      </c>
      <c r="Q2212">
        <v>0.5</v>
      </c>
      <c r="R2212">
        <v>5</v>
      </c>
      <c r="S2212">
        <v>0.625</v>
      </c>
      <c r="T2212">
        <v>4</v>
      </c>
      <c r="U2212">
        <v>11.5</v>
      </c>
      <c r="V2212">
        <v>1850.9803921568628</v>
      </c>
      <c r="W2212">
        <v>2</v>
      </c>
    </row>
    <row r="2213" spans="1:23" x14ac:dyDescent="0.2">
      <c r="A2213">
        <v>2021</v>
      </c>
      <c r="B2213" t="s">
        <v>23</v>
      </c>
      <c r="C2213" t="s">
        <v>271</v>
      </c>
      <c r="D2213">
        <v>158</v>
      </c>
      <c r="E2213">
        <v>2</v>
      </c>
      <c r="F2213">
        <v>5</v>
      </c>
      <c r="G2213" t="s">
        <v>183</v>
      </c>
      <c r="H2213">
        <v>16</v>
      </c>
      <c r="I2213">
        <v>53</v>
      </c>
      <c r="J2213">
        <v>55</v>
      </c>
      <c r="K2213">
        <v>2</v>
      </c>
      <c r="L2213">
        <v>154</v>
      </c>
      <c r="M2213">
        <v>48</v>
      </c>
      <c r="N2213">
        <v>1</v>
      </c>
      <c r="O2213">
        <v>2.5</v>
      </c>
      <c r="P2213">
        <v>14</v>
      </c>
      <c r="Q2213">
        <v>1</v>
      </c>
      <c r="R2213">
        <v>13</v>
      </c>
      <c r="S2213">
        <v>0.9285714285714286</v>
      </c>
      <c r="T2213">
        <v>2</v>
      </c>
      <c r="U2213">
        <v>12.1</v>
      </c>
      <c r="V2213">
        <v>3676.8627450980389</v>
      </c>
      <c r="W2213">
        <v>1</v>
      </c>
    </row>
    <row r="2214" spans="1:23" x14ac:dyDescent="0.2">
      <c r="A2214">
        <v>2021</v>
      </c>
      <c r="B2214" t="s">
        <v>23</v>
      </c>
      <c r="C2214" t="s">
        <v>271</v>
      </c>
      <c r="D2214">
        <v>159</v>
      </c>
      <c r="E2214">
        <v>1</v>
      </c>
      <c r="F2214">
        <v>9</v>
      </c>
      <c r="G2214" t="s">
        <v>184</v>
      </c>
      <c r="H2214">
        <v>1</v>
      </c>
      <c r="I2214">
        <v>55</v>
      </c>
      <c r="J2214">
        <v>57</v>
      </c>
      <c r="K2214">
        <v>2</v>
      </c>
      <c r="L2214">
        <v>128</v>
      </c>
      <c r="M2214">
        <v>56</v>
      </c>
      <c r="N2214">
        <v>3</v>
      </c>
      <c r="O2214">
        <v>4</v>
      </c>
      <c r="P2214">
        <v>1</v>
      </c>
      <c r="Q2214">
        <v>0.13100000000000001</v>
      </c>
      <c r="R2214">
        <v>1</v>
      </c>
      <c r="S2214">
        <v>1</v>
      </c>
      <c r="T2214">
        <v>2</v>
      </c>
      <c r="U2214">
        <v>12.5</v>
      </c>
      <c r="V2214">
        <v>479.47712418300648</v>
      </c>
      <c r="W2214">
        <v>1</v>
      </c>
    </row>
    <row r="2215" spans="1:23" x14ac:dyDescent="0.2">
      <c r="A2215">
        <v>2021</v>
      </c>
      <c r="B2215" t="s">
        <v>23</v>
      </c>
      <c r="C2215" t="s">
        <v>271</v>
      </c>
      <c r="D2215">
        <v>159</v>
      </c>
      <c r="E2215">
        <v>2</v>
      </c>
      <c r="F2215">
        <v>12</v>
      </c>
      <c r="G2215" t="s">
        <v>184</v>
      </c>
      <c r="H2215" s="1">
        <v>8</v>
      </c>
      <c r="I2215" s="1">
        <v>65</v>
      </c>
      <c r="J2215" s="1">
        <v>71</v>
      </c>
      <c r="K2215" s="1">
        <f>J2215-I2215</f>
        <v>6</v>
      </c>
      <c r="L2215" s="1">
        <v>101</v>
      </c>
      <c r="M2215" s="1">
        <v>26</v>
      </c>
      <c r="N2215" s="1">
        <v>2.5</v>
      </c>
      <c r="O2215" s="1">
        <v>4.5</v>
      </c>
      <c r="P2215" s="1">
        <v>4</v>
      </c>
      <c r="Q2215" s="2">
        <v>8.8499999999999995E-2</v>
      </c>
      <c r="R2215" s="1">
        <v>4</v>
      </c>
      <c r="S2215" s="1">
        <f>R2215/P2215</f>
        <v>1</v>
      </c>
      <c r="T2215" s="1">
        <v>5</v>
      </c>
      <c r="U2215" s="1">
        <v>12.5</v>
      </c>
      <c r="V2215" s="1">
        <v>323.92156862745099</v>
      </c>
      <c r="W2215" s="1">
        <v>5</v>
      </c>
    </row>
    <row r="2216" spans="1:23" x14ac:dyDescent="0.2">
      <c r="A2216">
        <v>2021</v>
      </c>
      <c r="B2216" t="s">
        <v>23</v>
      </c>
      <c r="C2216" t="s">
        <v>271</v>
      </c>
      <c r="D2216">
        <v>160</v>
      </c>
      <c r="E2216">
        <v>1</v>
      </c>
      <c r="F2216">
        <v>15</v>
      </c>
      <c r="G2216" t="s">
        <v>185</v>
      </c>
      <c r="H2216">
        <v>15</v>
      </c>
      <c r="I2216">
        <v>55</v>
      </c>
      <c r="J2216">
        <v>58</v>
      </c>
      <c r="K2216">
        <v>3</v>
      </c>
      <c r="L2216">
        <v>185</v>
      </c>
      <c r="M2216">
        <v>89</v>
      </c>
      <c r="N2216">
        <v>2</v>
      </c>
      <c r="O2216">
        <v>2.5</v>
      </c>
      <c r="P2216">
        <v>9</v>
      </c>
      <c r="Q2216">
        <v>1</v>
      </c>
      <c r="R2216">
        <v>11</v>
      </c>
      <c r="S2216">
        <v>1.2222222222222223</v>
      </c>
      <c r="T2216">
        <v>3</v>
      </c>
      <c r="U2216">
        <v>10</v>
      </c>
      <c r="V2216">
        <v>3764.705882352941</v>
      </c>
      <c r="W2216">
        <v>1</v>
      </c>
    </row>
    <row r="2217" spans="1:23" x14ac:dyDescent="0.2">
      <c r="A2217">
        <v>2021</v>
      </c>
      <c r="B2217" t="s">
        <v>23</v>
      </c>
      <c r="C2217" t="s">
        <v>271</v>
      </c>
      <c r="D2217">
        <v>160</v>
      </c>
      <c r="E2217">
        <v>2</v>
      </c>
      <c r="F2217">
        <v>4</v>
      </c>
      <c r="G2217" t="s">
        <v>185</v>
      </c>
      <c r="H2217">
        <v>13</v>
      </c>
      <c r="I2217">
        <v>55</v>
      </c>
      <c r="J2217">
        <v>58</v>
      </c>
      <c r="K2217">
        <v>3</v>
      </c>
      <c r="L2217">
        <v>158</v>
      </c>
      <c r="M2217">
        <v>78</v>
      </c>
      <c r="N2217">
        <v>2</v>
      </c>
      <c r="O2217">
        <v>2.5</v>
      </c>
      <c r="P2217">
        <v>13</v>
      </c>
      <c r="Q2217">
        <v>0.6</v>
      </c>
      <c r="R2217">
        <v>10</v>
      </c>
      <c r="S2217">
        <v>0.76923076923076927</v>
      </c>
      <c r="T2217">
        <v>2</v>
      </c>
      <c r="U2217">
        <v>11.4</v>
      </c>
      <c r="V2217">
        <v>2223.6862745098038</v>
      </c>
      <c r="W2217">
        <v>2</v>
      </c>
    </row>
    <row r="2218" spans="1:23" x14ac:dyDescent="0.2">
      <c r="A2218">
        <v>2021</v>
      </c>
      <c r="B2218" t="s">
        <v>23</v>
      </c>
      <c r="C2218" t="s">
        <v>271</v>
      </c>
      <c r="D2218">
        <v>161</v>
      </c>
      <c r="E2218">
        <v>1</v>
      </c>
      <c r="F2218">
        <v>3</v>
      </c>
      <c r="G2218" t="s">
        <v>186</v>
      </c>
      <c r="H2218">
        <v>8</v>
      </c>
      <c r="I2218">
        <v>60</v>
      </c>
      <c r="J2218">
        <v>65</v>
      </c>
      <c r="K2218">
        <v>5</v>
      </c>
      <c r="L2218">
        <v>146</v>
      </c>
      <c r="M2218">
        <v>54</v>
      </c>
      <c r="N2218">
        <v>1</v>
      </c>
      <c r="O2218">
        <v>4</v>
      </c>
      <c r="P2218">
        <v>8</v>
      </c>
      <c r="Q2218">
        <v>0.56870000000000009</v>
      </c>
      <c r="R2218">
        <v>6</v>
      </c>
      <c r="S2218">
        <v>0.75</v>
      </c>
      <c r="T2218">
        <v>3</v>
      </c>
      <c r="U2218">
        <v>12.5</v>
      </c>
      <c r="V2218">
        <v>2081.5163398692816</v>
      </c>
      <c r="W2218">
        <v>2</v>
      </c>
    </row>
    <row r="2219" spans="1:23" x14ac:dyDescent="0.2">
      <c r="A2219">
        <v>2021</v>
      </c>
      <c r="B2219" t="s">
        <v>23</v>
      </c>
      <c r="C2219" t="s">
        <v>271</v>
      </c>
      <c r="D2219">
        <v>161</v>
      </c>
      <c r="E2219">
        <v>2</v>
      </c>
      <c r="F2219">
        <v>13</v>
      </c>
      <c r="G2219" t="s">
        <v>186</v>
      </c>
      <c r="H2219" s="1">
        <v>16</v>
      </c>
      <c r="I2219" s="1">
        <v>61</v>
      </c>
      <c r="J2219" s="1">
        <v>65</v>
      </c>
      <c r="K2219" s="1">
        <f>J2219-I2219</f>
        <v>4</v>
      </c>
      <c r="L2219" s="1">
        <v>192</v>
      </c>
      <c r="M2219" s="1">
        <v>26</v>
      </c>
      <c r="N2219" s="1">
        <v>2</v>
      </c>
      <c r="O2219" s="1">
        <v>3.5</v>
      </c>
      <c r="P2219" s="1">
        <v>10</v>
      </c>
      <c r="Q2219" s="2">
        <v>0.3392</v>
      </c>
      <c r="R2219" s="1">
        <v>11</v>
      </c>
      <c r="S2219" s="1">
        <f>R2219/P2219</f>
        <v>1.1000000000000001</v>
      </c>
      <c r="T2219" s="1">
        <v>2</v>
      </c>
      <c r="U2219" s="1">
        <v>12.5</v>
      </c>
      <c r="V2219" s="1">
        <v>1241.5163398692812</v>
      </c>
      <c r="W2219" s="1">
        <v>3</v>
      </c>
    </row>
    <row r="2220" spans="1:23" x14ac:dyDescent="0.2">
      <c r="A2220">
        <v>2021</v>
      </c>
      <c r="B2220" t="s">
        <v>23</v>
      </c>
      <c r="C2220" t="s">
        <v>271</v>
      </c>
      <c r="D2220">
        <v>162</v>
      </c>
      <c r="E2220">
        <v>1</v>
      </c>
      <c r="F2220">
        <v>10</v>
      </c>
      <c r="G2220" t="s">
        <v>187</v>
      </c>
      <c r="H2220">
        <v>14</v>
      </c>
      <c r="I2220">
        <v>52</v>
      </c>
      <c r="J2220">
        <v>55</v>
      </c>
      <c r="K2220">
        <v>3</v>
      </c>
      <c r="L2220">
        <v>176</v>
      </c>
      <c r="M2220">
        <v>81</v>
      </c>
      <c r="N2220">
        <v>1</v>
      </c>
      <c r="O2220">
        <v>2</v>
      </c>
      <c r="P2220">
        <v>14</v>
      </c>
      <c r="Q2220">
        <v>1</v>
      </c>
      <c r="R2220">
        <v>12</v>
      </c>
      <c r="S2220">
        <v>0.8571428571428571</v>
      </c>
      <c r="T2220">
        <v>2</v>
      </c>
      <c r="U2220">
        <v>10.4</v>
      </c>
      <c r="V2220">
        <v>3747.9738562091497</v>
      </c>
      <c r="W2220">
        <v>1</v>
      </c>
    </row>
    <row r="2221" spans="1:23" x14ac:dyDescent="0.2">
      <c r="A2221">
        <v>2021</v>
      </c>
      <c r="B2221" t="s">
        <v>23</v>
      </c>
      <c r="C2221" t="s">
        <v>271</v>
      </c>
      <c r="D2221">
        <v>162</v>
      </c>
      <c r="E2221">
        <v>2</v>
      </c>
      <c r="F2221">
        <v>2</v>
      </c>
      <c r="G2221" t="s">
        <v>187</v>
      </c>
      <c r="H2221" s="1">
        <v>3</v>
      </c>
      <c r="I2221" s="1">
        <v>67</v>
      </c>
      <c r="J2221" s="1">
        <v>70</v>
      </c>
      <c r="K2221" s="1">
        <f>J2221-I2221</f>
        <v>3</v>
      </c>
      <c r="L2221" s="1">
        <v>96</v>
      </c>
      <c r="M2221" s="1">
        <v>36</v>
      </c>
      <c r="N2221" s="1">
        <v>2</v>
      </c>
      <c r="O2221" s="1">
        <v>4</v>
      </c>
      <c r="P2221" s="1">
        <v>3</v>
      </c>
      <c r="Q2221" s="2">
        <v>8.8499999999999995E-2</v>
      </c>
      <c r="R2221" s="1">
        <v>3</v>
      </c>
      <c r="S2221" s="1">
        <f>R2221/P2221</f>
        <v>1</v>
      </c>
      <c r="T2221" s="1">
        <v>4</v>
      </c>
      <c r="U2221" s="1">
        <v>12.5</v>
      </c>
      <c r="V2221" s="1">
        <v>323.92156862745099</v>
      </c>
      <c r="W2221" s="1">
        <v>4</v>
      </c>
    </row>
    <row r="2222" spans="1:23" x14ac:dyDescent="0.2">
      <c r="A2222">
        <v>2021</v>
      </c>
      <c r="B2222" t="s">
        <v>23</v>
      </c>
      <c r="C2222" t="s">
        <v>271</v>
      </c>
      <c r="D2222">
        <v>163</v>
      </c>
      <c r="E2222">
        <v>1</v>
      </c>
      <c r="F2222">
        <v>15</v>
      </c>
      <c r="G2222" t="s">
        <v>188</v>
      </c>
      <c r="H2222">
        <v>16</v>
      </c>
      <c r="I2222">
        <v>55</v>
      </c>
      <c r="J2222">
        <v>57</v>
      </c>
      <c r="K2222">
        <v>2</v>
      </c>
      <c r="L2222">
        <v>189</v>
      </c>
      <c r="M2222">
        <v>55</v>
      </c>
      <c r="N2222">
        <v>2</v>
      </c>
      <c r="O2222">
        <v>2</v>
      </c>
      <c r="P2222">
        <v>13</v>
      </c>
      <c r="Q2222">
        <v>0.8</v>
      </c>
      <c r="R2222">
        <v>11</v>
      </c>
      <c r="S2222">
        <v>0.84615384615384615</v>
      </c>
      <c r="T2222">
        <v>3</v>
      </c>
      <c r="U2222">
        <v>11.2</v>
      </c>
      <c r="V2222">
        <v>2971.6078431372557</v>
      </c>
      <c r="W2222">
        <v>2</v>
      </c>
    </row>
    <row r="2223" spans="1:23" x14ac:dyDescent="0.2">
      <c r="A2223">
        <v>2021</v>
      </c>
      <c r="B2223" t="s">
        <v>23</v>
      </c>
      <c r="C2223" t="s">
        <v>271</v>
      </c>
      <c r="D2223">
        <v>163</v>
      </c>
      <c r="E2223">
        <v>2</v>
      </c>
      <c r="F2223">
        <v>8</v>
      </c>
      <c r="G2223" t="s">
        <v>188</v>
      </c>
      <c r="H2223" s="1">
        <v>3</v>
      </c>
      <c r="I2223" s="1">
        <v>62</v>
      </c>
      <c r="J2223" s="1">
        <v>67</v>
      </c>
      <c r="K2223" s="1">
        <f>J2223-I2223</f>
        <v>5</v>
      </c>
      <c r="L2223" s="1">
        <v>111</v>
      </c>
      <c r="M2223" s="1">
        <v>56</v>
      </c>
      <c r="N2223" s="1">
        <v>2</v>
      </c>
      <c r="O2223" s="1">
        <v>3.5</v>
      </c>
      <c r="P2223" s="1">
        <v>3</v>
      </c>
      <c r="Q2223" s="2">
        <v>7.2999999999999995E-2</v>
      </c>
      <c r="R2223" s="1">
        <v>4</v>
      </c>
      <c r="S2223" s="1">
        <f>R2223/P2223</f>
        <v>1.3333333333333333</v>
      </c>
      <c r="T2223" s="1">
        <v>5</v>
      </c>
      <c r="U2223" s="1">
        <v>12.5</v>
      </c>
      <c r="V2223" s="1">
        <v>267.18954248366009</v>
      </c>
      <c r="W2223" s="1">
        <v>4</v>
      </c>
    </row>
    <row r="2224" spans="1:23" x14ac:dyDescent="0.2">
      <c r="A2224">
        <v>2021</v>
      </c>
      <c r="B2224" t="s">
        <v>23</v>
      </c>
      <c r="C2224" t="s">
        <v>271</v>
      </c>
      <c r="D2224">
        <v>164</v>
      </c>
      <c r="E2224">
        <v>1</v>
      </c>
      <c r="F2224">
        <v>10</v>
      </c>
      <c r="G2224" t="s">
        <v>189</v>
      </c>
      <c r="H2224" s="1">
        <v>10</v>
      </c>
      <c r="I2224" s="1">
        <v>65</v>
      </c>
      <c r="J2224" s="1">
        <v>70</v>
      </c>
      <c r="K2224" s="1">
        <f>J2224-I2224</f>
        <v>5</v>
      </c>
      <c r="L2224" s="1">
        <v>187</v>
      </c>
      <c r="M2224" s="1">
        <v>107</v>
      </c>
      <c r="N2224" s="1">
        <v>2</v>
      </c>
      <c r="O2224" s="1">
        <v>3.5</v>
      </c>
      <c r="P2224" s="1">
        <v>9</v>
      </c>
      <c r="Q2224" s="2">
        <v>0.22700000000000001</v>
      </c>
      <c r="R2224" s="1">
        <v>3</v>
      </c>
      <c r="S2224" s="1">
        <f>R2224/P2224</f>
        <v>0.33333333333333331</v>
      </c>
      <c r="T2224" s="1">
        <v>5</v>
      </c>
      <c r="U2224" s="1">
        <v>12.5</v>
      </c>
      <c r="V2224" s="1">
        <v>830.84967320261444</v>
      </c>
      <c r="W2224" s="1">
        <v>6</v>
      </c>
    </row>
    <row r="2225" spans="1:23" x14ac:dyDescent="0.2">
      <c r="A2225">
        <v>2021</v>
      </c>
      <c r="B2225" t="s">
        <v>23</v>
      </c>
      <c r="C2225" t="s">
        <v>271</v>
      </c>
      <c r="D2225">
        <v>164</v>
      </c>
      <c r="E2225">
        <v>2</v>
      </c>
      <c r="F2225">
        <v>14</v>
      </c>
      <c r="G2225" t="s">
        <v>189</v>
      </c>
      <c r="H2225">
        <v>16</v>
      </c>
      <c r="I2225">
        <v>51</v>
      </c>
      <c r="J2225">
        <v>53</v>
      </c>
      <c r="K2225">
        <v>2</v>
      </c>
      <c r="L2225">
        <v>197</v>
      </c>
      <c r="M2225">
        <v>89</v>
      </c>
      <c r="N2225">
        <v>2</v>
      </c>
      <c r="O2225">
        <v>2</v>
      </c>
      <c r="P2225">
        <v>15</v>
      </c>
      <c r="Q2225">
        <v>0.8</v>
      </c>
      <c r="R2225">
        <v>15</v>
      </c>
      <c r="S2225">
        <v>1</v>
      </c>
      <c r="T2225">
        <v>3</v>
      </c>
      <c r="U2225">
        <v>9.6</v>
      </c>
      <c r="V2225">
        <v>3025.1503267973862</v>
      </c>
      <c r="W2225">
        <v>2</v>
      </c>
    </row>
    <row r="2226" spans="1:23" x14ac:dyDescent="0.2">
      <c r="A2226">
        <v>2021</v>
      </c>
      <c r="B2226" t="s">
        <v>23</v>
      </c>
      <c r="C2226" t="s">
        <v>271</v>
      </c>
      <c r="D2226">
        <v>165</v>
      </c>
      <c r="E2226">
        <v>1</v>
      </c>
      <c r="F2226">
        <v>10</v>
      </c>
      <c r="G2226" t="s">
        <v>190</v>
      </c>
      <c r="H2226" s="1">
        <v>11</v>
      </c>
      <c r="I2226" s="1">
        <v>66</v>
      </c>
      <c r="J2226" s="1">
        <v>71</v>
      </c>
      <c r="K2226" s="1">
        <f>J2226-I2226</f>
        <v>5</v>
      </c>
      <c r="L2226" s="1">
        <v>187</v>
      </c>
      <c r="M2226" s="1">
        <v>100</v>
      </c>
      <c r="N2226" s="1">
        <v>2</v>
      </c>
      <c r="O2226" s="1">
        <v>2</v>
      </c>
      <c r="P2226" s="1">
        <v>10</v>
      </c>
      <c r="Q2226" s="2">
        <v>0.92400000000000004</v>
      </c>
      <c r="R2226" s="1">
        <v>7</v>
      </c>
      <c r="S2226" s="1">
        <f>R2226/P2226</f>
        <v>0.7</v>
      </c>
      <c r="T2226" s="1">
        <v>3</v>
      </c>
      <c r="U2226" s="1">
        <v>12.5</v>
      </c>
      <c r="V2226" s="1">
        <v>3381.960784313726</v>
      </c>
      <c r="W2226" s="1">
        <v>5</v>
      </c>
    </row>
    <row r="2227" spans="1:23" x14ac:dyDescent="0.2">
      <c r="A2227">
        <v>2021</v>
      </c>
      <c r="B2227" t="s">
        <v>23</v>
      </c>
      <c r="C2227" t="s">
        <v>271</v>
      </c>
      <c r="D2227">
        <v>165</v>
      </c>
      <c r="E2227">
        <v>2</v>
      </c>
      <c r="F2227">
        <v>1</v>
      </c>
      <c r="G2227" t="s">
        <v>190</v>
      </c>
      <c r="H2227" s="1">
        <v>6</v>
      </c>
      <c r="I2227" s="1">
        <v>62</v>
      </c>
      <c r="J2227" s="1">
        <v>65</v>
      </c>
      <c r="K2227" s="1">
        <f>J2227-I2227</f>
        <v>3</v>
      </c>
      <c r="L2227" s="1">
        <v>146</v>
      </c>
      <c r="M2227" s="1">
        <v>65</v>
      </c>
      <c r="N2227" s="1">
        <v>2</v>
      </c>
      <c r="O2227" s="1">
        <v>3</v>
      </c>
      <c r="P2227" s="1">
        <v>6</v>
      </c>
      <c r="Q2227" s="2">
        <v>0.34200000000000003</v>
      </c>
      <c r="R2227" s="1">
        <v>6</v>
      </c>
      <c r="S2227" s="1">
        <f>R2227/P2227</f>
        <v>1</v>
      </c>
      <c r="T2227" s="1">
        <v>4</v>
      </c>
      <c r="U2227" s="1">
        <v>12.5</v>
      </c>
      <c r="V2227" s="1">
        <v>1251.7647058823529</v>
      </c>
      <c r="W2227" s="1">
        <v>5</v>
      </c>
    </row>
    <row r="2228" spans="1:23" x14ac:dyDescent="0.2">
      <c r="A2228">
        <v>2021</v>
      </c>
      <c r="B2228" t="s">
        <v>23</v>
      </c>
      <c r="C2228" t="s">
        <v>271</v>
      </c>
      <c r="D2228">
        <v>166</v>
      </c>
      <c r="E2228">
        <v>1</v>
      </c>
      <c r="F2228">
        <v>2</v>
      </c>
      <c r="G2228" t="s">
        <v>191</v>
      </c>
      <c r="H2228">
        <v>1</v>
      </c>
      <c r="I2228">
        <v>60</v>
      </c>
      <c r="J2228">
        <v>65</v>
      </c>
      <c r="K2228">
        <v>5</v>
      </c>
      <c r="L2228">
        <v>92</v>
      </c>
      <c r="M2228">
        <v>64</v>
      </c>
      <c r="N2228">
        <v>3</v>
      </c>
      <c r="O2228">
        <v>3</v>
      </c>
      <c r="P2228">
        <v>1</v>
      </c>
      <c r="Q2228">
        <v>0.12</v>
      </c>
      <c r="R2228">
        <v>1</v>
      </c>
      <c r="S2228">
        <v>1</v>
      </c>
      <c r="T2228">
        <v>2</v>
      </c>
      <c r="U2228">
        <v>12.5</v>
      </c>
      <c r="V2228">
        <v>439.21568627450984</v>
      </c>
      <c r="W2228">
        <v>1</v>
      </c>
    </row>
    <row r="2229" spans="1:23" x14ac:dyDescent="0.2">
      <c r="A2229">
        <v>2021</v>
      </c>
      <c r="B2229" t="s">
        <v>23</v>
      </c>
      <c r="C2229" t="s">
        <v>271</v>
      </c>
      <c r="D2229">
        <v>166</v>
      </c>
      <c r="E2229">
        <v>2</v>
      </c>
      <c r="F2229">
        <v>1</v>
      </c>
      <c r="G2229" t="s">
        <v>191</v>
      </c>
      <c r="H2229">
        <v>16</v>
      </c>
      <c r="I2229">
        <v>53</v>
      </c>
      <c r="J2229">
        <v>57</v>
      </c>
      <c r="K2229">
        <v>4</v>
      </c>
      <c r="L2229">
        <v>165</v>
      </c>
      <c r="M2229">
        <v>59</v>
      </c>
      <c r="N2229">
        <v>1</v>
      </c>
      <c r="O2229">
        <v>1.5</v>
      </c>
      <c r="P2229">
        <v>13</v>
      </c>
      <c r="Q2229">
        <v>1.8</v>
      </c>
      <c r="R2229">
        <v>13</v>
      </c>
      <c r="S2229">
        <v>1</v>
      </c>
      <c r="T2229">
        <v>2</v>
      </c>
      <c r="U2229">
        <v>8.6</v>
      </c>
      <c r="V2229">
        <v>6881.8823529411766</v>
      </c>
      <c r="W2229">
        <v>2</v>
      </c>
    </row>
    <row r="2230" spans="1:23" x14ac:dyDescent="0.2">
      <c r="A2230">
        <v>2021</v>
      </c>
      <c r="B2230" t="s">
        <v>23</v>
      </c>
      <c r="C2230" t="s">
        <v>271</v>
      </c>
      <c r="D2230">
        <v>167</v>
      </c>
      <c r="E2230">
        <v>1</v>
      </c>
      <c r="F2230">
        <v>15</v>
      </c>
      <c r="G2230" t="s">
        <v>192</v>
      </c>
      <c r="H2230">
        <v>9</v>
      </c>
      <c r="I2230">
        <v>56</v>
      </c>
      <c r="J2230">
        <v>59</v>
      </c>
      <c r="K2230">
        <v>3</v>
      </c>
      <c r="L2230">
        <v>150</v>
      </c>
      <c r="M2230">
        <v>71</v>
      </c>
      <c r="N2230">
        <v>1.5</v>
      </c>
      <c r="O2230">
        <v>2</v>
      </c>
      <c r="P2230">
        <v>9</v>
      </c>
      <c r="Q2230">
        <v>0.4</v>
      </c>
      <c r="R2230">
        <v>9</v>
      </c>
      <c r="S2230">
        <v>1</v>
      </c>
      <c r="T2230">
        <v>2.5</v>
      </c>
      <c r="U2230">
        <v>12.5</v>
      </c>
      <c r="V2230">
        <v>1464.0522875816994</v>
      </c>
      <c r="W2230">
        <v>1</v>
      </c>
    </row>
    <row r="2231" spans="1:23" x14ac:dyDescent="0.2">
      <c r="A2231">
        <v>2021</v>
      </c>
      <c r="B2231" t="s">
        <v>23</v>
      </c>
      <c r="C2231" t="s">
        <v>271</v>
      </c>
      <c r="D2231">
        <v>167</v>
      </c>
      <c r="E2231">
        <v>2</v>
      </c>
      <c r="F2231">
        <v>3</v>
      </c>
      <c r="G2231" t="s">
        <v>192</v>
      </c>
      <c r="H2231" s="1">
        <v>6</v>
      </c>
      <c r="I2231" s="1">
        <v>64</v>
      </c>
      <c r="J2231" s="1">
        <v>69</v>
      </c>
      <c r="K2231" s="1">
        <f>J2231-I2231</f>
        <v>5</v>
      </c>
      <c r="L2231" s="1">
        <v>121</v>
      </c>
      <c r="M2231" s="1">
        <v>60</v>
      </c>
      <c r="N2231" s="1">
        <v>1.5</v>
      </c>
      <c r="O2231" s="1">
        <v>4.5</v>
      </c>
      <c r="P2231" s="1">
        <v>2</v>
      </c>
      <c r="Q2231" s="2">
        <v>7.0000000000000007E-2</v>
      </c>
      <c r="R2231" s="1">
        <v>2</v>
      </c>
      <c r="S2231" s="1">
        <f>R2231/P2231</f>
        <v>1</v>
      </c>
      <c r="T2231" s="1">
        <v>5</v>
      </c>
      <c r="U2231" s="1">
        <v>12.5</v>
      </c>
      <c r="V2231" s="1">
        <v>256.20915032679744</v>
      </c>
      <c r="W2231" s="1">
        <v>6</v>
      </c>
    </row>
    <row r="2232" spans="1:23" x14ac:dyDescent="0.2">
      <c r="A2232">
        <v>2021</v>
      </c>
      <c r="B2232" t="s">
        <v>23</v>
      </c>
      <c r="C2232" t="s">
        <v>271</v>
      </c>
      <c r="D2232">
        <v>168</v>
      </c>
      <c r="E2232">
        <v>1</v>
      </c>
      <c r="F2232">
        <v>3</v>
      </c>
      <c r="G2232" t="s">
        <v>193</v>
      </c>
      <c r="H2232">
        <v>2</v>
      </c>
      <c r="I2232">
        <v>55</v>
      </c>
      <c r="J2232">
        <v>57</v>
      </c>
      <c r="K2232">
        <v>2</v>
      </c>
      <c r="L2232">
        <v>76</v>
      </c>
      <c r="M2232">
        <v>15</v>
      </c>
      <c r="N2232">
        <v>5</v>
      </c>
      <c r="O2232">
        <v>4</v>
      </c>
      <c r="P2232">
        <v>2</v>
      </c>
      <c r="Q2232">
        <v>0.20499999999999999</v>
      </c>
      <c r="R2232">
        <v>3</v>
      </c>
      <c r="S2232">
        <v>1.5</v>
      </c>
      <c r="T2232">
        <v>2</v>
      </c>
      <c r="U2232">
        <v>12.5</v>
      </c>
      <c r="V2232">
        <v>750.32679738562092</v>
      </c>
      <c r="W2232">
        <v>2</v>
      </c>
    </row>
    <row r="2233" spans="1:23" x14ac:dyDescent="0.2">
      <c r="A2233">
        <v>2021</v>
      </c>
      <c r="B2233" t="s">
        <v>23</v>
      </c>
      <c r="C2233" t="s">
        <v>271</v>
      </c>
      <c r="D2233">
        <v>168</v>
      </c>
      <c r="E2233">
        <v>2</v>
      </c>
      <c r="F2233">
        <v>13</v>
      </c>
      <c r="G2233" t="s">
        <v>193</v>
      </c>
      <c r="H2233" s="1">
        <v>8</v>
      </c>
      <c r="I2233" s="1">
        <v>67</v>
      </c>
      <c r="J2233" s="1">
        <v>70</v>
      </c>
      <c r="K2233" s="1">
        <f>J2233-I2233</f>
        <v>3</v>
      </c>
      <c r="L2233" s="1">
        <v>161</v>
      </c>
      <c r="M2233" s="1">
        <v>92</v>
      </c>
      <c r="N2233" s="1">
        <v>2</v>
      </c>
      <c r="O2233" s="1">
        <v>3.5</v>
      </c>
      <c r="P2233" s="1">
        <v>8</v>
      </c>
      <c r="Q2233" s="2">
        <v>0.253</v>
      </c>
      <c r="R2233" s="1">
        <v>7</v>
      </c>
      <c r="S2233" s="1">
        <f>R2233/P2233</f>
        <v>0.875</v>
      </c>
      <c r="T2233" s="1">
        <v>5</v>
      </c>
      <c r="U2233" s="1">
        <v>12.5</v>
      </c>
      <c r="V2233" s="1">
        <v>926.01307189542479</v>
      </c>
      <c r="W2233" s="1">
        <v>5</v>
      </c>
    </row>
    <row r="2234" spans="1:23" x14ac:dyDescent="0.2">
      <c r="A2234">
        <v>2021</v>
      </c>
      <c r="B2234" t="s">
        <v>23</v>
      </c>
      <c r="C2234" t="s">
        <v>271</v>
      </c>
      <c r="D2234">
        <v>169</v>
      </c>
      <c r="E2234">
        <v>1</v>
      </c>
      <c r="F2234">
        <v>15</v>
      </c>
      <c r="G2234" t="s">
        <v>194</v>
      </c>
      <c r="H2234" s="1">
        <v>13</v>
      </c>
      <c r="I2234" s="1">
        <v>65</v>
      </c>
      <c r="J2234" s="1">
        <v>68</v>
      </c>
      <c r="K2234" s="1">
        <f>J2234-I2234</f>
        <v>3</v>
      </c>
      <c r="L2234" s="1">
        <v>157</v>
      </c>
      <c r="M2234" s="1">
        <v>100</v>
      </c>
      <c r="N2234" s="1">
        <v>2</v>
      </c>
      <c r="O2234" s="1">
        <v>3</v>
      </c>
      <c r="P2234" s="1">
        <v>11</v>
      </c>
      <c r="Q2234" s="2">
        <v>7.1999999999999995E-2</v>
      </c>
      <c r="R2234" s="1">
        <v>7</v>
      </c>
      <c r="S2234" s="1">
        <f>R2234/P2234</f>
        <v>0.63636363636363635</v>
      </c>
      <c r="T2234" s="1">
        <v>4</v>
      </c>
      <c r="U2234" s="1">
        <v>8.1</v>
      </c>
      <c r="V2234" s="1">
        <v>276.78117647058821</v>
      </c>
      <c r="W2234" s="1">
        <v>2</v>
      </c>
    </row>
    <row r="2235" spans="1:23" x14ac:dyDescent="0.2">
      <c r="A2235">
        <v>2021</v>
      </c>
      <c r="B2235" t="s">
        <v>23</v>
      </c>
      <c r="C2235" t="s">
        <v>271</v>
      </c>
      <c r="D2235">
        <v>169</v>
      </c>
      <c r="E2235">
        <v>2</v>
      </c>
      <c r="F2235">
        <v>9</v>
      </c>
      <c r="G2235" t="s">
        <v>194</v>
      </c>
      <c r="H2235" s="1">
        <v>6</v>
      </c>
      <c r="I2235" s="1">
        <v>57</v>
      </c>
      <c r="J2235" s="1">
        <v>62</v>
      </c>
      <c r="K2235" s="1">
        <f>J2235-I2235</f>
        <v>5</v>
      </c>
      <c r="L2235" s="1">
        <v>140</v>
      </c>
      <c r="M2235" s="1">
        <v>61</v>
      </c>
      <c r="N2235" s="1">
        <v>2</v>
      </c>
      <c r="O2235" s="1">
        <v>4</v>
      </c>
      <c r="P2235" s="1">
        <v>6</v>
      </c>
      <c r="Q2235" s="2">
        <v>0.182</v>
      </c>
      <c r="R2235" s="1">
        <v>5</v>
      </c>
      <c r="S2235" s="1">
        <f>R2235/P2235</f>
        <v>0.83333333333333337</v>
      </c>
      <c r="T2235" s="1">
        <v>4.5</v>
      </c>
      <c r="U2235" s="1">
        <v>12.5</v>
      </c>
      <c r="V2235" s="1">
        <v>666.14379084967322</v>
      </c>
      <c r="W2235" s="1">
        <v>5</v>
      </c>
    </row>
    <row r="2236" spans="1:23" x14ac:dyDescent="0.2">
      <c r="A2236">
        <v>2021</v>
      </c>
      <c r="B2236" t="s">
        <v>23</v>
      </c>
      <c r="C2236" t="s">
        <v>271</v>
      </c>
      <c r="D2236">
        <v>170</v>
      </c>
      <c r="E2236">
        <v>1</v>
      </c>
      <c r="F2236">
        <v>13</v>
      </c>
      <c r="G2236" t="s">
        <v>195</v>
      </c>
      <c r="H2236">
        <v>9</v>
      </c>
      <c r="I2236">
        <v>55</v>
      </c>
      <c r="J2236">
        <v>58</v>
      </c>
      <c r="K2236">
        <v>3</v>
      </c>
      <c r="L2236">
        <v>107</v>
      </c>
      <c r="M2236">
        <v>36</v>
      </c>
      <c r="N2236">
        <v>3</v>
      </c>
      <c r="O2236">
        <v>3</v>
      </c>
      <c r="P2236">
        <v>9</v>
      </c>
      <c r="Q2236">
        <v>1.25</v>
      </c>
      <c r="R2236">
        <v>10</v>
      </c>
      <c r="S2236">
        <v>1.1111111111111112</v>
      </c>
      <c r="T2236">
        <v>3</v>
      </c>
      <c r="U2236">
        <v>12.5</v>
      </c>
      <c r="V2236">
        <v>4575.16339869281</v>
      </c>
      <c r="W2236">
        <v>1</v>
      </c>
    </row>
    <row r="2237" spans="1:23" x14ac:dyDescent="0.2">
      <c r="A2237">
        <v>2021</v>
      </c>
      <c r="B2237" t="s">
        <v>23</v>
      </c>
      <c r="C2237" t="s">
        <v>271</v>
      </c>
      <c r="D2237">
        <v>170</v>
      </c>
      <c r="E2237">
        <v>2</v>
      </c>
      <c r="F2237">
        <v>1</v>
      </c>
      <c r="G2237" t="s">
        <v>195</v>
      </c>
      <c r="H2237" s="1">
        <v>4</v>
      </c>
      <c r="I2237" s="1">
        <v>63</v>
      </c>
      <c r="J2237" s="1">
        <v>66</v>
      </c>
      <c r="K2237" s="1">
        <f t="shared" ref="K2237:K2242" si="110">J2237-I2237</f>
        <v>3</v>
      </c>
      <c r="L2237" s="1">
        <v>103</v>
      </c>
      <c r="M2237" s="1">
        <v>33</v>
      </c>
      <c r="N2237" s="1">
        <v>2</v>
      </c>
      <c r="O2237" s="1">
        <v>4</v>
      </c>
      <c r="P2237" s="1">
        <v>4</v>
      </c>
      <c r="Q2237" s="2">
        <v>0.6</v>
      </c>
      <c r="R2237" s="1">
        <v>6</v>
      </c>
      <c r="S2237" s="1">
        <f t="shared" ref="S2237:S2242" si="111">R2237/P2237</f>
        <v>1.5</v>
      </c>
      <c r="T2237" s="1">
        <v>2.5</v>
      </c>
      <c r="U2237" s="1">
        <v>12.5</v>
      </c>
      <c r="V2237" s="1">
        <v>2196.0784313725489</v>
      </c>
      <c r="W2237" s="1">
        <v>2</v>
      </c>
    </row>
    <row r="2238" spans="1:23" x14ac:dyDescent="0.2">
      <c r="A2238">
        <v>2021</v>
      </c>
      <c r="B2238" t="s">
        <v>23</v>
      </c>
      <c r="C2238" t="s">
        <v>271</v>
      </c>
      <c r="D2238">
        <v>171</v>
      </c>
      <c r="E2238">
        <v>1</v>
      </c>
      <c r="F2238">
        <v>11</v>
      </c>
      <c r="G2238" t="s">
        <v>196</v>
      </c>
      <c r="H2238" s="1">
        <v>5</v>
      </c>
      <c r="I2238" s="1">
        <v>62</v>
      </c>
      <c r="J2238" s="1">
        <v>65</v>
      </c>
      <c r="K2238" s="1">
        <f t="shared" si="110"/>
        <v>3</v>
      </c>
      <c r="L2238" s="1">
        <v>155</v>
      </c>
      <c r="M2238" s="1">
        <v>65</v>
      </c>
      <c r="N2238" s="1">
        <v>1.5</v>
      </c>
      <c r="O2238" s="1">
        <v>4</v>
      </c>
      <c r="P2238" s="1">
        <v>3</v>
      </c>
      <c r="Q2238" s="2">
        <v>0.17100000000000001</v>
      </c>
      <c r="R2238" s="1">
        <v>3</v>
      </c>
      <c r="S2238" s="1">
        <f t="shared" si="111"/>
        <v>1</v>
      </c>
      <c r="T2238" s="1">
        <v>5</v>
      </c>
      <c r="U2238" s="1">
        <v>12.5</v>
      </c>
      <c r="V2238" s="1">
        <v>625.88235294117646</v>
      </c>
      <c r="W2238" s="1">
        <v>5</v>
      </c>
    </row>
    <row r="2239" spans="1:23" x14ac:dyDescent="0.2">
      <c r="A2239">
        <v>2021</v>
      </c>
      <c r="B2239" t="s">
        <v>23</v>
      </c>
      <c r="C2239" t="s">
        <v>271</v>
      </c>
      <c r="D2239">
        <v>171</v>
      </c>
      <c r="E2239">
        <v>2</v>
      </c>
      <c r="F2239">
        <v>5</v>
      </c>
      <c r="G2239" t="s">
        <v>196</v>
      </c>
      <c r="H2239" s="1">
        <v>1</v>
      </c>
      <c r="I2239" s="1">
        <v>65</v>
      </c>
      <c r="J2239" s="1">
        <v>70</v>
      </c>
      <c r="K2239" s="1">
        <f t="shared" si="110"/>
        <v>5</v>
      </c>
      <c r="L2239" s="1">
        <v>48</v>
      </c>
      <c r="M2239" s="1">
        <v>37</v>
      </c>
      <c r="N2239" s="1">
        <v>2</v>
      </c>
      <c r="O2239" s="1">
        <v>3</v>
      </c>
      <c r="P2239" s="1">
        <v>1</v>
      </c>
      <c r="Q2239" s="2">
        <v>4.2000000000000003E-2</v>
      </c>
      <c r="R2239" s="1">
        <v>1</v>
      </c>
      <c r="S2239" s="1">
        <f t="shared" si="111"/>
        <v>1</v>
      </c>
      <c r="T2239" s="1">
        <v>3</v>
      </c>
      <c r="U2239" s="1">
        <v>11.1</v>
      </c>
      <c r="V2239" s="1">
        <v>156.18509803921572</v>
      </c>
      <c r="W2239" s="1">
        <v>4</v>
      </c>
    </row>
    <row r="2240" spans="1:23" x14ac:dyDescent="0.2">
      <c r="A2240">
        <v>2021</v>
      </c>
      <c r="B2240" t="s">
        <v>23</v>
      </c>
      <c r="C2240" t="s">
        <v>271</v>
      </c>
      <c r="D2240">
        <v>172</v>
      </c>
      <c r="E2240">
        <v>1</v>
      </c>
      <c r="F2240">
        <v>10</v>
      </c>
      <c r="G2240" t="s">
        <v>197</v>
      </c>
      <c r="H2240" s="1">
        <v>12</v>
      </c>
      <c r="I2240" s="1">
        <v>62</v>
      </c>
      <c r="J2240" s="1">
        <v>67</v>
      </c>
      <c r="K2240" s="1">
        <f t="shared" si="110"/>
        <v>5</v>
      </c>
      <c r="L2240" s="1">
        <v>148</v>
      </c>
      <c r="M2240" s="1">
        <v>46</v>
      </c>
      <c r="N2240" s="1">
        <v>3</v>
      </c>
      <c r="O2240" s="1">
        <v>4.5</v>
      </c>
      <c r="P2240" s="1">
        <v>3</v>
      </c>
      <c r="Q2240" s="2">
        <v>0.224</v>
      </c>
      <c r="R2240" s="1">
        <v>3</v>
      </c>
      <c r="S2240" s="1">
        <f t="shared" si="111"/>
        <v>1</v>
      </c>
      <c r="T2240" s="1">
        <v>3</v>
      </c>
      <c r="U2240" s="1">
        <v>12.5</v>
      </c>
      <c r="V2240" s="1">
        <v>819.86928104575168</v>
      </c>
      <c r="W2240" s="1">
        <v>5</v>
      </c>
    </row>
    <row r="2241" spans="1:23" x14ac:dyDescent="0.2">
      <c r="A2241">
        <v>2021</v>
      </c>
      <c r="B2241" t="s">
        <v>23</v>
      </c>
      <c r="C2241" t="s">
        <v>271</v>
      </c>
      <c r="D2241">
        <v>172</v>
      </c>
      <c r="E2241">
        <v>2</v>
      </c>
      <c r="F2241">
        <v>9</v>
      </c>
      <c r="G2241" t="s">
        <v>197</v>
      </c>
      <c r="H2241" s="1">
        <v>10</v>
      </c>
      <c r="I2241" s="1">
        <v>63</v>
      </c>
      <c r="J2241" s="1">
        <v>68</v>
      </c>
      <c r="K2241" s="1">
        <f t="shared" si="110"/>
        <v>5</v>
      </c>
      <c r="L2241" s="1">
        <v>88</v>
      </c>
      <c r="M2241" s="1">
        <v>27</v>
      </c>
      <c r="N2241" s="1">
        <v>3</v>
      </c>
      <c r="O2241" s="1">
        <v>4.5</v>
      </c>
      <c r="P2241" s="1">
        <v>3</v>
      </c>
      <c r="Q2241" s="2">
        <v>0.10199999999999999</v>
      </c>
      <c r="R2241" s="1">
        <v>3</v>
      </c>
      <c r="S2241" s="1">
        <f t="shared" si="111"/>
        <v>1</v>
      </c>
      <c r="T2241" s="1">
        <v>5</v>
      </c>
      <c r="U2241" s="1">
        <v>12.5</v>
      </c>
      <c r="V2241" s="1">
        <v>373.33333333333326</v>
      </c>
      <c r="W2241" s="1">
        <v>4</v>
      </c>
    </row>
    <row r="2242" spans="1:23" x14ac:dyDescent="0.2">
      <c r="A2242">
        <v>2021</v>
      </c>
      <c r="B2242" t="s">
        <v>23</v>
      </c>
      <c r="C2242" t="s">
        <v>271</v>
      </c>
      <c r="D2242">
        <v>173</v>
      </c>
      <c r="E2242">
        <v>1</v>
      </c>
      <c r="F2242">
        <v>13</v>
      </c>
      <c r="G2242" t="s">
        <v>198</v>
      </c>
      <c r="H2242" s="1">
        <v>8</v>
      </c>
      <c r="I2242" s="1">
        <v>62</v>
      </c>
      <c r="J2242" s="1">
        <v>64</v>
      </c>
      <c r="K2242" s="1">
        <f t="shared" si="110"/>
        <v>2</v>
      </c>
      <c r="L2242" s="1">
        <v>81</v>
      </c>
      <c r="M2242" s="1">
        <v>30</v>
      </c>
      <c r="N2242" s="1">
        <v>3</v>
      </c>
      <c r="O2242" s="1">
        <v>4</v>
      </c>
      <c r="P2242" s="1">
        <v>5</v>
      </c>
      <c r="Q2242" s="2">
        <v>0.24199999999999999</v>
      </c>
      <c r="R2242" s="1">
        <v>5</v>
      </c>
      <c r="S2242" s="1">
        <f t="shared" si="111"/>
        <v>1</v>
      </c>
      <c r="T2242" s="1">
        <v>4</v>
      </c>
      <c r="U2242" s="1">
        <v>12.5</v>
      </c>
      <c r="V2242" s="1">
        <v>885.75163398692814</v>
      </c>
      <c r="W2242" s="1">
        <v>5</v>
      </c>
    </row>
    <row r="2243" spans="1:23" x14ac:dyDescent="0.2">
      <c r="A2243">
        <v>2021</v>
      </c>
      <c r="B2243" t="s">
        <v>23</v>
      </c>
      <c r="C2243" t="s">
        <v>271</v>
      </c>
      <c r="D2243">
        <v>173</v>
      </c>
      <c r="E2243">
        <v>2</v>
      </c>
      <c r="F2243">
        <v>10</v>
      </c>
      <c r="G2243" t="s">
        <v>198</v>
      </c>
      <c r="H2243">
        <v>16</v>
      </c>
      <c r="I2243">
        <v>54</v>
      </c>
      <c r="J2243">
        <v>55</v>
      </c>
      <c r="K2243">
        <v>1</v>
      </c>
      <c r="L2243">
        <v>168</v>
      </c>
      <c r="M2243">
        <v>80</v>
      </c>
      <c r="N2243">
        <v>2</v>
      </c>
      <c r="O2243">
        <v>2</v>
      </c>
      <c r="P2243">
        <v>13</v>
      </c>
      <c r="Q2243">
        <v>0.3</v>
      </c>
      <c r="R2243">
        <v>11</v>
      </c>
      <c r="S2243">
        <v>0.84615384615384615</v>
      </c>
      <c r="T2243">
        <v>4</v>
      </c>
      <c r="U2243">
        <v>7.9</v>
      </c>
      <c r="V2243">
        <v>1155.7647058823529</v>
      </c>
      <c r="W2243">
        <v>1</v>
      </c>
    </row>
    <row r="2244" spans="1:23" x14ac:dyDescent="0.2">
      <c r="A2244">
        <v>2021</v>
      </c>
      <c r="B2244" t="s">
        <v>23</v>
      </c>
      <c r="C2244" t="s">
        <v>271</v>
      </c>
      <c r="D2244">
        <v>174</v>
      </c>
      <c r="E2244">
        <v>1</v>
      </c>
      <c r="F2244">
        <v>10</v>
      </c>
      <c r="G2244" t="s">
        <v>199</v>
      </c>
      <c r="H2244" s="1">
        <v>7</v>
      </c>
      <c r="I2244" s="1">
        <v>64</v>
      </c>
      <c r="J2244" s="1">
        <v>67</v>
      </c>
      <c r="K2244" s="1">
        <f>J2244-I2244</f>
        <v>3</v>
      </c>
      <c r="L2244" s="1">
        <v>147</v>
      </c>
      <c r="M2244" s="1">
        <v>90</v>
      </c>
      <c r="N2244" s="1">
        <v>2</v>
      </c>
      <c r="O2244" s="1">
        <v>3.5</v>
      </c>
      <c r="P2244" s="1">
        <v>6</v>
      </c>
      <c r="Q2244" s="2">
        <v>0.29010000000000002</v>
      </c>
      <c r="R2244" s="1">
        <v>4</v>
      </c>
      <c r="S2244" s="1">
        <f>R2244/P2244</f>
        <v>0.66666666666666663</v>
      </c>
      <c r="T2244" s="1">
        <v>5</v>
      </c>
      <c r="U2244" s="1">
        <v>12.1</v>
      </c>
      <c r="V2244" s="1">
        <v>1066.6578823529414</v>
      </c>
      <c r="W2244" s="1">
        <v>4</v>
      </c>
    </row>
    <row r="2245" spans="1:23" x14ac:dyDescent="0.2">
      <c r="A2245">
        <v>2021</v>
      </c>
      <c r="B2245" t="s">
        <v>23</v>
      </c>
      <c r="C2245" t="s">
        <v>271</v>
      </c>
      <c r="D2245">
        <v>174</v>
      </c>
      <c r="E2245">
        <v>2</v>
      </c>
      <c r="F2245">
        <v>4</v>
      </c>
      <c r="G2245" t="s">
        <v>199</v>
      </c>
      <c r="H2245">
        <v>16</v>
      </c>
      <c r="I2245">
        <v>54</v>
      </c>
      <c r="J2245">
        <v>56</v>
      </c>
      <c r="K2245">
        <v>2</v>
      </c>
      <c r="L2245">
        <v>170</v>
      </c>
      <c r="M2245">
        <v>91</v>
      </c>
      <c r="N2245">
        <v>2</v>
      </c>
      <c r="O2245">
        <v>2</v>
      </c>
      <c r="P2245">
        <v>16</v>
      </c>
      <c r="Q2245">
        <v>1.6</v>
      </c>
      <c r="R2245">
        <v>16</v>
      </c>
      <c r="S2245">
        <v>1</v>
      </c>
      <c r="T2245">
        <v>2</v>
      </c>
      <c r="U2245">
        <v>10.9</v>
      </c>
      <c r="V2245">
        <v>5963.2941176470595</v>
      </c>
      <c r="W2245">
        <v>1</v>
      </c>
    </row>
    <row r="2246" spans="1:23" x14ac:dyDescent="0.2">
      <c r="A2246">
        <v>2021</v>
      </c>
      <c r="B2246" t="s">
        <v>23</v>
      </c>
      <c r="C2246" t="s">
        <v>271</v>
      </c>
      <c r="D2246">
        <v>175</v>
      </c>
      <c r="E2246">
        <v>1</v>
      </c>
      <c r="F2246">
        <v>3</v>
      </c>
      <c r="G2246" t="s">
        <v>200</v>
      </c>
      <c r="H2246">
        <v>16</v>
      </c>
      <c r="I2246">
        <v>55</v>
      </c>
      <c r="J2246">
        <v>57</v>
      </c>
      <c r="K2246">
        <v>2</v>
      </c>
      <c r="L2246">
        <v>160</v>
      </c>
      <c r="M2246">
        <v>58</v>
      </c>
      <c r="N2246">
        <v>2</v>
      </c>
      <c r="O2246">
        <v>2.5</v>
      </c>
      <c r="P2246">
        <v>10</v>
      </c>
      <c r="Q2246">
        <v>0.6</v>
      </c>
      <c r="R2246">
        <v>9</v>
      </c>
      <c r="S2246">
        <v>0.9</v>
      </c>
      <c r="T2246">
        <v>4</v>
      </c>
      <c r="U2246">
        <v>9.9</v>
      </c>
      <c r="V2246">
        <v>2261.3333333333335</v>
      </c>
      <c r="W2246">
        <v>1</v>
      </c>
    </row>
    <row r="2247" spans="1:23" x14ac:dyDescent="0.2">
      <c r="A2247">
        <v>2021</v>
      </c>
      <c r="B2247" t="s">
        <v>23</v>
      </c>
      <c r="C2247" t="s">
        <v>271</v>
      </c>
      <c r="D2247">
        <v>175</v>
      </c>
      <c r="E2247">
        <v>2</v>
      </c>
      <c r="F2247">
        <v>2</v>
      </c>
      <c r="G2247" t="s">
        <v>200</v>
      </c>
      <c r="H2247" s="1">
        <v>14</v>
      </c>
      <c r="I2247" s="1">
        <v>62</v>
      </c>
      <c r="J2247" s="1">
        <v>66</v>
      </c>
      <c r="K2247" s="1">
        <f>J2247-I2247</f>
        <v>4</v>
      </c>
      <c r="L2247" s="1">
        <v>137</v>
      </c>
      <c r="M2247" s="1">
        <v>58</v>
      </c>
      <c r="N2247" s="1">
        <v>3</v>
      </c>
      <c r="O2247" s="1">
        <v>4</v>
      </c>
      <c r="P2247" s="1">
        <v>10</v>
      </c>
      <c r="Q2247" s="2">
        <v>0.13639999999999997</v>
      </c>
      <c r="R2247" s="1">
        <v>7</v>
      </c>
      <c r="S2247" s="1">
        <f>R2247/P2247</f>
        <v>0.7</v>
      </c>
      <c r="T2247" s="1">
        <v>4.5</v>
      </c>
      <c r="U2247" s="1">
        <v>12.5</v>
      </c>
      <c r="V2247" s="1">
        <v>499.24183006535935</v>
      </c>
      <c r="W2247" s="1">
        <v>7</v>
      </c>
    </row>
    <row r="2248" spans="1:23" x14ac:dyDescent="0.2">
      <c r="A2248">
        <v>2021</v>
      </c>
      <c r="B2248" t="s">
        <v>23</v>
      </c>
      <c r="C2248" t="s">
        <v>271</v>
      </c>
      <c r="D2248">
        <v>176</v>
      </c>
      <c r="E2248">
        <v>1</v>
      </c>
      <c r="F2248">
        <v>9</v>
      </c>
      <c r="G2248" t="s">
        <v>201</v>
      </c>
      <c r="H2248" s="1">
        <v>7</v>
      </c>
      <c r="I2248" s="1">
        <v>69</v>
      </c>
      <c r="J2248" s="1">
        <v>70</v>
      </c>
      <c r="K2248" s="1">
        <f>J2248-I2248</f>
        <v>1</v>
      </c>
      <c r="L2248" s="1">
        <v>167</v>
      </c>
      <c r="M2248" s="1">
        <v>63</v>
      </c>
      <c r="N2248" s="1">
        <v>2</v>
      </c>
      <c r="O2248" s="1">
        <v>2.5</v>
      </c>
      <c r="P2248" s="1">
        <v>6</v>
      </c>
      <c r="Q2248" s="2">
        <v>0.37880000000000003</v>
      </c>
      <c r="R2248" s="1">
        <v>3</v>
      </c>
      <c r="S2248" s="1">
        <f>R2248/P2248</f>
        <v>0.5</v>
      </c>
      <c r="T2248" s="1">
        <v>3</v>
      </c>
      <c r="U2248" s="1">
        <v>12.5</v>
      </c>
      <c r="V2248" s="1">
        <v>1386.4575163398697</v>
      </c>
      <c r="W2248" s="1">
        <v>4</v>
      </c>
    </row>
    <row r="2249" spans="1:23" x14ac:dyDescent="0.2">
      <c r="A2249">
        <v>2021</v>
      </c>
      <c r="B2249" t="s">
        <v>23</v>
      </c>
      <c r="C2249" t="s">
        <v>271</v>
      </c>
      <c r="D2249">
        <v>176</v>
      </c>
      <c r="E2249">
        <v>2</v>
      </c>
      <c r="F2249">
        <v>14</v>
      </c>
      <c r="G2249" t="s">
        <v>201</v>
      </c>
      <c r="H2249" s="1">
        <v>7</v>
      </c>
      <c r="I2249" s="1">
        <v>66</v>
      </c>
      <c r="J2249" s="1">
        <v>71</v>
      </c>
      <c r="K2249" s="1">
        <f>J2249-I2249</f>
        <v>5</v>
      </c>
      <c r="L2249" s="1">
        <v>127</v>
      </c>
      <c r="M2249" s="1">
        <v>78</v>
      </c>
      <c r="N2249" s="1">
        <v>2</v>
      </c>
      <c r="O2249" s="1">
        <v>3.5</v>
      </c>
      <c r="P2249" s="1">
        <v>7</v>
      </c>
      <c r="Q2249" s="2">
        <v>0.14407499999999998</v>
      </c>
      <c r="R2249" s="1">
        <v>5</v>
      </c>
      <c r="S2249" s="1">
        <f>R2249/P2249</f>
        <v>0.7142857142857143</v>
      </c>
      <c r="T2249" s="1">
        <v>5</v>
      </c>
      <c r="U2249" s="1">
        <v>12.5</v>
      </c>
      <c r="V2249" s="1">
        <v>527.33333333333337</v>
      </c>
      <c r="W2249" s="1">
        <v>6</v>
      </c>
    </row>
    <row r="2250" spans="1:23" x14ac:dyDescent="0.2">
      <c r="A2250">
        <v>2021</v>
      </c>
      <c r="B2250" t="s">
        <v>23</v>
      </c>
      <c r="C2250" t="s">
        <v>271</v>
      </c>
      <c r="D2250">
        <v>177</v>
      </c>
      <c r="E2250">
        <v>1</v>
      </c>
      <c r="F2250">
        <v>15</v>
      </c>
      <c r="G2250" t="s">
        <v>202</v>
      </c>
      <c r="H2250" s="3">
        <v>7</v>
      </c>
      <c r="I2250" s="3">
        <v>66</v>
      </c>
      <c r="J2250" s="3">
        <v>68</v>
      </c>
      <c r="K2250" s="3">
        <f>J2250-I2250</f>
        <v>2</v>
      </c>
      <c r="L2250" s="3">
        <v>187</v>
      </c>
      <c r="M2250" s="3">
        <v>92</v>
      </c>
      <c r="N2250" s="3">
        <v>2</v>
      </c>
      <c r="O2250" s="3">
        <v>2.5</v>
      </c>
      <c r="P2250" s="3">
        <v>6</v>
      </c>
      <c r="Q2250" s="4">
        <v>0.41599999999999998</v>
      </c>
      <c r="R2250" s="3">
        <v>6</v>
      </c>
      <c r="S2250" s="3">
        <f>R2250/P2250</f>
        <v>1</v>
      </c>
      <c r="T2250" s="3">
        <v>4</v>
      </c>
      <c r="U2250" s="3">
        <v>11.1</v>
      </c>
      <c r="V2250" s="3">
        <v>1546.9762091503269</v>
      </c>
      <c r="W2250" s="3">
        <v>5</v>
      </c>
    </row>
    <row r="2251" spans="1:23" x14ac:dyDescent="0.2">
      <c r="A2251">
        <v>2021</v>
      </c>
      <c r="B2251" t="s">
        <v>23</v>
      </c>
      <c r="C2251" t="s">
        <v>271</v>
      </c>
      <c r="D2251">
        <v>177</v>
      </c>
      <c r="E2251">
        <v>2</v>
      </c>
      <c r="F2251">
        <v>1</v>
      </c>
      <c r="G2251" t="s">
        <v>202</v>
      </c>
      <c r="H2251" s="1">
        <v>9</v>
      </c>
      <c r="I2251" s="1">
        <v>64</v>
      </c>
      <c r="J2251" s="1">
        <v>67</v>
      </c>
      <c r="K2251" s="1">
        <f>J2251-I2251</f>
        <v>3</v>
      </c>
      <c r="L2251" s="1">
        <v>143</v>
      </c>
      <c r="M2251" s="1">
        <v>108</v>
      </c>
      <c r="N2251" s="1">
        <v>2</v>
      </c>
      <c r="O2251" s="1">
        <v>2.5</v>
      </c>
      <c r="P2251" s="1">
        <v>8</v>
      </c>
      <c r="Q2251" s="2">
        <v>0.121</v>
      </c>
      <c r="R2251" s="1">
        <v>8</v>
      </c>
      <c r="S2251" s="1">
        <f>R2251/P2251</f>
        <v>1</v>
      </c>
      <c r="T2251" s="1">
        <v>2</v>
      </c>
      <c r="U2251" s="1">
        <v>9.5</v>
      </c>
      <c r="V2251" s="1">
        <v>458.06013071895427</v>
      </c>
      <c r="W2251" s="1">
        <v>2</v>
      </c>
    </row>
    <row r="2252" spans="1:23" x14ac:dyDescent="0.2">
      <c r="A2252">
        <v>2021</v>
      </c>
      <c r="B2252" t="s">
        <v>23</v>
      </c>
      <c r="C2252" t="s">
        <v>271</v>
      </c>
      <c r="D2252">
        <v>178</v>
      </c>
      <c r="E2252">
        <v>1</v>
      </c>
      <c r="F2252">
        <v>1</v>
      </c>
      <c r="G2252" t="s">
        <v>203</v>
      </c>
      <c r="H2252">
        <v>10</v>
      </c>
      <c r="I2252">
        <v>58</v>
      </c>
      <c r="J2252">
        <v>60</v>
      </c>
      <c r="K2252">
        <v>2</v>
      </c>
      <c r="L2252">
        <v>102</v>
      </c>
      <c r="M2252">
        <v>32</v>
      </c>
      <c r="N2252">
        <v>2</v>
      </c>
      <c r="O2252">
        <v>3</v>
      </c>
      <c r="P2252">
        <v>10</v>
      </c>
      <c r="Q2252">
        <v>1</v>
      </c>
      <c r="R2252">
        <v>8</v>
      </c>
      <c r="S2252">
        <v>0.8</v>
      </c>
      <c r="T2252">
        <v>2.5</v>
      </c>
      <c r="U2252">
        <v>12.5</v>
      </c>
      <c r="V2252">
        <v>3660.1307189542486</v>
      </c>
      <c r="W2252">
        <v>1</v>
      </c>
    </row>
    <row r="2253" spans="1:23" x14ac:dyDescent="0.2">
      <c r="A2253">
        <v>2021</v>
      </c>
      <c r="B2253" t="s">
        <v>23</v>
      </c>
      <c r="C2253" t="s">
        <v>271</v>
      </c>
      <c r="D2253">
        <v>178</v>
      </c>
      <c r="E2253">
        <v>2</v>
      </c>
      <c r="F2253">
        <v>2</v>
      </c>
      <c r="G2253" t="s">
        <v>203</v>
      </c>
      <c r="H2253">
        <v>6</v>
      </c>
      <c r="I2253">
        <v>63</v>
      </c>
      <c r="J2253">
        <v>65</v>
      </c>
      <c r="K2253">
        <v>2</v>
      </c>
      <c r="L2253">
        <v>150</v>
      </c>
      <c r="M2253">
        <v>85</v>
      </c>
      <c r="N2253">
        <v>1.5</v>
      </c>
      <c r="O2253">
        <v>3.5</v>
      </c>
      <c r="P2253">
        <v>6</v>
      </c>
      <c r="Q2253">
        <v>0.4</v>
      </c>
      <c r="R2253">
        <v>6</v>
      </c>
      <c r="S2253">
        <v>1</v>
      </c>
      <c r="T2253">
        <v>3.5</v>
      </c>
      <c r="U2253">
        <v>12.5</v>
      </c>
      <c r="V2253">
        <v>1464.0522875816994</v>
      </c>
      <c r="W2253">
        <v>1</v>
      </c>
    </row>
    <row r="2254" spans="1:23" x14ac:dyDescent="0.2">
      <c r="A2254">
        <v>2021</v>
      </c>
      <c r="B2254" t="s">
        <v>23</v>
      </c>
      <c r="C2254" t="s">
        <v>271</v>
      </c>
      <c r="D2254">
        <v>179</v>
      </c>
      <c r="E2254">
        <v>1</v>
      </c>
      <c r="F2254">
        <v>8</v>
      </c>
      <c r="G2254" t="s">
        <v>204</v>
      </c>
      <c r="H2254" s="1">
        <v>7</v>
      </c>
      <c r="I2254" s="1">
        <v>66</v>
      </c>
      <c r="J2254" s="1">
        <v>71</v>
      </c>
      <c r="K2254" s="1">
        <f>J2254-I2254</f>
        <v>5</v>
      </c>
      <c r="L2254" s="1">
        <v>143</v>
      </c>
      <c r="M2254" s="1">
        <v>73</v>
      </c>
      <c r="N2254" s="1">
        <v>2</v>
      </c>
      <c r="O2254" s="1">
        <v>2.5</v>
      </c>
      <c r="P2254" s="1">
        <v>4</v>
      </c>
      <c r="Q2254" s="2">
        <v>0.21480000000000002</v>
      </c>
      <c r="R2254" s="1">
        <v>5</v>
      </c>
      <c r="S2254" s="1">
        <f>R2254/P2254</f>
        <v>1.25</v>
      </c>
      <c r="T2254" s="1">
        <v>3</v>
      </c>
      <c r="U2254" s="1">
        <v>12.5</v>
      </c>
      <c r="V2254" s="1">
        <v>786.19607843137271</v>
      </c>
      <c r="W2254" s="1">
        <v>5</v>
      </c>
    </row>
    <row r="2255" spans="1:23" x14ac:dyDescent="0.2">
      <c r="A2255">
        <v>2021</v>
      </c>
      <c r="B2255" t="s">
        <v>23</v>
      </c>
      <c r="C2255" t="s">
        <v>271</v>
      </c>
      <c r="D2255">
        <v>179</v>
      </c>
      <c r="E2255">
        <v>2</v>
      </c>
      <c r="F2255">
        <v>13</v>
      </c>
      <c r="G2255" t="s">
        <v>204</v>
      </c>
      <c r="H2255" s="1">
        <v>4</v>
      </c>
      <c r="I2255" s="1">
        <v>66</v>
      </c>
      <c r="J2255" s="1">
        <v>70</v>
      </c>
      <c r="K2255" s="1">
        <f>J2255-I2255</f>
        <v>4</v>
      </c>
      <c r="L2255" s="1">
        <v>100</v>
      </c>
      <c r="M2255" s="1">
        <v>26</v>
      </c>
      <c r="N2255" s="1">
        <v>2</v>
      </c>
      <c r="O2255" s="1">
        <v>5</v>
      </c>
      <c r="P2255" s="1">
        <v>3</v>
      </c>
      <c r="Q2255" s="2">
        <v>2.5499999999999998E-2</v>
      </c>
      <c r="R2255" s="1">
        <v>3</v>
      </c>
      <c r="S2255" s="1">
        <f>R2255/P2255</f>
        <v>1</v>
      </c>
      <c r="T2255" s="1">
        <v>5</v>
      </c>
      <c r="U2255" s="1">
        <v>12.5</v>
      </c>
      <c r="V2255" s="1">
        <v>93.333333333333314</v>
      </c>
      <c r="W2255" s="1">
        <v>6</v>
      </c>
    </row>
    <row r="2256" spans="1:23" x14ac:dyDescent="0.2">
      <c r="A2256">
        <v>2021</v>
      </c>
      <c r="B2256" t="s">
        <v>23</v>
      </c>
      <c r="C2256" t="s">
        <v>271</v>
      </c>
      <c r="D2256">
        <v>180</v>
      </c>
      <c r="E2256">
        <v>1</v>
      </c>
      <c r="F2256">
        <v>8</v>
      </c>
      <c r="G2256" t="s">
        <v>205</v>
      </c>
      <c r="H2256" s="1">
        <v>9</v>
      </c>
      <c r="I2256" s="1">
        <v>70</v>
      </c>
      <c r="J2256" s="1">
        <v>74</v>
      </c>
      <c r="K2256" s="1">
        <f>J2256-I2256</f>
        <v>4</v>
      </c>
      <c r="L2256" s="1">
        <v>115</v>
      </c>
      <c r="M2256" s="1">
        <v>73</v>
      </c>
      <c r="N2256" s="1">
        <v>2</v>
      </c>
      <c r="O2256" s="1">
        <v>4</v>
      </c>
      <c r="P2256" s="1">
        <v>2</v>
      </c>
      <c r="Q2256" s="2">
        <v>0.19247999999999998</v>
      </c>
      <c r="R2256" s="1">
        <v>2</v>
      </c>
      <c r="S2256" s="1">
        <f>R2256/P2256</f>
        <v>1</v>
      </c>
      <c r="T2256" s="1">
        <v>5</v>
      </c>
      <c r="U2256" s="1">
        <v>12.5</v>
      </c>
      <c r="V2256" s="1">
        <v>704.50196078431372</v>
      </c>
      <c r="W2256" s="1">
        <v>5</v>
      </c>
    </row>
    <row r="2257" spans="1:23" x14ac:dyDescent="0.2">
      <c r="A2257">
        <v>2021</v>
      </c>
      <c r="B2257" t="s">
        <v>23</v>
      </c>
      <c r="C2257" t="s">
        <v>271</v>
      </c>
      <c r="D2257">
        <v>180</v>
      </c>
      <c r="E2257">
        <v>2</v>
      </c>
      <c r="F2257">
        <v>8</v>
      </c>
      <c r="G2257" t="s">
        <v>205</v>
      </c>
      <c r="H2257" s="1">
        <v>5</v>
      </c>
      <c r="I2257" s="1">
        <v>66</v>
      </c>
      <c r="J2257" s="1">
        <v>71</v>
      </c>
      <c r="K2257" s="1">
        <f>J2257-I2257</f>
        <v>5</v>
      </c>
      <c r="L2257" s="1">
        <v>124</v>
      </c>
      <c r="M2257" s="1">
        <v>46</v>
      </c>
      <c r="N2257" s="1">
        <v>2</v>
      </c>
      <c r="O2257" s="1">
        <v>4</v>
      </c>
      <c r="P2257" s="1">
        <v>3</v>
      </c>
      <c r="Q2257" s="2">
        <v>6.5000000000000002E-2</v>
      </c>
      <c r="R2257" s="1">
        <v>2</v>
      </c>
      <c r="S2257" s="1">
        <f>R2257/P2257</f>
        <v>0.66666666666666663</v>
      </c>
      <c r="T2257" s="1">
        <v>4.5</v>
      </c>
      <c r="U2257" s="1">
        <v>12.5</v>
      </c>
      <c r="V2257" s="1">
        <v>237.90849673202612</v>
      </c>
      <c r="W2257" s="1">
        <v>4</v>
      </c>
    </row>
    <row r="2258" spans="1:23" x14ac:dyDescent="0.2">
      <c r="A2258">
        <v>2021</v>
      </c>
      <c r="B2258" t="s">
        <v>23</v>
      </c>
      <c r="C2258" t="s">
        <v>271</v>
      </c>
      <c r="D2258">
        <v>181</v>
      </c>
      <c r="E2258">
        <v>1</v>
      </c>
      <c r="F2258">
        <v>12</v>
      </c>
      <c r="G2258" t="s">
        <v>206</v>
      </c>
      <c r="H2258" s="3">
        <v>3</v>
      </c>
      <c r="I2258" s="3">
        <v>67</v>
      </c>
      <c r="J2258" s="3">
        <v>69</v>
      </c>
      <c r="K2258" s="3">
        <f>J2258-I2258</f>
        <v>2</v>
      </c>
      <c r="L2258" s="3">
        <v>130</v>
      </c>
      <c r="M2258" s="3">
        <v>77</v>
      </c>
      <c r="N2258" s="3">
        <v>2</v>
      </c>
      <c r="O2258" s="3">
        <v>2.5</v>
      </c>
      <c r="P2258" s="3">
        <v>3</v>
      </c>
      <c r="Q2258" s="4">
        <v>7.5600000000000001E-2</v>
      </c>
      <c r="R2258" s="3">
        <v>1</v>
      </c>
      <c r="S2258" s="3">
        <f>R2258/P2258</f>
        <v>0.33333333333333331</v>
      </c>
      <c r="T2258" s="3">
        <v>4</v>
      </c>
      <c r="U2258" s="3">
        <v>12.5</v>
      </c>
      <c r="V2258" s="3">
        <v>276.70588235294122</v>
      </c>
      <c r="W2258" s="3">
        <v>4</v>
      </c>
    </row>
    <row r="2259" spans="1:23" x14ac:dyDescent="0.2">
      <c r="A2259">
        <v>2021</v>
      </c>
      <c r="B2259" t="s">
        <v>23</v>
      </c>
      <c r="C2259" t="s">
        <v>271</v>
      </c>
      <c r="D2259">
        <v>181</v>
      </c>
      <c r="E2259">
        <v>2</v>
      </c>
      <c r="F2259">
        <v>7</v>
      </c>
      <c r="G2259" t="s">
        <v>206</v>
      </c>
      <c r="H2259">
        <v>3</v>
      </c>
      <c r="I2259">
        <v>59</v>
      </c>
      <c r="J2259">
        <v>62</v>
      </c>
      <c r="K2259">
        <v>3</v>
      </c>
      <c r="L2259">
        <v>118</v>
      </c>
      <c r="M2259">
        <v>42</v>
      </c>
      <c r="N2259">
        <v>5</v>
      </c>
      <c r="O2259">
        <v>4</v>
      </c>
      <c r="P2259">
        <v>3</v>
      </c>
      <c r="Q2259">
        <v>0.186</v>
      </c>
      <c r="R2259">
        <v>2</v>
      </c>
      <c r="S2259">
        <v>0.66666666666666663</v>
      </c>
      <c r="T2259">
        <v>2</v>
      </c>
      <c r="U2259">
        <v>12.5</v>
      </c>
      <c r="V2259">
        <v>680.78431372549016</v>
      </c>
      <c r="W2259">
        <v>2</v>
      </c>
    </row>
    <row r="2260" spans="1:23" x14ac:dyDescent="0.2">
      <c r="A2260">
        <v>2021</v>
      </c>
      <c r="B2260" t="s">
        <v>23</v>
      </c>
      <c r="C2260" t="s">
        <v>271</v>
      </c>
      <c r="D2260">
        <v>182</v>
      </c>
      <c r="E2260">
        <v>1</v>
      </c>
      <c r="F2260">
        <v>6</v>
      </c>
      <c r="G2260" t="s">
        <v>207</v>
      </c>
      <c r="H2260" s="1">
        <v>10</v>
      </c>
      <c r="I2260" s="1">
        <v>59</v>
      </c>
      <c r="J2260" s="1">
        <v>64</v>
      </c>
      <c r="K2260" s="1">
        <f>J2260-I2260</f>
        <v>5</v>
      </c>
      <c r="L2260" s="1">
        <v>105</v>
      </c>
      <c r="M2260" s="1">
        <v>40</v>
      </c>
      <c r="N2260" s="1">
        <v>3</v>
      </c>
      <c r="O2260" s="1">
        <v>4</v>
      </c>
      <c r="P2260" s="1">
        <v>7</v>
      </c>
      <c r="Q2260" s="2">
        <v>0.23599999999999999</v>
      </c>
      <c r="R2260" s="1">
        <v>7</v>
      </c>
      <c r="S2260" s="1">
        <f>R2260/P2260</f>
        <v>1</v>
      </c>
      <c r="T2260" s="1">
        <v>3.5</v>
      </c>
      <c r="U2260" s="1">
        <v>12.5</v>
      </c>
      <c r="V2260" s="1">
        <v>863.79084967320262</v>
      </c>
      <c r="W2260" s="1">
        <v>5</v>
      </c>
    </row>
    <row r="2261" spans="1:23" x14ac:dyDescent="0.2">
      <c r="A2261">
        <v>2021</v>
      </c>
      <c r="B2261" t="s">
        <v>23</v>
      </c>
      <c r="C2261" t="s">
        <v>271</v>
      </c>
      <c r="D2261">
        <v>182</v>
      </c>
      <c r="E2261">
        <v>2</v>
      </c>
      <c r="F2261">
        <v>8</v>
      </c>
      <c r="G2261" t="s">
        <v>207</v>
      </c>
      <c r="H2261" s="1">
        <v>4</v>
      </c>
      <c r="I2261" s="1">
        <v>68</v>
      </c>
      <c r="J2261" s="1">
        <v>71</v>
      </c>
      <c r="K2261" s="1">
        <f>J2261-I2261</f>
        <v>3</v>
      </c>
      <c r="L2261" s="1">
        <v>173</v>
      </c>
      <c r="M2261" s="1">
        <v>101</v>
      </c>
      <c r="N2261" s="1">
        <v>2</v>
      </c>
      <c r="O2261" s="1">
        <v>2.5</v>
      </c>
      <c r="P2261" s="1">
        <f>H2261</f>
        <v>4</v>
      </c>
      <c r="Q2261" s="2">
        <v>6.8000000000000005E-2</v>
      </c>
      <c r="R2261" s="1">
        <v>2</v>
      </c>
      <c r="S2261" s="1">
        <f>R2261/P2261</f>
        <v>0.5</v>
      </c>
      <c r="T2261" s="1">
        <v>3</v>
      </c>
      <c r="U2261" s="1">
        <v>12.5</v>
      </c>
      <c r="V2261" s="1">
        <v>248.88888888888889</v>
      </c>
      <c r="W2261" s="1">
        <v>3</v>
      </c>
    </row>
    <row r="2262" spans="1:23" x14ac:dyDescent="0.2">
      <c r="A2262">
        <v>2021</v>
      </c>
      <c r="B2262" t="s">
        <v>23</v>
      </c>
      <c r="C2262" t="s">
        <v>271</v>
      </c>
      <c r="D2262">
        <v>183</v>
      </c>
      <c r="E2262">
        <v>1</v>
      </c>
      <c r="F2262">
        <v>5</v>
      </c>
      <c r="G2262" t="s">
        <v>208</v>
      </c>
      <c r="H2262">
        <v>6</v>
      </c>
      <c r="I2262">
        <v>55</v>
      </c>
      <c r="J2262">
        <v>58</v>
      </c>
      <c r="K2262">
        <v>3</v>
      </c>
      <c r="L2262">
        <v>156</v>
      </c>
      <c r="M2262">
        <v>42</v>
      </c>
      <c r="N2262">
        <v>2</v>
      </c>
      <c r="O2262">
        <v>3</v>
      </c>
      <c r="P2262">
        <v>5</v>
      </c>
      <c r="Q2262">
        <v>0.76</v>
      </c>
      <c r="R2262">
        <v>5</v>
      </c>
      <c r="S2262">
        <v>1</v>
      </c>
      <c r="T2262">
        <v>3</v>
      </c>
      <c r="U2262">
        <v>12.5</v>
      </c>
      <c r="V2262">
        <v>2781.6993464052289</v>
      </c>
      <c r="W2262">
        <v>2</v>
      </c>
    </row>
    <row r="2263" spans="1:23" x14ac:dyDescent="0.2">
      <c r="A2263">
        <v>2021</v>
      </c>
      <c r="B2263" t="s">
        <v>23</v>
      </c>
      <c r="C2263" t="s">
        <v>271</v>
      </c>
      <c r="D2263">
        <v>183</v>
      </c>
      <c r="E2263">
        <v>2</v>
      </c>
      <c r="F2263">
        <v>10</v>
      </c>
      <c r="G2263" t="s">
        <v>208</v>
      </c>
      <c r="H2263" s="1">
        <v>13</v>
      </c>
      <c r="I2263" s="1">
        <v>69</v>
      </c>
      <c r="J2263" s="1">
        <v>73</v>
      </c>
      <c r="K2263" s="1">
        <f>J2263-I2263</f>
        <v>4</v>
      </c>
      <c r="L2263" s="1">
        <v>145</v>
      </c>
      <c r="M2263" s="1">
        <v>63</v>
      </c>
      <c r="N2263" s="1">
        <v>3.5</v>
      </c>
      <c r="O2263" s="1">
        <v>4</v>
      </c>
      <c r="P2263" s="1">
        <v>10</v>
      </c>
      <c r="Q2263" s="2">
        <v>0.25919999999999999</v>
      </c>
      <c r="R2263" s="1">
        <v>10</v>
      </c>
      <c r="S2263" s="1">
        <f>R2263/P2263</f>
        <v>1</v>
      </c>
      <c r="T2263" s="1">
        <v>3</v>
      </c>
      <c r="U2263" s="1">
        <v>12.5</v>
      </c>
      <c r="V2263" s="1">
        <v>948.7058823529411</v>
      </c>
      <c r="W2263" s="1">
        <v>5</v>
      </c>
    </row>
    <row r="2264" spans="1:23" x14ac:dyDescent="0.2">
      <c r="A2264">
        <v>2021</v>
      </c>
      <c r="B2264" t="s">
        <v>23</v>
      </c>
      <c r="C2264" t="s">
        <v>271</v>
      </c>
      <c r="D2264">
        <v>184</v>
      </c>
      <c r="E2264">
        <v>1</v>
      </c>
      <c r="F2264">
        <v>9</v>
      </c>
      <c r="G2264" t="s">
        <v>209</v>
      </c>
      <c r="H2264" s="1">
        <v>10</v>
      </c>
      <c r="I2264" s="1">
        <v>66</v>
      </c>
      <c r="J2264" s="1">
        <v>71</v>
      </c>
      <c r="K2264" s="1">
        <f>J2264-I2264</f>
        <v>5</v>
      </c>
      <c r="L2264" s="1">
        <v>123</v>
      </c>
      <c r="M2264" s="1">
        <v>41</v>
      </c>
      <c r="N2264" s="1">
        <v>2</v>
      </c>
      <c r="O2264" s="1">
        <v>4</v>
      </c>
      <c r="P2264" s="1">
        <v>8</v>
      </c>
      <c r="Q2264" s="2">
        <v>0.44400000000000001</v>
      </c>
      <c r="R2264" s="1">
        <v>8</v>
      </c>
      <c r="S2264" s="1">
        <f>R2264/P2264</f>
        <v>1</v>
      </c>
      <c r="T2264" s="1">
        <v>3.5</v>
      </c>
      <c r="U2264" s="1">
        <v>12.5</v>
      </c>
      <c r="V2264" s="1">
        <v>1625.0980392156862</v>
      </c>
      <c r="W2264" s="1">
        <v>3</v>
      </c>
    </row>
    <row r="2265" spans="1:23" x14ac:dyDescent="0.2">
      <c r="A2265">
        <v>2021</v>
      </c>
      <c r="B2265" t="s">
        <v>23</v>
      </c>
      <c r="C2265" t="s">
        <v>271</v>
      </c>
      <c r="D2265">
        <v>184</v>
      </c>
      <c r="E2265">
        <v>2</v>
      </c>
      <c r="F2265">
        <v>11</v>
      </c>
      <c r="G2265" t="s">
        <v>209</v>
      </c>
      <c r="H2265">
        <v>15</v>
      </c>
      <c r="I2265">
        <v>54</v>
      </c>
      <c r="J2265">
        <v>56</v>
      </c>
      <c r="K2265">
        <v>2</v>
      </c>
      <c r="L2265">
        <v>155</v>
      </c>
      <c r="M2265">
        <v>45</v>
      </c>
      <c r="N2265">
        <v>2</v>
      </c>
      <c r="O2265">
        <v>2</v>
      </c>
      <c r="P2265">
        <v>13</v>
      </c>
      <c r="Q2265">
        <v>1.2</v>
      </c>
      <c r="R2265">
        <v>11</v>
      </c>
      <c r="S2265">
        <v>0.84615384615384615</v>
      </c>
      <c r="T2265">
        <v>3</v>
      </c>
      <c r="U2265">
        <v>12.2</v>
      </c>
      <c r="V2265">
        <v>4407.2156862745096</v>
      </c>
      <c r="W2265">
        <v>1</v>
      </c>
    </row>
    <row r="2266" spans="1:23" x14ac:dyDescent="0.2">
      <c r="A2266">
        <v>2021</v>
      </c>
      <c r="B2266" t="s">
        <v>23</v>
      </c>
      <c r="C2266" t="s">
        <v>271</v>
      </c>
      <c r="D2266">
        <v>185</v>
      </c>
      <c r="E2266">
        <v>1</v>
      </c>
      <c r="F2266">
        <v>2</v>
      </c>
      <c r="G2266" t="s">
        <v>210</v>
      </c>
      <c r="H2266" s="3">
        <v>3</v>
      </c>
      <c r="I2266" s="3">
        <v>67</v>
      </c>
      <c r="J2266" s="3">
        <v>69</v>
      </c>
      <c r="K2266" s="3">
        <f>J2266-I2266</f>
        <v>2</v>
      </c>
      <c r="L2266" s="3">
        <v>130</v>
      </c>
      <c r="M2266" s="3">
        <v>77</v>
      </c>
      <c r="N2266" s="3">
        <v>2</v>
      </c>
      <c r="O2266" s="3">
        <v>2.5</v>
      </c>
      <c r="P2266" s="3">
        <v>3</v>
      </c>
      <c r="Q2266" s="4">
        <v>7.5600000000000001E-2</v>
      </c>
      <c r="R2266" s="3">
        <v>1</v>
      </c>
      <c r="S2266" s="3">
        <f>R2266/P2266</f>
        <v>0.33333333333333331</v>
      </c>
      <c r="T2266" s="3">
        <v>4</v>
      </c>
      <c r="U2266" s="3">
        <v>12.5</v>
      </c>
      <c r="V2266" s="3">
        <v>276.70588235294122</v>
      </c>
      <c r="W2266" s="3">
        <v>4</v>
      </c>
    </row>
    <row r="2267" spans="1:23" x14ac:dyDescent="0.2">
      <c r="A2267">
        <v>2021</v>
      </c>
      <c r="B2267" t="s">
        <v>23</v>
      </c>
      <c r="C2267" t="s">
        <v>271</v>
      </c>
      <c r="D2267">
        <v>185</v>
      </c>
      <c r="E2267">
        <v>2</v>
      </c>
      <c r="F2267">
        <v>4</v>
      </c>
      <c r="G2267" t="s">
        <v>210</v>
      </c>
      <c r="H2267">
        <v>12</v>
      </c>
      <c r="I2267">
        <v>56</v>
      </c>
      <c r="J2267">
        <v>60</v>
      </c>
      <c r="K2267">
        <v>4</v>
      </c>
      <c r="L2267">
        <v>127</v>
      </c>
      <c r="M2267">
        <v>24</v>
      </c>
      <c r="N2267">
        <v>2</v>
      </c>
      <c r="O2267">
        <v>2.5</v>
      </c>
      <c r="P2267">
        <v>11</v>
      </c>
      <c r="Q2267">
        <v>1.5</v>
      </c>
      <c r="R2267">
        <v>9</v>
      </c>
      <c r="S2267">
        <v>0.81818181818181823</v>
      </c>
      <c r="T2267">
        <v>2</v>
      </c>
      <c r="U2267">
        <v>12.5</v>
      </c>
      <c r="V2267">
        <v>5490.1960784313724</v>
      </c>
      <c r="W2267">
        <v>2</v>
      </c>
    </row>
    <row r="2268" spans="1:23" x14ac:dyDescent="0.2">
      <c r="A2268">
        <v>2021</v>
      </c>
      <c r="B2268" t="s">
        <v>23</v>
      </c>
      <c r="C2268" t="s">
        <v>271</v>
      </c>
      <c r="D2268">
        <v>186</v>
      </c>
      <c r="E2268">
        <v>1</v>
      </c>
      <c r="F2268">
        <v>3</v>
      </c>
      <c r="G2268" t="s">
        <v>211</v>
      </c>
      <c r="H2268" s="1">
        <v>9</v>
      </c>
      <c r="I2268" s="1">
        <v>64</v>
      </c>
      <c r="J2268" s="1">
        <v>68</v>
      </c>
      <c r="K2268" s="1">
        <f t="shared" ref="K2268:K2273" si="112">J2268-I2268</f>
        <v>4</v>
      </c>
      <c r="L2268" s="1">
        <v>113</v>
      </c>
      <c r="M2268" s="1">
        <v>41</v>
      </c>
      <c r="N2268" s="1">
        <v>2</v>
      </c>
      <c r="O2268" s="1">
        <v>4</v>
      </c>
      <c r="P2268" s="1">
        <v>5</v>
      </c>
      <c r="Q2268" s="2">
        <v>0.184</v>
      </c>
      <c r="R2268" s="1">
        <v>4</v>
      </c>
      <c r="S2268" s="1">
        <f t="shared" ref="S2268:S2273" si="113">R2268/P2268</f>
        <v>0.8</v>
      </c>
      <c r="T2268" s="1">
        <v>5</v>
      </c>
      <c r="U2268" s="1">
        <v>12.5</v>
      </c>
      <c r="V2268" s="1">
        <v>673.46405228758169</v>
      </c>
      <c r="W2268" s="1">
        <v>5</v>
      </c>
    </row>
    <row r="2269" spans="1:23" x14ac:dyDescent="0.2">
      <c r="A2269">
        <v>2021</v>
      </c>
      <c r="B2269" t="s">
        <v>23</v>
      </c>
      <c r="C2269" t="s">
        <v>271</v>
      </c>
      <c r="D2269">
        <v>186</v>
      </c>
      <c r="E2269">
        <v>2</v>
      </c>
      <c r="F2269">
        <v>2</v>
      </c>
      <c r="G2269" t="s">
        <v>211</v>
      </c>
      <c r="H2269" s="1">
        <v>8</v>
      </c>
      <c r="I2269" s="1">
        <v>62</v>
      </c>
      <c r="J2269" s="1">
        <v>64</v>
      </c>
      <c r="K2269" s="1">
        <f t="shared" si="112"/>
        <v>2</v>
      </c>
      <c r="L2269" s="1">
        <v>86</v>
      </c>
      <c r="M2269" s="1">
        <v>49</v>
      </c>
      <c r="N2269" s="1">
        <v>2</v>
      </c>
      <c r="O2269" s="1">
        <v>3.5</v>
      </c>
      <c r="P2269" s="1">
        <v>5</v>
      </c>
      <c r="Q2269" s="2">
        <v>0.25</v>
      </c>
      <c r="R2269" s="1">
        <v>6</v>
      </c>
      <c r="S2269" s="1">
        <f t="shared" si="113"/>
        <v>1.2</v>
      </c>
      <c r="T2269" s="1">
        <v>3.5</v>
      </c>
      <c r="U2269" s="1">
        <v>12.5</v>
      </c>
      <c r="V2269" s="1">
        <v>915.03267973856214</v>
      </c>
      <c r="W2269" s="1">
        <v>4</v>
      </c>
    </row>
    <row r="2270" spans="1:23" x14ac:dyDescent="0.2">
      <c r="A2270">
        <v>2021</v>
      </c>
      <c r="B2270" t="s">
        <v>23</v>
      </c>
      <c r="C2270" t="s">
        <v>271</v>
      </c>
      <c r="D2270">
        <v>187</v>
      </c>
      <c r="E2270">
        <v>1</v>
      </c>
      <c r="F2270">
        <v>1</v>
      </c>
      <c r="G2270" t="s">
        <v>212</v>
      </c>
      <c r="H2270" s="1">
        <v>7</v>
      </c>
      <c r="I2270" s="1">
        <v>64</v>
      </c>
      <c r="J2270" s="1">
        <v>65</v>
      </c>
      <c r="K2270" s="1">
        <f t="shared" si="112"/>
        <v>1</v>
      </c>
      <c r="L2270" s="1">
        <v>102</v>
      </c>
      <c r="M2270" s="1">
        <v>34</v>
      </c>
      <c r="N2270" s="1">
        <v>3</v>
      </c>
      <c r="O2270" s="1">
        <v>4.5</v>
      </c>
      <c r="P2270" s="1">
        <v>5</v>
      </c>
      <c r="Q2270" s="2">
        <v>0.182</v>
      </c>
      <c r="R2270" s="1">
        <v>4</v>
      </c>
      <c r="S2270" s="1">
        <f t="shared" si="113"/>
        <v>0.8</v>
      </c>
      <c r="T2270" s="1">
        <v>3</v>
      </c>
      <c r="U2270" s="1">
        <v>12.5</v>
      </c>
      <c r="V2270" s="1">
        <v>666.14379084967322</v>
      </c>
      <c r="W2270" s="1">
        <v>4</v>
      </c>
    </row>
    <row r="2271" spans="1:23" x14ac:dyDescent="0.2">
      <c r="A2271">
        <v>2021</v>
      </c>
      <c r="B2271" t="s">
        <v>23</v>
      </c>
      <c r="C2271" t="s">
        <v>271</v>
      </c>
      <c r="D2271">
        <v>187</v>
      </c>
      <c r="E2271">
        <v>2</v>
      </c>
      <c r="F2271">
        <v>4</v>
      </c>
      <c r="G2271" t="s">
        <v>212</v>
      </c>
      <c r="H2271" s="1">
        <v>10</v>
      </c>
      <c r="I2271" s="1">
        <v>54</v>
      </c>
      <c r="J2271" s="1">
        <v>59</v>
      </c>
      <c r="K2271" s="1">
        <f t="shared" si="112"/>
        <v>5</v>
      </c>
      <c r="L2271" s="1">
        <v>130</v>
      </c>
      <c r="M2271" s="1">
        <v>51</v>
      </c>
      <c r="N2271" s="1">
        <v>2.5</v>
      </c>
      <c r="O2271" s="1">
        <v>3.5</v>
      </c>
      <c r="P2271" s="1">
        <v>8</v>
      </c>
      <c r="Q2271" s="2">
        <v>0.502</v>
      </c>
      <c r="R2271" s="1">
        <v>8</v>
      </c>
      <c r="S2271" s="1">
        <f t="shared" si="113"/>
        <v>1</v>
      </c>
      <c r="T2271" s="1">
        <v>1.5</v>
      </c>
      <c r="U2271" s="1">
        <v>12.5</v>
      </c>
      <c r="V2271" s="1">
        <v>1837.3856209150326</v>
      </c>
      <c r="W2271" s="1">
        <v>3</v>
      </c>
    </row>
    <row r="2272" spans="1:23" x14ac:dyDescent="0.2">
      <c r="A2272">
        <v>2021</v>
      </c>
      <c r="B2272" t="s">
        <v>23</v>
      </c>
      <c r="C2272" t="s">
        <v>271</v>
      </c>
      <c r="D2272">
        <v>188</v>
      </c>
      <c r="E2272">
        <v>1</v>
      </c>
      <c r="F2272">
        <v>8</v>
      </c>
      <c r="G2272" t="s">
        <v>213</v>
      </c>
      <c r="H2272" s="1">
        <v>6</v>
      </c>
      <c r="I2272" s="1">
        <v>59</v>
      </c>
      <c r="J2272" s="1">
        <v>62</v>
      </c>
      <c r="K2272" s="1">
        <f t="shared" si="112"/>
        <v>3</v>
      </c>
      <c r="L2272" s="1">
        <v>110</v>
      </c>
      <c r="M2272" s="1">
        <v>29</v>
      </c>
      <c r="N2272" s="1">
        <v>1.5</v>
      </c>
      <c r="O2272" s="1">
        <v>4.5</v>
      </c>
      <c r="P2272" s="1">
        <v>5</v>
      </c>
      <c r="Q2272" s="2">
        <v>5.7500000000000002E-2</v>
      </c>
      <c r="R2272" s="1">
        <v>5</v>
      </c>
      <c r="S2272" s="1">
        <f t="shared" si="113"/>
        <v>1</v>
      </c>
      <c r="T2272" s="1">
        <v>5</v>
      </c>
      <c r="U2272" s="1">
        <v>12.5</v>
      </c>
      <c r="V2272" s="1">
        <v>210.45751633986927</v>
      </c>
      <c r="W2272" s="1">
        <v>5</v>
      </c>
    </row>
    <row r="2273" spans="1:23" x14ac:dyDescent="0.2">
      <c r="A2273">
        <v>2021</v>
      </c>
      <c r="B2273" t="s">
        <v>23</v>
      </c>
      <c r="C2273" t="s">
        <v>271</v>
      </c>
      <c r="D2273">
        <v>188</v>
      </c>
      <c r="E2273">
        <v>2</v>
      </c>
      <c r="F2273">
        <v>6</v>
      </c>
      <c r="G2273" t="s">
        <v>213</v>
      </c>
      <c r="H2273" s="1">
        <v>5</v>
      </c>
      <c r="I2273" s="1">
        <v>61</v>
      </c>
      <c r="J2273" s="1">
        <v>65</v>
      </c>
      <c r="K2273" s="1">
        <f t="shared" si="112"/>
        <v>4</v>
      </c>
      <c r="L2273" s="1">
        <v>134</v>
      </c>
      <c r="M2273" s="1">
        <v>107</v>
      </c>
      <c r="N2273" s="1">
        <v>2</v>
      </c>
      <c r="O2273" s="1">
        <v>3</v>
      </c>
      <c r="P2273" s="1">
        <f>H2273</f>
        <v>5</v>
      </c>
      <c r="Q2273" s="2">
        <v>0.11025</v>
      </c>
      <c r="R2273" s="1">
        <v>5</v>
      </c>
      <c r="S2273" s="1">
        <f t="shared" si="113"/>
        <v>1</v>
      </c>
      <c r="T2273" s="1">
        <v>2</v>
      </c>
      <c r="U2273" s="1">
        <v>12.5</v>
      </c>
      <c r="V2273" s="1">
        <v>403.52941176470591</v>
      </c>
      <c r="W2273" s="1">
        <v>2</v>
      </c>
    </row>
    <row r="2274" spans="1:23" x14ac:dyDescent="0.2">
      <c r="A2274">
        <v>2021</v>
      </c>
      <c r="B2274" t="s">
        <v>23</v>
      </c>
      <c r="C2274" t="s">
        <v>271</v>
      </c>
      <c r="D2274">
        <v>189</v>
      </c>
      <c r="E2274">
        <v>1</v>
      </c>
      <c r="F2274">
        <v>1</v>
      </c>
      <c r="G2274" t="s">
        <v>214</v>
      </c>
      <c r="H2274">
        <v>16</v>
      </c>
      <c r="I2274">
        <v>58</v>
      </c>
      <c r="J2274">
        <v>60</v>
      </c>
      <c r="K2274">
        <v>2</v>
      </c>
      <c r="L2274">
        <v>154</v>
      </c>
      <c r="M2274">
        <v>75</v>
      </c>
      <c r="N2274">
        <v>2</v>
      </c>
      <c r="O2274">
        <v>2</v>
      </c>
      <c r="P2274">
        <v>12</v>
      </c>
      <c r="Q2274">
        <v>0.5</v>
      </c>
      <c r="R2274">
        <v>10</v>
      </c>
      <c r="S2274">
        <v>0.83333333333333337</v>
      </c>
      <c r="T2274">
        <v>2</v>
      </c>
      <c r="U2274">
        <v>12</v>
      </c>
      <c r="V2274">
        <v>1840.5228758169933</v>
      </c>
      <c r="W2274">
        <v>2</v>
      </c>
    </row>
    <row r="2275" spans="1:23" x14ac:dyDescent="0.2">
      <c r="A2275">
        <v>2021</v>
      </c>
      <c r="B2275" t="s">
        <v>23</v>
      </c>
      <c r="C2275" t="s">
        <v>271</v>
      </c>
      <c r="D2275">
        <v>189</v>
      </c>
      <c r="E2275">
        <v>2</v>
      </c>
      <c r="F2275">
        <v>8</v>
      </c>
      <c r="G2275" t="s">
        <v>214</v>
      </c>
      <c r="H2275" s="1">
        <v>7</v>
      </c>
      <c r="I2275" s="1">
        <v>62</v>
      </c>
      <c r="J2275" s="1">
        <v>67</v>
      </c>
      <c r="K2275" s="1">
        <f>J2275-I2275</f>
        <v>5</v>
      </c>
      <c r="L2275" s="1">
        <v>80</v>
      </c>
      <c r="M2275" s="1">
        <v>21</v>
      </c>
      <c r="N2275" s="1">
        <v>2</v>
      </c>
      <c r="O2275" s="1">
        <v>5</v>
      </c>
      <c r="P2275" s="1">
        <v>4</v>
      </c>
      <c r="Q2275" s="2">
        <v>0.109</v>
      </c>
      <c r="R2275" s="1">
        <v>3</v>
      </c>
      <c r="S2275" s="1">
        <f>R2275/P2275</f>
        <v>0.75</v>
      </c>
      <c r="T2275" s="1">
        <v>4</v>
      </c>
      <c r="U2275" s="1">
        <v>12.5</v>
      </c>
      <c r="V2275" s="1">
        <v>398.95424836601308</v>
      </c>
      <c r="W2275" s="1">
        <v>7</v>
      </c>
    </row>
    <row r="2276" spans="1:23" x14ac:dyDescent="0.2">
      <c r="A2276">
        <v>2021</v>
      </c>
      <c r="B2276" t="s">
        <v>23</v>
      </c>
      <c r="C2276" t="s">
        <v>271</v>
      </c>
      <c r="D2276">
        <v>190</v>
      </c>
      <c r="E2276">
        <v>1</v>
      </c>
      <c r="F2276">
        <v>9</v>
      </c>
      <c r="G2276" t="s">
        <v>215</v>
      </c>
      <c r="H2276" s="1">
        <v>10</v>
      </c>
      <c r="I2276" s="1">
        <v>62</v>
      </c>
      <c r="J2276" s="1">
        <v>66</v>
      </c>
      <c r="K2276" s="1">
        <f>J2276-I2276</f>
        <v>4</v>
      </c>
      <c r="L2276" s="1">
        <v>100</v>
      </c>
      <c r="M2276" s="1">
        <v>40</v>
      </c>
      <c r="N2276" s="1">
        <v>2</v>
      </c>
      <c r="O2276" s="1">
        <v>4.5</v>
      </c>
      <c r="P2276" s="1">
        <v>8</v>
      </c>
      <c r="Q2276" s="2">
        <v>0.32719999999999999</v>
      </c>
      <c r="R2276" s="1">
        <v>5</v>
      </c>
      <c r="S2276" s="1">
        <f>R2276/P2276</f>
        <v>0.625</v>
      </c>
      <c r="T2276" s="1">
        <v>3</v>
      </c>
      <c r="U2276" s="1">
        <v>12.5</v>
      </c>
      <c r="V2276" s="1">
        <v>1197.5947712418301</v>
      </c>
      <c r="W2276" s="1">
        <v>4</v>
      </c>
    </row>
    <row r="2277" spans="1:23" x14ac:dyDescent="0.2">
      <c r="A2277">
        <v>2021</v>
      </c>
      <c r="B2277" t="s">
        <v>23</v>
      </c>
      <c r="C2277" t="s">
        <v>271</v>
      </c>
      <c r="D2277">
        <v>190</v>
      </c>
      <c r="E2277">
        <v>2</v>
      </c>
      <c r="F2277">
        <v>6</v>
      </c>
      <c r="G2277" t="s">
        <v>215</v>
      </c>
      <c r="H2277" s="1">
        <v>8</v>
      </c>
      <c r="I2277" s="1">
        <v>67</v>
      </c>
      <c r="J2277" s="1">
        <v>71</v>
      </c>
      <c r="K2277" s="1">
        <f>J2277-I2277</f>
        <v>4</v>
      </c>
      <c r="L2277" s="1">
        <v>119</v>
      </c>
      <c r="M2277" s="1">
        <v>31</v>
      </c>
      <c r="N2277" s="1">
        <v>3</v>
      </c>
      <c r="O2277" s="1">
        <v>4</v>
      </c>
      <c r="P2277" s="1">
        <v>5</v>
      </c>
      <c r="Q2277" s="2">
        <v>0.23039999999999997</v>
      </c>
      <c r="R2277" s="1">
        <v>5</v>
      </c>
      <c r="S2277" s="1">
        <f>R2277/P2277</f>
        <v>1</v>
      </c>
      <c r="T2277" s="1">
        <v>4</v>
      </c>
      <c r="U2277" s="1">
        <v>12.5</v>
      </c>
      <c r="V2277" s="1">
        <v>843.2941176470589</v>
      </c>
      <c r="W2277" s="1">
        <v>5</v>
      </c>
    </row>
    <row r="2278" spans="1:23" x14ac:dyDescent="0.2">
      <c r="A2278">
        <v>2021</v>
      </c>
      <c r="B2278" t="s">
        <v>23</v>
      </c>
      <c r="C2278" t="s">
        <v>271</v>
      </c>
      <c r="D2278">
        <v>191</v>
      </c>
      <c r="E2278">
        <v>1</v>
      </c>
      <c r="F2278">
        <v>3</v>
      </c>
      <c r="G2278" t="s">
        <v>216</v>
      </c>
      <c r="H2278">
        <v>8</v>
      </c>
      <c r="I2278">
        <v>59</v>
      </c>
      <c r="J2278">
        <v>62</v>
      </c>
      <c r="K2278">
        <v>3</v>
      </c>
      <c r="L2278">
        <v>165</v>
      </c>
      <c r="M2278">
        <v>45</v>
      </c>
      <c r="N2278">
        <v>1.5</v>
      </c>
      <c r="O2278">
        <v>3.5</v>
      </c>
      <c r="P2278">
        <v>8</v>
      </c>
      <c r="Q2278">
        <v>0.4</v>
      </c>
      <c r="R2278">
        <v>6</v>
      </c>
      <c r="S2278">
        <v>0.75</v>
      </c>
      <c r="T2278">
        <v>3.5</v>
      </c>
      <c r="U2278">
        <v>12.5</v>
      </c>
      <c r="V2278">
        <v>1464.0522875816994</v>
      </c>
      <c r="W2278">
        <v>2</v>
      </c>
    </row>
    <row r="2279" spans="1:23" x14ac:dyDescent="0.2">
      <c r="A2279">
        <v>2021</v>
      </c>
      <c r="B2279" t="s">
        <v>23</v>
      </c>
      <c r="C2279" t="s">
        <v>271</v>
      </c>
      <c r="D2279">
        <v>191</v>
      </c>
      <c r="E2279">
        <v>2</v>
      </c>
      <c r="F2279">
        <v>10</v>
      </c>
      <c r="G2279" t="s">
        <v>216</v>
      </c>
      <c r="H2279" s="1">
        <v>1</v>
      </c>
      <c r="I2279" s="1">
        <v>63</v>
      </c>
      <c r="J2279" s="1">
        <v>66</v>
      </c>
      <c r="K2279" s="1">
        <f t="shared" ref="K2279:K2288" si="114">J2279-I2279</f>
        <v>3</v>
      </c>
      <c r="L2279" s="1">
        <v>58</v>
      </c>
      <c r="M2279" s="1">
        <v>41</v>
      </c>
      <c r="N2279" s="1">
        <v>3</v>
      </c>
      <c r="O2279" s="1">
        <v>3.5</v>
      </c>
      <c r="P2279" s="1">
        <v>1</v>
      </c>
      <c r="Q2279" s="2">
        <v>0.26489999999999997</v>
      </c>
      <c r="R2279" s="1">
        <v>1</v>
      </c>
      <c r="S2279" s="1">
        <f t="shared" ref="S2279:S2288" si="115">R2279/P2279</f>
        <v>1</v>
      </c>
      <c r="T2279" s="1">
        <v>3</v>
      </c>
      <c r="U2279" s="1">
        <v>12.5</v>
      </c>
      <c r="V2279" s="1">
        <v>969.56862745098033</v>
      </c>
      <c r="W2279" s="1">
        <v>3</v>
      </c>
    </row>
    <row r="2280" spans="1:23" x14ac:dyDescent="0.2">
      <c r="A2280">
        <v>2021</v>
      </c>
      <c r="B2280" t="s">
        <v>23</v>
      </c>
      <c r="C2280" t="s">
        <v>271</v>
      </c>
      <c r="D2280">
        <v>192</v>
      </c>
      <c r="E2280">
        <v>1</v>
      </c>
      <c r="F2280">
        <v>9</v>
      </c>
      <c r="G2280" t="s">
        <v>217</v>
      </c>
      <c r="H2280" s="1">
        <v>12</v>
      </c>
      <c r="I2280" s="1">
        <v>72</v>
      </c>
      <c r="J2280" s="1">
        <v>73</v>
      </c>
      <c r="K2280" s="1">
        <f t="shared" si="114"/>
        <v>1</v>
      </c>
      <c r="L2280" s="1">
        <v>142</v>
      </c>
      <c r="M2280" s="1">
        <v>93</v>
      </c>
      <c r="N2280" s="1">
        <v>2</v>
      </c>
      <c r="O2280" s="1">
        <v>3.5</v>
      </c>
      <c r="P2280" s="1">
        <v>12</v>
      </c>
      <c r="Q2280" s="2">
        <v>9.2069999999999999E-2</v>
      </c>
      <c r="R2280" s="1">
        <v>8</v>
      </c>
      <c r="S2280" s="1">
        <f t="shared" si="115"/>
        <v>0.66666666666666663</v>
      </c>
      <c r="T2280" s="1">
        <v>5</v>
      </c>
      <c r="U2280" s="1">
        <v>12.5</v>
      </c>
      <c r="V2280" s="1">
        <v>336.98823529411766</v>
      </c>
      <c r="W2280" s="1">
        <v>5</v>
      </c>
    </row>
    <row r="2281" spans="1:23" x14ac:dyDescent="0.2">
      <c r="A2281">
        <v>2021</v>
      </c>
      <c r="B2281" t="s">
        <v>23</v>
      </c>
      <c r="C2281" t="s">
        <v>271</v>
      </c>
      <c r="D2281">
        <v>192</v>
      </c>
      <c r="E2281">
        <v>2</v>
      </c>
      <c r="F2281">
        <v>14</v>
      </c>
      <c r="G2281" t="s">
        <v>217</v>
      </c>
      <c r="H2281" s="1">
        <v>10</v>
      </c>
      <c r="I2281" s="1">
        <v>57</v>
      </c>
      <c r="J2281" s="1">
        <v>62</v>
      </c>
      <c r="K2281" s="1">
        <f t="shared" si="114"/>
        <v>5</v>
      </c>
      <c r="L2281" s="1">
        <v>142</v>
      </c>
      <c r="M2281" s="1">
        <v>67</v>
      </c>
      <c r="N2281" s="1">
        <v>2</v>
      </c>
      <c r="O2281" s="1">
        <v>3.5</v>
      </c>
      <c r="P2281" s="1">
        <v>10</v>
      </c>
      <c r="Q2281" s="2">
        <v>0.37360000000000004</v>
      </c>
      <c r="R2281" s="1">
        <v>6</v>
      </c>
      <c r="S2281" s="1">
        <f t="shared" si="115"/>
        <v>0.6</v>
      </c>
      <c r="T2281" s="1">
        <v>5</v>
      </c>
      <c r="U2281" s="1">
        <v>9.6</v>
      </c>
      <c r="V2281" s="1">
        <v>1412.7452026143794</v>
      </c>
      <c r="W2281" s="1">
        <v>3</v>
      </c>
    </row>
    <row r="2282" spans="1:23" x14ac:dyDescent="0.2">
      <c r="A2282">
        <v>2021</v>
      </c>
      <c r="B2282" t="s">
        <v>23</v>
      </c>
      <c r="C2282" t="s">
        <v>271</v>
      </c>
      <c r="D2282">
        <v>193</v>
      </c>
      <c r="E2282">
        <v>1</v>
      </c>
      <c r="F2282">
        <v>7</v>
      </c>
      <c r="G2282" t="s">
        <v>218</v>
      </c>
      <c r="H2282" s="1">
        <v>14</v>
      </c>
      <c r="I2282" s="1">
        <v>70</v>
      </c>
      <c r="J2282" s="1">
        <v>74</v>
      </c>
      <c r="K2282" s="1">
        <f t="shared" si="114"/>
        <v>4</v>
      </c>
      <c r="L2282" s="1">
        <v>143</v>
      </c>
      <c r="M2282" s="1">
        <v>85</v>
      </c>
      <c r="N2282" s="1">
        <v>2</v>
      </c>
      <c r="O2282" s="1">
        <v>3</v>
      </c>
      <c r="P2282" s="1">
        <f>H2282</f>
        <v>14</v>
      </c>
      <c r="Q2282" s="2">
        <v>9.7199999999999995E-2</v>
      </c>
      <c r="R2282" s="1">
        <v>11</v>
      </c>
      <c r="S2282" s="1">
        <f t="shared" si="115"/>
        <v>0.7857142857142857</v>
      </c>
      <c r="T2282" s="1">
        <v>3</v>
      </c>
      <c r="U2282" s="1">
        <v>12.5</v>
      </c>
      <c r="V2282" s="1">
        <v>355.76470588235287</v>
      </c>
      <c r="W2282" s="1">
        <v>4</v>
      </c>
    </row>
    <row r="2283" spans="1:23" x14ac:dyDescent="0.2">
      <c r="A2283">
        <v>2021</v>
      </c>
      <c r="B2283" t="s">
        <v>23</v>
      </c>
      <c r="C2283" t="s">
        <v>271</v>
      </c>
      <c r="D2283">
        <v>193</v>
      </c>
      <c r="E2283">
        <v>2</v>
      </c>
      <c r="F2283">
        <v>9</v>
      </c>
      <c r="G2283" t="s">
        <v>218</v>
      </c>
      <c r="H2283" s="1">
        <v>5</v>
      </c>
      <c r="I2283" s="1">
        <v>61</v>
      </c>
      <c r="J2283" s="1">
        <v>65</v>
      </c>
      <c r="K2283" s="1">
        <f t="shared" si="114"/>
        <v>4</v>
      </c>
      <c r="L2283" s="1">
        <v>167</v>
      </c>
      <c r="M2283" s="1">
        <v>77</v>
      </c>
      <c r="N2283" s="1">
        <v>2</v>
      </c>
      <c r="O2283" s="1">
        <v>3.5</v>
      </c>
      <c r="P2283" s="1">
        <v>2</v>
      </c>
      <c r="Q2283" s="2">
        <v>0.1724</v>
      </c>
      <c r="R2283" s="1">
        <v>1</v>
      </c>
      <c r="S2283" s="1">
        <f t="shared" si="115"/>
        <v>0.5</v>
      </c>
      <c r="T2283" s="1">
        <v>5</v>
      </c>
      <c r="U2283" s="1">
        <v>12.5</v>
      </c>
      <c r="V2283" s="1">
        <v>631.00653594771245</v>
      </c>
      <c r="W2283" s="1">
        <v>5</v>
      </c>
    </row>
    <row r="2284" spans="1:23" x14ac:dyDescent="0.2">
      <c r="A2284">
        <v>2021</v>
      </c>
      <c r="B2284" t="s">
        <v>23</v>
      </c>
      <c r="C2284" t="s">
        <v>271</v>
      </c>
      <c r="D2284">
        <v>194</v>
      </c>
      <c r="E2284">
        <v>1</v>
      </c>
      <c r="F2284">
        <v>1</v>
      </c>
      <c r="G2284" t="s">
        <v>219</v>
      </c>
      <c r="H2284" s="1">
        <v>12</v>
      </c>
      <c r="I2284" s="1">
        <v>62</v>
      </c>
      <c r="J2284" s="1">
        <v>64</v>
      </c>
      <c r="K2284" s="1">
        <f t="shared" si="114"/>
        <v>2</v>
      </c>
      <c r="L2284" s="1">
        <v>157</v>
      </c>
      <c r="M2284" s="1">
        <v>32</v>
      </c>
      <c r="N2284" s="1">
        <v>2</v>
      </c>
      <c r="O2284" s="1">
        <v>4</v>
      </c>
      <c r="P2284" s="1">
        <v>10</v>
      </c>
      <c r="Q2284" s="2">
        <v>0.62120000000000009</v>
      </c>
      <c r="R2284" s="1">
        <v>8</v>
      </c>
      <c r="S2284" s="1">
        <f t="shared" si="115"/>
        <v>0.8</v>
      </c>
      <c r="T2284" s="1">
        <v>3</v>
      </c>
      <c r="U2284" s="1">
        <v>12.5</v>
      </c>
      <c r="V2284" s="1">
        <v>2273.6732026143791</v>
      </c>
      <c r="W2284" s="1">
        <v>4</v>
      </c>
    </row>
    <row r="2285" spans="1:23" x14ac:dyDescent="0.2">
      <c r="A2285">
        <v>2021</v>
      </c>
      <c r="B2285" t="s">
        <v>23</v>
      </c>
      <c r="C2285" t="s">
        <v>271</v>
      </c>
      <c r="D2285">
        <v>194</v>
      </c>
      <c r="E2285">
        <v>2</v>
      </c>
      <c r="F2285">
        <v>11</v>
      </c>
      <c r="G2285" t="s">
        <v>219</v>
      </c>
      <c r="H2285" s="1">
        <v>4</v>
      </c>
      <c r="I2285" s="1">
        <v>62</v>
      </c>
      <c r="J2285" s="1">
        <v>66</v>
      </c>
      <c r="K2285" s="1">
        <f t="shared" si="114"/>
        <v>4</v>
      </c>
      <c r="L2285" s="1">
        <v>92</v>
      </c>
      <c r="M2285" s="1">
        <v>45</v>
      </c>
      <c r="N2285" s="1">
        <v>2</v>
      </c>
      <c r="O2285" s="1">
        <v>4</v>
      </c>
      <c r="P2285" s="1">
        <v>2</v>
      </c>
      <c r="Q2285" s="2">
        <v>0.184</v>
      </c>
      <c r="R2285" s="1">
        <v>2</v>
      </c>
      <c r="S2285" s="1">
        <f t="shared" si="115"/>
        <v>1</v>
      </c>
      <c r="T2285" s="1">
        <v>4</v>
      </c>
      <c r="U2285" s="1">
        <v>12.5</v>
      </c>
      <c r="V2285" s="1">
        <v>673.46405228758169</v>
      </c>
      <c r="W2285" s="1">
        <v>5</v>
      </c>
    </row>
    <row r="2286" spans="1:23" x14ac:dyDescent="0.2">
      <c r="A2286">
        <v>2021</v>
      </c>
      <c r="B2286" t="s">
        <v>23</v>
      </c>
      <c r="C2286" t="s">
        <v>271</v>
      </c>
      <c r="D2286">
        <v>195</v>
      </c>
      <c r="E2286">
        <v>1</v>
      </c>
      <c r="F2286">
        <v>2</v>
      </c>
      <c r="G2286" t="s">
        <v>220</v>
      </c>
      <c r="H2286" s="1">
        <v>8</v>
      </c>
      <c r="I2286" s="1">
        <v>68</v>
      </c>
      <c r="J2286" s="1">
        <v>70</v>
      </c>
      <c r="K2286" s="1">
        <f t="shared" si="114"/>
        <v>2</v>
      </c>
      <c r="L2286" s="1">
        <v>133</v>
      </c>
      <c r="M2286" s="1">
        <v>46</v>
      </c>
      <c r="N2286" s="1">
        <v>3</v>
      </c>
      <c r="O2286" s="1">
        <v>4.5</v>
      </c>
      <c r="P2286" s="1">
        <v>6</v>
      </c>
      <c r="Q2286" s="2">
        <v>5.3999999999999999E-2</v>
      </c>
      <c r="R2286" s="1">
        <v>4</v>
      </c>
      <c r="S2286" s="1">
        <f t="shared" si="115"/>
        <v>0.66666666666666663</v>
      </c>
      <c r="T2286" s="1">
        <v>5</v>
      </c>
      <c r="U2286" s="1">
        <v>12.5</v>
      </c>
      <c r="V2286" s="1">
        <v>197.64705882352939</v>
      </c>
      <c r="W2286" s="1">
        <v>5</v>
      </c>
    </row>
    <row r="2287" spans="1:23" x14ac:dyDescent="0.2">
      <c r="A2287">
        <v>2021</v>
      </c>
      <c r="B2287" t="s">
        <v>23</v>
      </c>
      <c r="C2287" t="s">
        <v>271</v>
      </c>
      <c r="D2287">
        <v>195</v>
      </c>
      <c r="E2287">
        <v>2</v>
      </c>
      <c r="F2287">
        <v>14</v>
      </c>
      <c r="G2287" t="s">
        <v>220</v>
      </c>
      <c r="H2287" s="1">
        <v>2</v>
      </c>
      <c r="I2287" s="1">
        <v>61</v>
      </c>
      <c r="J2287" s="1">
        <v>65</v>
      </c>
      <c r="K2287" s="1">
        <f t="shared" si="114"/>
        <v>4</v>
      </c>
      <c r="L2287" s="1">
        <v>120</v>
      </c>
      <c r="M2287" s="1">
        <v>35</v>
      </c>
      <c r="N2287" s="1">
        <v>1.5</v>
      </c>
      <c r="O2287" s="1">
        <v>2.5</v>
      </c>
      <c r="P2287" s="1">
        <v>2</v>
      </c>
      <c r="Q2287" s="2">
        <v>0.32</v>
      </c>
      <c r="R2287" s="1">
        <v>2</v>
      </c>
      <c r="S2287" s="1">
        <f t="shared" si="115"/>
        <v>1</v>
      </c>
      <c r="T2287" s="1">
        <v>2</v>
      </c>
      <c r="U2287" s="1">
        <v>12.5</v>
      </c>
      <c r="V2287" s="1">
        <v>1171.2418300653596</v>
      </c>
      <c r="W2287" s="1">
        <v>4</v>
      </c>
    </row>
    <row r="2288" spans="1:23" x14ac:dyDescent="0.2">
      <c r="A2288">
        <v>2021</v>
      </c>
      <c r="B2288" t="s">
        <v>23</v>
      </c>
      <c r="C2288" t="s">
        <v>271</v>
      </c>
      <c r="D2288">
        <v>196</v>
      </c>
      <c r="E2288">
        <v>1</v>
      </c>
      <c r="F2288">
        <v>5</v>
      </c>
      <c r="G2288" t="s">
        <v>221</v>
      </c>
      <c r="H2288" s="1">
        <v>10</v>
      </c>
      <c r="I2288" s="1">
        <v>66</v>
      </c>
      <c r="J2288" s="1">
        <v>71</v>
      </c>
      <c r="K2288" s="1">
        <f t="shared" si="114"/>
        <v>5</v>
      </c>
      <c r="L2288" s="1">
        <v>145</v>
      </c>
      <c r="M2288" s="1">
        <v>31</v>
      </c>
      <c r="N2288" s="1">
        <v>2.5</v>
      </c>
      <c r="O2288" s="1">
        <v>3</v>
      </c>
      <c r="P2288" s="1">
        <v>8</v>
      </c>
      <c r="Q2288" s="2">
        <v>0.255</v>
      </c>
      <c r="R2288" s="1">
        <v>7</v>
      </c>
      <c r="S2288" s="1">
        <f t="shared" si="115"/>
        <v>0.875</v>
      </c>
      <c r="T2288" s="1">
        <v>3</v>
      </c>
      <c r="U2288" s="1">
        <v>12.5</v>
      </c>
      <c r="V2288" s="1">
        <v>933.33333333333337</v>
      </c>
      <c r="W2288" s="1">
        <v>5</v>
      </c>
    </row>
    <row r="2289" spans="1:23" x14ac:dyDescent="0.2">
      <c r="A2289">
        <v>2021</v>
      </c>
      <c r="B2289" t="s">
        <v>23</v>
      </c>
      <c r="C2289" t="s">
        <v>271</v>
      </c>
      <c r="D2289">
        <v>196</v>
      </c>
      <c r="E2289">
        <v>2</v>
      </c>
      <c r="F2289">
        <v>4</v>
      </c>
      <c r="G2289" t="s">
        <v>221</v>
      </c>
      <c r="H2289">
        <v>8</v>
      </c>
      <c r="I2289">
        <v>63</v>
      </c>
      <c r="J2289">
        <v>66</v>
      </c>
      <c r="K2289">
        <v>3</v>
      </c>
      <c r="L2289">
        <v>110</v>
      </c>
      <c r="M2289">
        <v>46</v>
      </c>
      <c r="N2289">
        <v>1.5</v>
      </c>
      <c r="O2289">
        <v>2</v>
      </c>
      <c r="P2289">
        <v>8</v>
      </c>
      <c r="Q2289">
        <v>0.4</v>
      </c>
      <c r="R2289">
        <v>8</v>
      </c>
      <c r="S2289">
        <v>1</v>
      </c>
      <c r="T2289">
        <v>2.5</v>
      </c>
      <c r="U2289">
        <v>12.5</v>
      </c>
      <c r="V2289">
        <v>1464.0522875816994</v>
      </c>
      <c r="W2289">
        <v>1</v>
      </c>
    </row>
    <row r="2290" spans="1:23" x14ac:dyDescent="0.2">
      <c r="A2290">
        <v>2021</v>
      </c>
      <c r="B2290" t="s">
        <v>23</v>
      </c>
      <c r="C2290" t="s">
        <v>271</v>
      </c>
      <c r="D2290">
        <v>197</v>
      </c>
      <c r="E2290">
        <v>1</v>
      </c>
      <c r="F2290">
        <v>3</v>
      </c>
      <c r="G2290" t="s">
        <v>222</v>
      </c>
      <c r="H2290" s="1">
        <v>4</v>
      </c>
      <c r="I2290" s="1">
        <v>67</v>
      </c>
      <c r="J2290" s="1">
        <v>70</v>
      </c>
      <c r="K2290" s="1">
        <f>J2290-I2290</f>
        <v>3</v>
      </c>
      <c r="L2290" s="1">
        <v>152</v>
      </c>
      <c r="M2290" s="1">
        <v>125</v>
      </c>
      <c r="N2290" s="1">
        <v>2</v>
      </c>
      <c r="O2290" s="1">
        <v>2.5</v>
      </c>
      <c r="P2290" s="1">
        <f>H2290</f>
        <v>4</v>
      </c>
      <c r="Q2290" s="2">
        <v>0.06</v>
      </c>
      <c r="R2290" s="1">
        <v>2</v>
      </c>
      <c r="S2290" s="1">
        <f>R2290/P2290</f>
        <v>0.5</v>
      </c>
      <c r="T2290" s="1">
        <v>3</v>
      </c>
      <c r="U2290" s="1">
        <v>12.5</v>
      </c>
      <c r="V2290" s="1">
        <v>219.60784313725492</v>
      </c>
      <c r="W2290" s="1">
        <v>3</v>
      </c>
    </row>
    <row r="2291" spans="1:23" x14ac:dyDescent="0.2">
      <c r="A2291">
        <v>2021</v>
      </c>
      <c r="B2291" t="s">
        <v>23</v>
      </c>
      <c r="C2291" t="s">
        <v>271</v>
      </c>
      <c r="D2291">
        <v>197</v>
      </c>
      <c r="E2291">
        <v>2</v>
      </c>
      <c r="F2291">
        <v>12</v>
      </c>
      <c r="G2291" t="s">
        <v>222</v>
      </c>
      <c r="H2291">
        <v>6</v>
      </c>
      <c r="I2291">
        <v>55</v>
      </c>
      <c r="J2291">
        <v>57</v>
      </c>
      <c r="K2291">
        <v>2</v>
      </c>
      <c r="L2291">
        <v>88</v>
      </c>
      <c r="M2291">
        <v>22</v>
      </c>
      <c r="N2291">
        <v>1</v>
      </c>
      <c r="O2291">
        <v>4</v>
      </c>
      <c r="P2291">
        <v>6</v>
      </c>
      <c r="Q2291">
        <v>1.33</v>
      </c>
      <c r="R2291">
        <v>6</v>
      </c>
      <c r="S2291">
        <v>1</v>
      </c>
      <c r="T2291">
        <v>4</v>
      </c>
      <c r="U2291">
        <v>12.5</v>
      </c>
      <c r="V2291">
        <v>4867.9738562091497</v>
      </c>
      <c r="W2291">
        <v>2</v>
      </c>
    </row>
    <row r="2292" spans="1:23" x14ac:dyDescent="0.2">
      <c r="A2292">
        <v>2021</v>
      </c>
      <c r="B2292" t="s">
        <v>23</v>
      </c>
      <c r="C2292" t="s">
        <v>271</v>
      </c>
      <c r="D2292">
        <v>198</v>
      </c>
      <c r="E2292">
        <v>1</v>
      </c>
      <c r="F2292">
        <v>7</v>
      </c>
      <c r="G2292" t="s">
        <v>223</v>
      </c>
      <c r="H2292" s="1">
        <v>12</v>
      </c>
      <c r="I2292" s="1">
        <v>67</v>
      </c>
      <c r="J2292" s="1">
        <v>69</v>
      </c>
      <c r="K2292" s="1">
        <f>J2292-I2292</f>
        <v>2</v>
      </c>
      <c r="L2292" s="1">
        <v>160</v>
      </c>
      <c r="M2292" s="1">
        <v>55</v>
      </c>
      <c r="N2292" s="1">
        <v>2.5</v>
      </c>
      <c r="O2292" s="1">
        <v>4</v>
      </c>
      <c r="P2292" s="1">
        <v>12</v>
      </c>
      <c r="Q2292" s="2">
        <v>1.1639999999999999</v>
      </c>
      <c r="R2292" s="1">
        <v>12</v>
      </c>
      <c r="S2292" s="1">
        <f>R2292/P2292</f>
        <v>1</v>
      </c>
      <c r="T2292" s="1">
        <v>2.5</v>
      </c>
      <c r="U2292" s="1">
        <v>12.5</v>
      </c>
      <c r="V2292" s="1">
        <v>4260.3921568627447</v>
      </c>
      <c r="W2292" s="1">
        <v>3</v>
      </c>
    </row>
    <row r="2293" spans="1:23" x14ac:dyDescent="0.2">
      <c r="A2293">
        <v>2021</v>
      </c>
      <c r="B2293" t="s">
        <v>23</v>
      </c>
      <c r="C2293" t="s">
        <v>271</v>
      </c>
      <c r="D2293">
        <v>198</v>
      </c>
      <c r="E2293">
        <v>2</v>
      </c>
      <c r="F2293">
        <v>11</v>
      </c>
      <c r="G2293" t="s">
        <v>223</v>
      </c>
      <c r="H2293" s="1">
        <v>4</v>
      </c>
      <c r="I2293" s="1">
        <v>58</v>
      </c>
      <c r="J2293" s="1">
        <v>61</v>
      </c>
      <c r="K2293" s="1">
        <f>J2293-I2293</f>
        <v>3</v>
      </c>
      <c r="L2293" s="1">
        <v>140</v>
      </c>
      <c r="M2293" s="1">
        <v>60</v>
      </c>
      <c r="N2293" s="1">
        <v>2</v>
      </c>
      <c r="O2293" s="1">
        <v>4</v>
      </c>
      <c r="P2293" s="1">
        <v>4</v>
      </c>
      <c r="Q2293" s="2">
        <v>0.309</v>
      </c>
      <c r="R2293" s="1">
        <v>7</v>
      </c>
      <c r="S2293" s="1">
        <f>R2293/P2293</f>
        <v>1.75</v>
      </c>
      <c r="T2293" s="1">
        <v>2.5</v>
      </c>
      <c r="U2293" s="1">
        <v>12.5</v>
      </c>
      <c r="V2293" s="1">
        <v>1130.9803921568628</v>
      </c>
      <c r="W2293" s="1">
        <v>4</v>
      </c>
    </row>
    <row r="2294" spans="1:23" x14ac:dyDescent="0.2">
      <c r="A2294">
        <v>2021</v>
      </c>
      <c r="B2294" t="s">
        <v>23</v>
      </c>
      <c r="C2294" t="s">
        <v>271</v>
      </c>
      <c r="D2294">
        <v>199</v>
      </c>
      <c r="E2294">
        <v>1</v>
      </c>
      <c r="F2294">
        <v>12</v>
      </c>
      <c r="G2294" t="s">
        <v>224</v>
      </c>
      <c r="H2294" s="1">
        <v>13</v>
      </c>
      <c r="I2294" s="1">
        <v>66</v>
      </c>
      <c r="J2294" s="1">
        <v>71</v>
      </c>
      <c r="K2294" s="1">
        <f>J2294-I2294</f>
        <v>5</v>
      </c>
      <c r="L2294" s="1">
        <v>153</v>
      </c>
      <c r="M2294" s="1">
        <v>68</v>
      </c>
      <c r="N2294" s="1">
        <v>1</v>
      </c>
      <c r="O2294" s="1">
        <v>3</v>
      </c>
      <c r="P2294" s="1">
        <v>10</v>
      </c>
      <c r="Q2294" s="2">
        <v>0.2</v>
      </c>
      <c r="R2294" s="1">
        <v>7</v>
      </c>
      <c r="S2294" s="1">
        <f>R2294/P2294</f>
        <v>0.7</v>
      </c>
      <c r="T2294" s="1">
        <v>5</v>
      </c>
      <c r="U2294" s="1">
        <v>11.8</v>
      </c>
      <c r="V2294" s="1">
        <v>737.88235294117646</v>
      </c>
      <c r="W2294" s="1">
        <v>4</v>
      </c>
    </row>
    <row r="2295" spans="1:23" x14ac:dyDescent="0.2">
      <c r="A2295">
        <v>2021</v>
      </c>
      <c r="B2295" t="s">
        <v>23</v>
      </c>
      <c r="C2295" t="s">
        <v>271</v>
      </c>
      <c r="D2295">
        <v>199</v>
      </c>
      <c r="E2295">
        <v>2</v>
      </c>
      <c r="F2295">
        <v>8</v>
      </c>
      <c r="G2295" t="s">
        <v>224</v>
      </c>
      <c r="H2295">
        <v>15</v>
      </c>
      <c r="I2295">
        <v>52</v>
      </c>
      <c r="J2295">
        <v>56</v>
      </c>
      <c r="K2295">
        <v>4</v>
      </c>
      <c r="L2295">
        <v>153</v>
      </c>
      <c r="M2295">
        <v>81</v>
      </c>
      <c r="N2295">
        <v>2</v>
      </c>
      <c r="O2295">
        <v>2</v>
      </c>
      <c r="P2295">
        <v>13</v>
      </c>
      <c r="Q2295">
        <v>0.7</v>
      </c>
      <c r="R2295">
        <v>13</v>
      </c>
      <c r="S2295">
        <v>1</v>
      </c>
      <c r="T2295">
        <v>4</v>
      </c>
      <c r="U2295">
        <v>14.1</v>
      </c>
      <c r="V2295">
        <v>2515.2418300653594</v>
      </c>
      <c r="W2295">
        <v>1</v>
      </c>
    </row>
    <row r="2296" spans="1:23" x14ac:dyDescent="0.2">
      <c r="A2296">
        <v>2021</v>
      </c>
      <c r="B2296" t="s">
        <v>23</v>
      </c>
      <c r="C2296" t="s">
        <v>271</v>
      </c>
      <c r="D2296">
        <v>200</v>
      </c>
      <c r="E2296">
        <v>1</v>
      </c>
      <c r="F2296">
        <v>12</v>
      </c>
      <c r="G2296" t="s">
        <v>225</v>
      </c>
      <c r="H2296" s="1">
        <v>10</v>
      </c>
      <c r="I2296" s="1">
        <v>61</v>
      </c>
      <c r="J2296" s="1">
        <v>65</v>
      </c>
      <c r="K2296" s="1">
        <f>J2296-I2296</f>
        <v>4</v>
      </c>
      <c r="L2296" s="1">
        <v>172</v>
      </c>
      <c r="M2296" s="1">
        <v>55</v>
      </c>
      <c r="N2296" s="1">
        <v>2</v>
      </c>
      <c r="O2296" s="1">
        <v>3.5</v>
      </c>
      <c r="P2296" s="1">
        <v>7</v>
      </c>
      <c r="Q2296" s="2">
        <v>0.11359999999999999</v>
      </c>
      <c r="R2296" s="1">
        <v>3</v>
      </c>
      <c r="S2296" s="1">
        <f>R2296/P2296</f>
        <v>0.42857142857142855</v>
      </c>
      <c r="T2296" s="1">
        <v>3.5</v>
      </c>
      <c r="U2296" s="1">
        <v>12.5</v>
      </c>
      <c r="V2296" s="1">
        <v>415.79084967320262</v>
      </c>
      <c r="W2296" s="1">
        <v>4</v>
      </c>
    </row>
    <row r="2297" spans="1:23" x14ac:dyDescent="0.2">
      <c r="A2297">
        <v>2021</v>
      </c>
      <c r="B2297" t="s">
        <v>23</v>
      </c>
      <c r="C2297" t="s">
        <v>271</v>
      </c>
      <c r="D2297">
        <v>200</v>
      </c>
      <c r="E2297">
        <v>2</v>
      </c>
      <c r="F2297">
        <v>6</v>
      </c>
      <c r="G2297" t="s">
        <v>225</v>
      </c>
      <c r="H2297" s="1">
        <v>10</v>
      </c>
      <c r="I2297" s="1">
        <v>69</v>
      </c>
      <c r="J2297" s="1">
        <v>74</v>
      </c>
      <c r="K2297" s="1">
        <f>J2297-I2297</f>
        <v>5</v>
      </c>
      <c r="L2297" s="1">
        <v>72</v>
      </c>
      <c r="M2297" s="1">
        <v>35</v>
      </c>
      <c r="N2297" s="1">
        <v>2.5</v>
      </c>
      <c r="O2297" s="1">
        <v>4.5</v>
      </c>
      <c r="P2297" s="1">
        <v>6</v>
      </c>
      <c r="Q2297" s="2">
        <v>0.32</v>
      </c>
      <c r="R2297" s="1">
        <v>4</v>
      </c>
      <c r="S2297" s="1">
        <f>R2297/P2297</f>
        <v>0.66666666666666663</v>
      </c>
      <c r="T2297" s="1">
        <v>4</v>
      </c>
      <c r="U2297" s="1">
        <v>12.5</v>
      </c>
      <c r="V2297" s="1">
        <v>1171.2418300653596</v>
      </c>
      <c r="W2297" s="1">
        <v>5</v>
      </c>
    </row>
    <row r="2298" spans="1:23" x14ac:dyDescent="0.2">
      <c r="A2298">
        <v>2021</v>
      </c>
      <c r="B2298" t="s">
        <v>23</v>
      </c>
      <c r="C2298" t="s">
        <v>271</v>
      </c>
      <c r="D2298">
        <v>201</v>
      </c>
      <c r="E2298">
        <v>1</v>
      </c>
      <c r="F2298">
        <v>1</v>
      </c>
      <c r="G2298" t="s">
        <v>226</v>
      </c>
      <c r="H2298" s="1">
        <v>10</v>
      </c>
      <c r="I2298" s="1">
        <v>62</v>
      </c>
      <c r="J2298" s="1">
        <v>66</v>
      </c>
      <c r="K2298" s="1">
        <f>J2298-I2298</f>
        <v>4</v>
      </c>
      <c r="L2298" s="1">
        <v>172</v>
      </c>
      <c r="M2298" s="1">
        <v>88</v>
      </c>
      <c r="N2298" s="1">
        <v>2</v>
      </c>
      <c r="O2298" s="1">
        <v>2</v>
      </c>
      <c r="P2298" s="1">
        <v>8</v>
      </c>
      <c r="Q2298" s="2">
        <v>0.70475999999999983</v>
      </c>
      <c r="R2298" s="1">
        <v>7</v>
      </c>
      <c r="S2298" s="1">
        <f>R2298/P2298</f>
        <v>0.875</v>
      </c>
      <c r="T2298" s="1">
        <v>3</v>
      </c>
      <c r="U2298" s="1">
        <v>9.4</v>
      </c>
      <c r="V2298" s="1">
        <v>2670.9022117647055</v>
      </c>
      <c r="W2298" s="1">
        <v>4</v>
      </c>
    </row>
    <row r="2299" spans="1:23" x14ac:dyDescent="0.2">
      <c r="A2299">
        <v>2021</v>
      </c>
      <c r="B2299" t="s">
        <v>23</v>
      </c>
      <c r="C2299" t="s">
        <v>271</v>
      </c>
      <c r="D2299">
        <v>201</v>
      </c>
      <c r="E2299">
        <v>2</v>
      </c>
      <c r="F2299">
        <v>2</v>
      </c>
      <c r="G2299" t="s">
        <v>226</v>
      </c>
      <c r="H2299" s="1">
        <v>4</v>
      </c>
      <c r="I2299" s="1">
        <v>58</v>
      </c>
      <c r="J2299" s="1">
        <v>62</v>
      </c>
      <c r="K2299" s="1">
        <f>J2299-I2299</f>
        <v>4</v>
      </c>
      <c r="L2299" s="1">
        <v>167</v>
      </c>
      <c r="M2299" s="1">
        <v>72</v>
      </c>
      <c r="N2299" s="1">
        <v>2</v>
      </c>
      <c r="O2299" s="1">
        <v>3</v>
      </c>
      <c r="P2299" s="1">
        <v>4</v>
      </c>
      <c r="Q2299" s="2">
        <v>0.24162</v>
      </c>
      <c r="R2299" s="1">
        <v>3</v>
      </c>
      <c r="S2299" s="1">
        <f>R2299/P2299</f>
        <v>0.75</v>
      </c>
      <c r="T2299" s="1">
        <v>5</v>
      </c>
      <c r="U2299" s="1">
        <v>12.5</v>
      </c>
      <c r="V2299" s="1">
        <v>884.36078431372562</v>
      </c>
      <c r="W2299" s="1">
        <v>4</v>
      </c>
    </row>
    <row r="2300" spans="1:23" x14ac:dyDescent="0.2">
      <c r="A2300">
        <v>2021</v>
      </c>
      <c r="B2300" t="s">
        <v>23</v>
      </c>
      <c r="C2300" t="s">
        <v>271</v>
      </c>
      <c r="D2300">
        <v>202</v>
      </c>
      <c r="E2300">
        <v>1</v>
      </c>
      <c r="F2300">
        <v>2</v>
      </c>
      <c r="G2300" t="s">
        <v>227</v>
      </c>
      <c r="H2300" s="1">
        <v>13</v>
      </c>
      <c r="I2300" s="1">
        <v>58</v>
      </c>
      <c r="J2300" s="1">
        <v>61</v>
      </c>
      <c r="K2300" s="1">
        <f>J2300-I2300</f>
        <v>3</v>
      </c>
      <c r="L2300" s="1">
        <v>108</v>
      </c>
      <c r="M2300" s="1">
        <v>56</v>
      </c>
      <c r="N2300" s="1">
        <v>3</v>
      </c>
      <c r="O2300" s="1">
        <v>4</v>
      </c>
      <c r="P2300" s="1">
        <f>H2300</f>
        <v>13</v>
      </c>
      <c r="Q2300" s="2">
        <v>7.3687500000000003E-2</v>
      </c>
      <c r="R2300" s="1">
        <v>10</v>
      </c>
      <c r="S2300" s="1">
        <f>R2300/P2300</f>
        <v>0.76923076923076927</v>
      </c>
      <c r="T2300" s="1">
        <v>5</v>
      </c>
      <c r="U2300" s="1">
        <v>12.5</v>
      </c>
      <c r="V2300" s="1">
        <v>269.70588235294122</v>
      </c>
      <c r="W2300" s="1">
        <v>5</v>
      </c>
    </row>
    <row r="2301" spans="1:23" x14ac:dyDescent="0.2">
      <c r="A2301">
        <v>2021</v>
      </c>
      <c r="B2301" t="s">
        <v>23</v>
      </c>
      <c r="C2301" t="s">
        <v>271</v>
      </c>
      <c r="D2301">
        <v>202</v>
      </c>
      <c r="E2301">
        <v>2</v>
      </c>
      <c r="F2301">
        <v>9</v>
      </c>
      <c r="G2301" t="s">
        <v>227</v>
      </c>
      <c r="H2301">
        <v>2</v>
      </c>
      <c r="I2301">
        <v>55</v>
      </c>
      <c r="J2301">
        <v>57</v>
      </c>
      <c r="K2301">
        <v>2</v>
      </c>
      <c r="L2301">
        <v>190</v>
      </c>
      <c r="M2301">
        <v>54</v>
      </c>
      <c r="N2301">
        <v>1.5</v>
      </c>
      <c r="O2301">
        <v>4</v>
      </c>
      <c r="P2301">
        <v>2</v>
      </c>
      <c r="Q2301">
        <v>0.2</v>
      </c>
      <c r="R2301">
        <v>3</v>
      </c>
      <c r="S2301">
        <v>1.5</v>
      </c>
      <c r="T2301">
        <v>3</v>
      </c>
      <c r="U2301">
        <v>12.5</v>
      </c>
      <c r="V2301">
        <v>732.02614379084969</v>
      </c>
      <c r="W2301">
        <v>2</v>
      </c>
    </row>
    <row r="2302" spans="1:23" x14ac:dyDescent="0.2">
      <c r="A2302">
        <v>2021</v>
      </c>
      <c r="B2302" t="s">
        <v>23</v>
      </c>
      <c r="C2302" t="s">
        <v>271</v>
      </c>
      <c r="D2302">
        <v>203</v>
      </c>
      <c r="E2302">
        <v>1</v>
      </c>
      <c r="F2302">
        <v>1</v>
      </c>
      <c r="G2302" t="s">
        <v>228</v>
      </c>
      <c r="H2302" s="1">
        <v>8</v>
      </c>
      <c r="I2302" s="1">
        <v>70</v>
      </c>
      <c r="J2302" s="1">
        <v>72</v>
      </c>
      <c r="K2302" s="1">
        <f>J2302-I2302</f>
        <v>2</v>
      </c>
      <c r="L2302" s="1">
        <v>125</v>
      </c>
      <c r="M2302" s="1">
        <v>30</v>
      </c>
      <c r="N2302" s="1">
        <v>2</v>
      </c>
      <c r="O2302" s="1">
        <v>3</v>
      </c>
      <c r="P2302" s="1">
        <v>5</v>
      </c>
      <c r="Q2302" s="2">
        <v>0.12359999999999999</v>
      </c>
      <c r="R2302" s="1">
        <v>3</v>
      </c>
      <c r="S2302" s="1">
        <f>R2302/P2302</f>
        <v>0.6</v>
      </c>
      <c r="T2302" s="1">
        <v>4</v>
      </c>
      <c r="U2302" s="1">
        <v>12.5</v>
      </c>
      <c r="V2302" s="1">
        <v>452.39215686274508</v>
      </c>
      <c r="W2302" s="1">
        <v>4</v>
      </c>
    </row>
    <row r="2303" spans="1:23" x14ac:dyDescent="0.2">
      <c r="A2303">
        <v>2021</v>
      </c>
      <c r="B2303" t="s">
        <v>23</v>
      </c>
      <c r="C2303" t="s">
        <v>271</v>
      </c>
      <c r="D2303">
        <v>203</v>
      </c>
      <c r="E2303">
        <v>2</v>
      </c>
      <c r="F2303">
        <v>7</v>
      </c>
      <c r="G2303" t="s">
        <v>228</v>
      </c>
      <c r="H2303" s="1">
        <v>9</v>
      </c>
      <c r="I2303" s="1">
        <v>58</v>
      </c>
      <c r="J2303" s="1">
        <v>63</v>
      </c>
      <c r="K2303" s="1">
        <f>J2303-I2303</f>
        <v>5</v>
      </c>
      <c r="L2303" s="1">
        <v>195</v>
      </c>
      <c r="M2303" s="1">
        <v>95</v>
      </c>
      <c r="N2303" s="1">
        <v>2</v>
      </c>
      <c r="O2303" s="1">
        <v>2</v>
      </c>
      <c r="P2303" s="1">
        <v>8</v>
      </c>
      <c r="Q2303" s="2">
        <v>2</v>
      </c>
      <c r="R2303" s="1">
        <v>9</v>
      </c>
      <c r="S2303" s="1">
        <f>R2303/P2303</f>
        <v>1.125</v>
      </c>
      <c r="T2303" s="1">
        <v>1</v>
      </c>
      <c r="U2303" s="1">
        <v>10.1</v>
      </c>
      <c r="V2303" s="1">
        <v>7521.0457516339875</v>
      </c>
      <c r="W2303" s="1">
        <v>4</v>
      </c>
    </row>
    <row r="2304" spans="1:23" x14ac:dyDescent="0.2">
      <c r="A2304">
        <v>2021</v>
      </c>
      <c r="B2304" t="s">
        <v>23</v>
      </c>
      <c r="C2304" t="s">
        <v>271</v>
      </c>
      <c r="D2304">
        <v>204</v>
      </c>
      <c r="E2304">
        <v>1</v>
      </c>
      <c r="F2304">
        <v>11</v>
      </c>
      <c r="G2304" t="s">
        <v>229</v>
      </c>
      <c r="H2304" s="1">
        <v>12</v>
      </c>
      <c r="I2304" s="1">
        <v>72</v>
      </c>
      <c r="J2304" s="1">
        <v>76</v>
      </c>
      <c r="K2304" s="1">
        <f>J2304-I2304</f>
        <v>4</v>
      </c>
      <c r="L2304" s="1">
        <v>144</v>
      </c>
      <c r="M2304" s="1">
        <v>45</v>
      </c>
      <c r="N2304" s="1">
        <v>2</v>
      </c>
      <c r="O2304" s="1">
        <v>3</v>
      </c>
      <c r="P2304" s="1">
        <v>8</v>
      </c>
      <c r="Q2304" s="2">
        <v>0.22640000000000002</v>
      </c>
      <c r="R2304" s="1">
        <v>6</v>
      </c>
      <c r="S2304" s="1">
        <f>R2304/P2304</f>
        <v>0.75</v>
      </c>
      <c r="T2304" s="1">
        <v>4</v>
      </c>
      <c r="U2304" s="1">
        <v>12.5</v>
      </c>
      <c r="V2304" s="1">
        <v>828.65359477124196</v>
      </c>
      <c r="W2304" s="1">
        <v>6</v>
      </c>
    </row>
    <row r="2305" spans="1:23" x14ac:dyDescent="0.2">
      <c r="A2305">
        <v>2021</v>
      </c>
      <c r="B2305" t="s">
        <v>23</v>
      </c>
      <c r="C2305" t="s">
        <v>271</v>
      </c>
      <c r="D2305">
        <v>204</v>
      </c>
      <c r="E2305">
        <v>2</v>
      </c>
      <c r="F2305">
        <v>6</v>
      </c>
      <c r="G2305" t="s">
        <v>229</v>
      </c>
      <c r="H2305" s="1">
        <v>2</v>
      </c>
      <c r="I2305" s="1">
        <v>65</v>
      </c>
      <c r="J2305" s="1">
        <v>66</v>
      </c>
      <c r="K2305" s="1">
        <f>J2305-I2305</f>
        <v>1</v>
      </c>
      <c r="L2305" s="1">
        <v>57</v>
      </c>
      <c r="M2305" s="1">
        <v>10</v>
      </c>
      <c r="N2305" s="1">
        <v>2</v>
      </c>
      <c r="O2305" s="1">
        <v>5</v>
      </c>
      <c r="P2305" s="1">
        <v>1</v>
      </c>
      <c r="Q2305" s="2">
        <v>5.7800000000000004E-2</v>
      </c>
      <c r="R2305" s="1">
        <v>1</v>
      </c>
      <c r="S2305" s="1">
        <f>R2305/P2305</f>
        <v>1</v>
      </c>
      <c r="T2305" s="1">
        <v>5</v>
      </c>
      <c r="U2305" s="1">
        <v>12.5</v>
      </c>
      <c r="V2305" s="1">
        <v>211.55555555555554</v>
      </c>
      <c r="W2305" s="1">
        <v>6</v>
      </c>
    </row>
    <row r="2306" spans="1:23" x14ac:dyDescent="0.2">
      <c r="A2306">
        <v>2021</v>
      </c>
      <c r="B2306" t="s">
        <v>23</v>
      </c>
      <c r="C2306" t="s">
        <v>271</v>
      </c>
      <c r="D2306">
        <v>205</v>
      </c>
      <c r="E2306">
        <v>1</v>
      </c>
      <c r="F2306">
        <v>11</v>
      </c>
      <c r="G2306" t="s">
        <v>230</v>
      </c>
      <c r="H2306">
        <v>2</v>
      </c>
      <c r="I2306">
        <v>56</v>
      </c>
      <c r="J2306">
        <v>58</v>
      </c>
      <c r="K2306">
        <v>2</v>
      </c>
      <c r="L2306">
        <v>158</v>
      </c>
      <c r="M2306">
        <v>78</v>
      </c>
      <c r="N2306">
        <v>1.5</v>
      </c>
      <c r="O2306">
        <v>2.5</v>
      </c>
      <c r="P2306">
        <v>2</v>
      </c>
      <c r="Q2306">
        <v>0.2</v>
      </c>
      <c r="R2306">
        <v>1</v>
      </c>
      <c r="S2306">
        <v>0.5</v>
      </c>
      <c r="T2306" t="s">
        <v>273</v>
      </c>
      <c r="U2306">
        <v>12.5</v>
      </c>
      <c r="V2306">
        <v>732.02614379084969</v>
      </c>
      <c r="W2306">
        <v>2</v>
      </c>
    </row>
    <row r="2307" spans="1:23" x14ac:dyDescent="0.2">
      <c r="A2307">
        <v>2021</v>
      </c>
      <c r="B2307" t="s">
        <v>23</v>
      </c>
      <c r="C2307" t="s">
        <v>271</v>
      </c>
      <c r="D2307">
        <v>205</v>
      </c>
      <c r="E2307">
        <v>2</v>
      </c>
      <c r="F2307">
        <v>6</v>
      </c>
      <c r="G2307" t="s">
        <v>230</v>
      </c>
      <c r="H2307">
        <v>15</v>
      </c>
      <c r="I2307">
        <v>54</v>
      </c>
      <c r="J2307">
        <v>56</v>
      </c>
      <c r="K2307">
        <v>2</v>
      </c>
      <c r="L2307">
        <v>162</v>
      </c>
      <c r="M2307">
        <v>68</v>
      </c>
      <c r="N2307">
        <v>2</v>
      </c>
      <c r="O2307">
        <v>1.5</v>
      </c>
      <c r="P2307">
        <v>14</v>
      </c>
      <c r="Q2307">
        <v>1.4</v>
      </c>
      <c r="R2307">
        <v>13</v>
      </c>
      <c r="S2307">
        <v>0.9285714285714286</v>
      </c>
      <c r="T2307">
        <v>1</v>
      </c>
      <c r="U2307">
        <v>11.4</v>
      </c>
      <c r="V2307">
        <v>5188.6013071895413</v>
      </c>
      <c r="W2307">
        <v>1</v>
      </c>
    </row>
    <row r="2308" spans="1:23" x14ac:dyDescent="0.2">
      <c r="A2308">
        <v>2021</v>
      </c>
      <c r="B2308" t="s">
        <v>23</v>
      </c>
      <c r="C2308" t="s">
        <v>271</v>
      </c>
      <c r="D2308">
        <v>206</v>
      </c>
      <c r="E2308">
        <v>1</v>
      </c>
      <c r="F2308">
        <v>15</v>
      </c>
      <c r="G2308" t="s">
        <v>231</v>
      </c>
      <c r="H2308">
        <v>5</v>
      </c>
      <c r="I2308">
        <v>58</v>
      </c>
      <c r="J2308">
        <v>60</v>
      </c>
      <c r="K2308">
        <v>2</v>
      </c>
      <c r="L2308">
        <v>104</v>
      </c>
      <c r="M2308">
        <v>22</v>
      </c>
      <c r="N2308">
        <v>2</v>
      </c>
      <c r="O2308">
        <v>3</v>
      </c>
      <c r="P2308">
        <v>5</v>
      </c>
      <c r="Q2308">
        <v>0.5</v>
      </c>
      <c r="R2308">
        <v>6</v>
      </c>
      <c r="S2308">
        <v>1.2</v>
      </c>
      <c r="T2308">
        <v>3</v>
      </c>
      <c r="U2308">
        <v>12.5</v>
      </c>
      <c r="V2308">
        <v>1830.0653594771243</v>
      </c>
      <c r="W2308">
        <v>1</v>
      </c>
    </row>
    <row r="2309" spans="1:23" x14ac:dyDescent="0.2">
      <c r="A2309">
        <v>2021</v>
      </c>
      <c r="B2309" t="s">
        <v>23</v>
      </c>
      <c r="C2309" t="s">
        <v>271</v>
      </c>
      <c r="D2309">
        <v>206</v>
      </c>
      <c r="E2309">
        <v>2</v>
      </c>
      <c r="F2309">
        <v>15</v>
      </c>
      <c r="G2309" t="s">
        <v>231</v>
      </c>
      <c r="H2309">
        <v>16</v>
      </c>
      <c r="I2309">
        <v>56</v>
      </c>
      <c r="J2309">
        <v>58</v>
      </c>
      <c r="K2309">
        <v>2</v>
      </c>
      <c r="L2309">
        <v>164</v>
      </c>
      <c r="M2309">
        <v>68</v>
      </c>
      <c r="N2309">
        <v>1</v>
      </c>
      <c r="O2309">
        <v>2</v>
      </c>
      <c r="P2309">
        <v>16</v>
      </c>
      <c r="Q2309">
        <v>1.8</v>
      </c>
      <c r="R2309">
        <v>15</v>
      </c>
      <c r="S2309">
        <v>0.9375</v>
      </c>
      <c r="T2309">
        <v>3</v>
      </c>
      <c r="U2309">
        <v>11.8</v>
      </c>
      <c r="V2309">
        <v>6640.9411764705901</v>
      </c>
      <c r="W2309">
        <v>2</v>
      </c>
    </row>
    <row r="2310" spans="1:23" x14ac:dyDescent="0.2">
      <c r="A2310">
        <v>2021</v>
      </c>
      <c r="B2310" t="s">
        <v>23</v>
      </c>
      <c r="C2310" t="s">
        <v>271</v>
      </c>
      <c r="D2310">
        <v>207</v>
      </c>
      <c r="E2310">
        <v>1</v>
      </c>
      <c r="F2310">
        <v>1</v>
      </c>
      <c r="G2310" t="s">
        <v>232</v>
      </c>
      <c r="H2310" s="1">
        <v>14</v>
      </c>
      <c r="I2310" s="1">
        <v>64</v>
      </c>
      <c r="J2310" s="1">
        <v>68</v>
      </c>
      <c r="K2310" s="1">
        <f>J2310-I2310</f>
        <v>4</v>
      </c>
      <c r="L2310" s="1">
        <v>131</v>
      </c>
      <c r="M2310" s="1">
        <v>85</v>
      </c>
      <c r="N2310" s="1">
        <v>2</v>
      </c>
      <c r="O2310" s="1">
        <v>3.5</v>
      </c>
      <c r="P2310" s="1">
        <f>H2310-2</f>
        <v>12</v>
      </c>
      <c r="Q2310" s="2">
        <v>9.2699999999999991E-2</v>
      </c>
      <c r="R2310" s="1">
        <v>9</v>
      </c>
      <c r="S2310" s="1">
        <f>R2310/P2310</f>
        <v>0.75</v>
      </c>
      <c r="T2310" s="1">
        <v>5</v>
      </c>
      <c r="U2310" s="1">
        <v>12.5</v>
      </c>
      <c r="V2310" s="1">
        <v>339.29411764705878</v>
      </c>
      <c r="W2310" s="1">
        <v>5</v>
      </c>
    </row>
    <row r="2311" spans="1:23" x14ac:dyDescent="0.2">
      <c r="A2311">
        <v>2021</v>
      </c>
      <c r="B2311" t="s">
        <v>23</v>
      </c>
      <c r="C2311" t="s">
        <v>271</v>
      </c>
      <c r="D2311">
        <v>207</v>
      </c>
      <c r="E2311">
        <v>2</v>
      </c>
      <c r="F2311">
        <v>5</v>
      </c>
      <c r="G2311" t="s">
        <v>232</v>
      </c>
      <c r="H2311" s="3">
        <v>7</v>
      </c>
      <c r="I2311" s="3">
        <v>66</v>
      </c>
      <c r="J2311" s="3">
        <v>68</v>
      </c>
      <c r="K2311" s="3">
        <f>J2311-I2311</f>
        <v>2</v>
      </c>
      <c r="L2311" s="3">
        <v>187</v>
      </c>
      <c r="M2311" s="3">
        <v>92</v>
      </c>
      <c r="N2311" s="3">
        <v>2</v>
      </c>
      <c r="O2311" s="3">
        <v>2.5</v>
      </c>
      <c r="P2311" s="3">
        <v>6</v>
      </c>
      <c r="Q2311" s="4">
        <v>0.41599999999999998</v>
      </c>
      <c r="R2311" s="3">
        <v>6</v>
      </c>
      <c r="S2311" s="3">
        <f>R2311/P2311</f>
        <v>1</v>
      </c>
      <c r="T2311" s="3">
        <v>4</v>
      </c>
      <c r="U2311" s="3">
        <v>11.1</v>
      </c>
      <c r="V2311" s="3">
        <v>1546.9762091503269</v>
      </c>
      <c r="W2311" s="3">
        <v>5</v>
      </c>
    </row>
    <row r="2312" spans="1:23" x14ac:dyDescent="0.2">
      <c r="A2312">
        <v>2021</v>
      </c>
      <c r="B2312" t="s">
        <v>23</v>
      </c>
      <c r="C2312" t="s">
        <v>271</v>
      </c>
      <c r="D2312">
        <v>208</v>
      </c>
      <c r="E2312">
        <v>1</v>
      </c>
      <c r="F2312">
        <v>3</v>
      </c>
      <c r="G2312" t="s">
        <v>233</v>
      </c>
      <c r="H2312">
        <v>8</v>
      </c>
      <c r="I2312">
        <v>55</v>
      </c>
      <c r="J2312">
        <v>57</v>
      </c>
      <c r="K2312">
        <v>2</v>
      </c>
      <c r="L2312">
        <v>166</v>
      </c>
      <c r="M2312">
        <v>59</v>
      </c>
      <c r="N2312">
        <v>2.5</v>
      </c>
      <c r="O2312">
        <v>3</v>
      </c>
      <c r="P2312">
        <v>8</v>
      </c>
      <c r="Q2312">
        <v>0.6</v>
      </c>
      <c r="R2312">
        <v>8</v>
      </c>
      <c r="S2312">
        <v>1</v>
      </c>
      <c r="T2312">
        <v>3</v>
      </c>
      <c r="U2312">
        <v>12.5</v>
      </c>
      <c r="V2312">
        <v>2196.0784313725489</v>
      </c>
      <c r="W2312">
        <v>1</v>
      </c>
    </row>
    <row r="2313" spans="1:23" x14ac:dyDescent="0.2">
      <c r="A2313">
        <v>2021</v>
      </c>
      <c r="B2313" t="s">
        <v>23</v>
      </c>
      <c r="C2313" t="s">
        <v>271</v>
      </c>
      <c r="D2313">
        <v>208</v>
      </c>
      <c r="E2313">
        <v>2</v>
      </c>
      <c r="F2313">
        <v>12</v>
      </c>
      <c r="G2313" t="s">
        <v>233</v>
      </c>
      <c r="H2313">
        <v>8</v>
      </c>
      <c r="I2313">
        <v>56</v>
      </c>
      <c r="J2313">
        <v>60</v>
      </c>
      <c r="K2313">
        <v>4</v>
      </c>
      <c r="L2313">
        <v>103</v>
      </c>
      <c r="M2313">
        <v>83</v>
      </c>
      <c r="N2313">
        <v>1.5</v>
      </c>
      <c r="O2313">
        <v>4</v>
      </c>
      <c r="P2313">
        <v>7</v>
      </c>
      <c r="Q2313">
        <v>1.2</v>
      </c>
      <c r="R2313">
        <v>5</v>
      </c>
      <c r="S2313">
        <v>0.7142857142857143</v>
      </c>
      <c r="T2313">
        <v>2</v>
      </c>
      <c r="U2313">
        <v>12.5</v>
      </c>
      <c r="V2313">
        <v>4392.1568627450979</v>
      </c>
      <c r="W2313">
        <v>2</v>
      </c>
    </row>
    <row r="2314" spans="1:23" x14ac:dyDescent="0.2">
      <c r="A2314">
        <v>2021</v>
      </c>
      <c r="B2314" t="s">
        <v>23</v>
      </c>
      <c r="C2314" t="s">
        <v>271</v>
      </c>
      <c r="D2314">
        <v>209</v>
      </c>
      <c r="E2314">
        <v>1</v>
      </c>
      <c r="F2314">
        <v>11</v>
      </c>
      <c r="G2314" t="s">
        <v>234</v>
      </c>
      <c r="H2314">
        <v>14</v>
      </c>
      <c r="I2314">
        <v>51</v>
      </c>
      <c r="J2314">
        <v>52</v>
      </c>
      <c r="K2314">
        <v>1</v>
      </c>
      <c r="L2314">
        <v>180</v>
      </c>
      <c r="M2314">
        <v>81</v>
      </c>
      <c r="N2314">
        <v>1</v>
      </c>
      <c r="O2314">
        <v>2.5</v>
      </c>
      <c r="P2314">
        <v>11</v>
      </c>
      <c r="Q2314">
        <v>1</v>
      </c>
      <c r="R2314">
        <v>11</v>
      </c>
      <c r="S2314">
        <v>1</v>
      </c>
      <c r="T2314">
        <v>2</v>
      </c>
      <c r="U2314">
        <v>12</v>
      </c>
      <c r="V2314">
        <v>3681.0457516339866</v>
      </c>
      <c r="W2314">
        <v>2</v>
      </c>
    </row>
    <row r="2315" spans="1:23" x14ac:dyDescent="0.2">
      <c r="A2315">
        <v>2021</v>
      </c>
      <c r="B2315" t="s">
        <v>23</v>
      </c>
      <c r="C2315" t="s">
        <v>271</v>
      </c>
      <c r="D2315">
        <v>209</v>
      </c>
      <c r="E2315">
        <v>2</v>
      </c>
      <c r="F2315">
        <v>8</v>
      </c>
      <c r="G2315" t="s">
        <v>234</v>
      </c>
      <c r="H2315" s="1">
        <v>5</v>
      </c>
      <c r="I2315" s="1">
        <v>66</v>
      </c>
      <c r="J2315" s="1">
        <v>68</v>
      </c>
      <c r="K2315" s="1">
        <f>J2315-I2315</f>
        <v>2</v>
      </c>
      <c r="L2315" s="1">
        <v>80</v>
      </c>
      <c r="M2315" s="1">
        <v>15</v>
      </c>
      <c r="N2315" s="1">
        <v>2</v>
      </c>
      <c r="O2315" s="1">
        <v>4</v>
      </c>
      <c r="P2315" s="1">
        <v>2</v>
      </c>
      <c r="Q2315" s="2">
        <v>6.4000000000000001E-2</v>
      </c>
      <c r="R2315" s="1">
        <v>2</v>
      </c>
      <c r="S2315" s="1">
        <f>R2315/P2315</f>
        <v>1</v>
      </c>
      <c r="T2315" s="1">
        <v>5</v>
      </c>
      <c r="U2315" s="1">
        <v>12.5</v>
      </c>
      <c r="V2315" s="1">
        <v>234.24836601307192</v>
      </c>
      <c r="W2315" s="1">
        <v>6</v>
      </c>
    </row>
    <row r="2316" spans="1:23" x14ac:dyDescent="0.2">
      <c r="A2316">
        <v>2021</v>
      </c>
      <c r="B2316" t="s">
        <v>23</v>
      </c>
      <c r="C2316" t="s">
        <v>271</v>
      </c>
      <c r="D2316">
        <v>210</v>
      </c>
      <c r="E2316">
        <v>1</v>
      </c>
      <c r="F2316">
        <v>15</v>
      </c>
      <c r="G2316" t="s">
        <v>235</v>
      </c>
      <c r="H2316" s="1">
        <v>10</v>
      </c>
      <c r="I2316" s="1">
        <v>63</v>
      </c>
      <c r="J2316" s="1">
        <v>67</v>
      </c>
      <c r="K2316" s="1">
        <f>J2316-I2316</f>
        <v>4</v>
      </c>
      <c r="L2316" s="1">
        <v>164</v>
      </c>
      <c r="M2316" s="1">
        <v>82</v>
      </c>
      <c r="N2316" s="1">
        <v>2</v>
      </c>
      <c r="O2316" s="1">
        <v>3.5</v>
      </c>
      <c r="P2316" s="1">
        <v>10</v>
      </c>
      <c r="Q2316" s="2">
        <v>0.57320000000000004</v>
      </c>
      <c r="R2316" s="1">
        <v>5</v>
      </c>
      <c r="S2316" s="1">
        <f>R2316/P2316</f>
        <v>0.5</v>
      </c>
      <c r="T2316" s="1">
        <v>5</v>
      </c>
      <c r="U2316" s="1">
        <v>9.1999999999999993</v>
      </c>
      <c r="V2316" s="1">
        <v>2177.1110065359476</v>
      </c>
      <c r="W2316" s="1">
        <v>3</v>
      </c>
    </row>
    <row r="2317" spans="1:23" x14ac:dyDescent="0.2">
      <c r="A2317">
        <v>2021</v>
      </c>
      <c r="B2317" t="s">
        <v>23</v>
      </c>
      <c r="C2317" t="s">
        <v>271</v>
      </c>
      <c r="D2317">
        <v>210</v>
      </c>
      <c r="E2317">
        <v>2</v>
      </c>
      <c r="F2317">
        <v>10</v>
      </c>
      <c r="G2317" t="s">
        <v>235</v>
      </c>
      <c r="H2317" s="1">
        <v>10</v>
      </c>
      <c r="I2317" s="1">
        <v>69</v>
      </c>
      <c r="J2317" s="1">
        <v>72</v>
      </c>
      <c r="K2317" s="1">
        <f>J2317-I2317</f>
        <v>3</v>
      </c>
      <c r="L2317" s="1">
        <v>192</v>
      </c>
      <c r="M2317" s="1">
        <v>95</v>
      </c>
      <c r="N2317" s="1">
        <v>3</v>
      </c>
      <c r="O2317" s="1">
        <v>3.5</v>
      </c>
      <c r="P2317" s="1">
        <v>7</v>
      </c>
      <c r="Q2317" s="2">
        <v>0.54935999999999996</v>
      </c>
      <c r="R2317" s="1">
        <v>6</v>
      </c>
      <c r="S2317" s="1">
        <f>R2317/P2317</f>
        <v>0.8571428571428571</v>
      </c>
      <c r="T2317" s="1">
        <v>5</v>
      </c>
      <c r="U2317" s="1">
        <v>9.1999999999999993</v>
      </c>
      <c r="V2317" s="1">
        <v>2086.5626352941176</v>
      </c>
      <c r="W2317" s="1">
        <v>5</v>
      </c>
    </row>
    <row r="2318" spans="1:23" x14ac:dyDescent="0.2">
      <c r="A2318">
        <v>2021</v>
      </c>
      <c r="B2318" t="s">
        <v>23</v>
      </c>
      <c r="C2318" t="s">
        <v>271</v>
      </c>
      <c r="D2318">
        <v>211</v>
      </c>
      <c r="E2318">
        <v>1</v>
      </c>
      <c r="F2318">
        <v>1</v>
      </c>
      <c r="G2318" t="s">
        <v>236</v>
      </c>
      <c r="H2318">
        <v>2</v>
      </c>
      <c r="I2318">
        <v>57</v>
      </c>
      <c r="J2318">
        <v>62</v>
      </c>
      <c r="K2318">
        <v>5</v>
      </c>
      <c r="L2318">
        <v>124</v>
      </c>
      <c r="M2318">
        <v>77</v>
      </c>
      <c r="N2318">
        <v>4</v>
      </c>
      <c r="O2318">
        <v>3</v>
      </c>
      <c r="P2318">
        <v>2</v>
      </c>
      <c r="Q2318">
        <v>0.22</v>
      </c>
      <c r="R2318">
        <v>2</v>
      </c>
      <c r="S2318">
        <v>1</v>
      </c>
      <c r="T2318">
        <v>3</v>
      </c>
      <c r="U2318">
        <v>12.5</v>
      </c>
      <c r="V2318">
        <v>805.22875816993462</v>
      </c>
      <c r="W2318">
        <v>2</v>
      </c>
    </row>
    <row r="2319" spans="1:23" x14ac:dyDescent="0.2">
      <c r="A2319">
        <v>2021</v>
      </c>
      <c r="B2319" t="s">
        <v>23</v>
      </c>
      <c r="C2319" t="s">
        <v>271</v>
      </c>
      <c r="D2319">
        <v>211</v>
      </c>
      <c r="E2319">
        <v>2</v>
      </c>
      <c r="F2319">
        <v>14</v>
      </c>
      <c r="G2319" t="s">
        <v>236</v>
      </c>
      <c r="H2319">
        <v>9</v>
      </c>
      <c r="I2319">
        <v>60</v>
      </c>
      <c r="J2319">
        <v>62</v>
      </c>
      <c r="K2319">
        <v>2</v>
      </c>
      <c r="L2319">
        <v>196</v>
      </c>
      <c r="M2319">
        <v>56</v>
      </c>
      <c r="N2319">
        <v>2</v>
      </c>
      <c r="O2319">
        <v>2</v>
      </c>
      <c r="P2319">
        <v>9</v>
      </c>
      <c r="Q2319">
        <v>1.64</v>
      </c>
      <c r="R2319">
        <v>10</v>
      </c>
      <c r="S2319">
        <v>1.1111111111111112</v>
      </c>
      <c r="T2319">
        <v>3</v>
      </c>
      <c r="U2319">
        <v>12.5</v>
      </c>
      <c r="V2319">
        <v>6002.6143790849674</v>
      </c>
      <c r="W2319">
        <v>1</v>
      </c>
    </row>
    <row r="2320" spans="1:23" x14ac:dyDescent="0.2">
      <c r="A2320">
        <v>2021</v>
      </c>
      <c r="B2320" t="s">
        <v>23</v>
      </c>
      <c r="C2320" t="s">
        <v>271</v>
      </c>
      <c r="D2320">
        <v>212</v>
      </c>
      <c r="E2320">
        <v>1</v>
      </c>
      <c r="F2320">
        <v>13</v>
      </c>
      <c r="G2320" t="s">
        <v>237</v>
      </c>
      <c r="H2320" s="1">
        <v>14</v>
      </c>
      <c r="I2320" s="1">
        <v>63</v>
      </c>
      <c r="J2320" s="1">
        <v>66</v>
      </c>
      <c r="K2320" s="1">
        <f>J2320-I2320</f>
        <v>3</v>
      </c>
      <c r="L2320" s="1">
        <v>178</v>
      </c>
      <c r="M2320" s="1">
        <v>61</v>
      </c>
      <c r="N2320" s="1">
        <v>2</v>
      </c>
      <c r="O2320" s="1">
        <v>3.5</v>
      </c>
      <c r="P2320" s="1">
        <f>H2320-2</f>
        <v>12</v>
      </c>
      <c r="Q2320" s="2">
        <v>0.39937499999999998</v>
      </c>
      <c r="R2320" s="1">
        <v>9</v>
      </c>
      <c r="S2320" s="1">
        <f>R2320/P2320</f>
        <v>0.75</v>
      </c>
      <c r="T2320" s="1">
        <v>5</v>
      </c>
      <c r="U2320" s="1">
        <v>12.5</v>
      </c>
      <c r="V2320" s="1">
        <v>1461.7647058823529</v>
      </c>
      <c r="W2320" s="1">
        <v>5</v>
      </c>
    </row>
    <row r="2321" spans="1:23" x14ac:dyDescent="0.2">
      <c r="A2321">
        <v>2021</v>
      </c>
      <c r="B2321" t="s">
        <v>23</v>
      </c>
      <c r="C2321" t="s">
        <v>271</v>
      </c>
      <c r="D2321">
        <v>212</v>
      </c>
      <c r="E2321">
        <v>2</v>
      </c>
      <c r="F2321">
        <v>5</v>
      </c>
      <c r="G2321" t="s">
        <v>237</v>
      </c>
      <c r="H2321" s="1">
        <v>13</v>
      </c>
      <c r="I2321" s="1">
        <v>67</v>
      </c>
      <c r="J2321" s="1">
        <v>71</v>
      </c>
      <c r="K2321" s="1">
        <f>J2321-I2321</f>
        <v>4</v>
      </c>
      <c r="L2321" s="1">
        <v>127</v>
      </c>
      <c r="M2321" s="1">
        <v>51</v>
      </c>
      <c r="N2321" s="1">
        <v>2</v>
      </c>
      <c r="O2321" s="1">
        <v>4.5</v>
      </c>
      <c r="P2321" s="1">
        <v>8</v>
      </c>
      <c r="Q2321" s="2">
        <v>0.2576</v>
      </c>
      <c r="R2321" s="1">
        <v>7</v>
      </c>
      <c r="S2321" s="1">
        <f>R2321/P2321</f>
        <v>0.875</v>
      </c>
      <c r="T2321" s="1">
        <v>4</v>
      </c>
      <c r="U2321" s="1">
        <v>12.5</v>
      </c>
      <c r="V2321" s="1">
        <v>942.84967320261444</v>
      </c>
      <c r="W2321" s="1">
        <v>4</v>
      </c>
    </row>
    <row r="2322" spans="1:23" x14ac:dyDescent="0.2">
      <c r="A2322">
        <v>2021</v>
      </c>
      <c r="B2322" t="s">
        <v>23</v>
      </c>
      <c r="C2322" t="s">
        <v>271</v>
      </c>
      <c r="D2322">
        <v>213</v>
      </c>
      <c r="E2322">
        <v>1</v>
      </c>
      <c r="F2322">
        <v>9</v>
      </c>
      <c r="G2322" t="s">
        <v>238</v>
      </c>
      <c r="H2322" s="1">
        <v>16</v>
      </c>
      <c r="I2322" s="1">
        <v>53</v>
      </c>
      <c r="J2322" s="1">
        <v>57</v>
      </c>
      <c r="K2322" s="1">
        <f>J2322-I2322</f>
        <v>4</v>
      </c>
      <c r="L2322" s="1">
        <v>123</v>
      </c>
      <c r="M2322" s="1">
        <v>51</v>
      </c>
      <c r="N2322" s="1">
        <v>3</v>
      </c>
      <c r="O2322" s="1">
        <v>4.5</v>
      </c>
      <c r="P2322" s="1">
        <v>10</v>
      </c>
      <c r="Q2322" s="2">
        <v>0.38519999999999999</v>
      </c>
      <c r="R2322" s="1">
        <v>10</v>
      </c>
      <c r="S2322" s="1">
        <f>R2322/P2322</f>
        <v>1</v>
      </c>
      <c r="T2322" s="1">
        <v>4</v>
      </c>
      <c r="U2322" s="1">
        <v>12.5</v>
      </c>
      <c r="V2322" s="1">
        <v>1409.8823529411764</v>
      </c>
      <c r="W2322" s="1">
        <v>5</v>
      </c>
    </row>
    <row r="2323" spans="1:23" x14ac:dyDescent="0.2">
      <c r="A2323">
        <v>2021</v>
      </c>
      <c r="B2323" t="s">
        <v>23</v>
      </c>
      <c r="C2323" t="s">
        <v>271</v>
      </c>
      <c r="D2323">
        <v>213</v>
      </c>
      <c r="E2323">
        <v>2</v>
      </c>
      <c r="F2323">
        <v>6</v>
      </c>
      <c r="G2323" t="s">
        <v>238</v>
      </c>
      <c r="H2323" s="1">
        <v>10</v>
      </c>
      <c r="I2323" s="1">
        <v>62</v>
      </c>
      <c r="J2323" s="1">
        <v>67</v>
      </c>
      <c r="K2323" s="1">
        <f>J2323-I2323</f>
        <v>5</v>
      </c>
      <c r="L2323" s="1">
        <v>140</v>
      </c>
      <c r="M2323" s="1">
        <v>93</v>
      </c>
      <c r="N2323" s="1">
        <v>3</v>
      </c>
      <c r="O2323" s="1">
        <v>4</v>
      </c>
      <c r="P2323" s="1">
        <v>9</v>
      </c>
      <c r="Q2323" s="2">
        <v>0.53925000000000001</v>
      </c>
      <c r="R2323" s="1">
        <v>8</v>
      </c>
      <c r="S2323" s="1">
        <f>R2323/P2323</f>
        <v>0.88888888888888884</v>
      </c>
      <c r="T2323" s="1">
        <v>4</v>
      </c>
      <c r="U2323" s="1">
        <v>12.5</v>
      </c>
      <c r="V2323" s="1">
        <v>1973.7254901960785</v>
      </c>
      <c r="W2323" s="1">
        <v>4</v>
      </c>
    </row>
    <row r="2324" spans="1:23" x14ac:dyDescent="0.2">
      <c r="A2324">
        <v>2021</v>
      </c>
      <c r="B2324" t="s">
        <v>23</v>
      </c>
      <c r="C2324" t="s">
        <v>271</v>
      </c>
      <c r="D2324">
        <v>214</v>
      </c>
      <c r="E2324">
        <v>1</v>
      </c>
      <c r="F2324">
        <v>11</v>
      </c>
      <c r="G2324" t="s">
        <v>239</v>
      </c>
      <c r="H2324">
        <v>16</v>
      </c>
      <c r="I2324">
        <v>57</v>
      </c>
      <c r="J2324">
        <v>58</v>
      </c>
      <c r="K2324">
        <v>1</v>
      </c>
      <c r="L2324">
        <v>200</v>
      </c>
      <c r="M2324">
        <v>78</v>
      </c>
      <c r="N2324">
        <v>2</v>
      </c>
      <c r="O2324">
        <v>2.5</v>
      </c>
      <c r="P2324">
        <v>14</v>
      </c>
      <c r="Q2324">
        <v>1</v>
      </c>
      <c r="R2324">
        <v>15</v>
      </c>
      <c r="S2324">
        <v>1.0714285714285714</v>
      </c>
      <c r="T2324">
        <v>2</v>
      </c>
      <c r="U2324">
        <v>11.1</v>
      </c>
      <c r="V2324">
        <v>3718.6928104575168</v>
      </c>
      <c r="W2324">
        <v>2</v>
      </c>
    </row>
    <row r="2325" spans="1:23" x14ac:dyDescent="0.2">
      <c r="A2325">
        <v>2021</v>
      </c>
      <c r="B2325" t="s">
        <v>23</v>
      </c>
      <c r="C2325" t="s">
        <v>271</v>
      </c>
      <c r="D2325">
        <v>214</v>
      </c>
      <c r="E2325">
        <v>2</v>
      </c>
      <c r="F2325">
        <v>11</v>
      </c>
      <c r="G2325" t="s">
        <v>239</v>
      </c>
      <c r="H2325" s="1">
        <v>6</v>
      </c>
      <c r="I2325" s="1">
        <v>65</v>
      </c>
      <c r="J2325" s="1">
        <v>71</v>
      </c>
      <c r="K2325" s="1">
        <f>J2325-I2325</f>
        <v>6</v>
      </c>
      <c r="L2325" s="1">
        <v>99</v>
      </c>
      <c r="M2325" s="1">
        <v>67</v>
      </c>
      <c r="N2325" s="1">
        <v>2</v>
      </c>
      <c r="O2325" s="1">
        <v>3.5</v>
      </c>
      <c r="P2325" s="1">
        <f>H2325-2</f>
        <v>4</v>
      </c>
      <c r="Q2325" s="2">
        <v>0.06</v>
      </c>
      <c r="R2325" s="1">
        <v>2</v>
      </c>
      <c r="S2325" s="1">
        <f>R2325/P2325</f>
        <v>0.5</v>
      </c>
      <c r="T2325" s="1">
        <v>5</v>
      </c>
      <c r="U2325" s="1">
        <v>12.5</v>
      </c>
      <c r="V2325" s="1">
        <v>219.60784313725492</v>
      </c>
      <c r="W2325" s="1">
        <v>2</v>
      </c>
    </row>
    <row r="2326" spans="1:23" x14ac:dyDescent="0.2">
      <c r="A2326">
        <v>2021</v>
      </c>
      <c r="B2326" t="s">
        <v>23</v>
      </c>
      <c r="C2326" t="s">
        <v>271</v>
      </c>
      <c r="D2326">
        <v>215</v>
      </c>
      <c r="E2326">
        <v>1</v>
      </c>
      <c r="F2326">
        <v>10</v>
      </c>
      <c r="G2326" t="s">
        <v>240</v>
      </c>
      <c r="H2326" s="1">
        <v>12</v>
      </c>
      <c r="I2326" s="1">
        <v>63</v>
      </c>
      <c r="J2326" s="1">
        <v>66</v>
      </c>
      <c r="K2326" s="1">
        <f>J2326-I2326</f>
        <v>3</v>
      </c>
      <c r="L2326" s="1">
        <v>141</v>
      </c>
      <c r="M2326" s="1">
        <v>76</v>
      </c>
      <c r="N2326" s="1">
        <v>2</v>
      </c>
      <c r="O2326" s="1">
        <v>3.5</v>
      </c>
      <c r="P2326" s="1">
        <f>H2326</f>
        <v>12</v>
      </c>
      <c r="Q2326" s="2">
        <v>0.57150000000000001</v>
      </c>
      <c r="R2326" s="1">
        <v>8</v>
      </c>
      <c r="S2326" s="1">
        <f>R2326/P2326</f>
        <v>0.66666666666666663</v>
      </c>
      <c r="T2326" s="1">
        <v>5</v>
      </c>
      <c r="U2326" s="1">
        <v>12.5</v>
      </c>
      <c r="V2326" s="1">
        <v>2091.7647058823527</v>
      </c>
      <c r="W2326" s="1">
        <v>5</v>
      </c>
    </row>
    <row r="2327" spans="1:23" x14ac:dyDescent="0.2">
      <c r="A2327">
        <v>2021</v>
      </c>
      <c r="B2327" t="s">
        <v>23</v>
      </c>
      <c r="C2327" t="s">
        <v>271</v>
      </c>
      <c r="D2327">
        <v>215</v>
      </c>
      <c r="E2327">
        <v>2</v>
      </c>
      <c r="F2327">
        <v>4</v>
      </c>
      <c r="G2327" t="s">
        <v>240</v>
      </c>
      <c r="H2327">
        <v>10</v>
      </c>
      <c r="I2327">
        <v>60</v>
      </c>
      <c r="J2327">
        <v>62</v>
      </c>
      <c r="K2327">
        <v>2</v>
      </c>
      <c r="L2327">
        <v>181</v>
      </c>
      <c r="M2327">
        <v>76</v>
      </c>
      <c r="N2327">
        <v>1.5</v>
      </c>
      <c r="O2327">
        <v>4</v>
      </c>
      <c r="P2327">
        <v>10</v>
      </c>
      <c r="Q2327">
        <v>0.8</v>
      </c>
      <c r="R2327">
        <v>10</v>
      </c>
      <c r="S2327">
        <v>1</v>
      </c>
      <c r="T2327">
        <v>3</v>
      </c>
      <c r="U2327">
        <v>12.5</v>
      </c>
      <c r="V2327">
        <v>2928.1045751633987</v>
      </c>
      <c r="W2327">
        <v>1</v>
      </c>
    </row>
    <row r="2328" spans="1:23" x14ac:dyDescent="0.2">
      <c r="A2328">
        <v>2021</v>
      </c>
      <c r="B2328" t="s">
        <v>23</v>
      </c>
      <c r="C2328" t="s">
        <v>271</v>
      </c>
      <c r="D2328">
        <v>216</v>
      </c>
      <c r="E2328">
        <v>1</v>
      </c>
      <c r="F2328">
        <v>6</v>
      </c>
      <c r="G2328" t="s">
        <v>241</v>
      </c>
      <c r="H2328">
        <v>8</v>
      </c>
      <c r="I2328">
        <v>63</v>
      </c>
      <c r="J2328">
        <v>67</v>
      </c>
      <c r="K2328">
        <v>4</v>
      </c>
      <c r="L2328">
        <v>115</v>
      </c>
      <c r="M2328">
        <v>61</v>
      </c>
      <c r="N2328">
        <v>2</v>
      </c>
      <c r="O2328">
        <v>3</v>
      </c>
      <c r="P2328">
        <v>8</v>
      </c>
      <c r="Q2328">
        <v>0.8</v>
      </c>
      <c r="R2328">
        <v>8</v>
      </c>
      <c r="S2328">
        <v>1</v>
      </c>
      <c r="T2328">
        <v>2.5</v>
      </c>
      <c r="U2328">
        <v>12.5</v>
      </c>
      <c r="V2328">
        <v>2928.1045751633987</v>
      </c>
      <c r="W2328">
        <v>1</v>
      </c>
    </row>
    <row r="2329" spans="1:23" x14ac:dyDescent="0.2">
      <c r="A2329">
        <v>2021</v>
      </c>
      <c r="B2329" t="s">
        <v>23</v>
      </c>
      <c r="C2329" t="s">
        <v>271</v>
      </c>
      <c r="D2329">
        <v>216</v>
      </c>
      <c r="E2329">
        <v>2</v>
      </c>
      <c r="F2329">
        <v>10</v>
      </c>
      <c r="G2329" t="s">
        <v>241</v>
      </c>
      <c r="H2329">
        <v>4</v>
      </c>
      <c r="I2329">
        <v>55</v>
      </c>
      <c r="J2329">
        <v>60</v>
      </c>
      <c r="K2329">
        <v>5</v>
      </c>
      <c r="L2329">
        <v>189</v>
      </c>
      <c r="M2329">
        <v>55</v>
      </c>
      <c r="N2329">
        <v>4</v>
      </c>
      <c r="O2329">
        <v>5</v>
      </c>
      <c r="P2329">
        <v>4</v>
      </c>
      <c r="Q2329">
        <v>0.108</v>
      </c>
      <c r="R2329">
        <v>4</v>
      </c>
      <c r="S2329">
        <v>1</v>
      </c>
      <c r="T2329">
        <v>4</v>
      </c>
      <c r="U2329">
        <v>12.5</v>
      </c>
      <c r="V2329">
        <v>395.29411764705878</v>
      </c>
      <c r="W2329">
        <v>1</v>
      </c>
    </row>
    <row r="2330" spans="1:23" x14ac:dyDescent="0.2">
      <c r="A2330">
        <v>2021</v>
      </c>
      <c r="B2330" t="s">
        <v>23</v>
      </c>
      <c r="C2330" t="s">
        <v>271</v>
      </c>
      <c r="D2330">
        <v>217</v>
      </c>
      <c r="E2330">
        <v>1</v>
      </c>
      <c r="F2330">
        <v>14</v>
      </c>
      <c r="G2330" t="s">
        <v>242</v>
      </c>
      <c r="H2330" s="1">
        <v>4</v>
      </c>
      <c r="I2330" s="1">
        <v>70</v>
      </c>
      <c r="J2330" s="1">
        <v>74</v>
      </c>
      <c r="K2330" s="1">
        <f>J2330-I2330</f>
        <v>4</v>
      </c>
      <c r="L2330" s="1">
        <v>180</v>
      </c>
      <c r="M2330" s="1">
        <v>90</v>
      </c>
      <c r="N2330" s="1">
        <v>2</v>
      </c>
      <c r="O2330" s="1">
        <v>2.5</v>
      </c>
      <c r="P2330" s="1">
        <v>3</v>
      </c>
      <c r="Q2330" s="2">
        <v>0.47567999999999994</v>
      </c>
      <c r="R2330" s="1">
        <v>3</v>
      </c>
      <c r="S2330" s="1">
        <f>R2330/P2330</f>
        <v>1</v>
      </c>
      <c r="T2330" s="1">
        <v>3</v>
      </c>
      <c r="U2330" s="1">
        <v>12.5</v>
      </c>
      <c r="V2330" s="1">
        <v>1741.0509803921568</v>
      </c>
      <c r="W2330" s="1">
        <v>4</v>
      </c>
    </row>
    <row r="2331" spans="1:23" x14ac:dyDescent="0.2">
      <c r="A2331">
        <v>2021</v>
      </c>
      <c r="B2331" t="s">
        <v>23</v>
      </c>
      <c r="C2331" t="s">
        <v>271</v>
      </c>
      <c r="D2331">
        <v>217</v>
      </c>
      <c r="E2331">
        <v>2</v>
      </c>
      <c r="F2331">
        <v>12</v>
      </c>
      <c r="G2331" t="s">
        <v>242</v>
      </c>
      <c r="H2331" s="1">
        <v>13</v>
      </c>
      <c r="I2331" s="1">
        <v>65</v>
      </c>
      <c r="J2331" s="1">
        <v>69</v>
      </c>
      <c r="K2331" s="1">
        <f>J2331-I2331</f>
        <v>4</v>
      </c>
      <c r="L2331" s="1">
        <v>158</v>
      </c>
      <c r="M2331" s="1">
        <v>78</v>
      </c>
      <c r="N2331" s="1">
        <v>2</v>
      </c>
      <c r="O2331" s="1">
        <v>3.5</v>
      </c>
      <c r="P2331" s="1">
        <f>H2331</f>
        <v>13</v>
      </c>
      <c r="Q2331" s="2">
        <v>0.1515</v>
      </c>
      <c r="R2331" s="1">
        <v>9</v>
      </c>
      <c r="S2331" s="1">
        <f>R2331/P2331</f>
        <v>0.69230769230769229</v>
      </c>
      <c r="T2331" s="1">
        <v>5</v>
      </c>
      <c r="U2331" s="1">
        <v>12.5</v>
      </c>
      <c r="V2331" s="1">
        <v>554.50980392156862</v>
      </c>
      <c r="W2331" s="1">
        <v>6</v>
      </c>
    </row>
    <row r="2332" spans="1:23" x14ac:dyDescent="0.2">
      <c r="A2332">
        <v>2021</v>
      </c>
      <c r="B2332" t="s">
        <v>23</v>
      </c>
      <c r="C2332" t="s">
        <v>271</v>
      </c>
      <c r="D2332">
        <v>218</v>
      </c>
      <c r="E2332">
        <v>1</v>
      </c>
      <c r="F2332">
        <v>2</v>
      </c>
      <c r="G2332" t="s">
        <v>243</v>
      </c>
      <c r="H2332">
        <v>5</v>
      </c>
      <c r="I2332">
        <v>60</v>
      </c>
      <c r="J2332">
        <v>63</v>
      </c>
      <c r="K2332">
        <v>3</v>
      </c>
      <c r="L2332">
        <v>122</v>
      </c>
      <c r="M2332">
        <v>55</v>
      </c>
      <c r="N2332">
        <v>1.5</v>
      </c>
      <c r="O2332">
        <v>2</v>
      </c>
      <c r="P2332">
        <v>5</v>
      </c>
      <c r="Q2332">
        <v>0.4</v>
      </c>
      <c r="R2332">
        <v>6</v>
      </c>
      <c r="S2332">
        <v>1.2</v>
      </c>
      <c r="T2332">
        <v>2.5</v>
      </c>
      <c r="U2332">
        <v>12.5</v>
      </c>
      <c r="V2332">
        <v>1464.0522875816994</v>
      </c>
      <c r="W2332">
        <v>1</v>
      </c>
    </row>
    <row r="2333" spans="1:23" x14ac:dyDescent="0.2">
      <c r="A2333">
        <v>2021</v>
      </c>
      <c r="B2333" t="s">
        <v>23</v>
      </c>
      <c r="C2333" t="s">
        <v>271</v>
      </c>
      <c r="D2333">
        <v>218</v>
      </c>
      <c r="E2333">
        <v>2</v>
      </c>
      <c r="F2333">
        <v>15</v>
      </c>
      <c r="G2333" t="s">
        <v>243</v>
      </c>
      <c r="H2333">
        <v>3</v>
      </c>
      <c r="I2333">
        <v>56</v>
      </c>
      <c r="J2333">
        <v>62</v>
      </c>
      <c r="K2333">
        <v>6</v>
      </c>
      <c r="L2333">
        <v>104</v>
      </c>
      <c r="M2333">
        <v>72</v>
      </c>
      <c r="N2333">
        <v>4</v>
      </c>
      <c r="O2333">
        <v>4</v>
      </c>
      <c r="P2333">
        <v>3</v>
      </c>
      <c r="Q2333">
        <v>0.35599999999999998</v>
      </c>
      <c r="R2333">
        <v>2</v>
      </c>
      <c r="S2333">
        <v>0.66666666666666663</v>
      </c>
      <c r="T2333">
        <v>4</v>
      </c>
      <c r="U2333">
        <v>12.5</v>
      </c>
      <c r="V2333">
        <v>1303.0065359477126</v>
      </c>
      <c r="W2333">
        <v>2</v>
      </c>
    </row>
    <row r="2334" spans="1:23" x14ac:dyDescent="0.2">
      <c r="A2334">
        <v>2021</v>
      </c>
      <c r="B2334" t="s">
        <v>23</v>
      </c>
      <c r="C2334" t="s">
        <v>271</v>
      </c>
      <c r="D2334">
        <v>219</v>
      </c>
      <c r="E2334">
        <v>1</v>
      </c>
      <c r="F2334">
        <v>13</v>
      </c>
      <c r="G2334" t="s">
        <v>244</v>
      </c>
      <c r="H2334">
        <v>12</v>
      </c>
      <c r="I2334">
        <v>56</v>
      </c>
      <c r="J2334">
        <v>58</v>
      </c>
      <c r="K2334">
        <v>2</v>
      </c>
      <c r="L2334">
        <v>170</v>
      </c>
      <c r="M2334">
        <v>87</v>
      </c>
      <c r="N2334">
        <v>1.5</v>
      </c>
      <c r="O2334">
        <v>3.5</v>
      </c>
      <c r="P2334">
        <v>11</v>
      </c>
      <c r="Q2334">
        <v>0.8</v>
      </c>
      <c r="R2334">
        <v>11</v>
      </c>
      <c r="S2334">
        <v>1</v>
      </c>
      <c r="T2334">
        <v>2.5</v>
      </c>
      <c r="U2334">
        <v>12.5</v>
      </c>
      <c r="V2334">
        <v>2928.1045751633987</v>
      </c>
      <c r="W2334">
        <v>2</v>
      </c>
    </row>
    <row r="2335" spans="1:23" x14ac:dyDescent="0.2">
      <c r="A2335">
        <v>2021</v>
      </c>
      <c r="B2335" t="s">
        <v>23</v>
      </c>
      <c r="C2335" t="s">
        <v>271</v>
      </c>
      <c r="D2335">
        <v>219</v>
      </c>
      <c r="E2335">
        <v>2</v>
      </c>
      <c r="F2335">
        <v>2</v>
      </c>
      <c r="G2335" t="s">
        <v>244</v>
      </c>
      <c r="H2335">
        <v>1</v>
      </c>
      <c r="I2335">
        <v>61</v>
      </c>
      <c r="J2335">
        <v>64</v>
      </c>
      <c r="K2335">
        <v>3</v>
      </c>
      <c r="L2335">
        <v>100</v>
      </c>
      <c r="M2335">
        <v>45</v>
      </c>
      <c r="N2335">
        <v>1.5</v>
      </c>
      <c r="O2335">
        <v>2</v>
      </c>
      <c r="P2335">
        <v>1</v>
      </c>
      <c r="Q2335">
        <v>0.2</v>
      </c>
      <c r="R2335">
        <v>1</v>
      </c>
      <c r="S2335">
        <v>1</v>
      </c>
      <c r="T2335">
        <v>2.5</v>
      </c>
      <c r="U2335">
        <v>12.5</v>
      </c>
      <c r="V2335">
        <v>732.02614379084969</v>
      </c>
      <c r="W2335">
        <v>2</v>
      </c>
    </row>
    <row r="2336" spans="1:23" x14ac:dyDescent="0.2">
      <c r="A2336">
        <v>2021</v>
      </c>
      <c r="B2336" t="s">
        <v>23</v>
      </c>
      <c r="C2336" t="s">
        <v>271</v>
      </c>
      <c r="D2336">
        <v>220</v>
      </c>
      <c r="E2336">
        <v>1</v>
      </c>
      <c r="F2336">
        <v>11</v>
      </c>
      <c r="G2336" t="s">
        <v>245</v>
      </c>
      <c r="H2336">
        <v>7</v>
      </c>
      <c r="I2336">
        <v>63</v>
      </c>
      <c r="J2336">
        <v>65</v>
      </c>
      <c r="K2336">
        <v>2</v>
      </c>
      <c r="L2336">
        <v>135</v>
      </c>
      <c r="M2336">
        <v>80</v>
      </c>
      <c r="N2336">
        <v>1.5</v>
      </c>
      <c r="O2336">
        <v>3.5</v>
      </c>
      <c r="P2336">
        <v>7</v>
      </c>
      <c r="Q2336">
        <v>0.5</v>
      </c>
      <c r="R2336">
        <v>7</v>
      </c>
      <c r="S2336">
        <v>1</v>
      </c>
      <c r="T2336">
        <v>3.5</v>
      </c>
      <c r="U2336">
        <v>12.5</v>
      </c>
      <c r="V2336">
        <v>1830.0653594771243</v>
      </c>
      <c r="W2336">
        <v>1</v>
      </c>
    </row>
    <row r="2337" spans="1:23" x14ac:dyDescent="0.2">
      <c r="A2337">
        <v>2021</v>
      </c>
      <c r="B2337" t="s">
        <v>23</v>
      </c>
      <c r="C2337" t="s">
        <v>271</v>
      </c>
      <c r="D2337">
        <v>220</v>
      </c>
      <c r="E2337">
        <v>2</v>
      </c>
      <c r="F2337">
        <v>14</v>
      </c>
      <c r="G2337" t="s">
        <v>245</v>
      </c>
      <c r="H2337" s="1">
        <v>3</v>
      </c>
      <c r="I2337" s="1">
        <v>60</v>
      </c>
      <c r="J2337" s="1">
        <v>65</v>
      </c>
      <c r="K2337" s="1">
        <f>J2337-I2337</f>
        <v>5</v>
      </c>
      <c r="L2337" s="1">
        <v>148</v>
      </c>
      <c r="M2337" s="1">
        <v>80</v>
      </c>
      <c r="N2337" s="1">
        <v>2</v>
      </c>
      <c r="O2337" s="1">
        <v>2.5</v>
      </c>
      <c r="P2337" s="1">
        <f>H2337-1</f>
        <v>2</v>
      </c>
      <c r="Q2337" s="2">
        <v>0.36199999999999999</v>
      </c>
      <c r="R2337" s="1">
        <v>3</v>
      </c>
      <c r="S2337" s="1">
        <f>R2337/P2337</f>
        <v>1.5</v>
      </c>
      <c r="T2337" s="1">
        <v>2</v>
      </c>
      <c r="U2337" s="1">
        <v>12.5</v>
      </c>
      <c r="V2337" s="1">
        <v>1324.9673202614379</v>
      </c>
      <c r="W2337" s="1">
        <v>3</v>
      </c>
    </row>
    <row r="2338" spans="1:23" x14ac:dyDescent="0.2">
      <c r="A2338">
        <v>2021</v>
      </c>
      <c r="B2338" t="s">
        <v>23</v>
      </c>
      <c r="C2338" t="s">
        <v>271</v>
      </c>
      <c r="D2338">
        <v>221</v>
      </c>
      <c r="E2338">
        <v>1</v>
      </c>
      <c r="F2338">
        <v>11</v>
      </c>
      <c r="G2338" t="s">
        <v>246</v>
      </c>
      <c r="H2338" s="1">
        <v>1</v>
      </c>
      <c r="I2338" s="1">
        <v>61</v>
      </c>
      <c r="J2338" s="1">
        <v>64</v>
      </c>
      <c r="K2338" s="1">
        <f>J2338-I2338</f>
        <v>3</v>
      </c>
      <c r="L2338" s="1">
        <v>150</v>
      </c>
      <c r="M2338" s="1">
        <v>66</v>
      </c>
      <c r="N2338" s="1">
        <v>3</v>
      </c>
      <c r="O2338" s="1">
        <v>3.5</v>
      </c>
      <c r="P2338" s="1">
        <v>1</v>
      </c>
      <c r="Q2338" s="2">
        <v>5.6249999999999998E-3</v>
      </c>
      <c r="R2338" s="1">
        <v>1</v>
      </c>
      <c r="S2338" s="1">
        <f>R2338/P2338</f>
        <v>1</v>
      </c>
      <c r="T2338" s="1">
        <v>5</v>
      </c>
      <c r="U2338" s="1">
        <v>12.5</v>
      </c>
      <c r="V2338" s="1">
        <v>20.588235294117645</v>
      </c>
      <c r="W2338" s="1">
        <v>4</v>
      </c>
    </row>
    <row r="2339" spans="1:23" x14ac:dyDescent="0.2">
      <c r="A2339">
        <v>2021</v>
      </c>
      <c r="B2339" t="s">
        <v>23</v>
      </c>
      <c r="C2339" t="s">
        <v>271</v>
      </c>
      <c r="D2339">
        <v>221</v>
      </c>
      <c r="E2339">
        <v>2</v>
      </c>
      <c r="F2339">
        <v>12</v>
      </c>
      <c r="G2339" t="s">
        <v>246</v>
      </c>
      <c r="H2339" s="1">
        <v>5</v>
      </c>
      <c r="I2339" s="1">
        <v>62</v>
      </c>
      <c r="J2339" s="1">
        <v>66</v>
      </c>
      <c r="K2339" s="1">
        <f>J2339-I2339</f>
        <v>4</v>
      </c>
      <c r="L2339" s="1">
        <v>155</v>
      </c>
      <c r="M2339" s="1">
        <v>61</v>
      </c>
      <c r="N2339" s="1">
        <v>1.5</v>
      </c>
      <c r="O2339" s="1">
        <v>3.5</v>
      </c>
      <c r="P2339" s="1">
        <v>4</v>
      </c>
      <c r="Q2339" s="2">
        <v>0.40400000000000003</v>
      </c>
      <c r="R2339" s="1">
        <v>3</v>
      </c>
      <c r="S2339" s="1">
        <f>R2339/P2339</f>
        <v>0.75</v>
      </c>
      <c r="T2339" s="1">
        <v>2</v>
      </c>
      <c r="U2339" s="1">
        <v>12.5</v>
      </c>
      <c r="V2339" s="1">
        <v>1478.6928104575163</v>
      </c>
      <c r="W2339" s="1">
        <v>4</v>
      </c>
    </row>
    <row r="2340" spans="1:23" x14ac:dyDescent="0.2">
      <c r="A2340">
        <v>2021</v>
      </c>
      <c r="B2340" t="s">
        <v>23</v>
      </c>
      <c r="C2340" t="s">
        <v>271</v>
      </c>
      <c r="D2340">
        <v>222</v>
      </c>
      <c r="E2340">
        <v>1</v>
      </c>
      <c r="F2340">
        <v>13</v>
      </c>
      <c r="G2340" t="s">
        <v>247</v>
      </c>
      <c r="H2340" s="1">
        <v>8</v>
      </c>
      <c r="I2340" s="1">
        <v>61</v>
      </c>
      <c r="J2340" s="1">
        <v>64</v>
      </c>
      <c r="K2340" s="1">
        <f>J2340-I2340</f>
        <v>3</v>
      </c>
      <c r="L2340" s="1">
        <v>102</v>
      </c>
      <c r="M2340" s="1">
        <v>25</v>
      </c>
      <c r="N2340" s="1">
        <v>1.5</v>
      </c>
      <c r="O2340" s="1">
        <v>5</v>
      </c>
      <c r="P2340" s="1">
        <v>5</v>
      </c>
      <c r="Q2340" s="2">
        <v>6.6500000000000004E-2</v>
      </c>
      <c r="R2340" s="1">
        <v>3</v>
      </c>
      <c r="S2340" s="1">
        <f>R2340/P2340</f>
        <v>0.6</v>
      </c>
      <c r="T2340" s="1">
        <v>5</v>
      </c>
      <c r="U2340" s="1">
        <v>12.5</v>
      </c>
      <c r="V2340" s="1">
        <v>243.39869281045756</v>
      </c>
      <c r="W2340" s="1">
        <v>6</v>
      </c>
    </row>
    <row r="2341" spans="1:23" x14ac:dyDescent="0.2">
      <c r="A2341">
        <v>2021</v>
      </c>
      <c r="B2341" t="s">
        <v>23</v>
      </c>
      <c r="C2341" t="s">
        <v>271</v>
      </c>
      <c r="D2341">
        <v>222</v>
      </c>
      <c r="E2341">
        <v>2</v>
      </c>
      <c r="F2341">
        <v>1</v>
      </c>
      <c r="G2341" t="s">
        <v>247</v>
      </c>
      <c r="H2341" s="1">
        <v>12</v>
      </c>
      <c r="I2341" s="1">
        <v>58</v>
      </c>
      <c r="J2341" s="1">
        <v>62</v>
      </c>
      <c r="K2341" s="1">
        <f>J2341-I2341</f>
        <v>4</v>
      </c>
      <c r="L2341" s="1">
        <v>128</v>
      </c>
      <c r="M2341" s="1">
        <v>55</v>
      </c>
      <c r="N2341" s="1">
        <v>2.5</v>
      </c>
      <c r="O2341" s="1">
        <v>3.5</v>
      </c>
      <c r="P2341" s="1">
        <v>10</v>
      </c>
      <c r="Q2341" s="2">
        <v>0.2802</v>
      </c>
      <c r="R2341" s="1">
        <v>9</v>
      </c>
      <c r="S2341" s="1">
        <f>R2341/P2341</f>
        <v>0.9</v>
      </c>
      <c r="T2341" s="1">
        <v>2.5</v>
      </c>
      <c r="U2341" s="1">
        <v>12.5</v>
      </c>
      <c r="V2341" s="1">
        <v>1025.5686274509806</v>
      </c>
      <c r="W2341" s="1">
        <v>4</v>
      </c>
    </row>
    <row r="2342" spans="1:23" x14ac:dyDescent="0.2">
      <c r="A2342">
        <v>2021</v>
      </c>
      <c r="B2342" t="s">
        <v>23</v>
      </c>
      <c r="C2342" t="s">
        <v>271</v>
      </c>
      <c r="D2342">
        <v>223</v>
      </c>
      <c r="E2342">
        <v>1</v>
      </c>
      <c r="F2342">
        <v>8</v>
      </c>
      <c r="G2342" t="s">
        <v>248</v>
      </c>
      <c r="H2342">
        <v>5</v>
      </c>
      <c r="I2342">
        <v>55</v>
      </c>
      <c r="J2342">
        <v>56</v>
      </c>
      <c r="K2342">
        <v>1</v>
      </c>
      <c r="L2342">
        <v>160</v>
      </c>
      <c r="M2342">
        <v>60</v>
      </c>
      <c r="N2342">
        <v>2</v>
      </c>
      <c r="O2342">
        <v>3</v>
      </c>
      <c r="P2342">
        <v>5</v>
      </c>
      <c r="Q2342">
        <v>0.52500000000000002</v>
      </c>
      <c r="R2342">
        <v>5</v>
      </c>
      <c r="S2342">
        <v>1</v>
      </c>
      <c r="T2342">
        <v>3</v>
      </c>
      <c r="U2342">
        <v>12.5</v>
      </c>
      <c r="V2342">
        <v>1921.5686274509806</v>
      </c>
      <c r="W2342">
        <v>2</v>
      </c>
    </row>
    <row r="2343" spans="1:23" x14ac:dyDescent="0.2">
      <c r="A2343">
        <v>2021</v>
      </c>
      <c r="B2343" t="s">
        <v>23</v>
      </c>
      <c r="C2343" t="s">
        <v>271</v>
      </c>
      <c r="D2343">
        <v>223</v>
      </c>
      <c r="E2343">
        <v>2</v>
      </c>
      <c r="F2343">
        <v>9</v>
      </c>
      <c r="G2343" t="s">
        <v>248</v>
      </c>
      <c r="H2343">
        <v>15</v>
      </c>
      <c r="I2343">
        <v>55</v>
      </c>
      <c r="J2343">
        <v>57</v>
      </c>
      <c r="K2343">
        <v>2</v>
      </c>
      <c r="L2343">
        <v>139</v>
      </c>
      <c r="M2343">
        <v>41</v>
      </c>
      <c r="N2343">
        <v>2</v>
      </c>
      <c r="O2343">
        <v>2</v>
      </c>
      <c r="P2343">
        <v>15</v>
      </c>
      <c r="Q2343">
        <v>1.7</v>
      </c>
      <c r="R2343">
        <v>14</v>
      </c>
      <c r="S2343">
        <v>0.93333333333333335</v>
      </c>
      <c r="T2343">
        <v>3</v>
      </c>
      <c r="U2343">
        <v>12.5</v>
      </c>
      <c r="V2343">
        <v>6222.2222222222226</v>
      </c>
      <c r="W2343">
        <v>2</v>
      </c>
    </row>
    <row r="2344" spans="1:23" x14ac:dyDescent="0.2">
      <c r="A2344">
        <v>2021</v>
      </c>
      <c r="B2344" t="s">
        <v>23</v>
      </c>
      <c r="C2344" t="s">
        <v>271</v>
      </c>
      <c r="D2344">
        <v>224</v>
      </c>
      <c r="E2344">
        <v>1</v>
      </c>
      <c r="F2344">
        <v>4</v>
      </c>
      <c r="G2344" t="s">
        <v>249</v>
      </c>
      <c r="H2344" s="1">
        <v>9</v>
      </c>
      <c r="I2344" s="1">
        <v>62</v>
      </c>
      <c r="J2344" s="1">
        <v>65</v>
      </c>
      <c r="K2344" s="1">
        <f>J2344-I2344</f>
        <v>3</v>
      </c>
      <c r="L2344" s="1">
        <v>153</v>
      </c>
      <c r="M2344" s="1">
        <v>78</v>
      </c>
      <c r="N2344" s="1">
        <v>2</v>
      </c>
      <c r="O2344" s="1">
        <v>3.5</v>
      </c>
      <c r="P2344" s="1">
        <v>7</v>
      </c>
      <c r="Q2344" s="2">
        <v>0.2044</v>
      </c>
      <c r="R2344" s="1">
        <v>7</v>
      </c>
      <c r="S2344" s="1">
        <f>R2344/P2344</f>
        <v>1</v>
      </c>
      <c r="T2344" s="1">
        <v>5</v>
      </c>
      <c r="U2344" s="1">
        <v>7.8</v>
      </c>
      <c r="V2344" s="1">
        <v>788.31602614379108</v>
      </c>
      <c r="W2344" s="1">
        <v>4</v>
      </c>
    </row>
    <row r="2345" spans="1:23" x14ac:dyDescent="0.2">
      <c r="A2345">
        <v>2021</v>
      </c>
      <c r="B2345" t="s">
        <v>23</v>
      </c>
      <c r="C2345" t="s">
        <v>271</v>
      </c>
      <c r="D2345">
        <v>224</v>
      </c>
      <c r="E2345">
        <v>2</v>
      </c>
      <c r="F2345">
        <v>3</v>
      </c>
      <c r="G2345" t="s">
        <v>249</v>
      </c>
      <c r="H2345" s="1">
        <v>10</v>
      </c>
      <c r="I2345" s="1">
        <v>60</v>
      </c>
      <c r="J2345" s="1">
        <v>65</v>
      </c>
      <c r="K2345" s="1">
        <f>J2345-I2345</f>
        <v>5</v>
      </c>
      <c r="L2345" s="1">
        <v>148</v>
      </c>
      <c r="M2345" s="1">
        <v>86</v>
      </c>
      <c r="N2345" s="1">
        <v>2</v>
      </c>
      <c r="O2345" s="1">
        <v>4</v>
      </c>
      <c r="P2345" s="1">
        <v>7</v>
      </c>
      <c r="Q2345" s="2">
        <v>0.41595000000000004</v>
      </c>
      <c r="R2345" s="1">
        <v>7</v>
      </c>
      <c r="S2345" s="1">
        <f>R2345/P2345</f>
        <v>1</v>
      </c>
      <c r="T2345" s="1">
        <v>5</v>
      </c>
      <c r="U2345" s="1">
        <v>12.5</v>
      </c>
      <c r="V2345" s="1">
        <v>1522.4313725490197</v>
      </c>
      <c r="W2345" s="1">
        <v>7</v>
      </c>
    </row>
    <row r="2346" spans="1:23" x14ac:dyDescent="0.2">
      <c r="A2346">
        <v>2021</v>
      </c>
      <c r="B2346" t="s">
        <v>23</v>
      </c>
      <c r="C2346" t="s">
        <v>271</v>
      </c>
      <c r="D2346">
        <v>225</v>
      </c>
      <c r="E2346">
        <v>1</v>
      </c>
      <c r="F2346">
        <v>13</v>
      </c>
      <c r="G2346" t="s">
        <v>250</v>
      </c>
      <c r="H2346" s="1">
        <v>7</v>
      </c>
      <c r="I2346" s="1">
        <v>63</v>
      </c>
      <c r="J2346" s="1">
        <v>68</v>
      </c>
      <c r="K2346" s="1">
        <f>J2346-I2346</f>
        <v>5</v>
      </c>
      <c r="L2346" s="1">
        <v>80</v>
      </c>
      <c r="M2346" s="1">
        <v>35</v>
      </c>
      <c r="N2346" s="1">
        <v>2</v>
      </c>
      <c r="O2346" s="1">
        <v>3.5</v>
      </c>
      <c r="P2346" s="1">
        <v>6</v>
      </c>
      <c r="Q2346" s="2">
        <v>0.2</v>
      </c>
      <c r="R2346" s="1">
        <v>6</v>
      </c>
      <c r="S2346" s="1">
        <f>R2346/P2346</f>
        <v>1</v>
      </c>
      <c r="T2346" s="1">
        <v>3.5</v>
      </c>
      <c r="U2346" s="1">
        <v>12.5</v>
      </c>
      <c r="V2346" s="1">
        <v>732.02614379084969</v>
      </c>
      <c r="W2346" s="1">
        <v>4</v>
      </c>
    </row>
    <row r="2347" spans="1:23" x14ac:dyDescent="0.2">
      <c r="A2347">
        <v>2021</v>
      </c>
      <c r="B2347" t="s">
        <v>23</v>
      </c>
      <c r="C2347" t="s">
        <v>271</v>
      </c>
      <c r="D2347">
        <v>225</v>
      </c>
      <c r="E2347">
        <v>2</v>
      </c>
      <c r="F2347">
        <v>2</v>
      </c>
      <c r="G2347" t="s">
        <v>250</v>
      </c>
      <c r="H2347">
        <v>3</v>
      </c>
      <c r="I2347">
        <v>55</v>
      </c>
      <c r="J2347">
        <v>59</v>
      </c>
      <c r="K2347">
        <v>4</v>
      </c>
      <c r="L2347">
        <v>74</v>
      </c>
      <c r="M2347">
        <v>33</v>
      </c>
      <c r="N2347">
        <v>1</v>
      </c>
      <c r="O2347">
        <v>2</v>
      </c>
      <c r="P2347">
        <v>3</v>
      </c>
      <c r="Q2347">
        <v>0.18</v>
      </c>
      <c r="R2347">
        <v>3</v>
      </c>
      <c r="S2347">
        <v>1</v>
      </c>
      <c r="T2347">
        <v>3</v>
      </c>
      <c r="U2347">
        <v>12.5</v>
      </c>
      <c r="V2347">
        <v>658.82352941176464</v>
      </c>
      <c r="W2347">
        <v>1</v>
      </c>
    </row>
    <row r="2348" spans="1:23" x14ac:dyDescent="0.2">
      <c r="A2348">
        <v>2021</v>
      </c>
      <c r="B2348" t="s">
        <v>23</v>
      </c>
      <c r="C2348" t="s">
        <v>271</v>
      </c>
      <c r="D2348">
        <v>226</v>
      </c>
      <c r="E2348">
        <v>1</v>
      </c>
      <c r="F2348">
        <v>2</v>
      </c>
      <c r="G2348" t="s">
        <v>251</v>
      </c>
      <c r="H2348" s="1">
        <v>16</v>
      </c>
      <c r="I2348" s="1">
        <v>64</v>
      </c>
      <c r="J2348" s="1">
        <v>70</v>
      </c>
      <c r="K2348" s="1">
        <f>J2348-I2348</f>
        <v>6</v>
      </c>
      <c r="L2348" s="1">
        <v>181</v>
      </c>
      <c r="M2348" s="1">
        <v>27</v>
      </c>
      <c r="N2348" s="1">
        <v>2</v>
      </c>
      <c r="O2348" s="1">
        <v>3.5</v>
      </c>
      <c r="P2348" s="1">
        <v>10</v>
      </c>
      <c r="Q2348" s="2">
        <v>0.53200000000000003</v>
      </c>
      <c r="R2348" s="1">
        <v>11</v>
      </c>
      <c r="S2348" s="1">
        <f>R2348/P2348</f>
        <v>1.1000000000000001</v>
      </c>
      <c r="T2348" s="1">
        <v>2</v>
      </c>
      <c r="U2348" s="1">
        <v>12.5</v>
      </c>
      <c r="V2348" s="1">
        <v>1947.1895424836605</v>
      </c>
      <c r="W2348" s="1">
        <v>3</v>
      </c>
    </row>
    <row r="2349" spans="1:23" x14ac:dyDescent="0.2">
      <c r="A2349">
        <v>2021</v>
      </c>
      <c r="B2349" t="s">
        <v>23</v>
      </c>
      <c r="C2349" t="s">
        <v>271</v>
      </c>
      <c r="D2349">
        <v>226</v>
      </c>
      <c r="E2349">
        <v>2</v>
      </c>
      <c r="F2349">
        <v>7</v>
      </c>
      <c r="G2349" t="s">
        <v>251</v>
      </c>
      <c r="H2349">
        <v>6</v>
      </c>
      <c r="I2349">
        <v>56</v>
      </c>
      <c r="J2349">
        <v>58</v>
      </c>
      <c r="K2349">
        <v>2</v>
      </c>
      <c r="L2349">
        <v>156</v>
      </c>
      <c r="M2349">
        <v>42</v>
      </c>
      <c r="N2349">
        <v>1.5</v>
      </c>
      <c r="O2349">
        <v>2</v>
      </c>
      <c r="P2349">
        <v>5</v>
      </c>
      <c r="Q2349">
        <v>1.2</v>
      </c>
      <c r="R2349">
        <v>5</v>
      </c>
      <c r="S2349">
        <v>1</v>
      </c>
      <c r="T2349">
        <v>3</v>
      </c>
      <c r="U2349">
        <v>12.5</v>
      </c>
      <c r="V2349">
        <v>4392.1568627450979</v>
      </c>
      <c r="W2349">
        <v>2</v>
      </c>
    </row>
    <row r="2350" spans="1:23" x14ac:dyDescent="0.2">
      <c r="A2350">
        <v>2021</v>
      </c>
      <c r="B2350" t="s">
        <v>23</v>
      </c>
      <c r="C2350" t="s">
        <v>271</v>
      </c>
      <c r="D2350">
        <v>227</v>
      </c>
      <c r="E2350">
        <v>1</v>
      </c>
      <c r="F2350">
        <v>11</v>
      </c>
      <c r="G2350" t="s">
        <v>252</v>
      </c>
      <c r="H2350" s="1">
        <v>13</v>
      </c>
      <c r="I2350" s="1">
        <v>67</v>
      </c>
      <c r="J2350" s="1">
        <v>69</v>
      </c>
      <c r="K2350" s="1">
        <f>J2350-I2350</f>
        <v>2</v>
      </c>
      <c r="L2350" s="1">
        <v>192</v>
      </c>
      <c r="M2350" s="1">
        <v>78</v>
      </c>
      <c r="N2350" s="1">
        <v>2</v>
      </c>
      <c r="O2350" s="1">
        <v>3.5</v>
      </c>
      <c r="P2350" s="1">
        <v>12</v>
      </c>
      <c r="Q2350" s="2">
        <v>0.48480000000000001</v>
      </c>
      <c r="R2350" s="1">
        <v>6</v>
      </c>
      <c r="S2350" s="1">
        <f>R2350/P2350</f>
        <v>0.5</v>
      </c>
      <c r="T2350" s="1">
        <v>5</v>
      </c>
      <c r="U2350" s="1">
        <v>10.5</v>
      </c>
      <c r="V2350" s="1">
        <v>1814.9898039215689</v>
      </c>
      <c r="W2350" s="1">
        <v>6</v>
      </c>
    </row>
    <row r="2351" spans="1:23" x14ac:dyDescent="0.2">
      <c r="A2351">
        <v>2021</v>
      </c>
      <c r="B2351" t="s">
        <v>23</v>
      </c>
      <c r="C2351" t="s">
        <v>271</v>
      </c>
      <c r="D2351">
        <v>227</v>
      </c>
      <c r="E2351">
        <v>2</v>
      </c>
      <c r="F2351">
        <v>2</v>
      </c>
      <c r="G2351" t="s">
        <v>252</v>
      </c>
      <c r="H2351" s="1">
        <v>13</v>
      </c>
      <c r="I2351" s="1">
        <v>61</v>
      </c>
      <c r="J2351" s="1">
        <v>66</v>
      </c>
      <c r="K2351" s="1">
        <f>J2351-I2351</f>
        <v>5</v>
      </c>
      <c r="L2351" s="1">
        <v>127</v>
      </c>
      <c r="M2351" s="1">
        <v>37</v>
      </c>
      <c r="N2351" s="1">
        <v>2</v>
      </c>
      <c r="O2351" s="1">
        <v>4</v>
      </c>
      <c r="P2351" s="1">
        <v>7</v>
      </c>
      <c r="Q2351" s="2">
        <v>0.108</v>
      </c>
      <c r="R2351" s="1">
        <v>6</v>
      </c>
      <c r="S2351" s="1">
        <f>R2351/P2351</f>
        <v>0.8571428571428571</v>
      </c>
      <c r="T2351" s="1">
        <v>3.5</v>
      </c>
      <c r="U2351" s="1">
        <v>12.5</v>
      </c>
      <c r="V2351" s="1">
        <v>395.29411764705878</v>
      </c>
      <c r="W2351" s="1">
        <v>4</v>
      </c>
    </row>
    <row r="2352" spans="1:23" x14ac:dyDescent="0.2">
      <c r="A2352">
        <v>2021</v>
      </c>
      <c r="B2352" t="s">
        <v>23</v>
      </c>
      <c r="C2352" t="s">
        <v>271</v>
      </c>
      <c r="D2352">
        <v>228</v>
      </c>
      <c r="E2352">
        <v>1</v>
      </c>
      <c r="F2352">
        <v>3</v>
      </c>
      <c r="G2352" t="s">
        <v>253</v>
      </c>
      <c r="H2352" s="1">
        <v>12</v>
      </c>
      <c r="I2352" s="1">
        <v>63</v>
      </c>
      <c r="J2352" s="1">
        <v>68</v>
      </c>
      <c r="K2352" s="1">
        <f>J2352-I2352</f>
        <v>5</v>
      </c>
      <c r="L2352" s="1">
        <v>148</v>
      </c>
      <c r="M2352" s="1">
        <v>95</v>
      </c>
      <c r="N2352" s="1">
        <v>1</v>
      </c>
      <c r="O2352" s="1">
        <v>2.5</v>
      </c>
      <c r="P2352" s="1">
        <v>10</v>
      </c>
      <c r="Q2352" s="2">
        <v>0.61575000000000002</v>
      </c>
      <c r="R2352" s="1">
        <v>10</v>
      </c>
      <c r="S2352" s="1">
        <f>R2352/P2352</f>
        <v>1</v>
      </c>
      <c r="T2352" s="1">
        <v>2</v>
      </c>
      <c r="U2352" s="1">
        <v>12.5</v>
      </c>
      <c r="V2352" s="1">
        <v>2253.7254901960787</v>
      </c>
      <c r="W2352" s="1">
        <v>3</v>
      </c>
    </row>
    <row r="2353" spans="1:23" x14ac:dyDescent="0.2">
      <c r="A2353">
        <v>2021</v>
      </c>
      <c r="B2353" t="s">
        <v>23</v>
      </c>
      <c r="C2353" t="s">
        <v>271</v>
      </c>
      <c r="D2353">
        <v>228</v>
      </c>
      <c r="E2353">
        <v>2</v>
      </c>
      <c r="F2353">
        <v>9</v>
      </c>
      <c r="G2353" t="s">
        <v>253</v>
      </c>
      <c r="H2353">
        <v>12</v>
      </c>
      <c r="I2353">
        <v>55</v>
      </c>
      <c r="J2353">
        <v>57</v>
      </c>
      <c r="K2353">
        <v>2</v>
      </c>
      <c r="L2353">
        <v>160</v>
      </c>
      <c r="M2353">
        <v>69</v>
      </c>
      <c r="N2353">
        <v>1.5</v>
      </c>
      <c r="O2353">
        <v>2</v>
      </c>
      <c r="P2353">
        <v>12</v>
      </c>
      <c r="Q2353">
        <v>1</v>
      </c>
      <c r="R2353">
        <v>13</v>
      </c>
      <c r="S2353">
        <v>1.0833333333333333</v>
      </c>
      <c r="T2353">
        <v>2.5</v>
      </c>
      <c r="U2353">
        <v>12.5</v>
      </c>
      <c r="V2353">
        <v>3660.1307189542486</v>
      </c>
      <c r="W2353">
        <v>1</v>
      </c>
    </row>
    <row r="2354" spans="1:23" x14ac:dyDescent="0.2">
      <c r="A2354">
        <v>2021</v>
      </c>
      <c r="B2354" t="s">
        <v>23</v>
      </c>
      <c r="C2354" t="s">
        <v>271</v>
      </c>
      <c r="D2354">
        <v>229</v>
      </c>
      <c r="E2354">
        <v>1</v>
      </c>
      <c r="F2354">
        <v>10</v>
      </c>
      <c r="G2354" t="s">
        <v>254</v>
      </c>
      <c r="H2354" s="1">
        <v>8</v>
      </c>
      <c r="I2354" s="1">
        <v>65</v>
      </c>
      <c r="J2354" s="1">
        <v>70</v>
      </c>
      <c r="K2354" s="1">
        <f>J2354-I2354</f>
        <v>5</v>
      </c>
      <c r="L2354" s="1">
        <v>111</v>
      </c>
      <c r="M2354" s="1">
        <v>26</v>
      </c>
      <c r="N2354" s="1">
        <v>2</v>
      </c>
      <c r="O2354" s="1">
        <v>4.5</v>
      </c>
      <c r="P2354" s="1">
        <v>6</v>
      </c>
      <c r="Q2354" s="2">
        <v>0.16</v>
      </c>
      <c r="R2354" s="1">
        <v>8</v>
      </c>
      <c r="S2354" s="1">
        <f>R2354/P2354</f>
        <v>1.3333333333333333</v>
      </c>
      <c r="T2354" s="1">
        <v>5</v>
      </c>
      <c r="U2354" s="1">
        <v>12.5</v>
      </c>
      <c r="V2354" s="1">
        <v>585.62091503267982</v>
      </c>
      <c r="W2354" s="1">
        <v>6</v>
      </c>
    </row>
    <row r="2355" spans="1:23" x14ac:dyDescent="0.2">
      <c r="A2355">
        <v>2021</v>
      </c>
      <c r="B2355" t="s">
        <v>23</v>
      </c>
      <c r="C2355" t="s">
        <v>271</v>
      </c>
      <c r="D2355">
        <v>229</v>
      </c>
      <c r="E2355">
        <v>2</v>
      </c>
      <c r="F2355">
        <v>8</v>
      </c>
      <c r="G2355" t="s">
        <v>254</v>
      </c>
      <c r="H2355" s="1">
        <v>11</v>
      </c>
      <c r="I2355" s="1">
        <v>65</v>
      </c>
      <c r="J2355" s="1">
        <v>69</v>
      </c>
      <c r="K2355" s="1">
        <f>J2355-I2355</f>
        <v>4</v>
      </c>
      <c r="L2355" s="1">
        <v>144</v>
      </c>
      <c r="M2355" s="1">
        <v>65</v>
      </c>
      <c r="N2355" s="1">
        <v>1</v>
      </c>
      <c r="O2355" s="1">
        <v>2</v>
      </c>
      <c r="P2355" s="1">
        <f>H2355</f>
        <v>11</v>
      </c>
      <c r="Q2355" s="2">
        <v>0.35699999999999998</v>
      </c>
      <c r="R2355" s="1">
        <v>11</v>
      </c>
      <c r="S2355" s="1">
        <f>R2355/P2355</f>
        <v>1</v>
      </c>
      <c r="T2355" s="1">
        <v>5</v>
      </c>
      <c r="U2355" s="1">
        <v>12.5</v>
      </c>
      <c r="V2355" s="1">
        <v>1306.6666666666667</v>
      </c>
      <c r="W2355" s="1">
        <v>4</v>
      </c>
    </row>
    <row r="2356" spans="1:23" x14ac:dyDescent="0.2">
      <c r="A2356">
        <v>2021</v>
      </c>
      <c r="B2356" t="s">
        <v>23</v>
      </c>
      <c r="C2356" t="s">
        <v>271</v>
      </c>
      <c r="D2356">
        <v>230</v>
      </c>
      <c r="E2356">
        <v>1</v>
      </c>
      <c r="F2356">
        <v>13</v>
      </c>
      <c r="G2356" t="s">
        <v>255</v>
      </c>
      <c r="H2356">
        <v>14</v>
      </c>
      <c r="I2356">
        <v>54</v>
      </c>
      <c r="J2356">
        <v>56</v>
      </c>
      <c r="K2356">
        <v>2</v>
      </c>
      <c r="L2356">
        <v>190</v>
      </c>
      <c r="M2356">
        <v>51</v>
      </c>
      <c r="N2356">
        <v>2</v>
      </c>
      <c r="O2356">
        <v>2</v>
      </c>
      <c r="P2356">
        <v>8</v>
      </c>
      <c r="Q2356">
        <v>0.4</v>
      </c>
      <c r="R2356">
        <v>6</v>
      </c>
      <c r="S2356">
        <v>0.75</v>
      </c>
      <c r="T2356">
        <v>4</v>
      </c>
      <c r="U2356">
        <v>12.7</v>
      </c>
      <c r="V2356">
        <v>1460.7058823529412</v>
      </c>
      <c r="W2356">
        <v>1</v>
      </c>
    </row>
    <row r="2357" spans="1:23" x14ac:dyDescent="0.2">
      <c r="A2357">
        <v>2021</v>
      </c>
      <c r="B2357" t="s">
        <v>23</v>
      </c>
      <c r="C2357" t="s">
        <v>271</v>
      </c>
      <c r="D2357">
        <v>230</v>
      </c>
      <c r="E2357">
        <v>2</v>
      </c>
      <c r="F2357">
        <v>9</v>
      </c>
      <c r="G2357" t="s">
        <v>255</v>
      </c>
      <c r="H2357" s="1">
        <v>15</v>
      </c>
      <c r="I2357" s="1">
        <v>62</v>
      </c>
      <c r="J2357" s="1">
        <v>67</v>
      </c>
      <c r="K2357" s="1">
        <f>J2357-I2357</f>
        <v>5</v>
      </c>
      <c r="L2357" s="1">
        <v>155</v>
      </c>
      <c r="M2357" s="1">
        <v>107</v>
      </c>
      <c r="N2357" s="1">
        <v>2</v>
      </c>
      <c r="O2357" s="1">
        <v>3.5</v>
      </c>
      <c r="P2357" s="1">
        <f>H2357</f>
        <v>15</v>
      </c>
      <c r="Q2357" s="2">
        <v>0.24</v>
      </c>
      <c r="R2357" s="1">
        <v>9</v>
      </c>
      <c r="S2357" s="1">
        <f>R2357/P2357</f>
        <v>0.6</v>
      </c>
      <c r="T2357" s="1">
        <v>5</v>
      </c>
      <c r="U2357" s="1">
        <v>12.5</v>
      </c>
      <c r="V2357" s="1">
        <v>878.43137254901967</v>
      </c>
      <c r="W2357" s="1">
        <v>3</v>
      </c>
    </row>
    <row r="2358" spans="1:23" x14ac:dyDescent="0.2">
      <c r="A2358">
        <v>2021</v>
      </c>
      <c r="B2358" t="s">
        <v>23</v>
      </c>
      <c r="C2358" t="s">
        <v>271</v>
      </c>
      <c r="D2358">
        <v>231</v>
      </c>
      <c r="E2358">
        <v>1</v>
      </c>
      <c r="F2358">
        <v>3</v>
      </c>
      <c r="G2358" t="s">
        <v>256</v>
      </c>
      <c r="H2358">
        <v>4</v>
      </c>
      <c r="I2358">
        <v>55</v>
      </c>
      <c r="J2358">
        <v>59</v>
      </c>
      <c r="K2358">
        <v>4</v>
      </c>
      <c r="L2358">
        <v>82</v>
      </c>
      <c r="M2358">
        <v>48</v>
      </c>
      <c r="N2358">
        <v>4</v>
      </c>
      <c r="O2358">
        <v>5</v>
      </c>
      <c r="P2358">
        <v>4</v>
      </c>
      <c r="Q2358">
        <v>0.3</v>
      </c>
      <c r="R2358">
        <v>4</v>
      </c>
      <c r="S2358">
        <v>1</v>
      </c>
      <c r="T2358">
        <v>3</v>
      </c>
      <c r="U2358">
        <v>12.5</v>
      </c>
      <c r="V2358">
        <v>1098.0392156862745</v>
      </c>
      <c r="W2358">
        <v>2</v>
      </c>
    </row>
    <row r="2359" spans="1:23" x14ac:dyDescent="0.2">
      <c r="A2359">
        <v>2021</v>
      </c>
      <c r="B2359" t="s">
        <v>23</v>
      </c>
      <c r="C2359" t="s">
        <v>271</v>
      </c>
      <c r="D2359">
        <v>231</v>
      </c>
      <c r="E2359">
        <v>2</v>
      </c>
      <c r="F2359">
        <v>7</v>
      </c>
      <c r="G2359" t="s">
        <v>256</v>
      </c>
      <c r="H2359">
        <v>8</v>
      </c>
      <c r="I2359">
        <v>55</v>
      </c>
      <c r="J2359">
        <v>56</v>
      </c>
      <c r="K2359">
        <v>1</v>
      </c>
      <c r="L2359">
        <v>184</v>
      </c>
      <c r="M2359">
        <v>54</v>
      </c>
      <c r="N2359">
        <v>1.5</v>
      </c>
      <c r="O2359">
        <v>2</v>
      </c>
      <c r="P2359">
        <v>8</v>
      </c>
      <c r="Q2359">
        <v>0.86</v>
      </c>
      <c r="R2359">
        <v>9</v>
      </c>
      <c r="S2359">
        <v>1.125</v>
      </c>
      <c r="T2359">
        <v>2.5</v>
      </c>
      <c r="U2359">
        <v>12.5</v>
      </c>
      <c r="V2359">
        <v>3147.7124183006536</v>
      </c>
      <c r="W2359">
        <v>2</v>
      </c>
    </row>
    <row r="2360" spans="1:23" x14ac:dyDescent="0.2">
      <c r="A2360">
        <v>2021</v>
      </c>
      <c r="B2360" t="s">
        <v>23</v>
      </c>
      <c r="C2360" t="s">
        <v>271</v>
      </c>
      <c r="D2360">
        <v>232</v>
      </c>
      <c r="E2360">
        <v>1</v>
      </c>
      <c r="F2360">
        <v>2</v>
      </c>
      <c r="G2360" t="s">
        <v>257</v>
      </c>
      <c r="H2360" s="1">
        <v>13</v>
      </c>
      <c r="I2360" s="1">
        <v>62</v>
      </c>
      <c r="J2360" s="1">
        <v>65</v>
      </c>
      <c r="K2360" s="1">
        <f>J2360-I2360</f>
        <v>3</v>
      </c>
      <c r="L2360" s="1">
        <v>139</v>
      </c>
      <c r="M2360" s="1">
        <v>68</v>
      </c>
      <c r="N2360" s="1">
        <v>2</v>
      </c>
      <c r="O2360" s="1">
        <v>2.5</v>
      </c>
      <c r="P2360" s="1">
        <f>H2360-2</f>
        <v>11</v>
      </c>
      <c r="Q2360" s="2">
        <v>0.28725000000000001</v>
      </c>
      <c r="R2360" s="1">
        <v>10</v>
      </c>
      <c r="S2360" s="1">
        <f>R2360/P2360</f>
        <v>0.90909090909090906</v>
      </c>
      <c r="T2360" s="1">
        <v>5</v>
      </c>
      <c r="U2360" s="1">
        <v>12.5</v>
      </c>
      <c r="V2360" s="1">
        <v>1051.372549019608</v>
      </c>
      <c r="W2360" s="1">
        <v>5</v>
      </c>
    </row>
    <row r="2361" spans="1:23" x14ac:dyDescent="0.2">
      <c r="A2361">
        <v>2021</v>
      </c>
      <c r="B2361" t="s">
        <v>23</v>
      </c>
      <c r="C2361" t="s">
        <v>271</v>
      </c>
      <c r="D2361">
        <v>232</v>
      </c>
      <c r="E2361">
        <v>2</v>
      </c>
      <c r="F2361">
        <v>14</v>
      </c>
      <c r="G2361" t="s">
        <v>257</v>
      </c>
      <c r="H2361" s="1">
        <v>4</v>
      </c>
      <c r="I2361" s="1">
        <v>62</v>
      </c>
      <c r="J2361" s="1">
        <v>64</v>
      </c>
      <c r="K2361" s="1">
        <f>J2361-I2361</f>
        <v>2</v>
      </c>
      <c r="L2361" s="1">
        <v>133</v>
      </c>
      <c r="M2361" s="1">
        <v>51</v>
      </c>
      <c r="N2361" s="1">
        <v>2</v>
      </c>
      <c r="O2361" s="1">
        <v>3.5</v>
      </c>
      <c r="P2361" s="1">
        <v>4</v>
      </c>
      <c r="Q2361" s="2">
        <v>0.505</v>
      </c>
      <c r="R2361" s="1">
        <v>5</v>
      </c>
      <c r="S2361" s="1">
        <f>R2361/P2361</f>
        <v>1.25</v>
      </c>
      <c r="T2361" s="1">
        <v>4</v>
      </c>
      <c r="U2361" s="1">
        <v>12.5</v>
      </c>
      <c r="V2361" s="1">
        <v>1848.3660130718954</v>
      </c>
      <c r="W2361" s="1">
        <v>4</v>
      </c>
    </row>
    <row r="2362" spans="1:23" x14ac:dyDescent="0.2">
      <c r="A2362">
        <v>2021</v>
      </c>
      <c r="B2362" t="s">
        <v>23</v>
      </c>
      <c r="C2362" t="s">
        <v>271</v>
      </c>
      <c r="D2362">
        <v>233</v>
      </c>
      <c r="E2362">
        <v>1</v>
      </c>
      <c r="F2362">
        <v>12</v>
      </c>
      <c r="G2362" t="s">
        <v>258</v>
      </c>
      <c r="H2362">
        <v>4</v>
      </c>
      <c r="I2362">
        <v>57</v>
      </c>
      <c r="J2362">
        <v>59</v>
      </c>
      <c r="K2362">
        <v>2</v>
      </c>
      <c r="L2362">
        <v>138</v>
      </c>
      <c r="M2362">
        <v>26</v>
      </c>
      <c r="N2362">
        <v>3</v>
      </c>
      <c r="O2362">
        <v>4</v>
      </c>
      <c r="P2362">
        <v>4</v>
      </c>
      <c r="Q2362">
        <v>0.113</v>
      </c>
      <c r="R2362">
        <v>4</v>
      </c>
      <c r="S2362">
        <v>1</v>
      </c>
      <c r="T2362">
        <v>3</v>
      </c>
      <c r="U2362">
        <v>12.5</v>
      </c>
      <c r="V2362">
        <v>413.59477124183013</v>
      </c>
      <c r="W2362">
        <v>2</v>
      </c>
    </row>
    <row r="2363" spans="1:23" x14ac:dyDescent="0.2">
      <c r="A2363">
        <v>2021</v>
      </c>
      <c r="B2363" t="s">
        <v>23</v>
      </c>
      <c r="C2363" t="s">
        <v>271</v>
      </c>
      <c r="D2363">
        <v>233</v>
      </c>
      <c r="E2363">
        <v>2</v>
      </c>
      <c r="F2363">
        <v>4</v>
      </c>
      <c r="G2363" t="s">
        <v>258</v>
      </c>
      <c r="H2363">
        <v>10</v>
      </c>
      <c r="I2363">
        <v>64</v>
      </c>
      <c r="J2363">
        <v>67</v>
      </c>
      <c r="K2363">
        <v>3</v>
      </c>
      <c r="L2363">
        <v>110</v>
      </c>
      <c r="M2363">
        <v>66</v>
      </c>
      <c r="N2363">
        <v>1.5</v>
      </c>
      <c r="O2363">
        <v>3.5</v>
      </c>
      <c r="P2363">
        <v>10</v>
      </c>
      <c r="Q2363">
        <v>0.8</v>
      </c>
      <c r="R2363">
        <v>10</v>
      </c>
      <c r="S2363">
        <v>1</v>
      </c>
      <c r="T2363">
        <v>3.5</v>
      </c>
      <c r="U2363">
        <v>12.5</v>
      </c>
      <c r="V2363">
        <v>2928.1045751633987</v>
      </c>
      <c r="W2363">
        <v>1</v>
      </c>
    </row>
    <row r="2364" spans="1:23" x14ac:dyDescent="0.2">
      <c r="A2364">
        <v>2021</v>
      </c>
      <c r="B2364" t="s">
        <v>23</v>
      </c>
      <c r="C2364" t="s">
        <v>271</v>
      </c>
      <c r="D2364">
        <v>234</v>
      </c>
      <c r="E2364">
        <v>1</v>
      </c>
      <c r="F2364">
        <v>11</v>
      </c>
      <c r="G2364" t="s">
        <v>259</v>
      </c>
      <c r="H2364" s="1">
        <v>14</v>
      </c>
      <c r="I2364" s="1">
        <v>62</v>
      </c>
      <c r="J2364" s="1">
        <v>66</v>
      </c>
      <c r="K2364" s="1">
        <f>J2364-I2364</f>
        <v>4</v>
      </c>
      <c r="L2364" s="1">
        <v>196</v>
      </c>
      <c r="M2364" s="1">
        <v>105</v>
      </c>
      <c r="N2364" s="1">
        <v>2</v>
      </c>
      <c r="O2364" s="1">
        <v>2.5</v>
      </c>
      <c r="P2364" s="1">
        <f>H2364</f>
        <v>14</v>
      </c>
      <c r="Q2364" s="2">
        <v>0.84075</v>
      </c>
      <c r="R2364" s="1">
        <v>16</v>
      </c>
      <c r="S2364" s="1">
        <f>R2364/P2364</f>
        <v>1.1428571428571428</v>
      </c>
      <c r="T2364" s="1">
        <v>5</v>
      </c>
      <c r="U2364" s="1">
        <v>12.5</v>
      </c>
      <c r="V2364" s="1">
        <v>3077.2549019607845</v>
      </c>
      <c r="W2364" s="1">
        <v>4</v>
      </c>
    </row>
    <row r="2365" spans="1:23" x14ac:dyDescent="0.2">
      <c r="A2365">
        <v>2021</v>
      </c>
      <c r="B2365" t="s">
        <v>23</v>
      </c>
      <c r="C2365" t="s">
        <v>271</v>
      </c>
      <c r="D2365">
        <v>234</v>
      </c>
      <c r="E2365">
        <v>2</v>
      </c>
      <c r="F2365">
        <v>1</v>
      </c>
      <c r="G2365" t="s">
        <v>259</v>
      </c>
      <c r="H2365" s="3">
        <v>7</v>
      </c>
      <c r="I2365" s="3">
        <v>66</v>
      </c>
      <c r="J2365" s="3">
        <v>68</v>
      </c>
      <c r="K2365" s="3">
        <f>J2365-I2365</f>
        <v>2</v>
      </c>
      <c r="L2365" s="3">
        <v>126</v>
      </c>
      <c r="M2365" s="3">
        <v>45</v>
      </c>
      <c r="N2365" s="3">
        <v>2</v>
      </c>
      <c r="O2365" s="3">
        <v>4</v>
      </c>
      <c r="P2365" s="3">
        <v>5</v>
      </c>
      <c r="Q2365" s="4">
        <v>0.32300000000000001</v>
      </c>
      <c r="R2365" s="3">
        <v>5</v>
      </c>
      <c r="S2365" s="3">
        <f>R2365/P2365</f>
        <v>1</v>
      </c>
      <c r="T2365" s="3">
        <v>3</v>
      </c>
      <c r="U2365" s="3">
        <v>12.5</v>
      </c>
      <c r="V2365" s="3">
        <v>1182.2222222222222</v>
      </c>
      <c r="W2365" s="3">
        <v>3</v>
      </c>
    </row>
    <row r="2366" spans="1:23" x14ac:dyDescent="0.2">
      <c r="A2366">
        <v>2021</v>
      </c>
      <c r="B2366" t="s">
        <v>23</v>
      </c>
      <c r="C2366" t="s">
        <v>271</v>
      </c>
      <c r="D2366">
        <v>235</v>
      </c>
      <c r="E2366">
        <v>1</v>
      </c>
      <c r="F2366">
        <v>11</v>
      </c>
      <c r="G2366" t="s">
        <v>268</v>
      </c>
      <c r="H2366">
        <v>6</v>
      </c>
      <c r="I2366">
        <v>55</v>
      </c>
      <c r="J2366">
        <v>58</v>
      </c>
      <c r="K2366">
        <v>3</v>
      </c>
      <c r="L2366">
        <v>125</v>
      </c>
      <c r="M2366">
        <v>75</v>
      </c>
      <c r="N2366">
        <v>1.5</v>
      </c>
      <c r="O2366">
        <v>3.5</v>
      </c>
      <c r="P2366">
        <v>6</v>
      </c>
      <c r="Q2366">
        <v>0.5</v>
      </c>
      <c r="R2366">
        <v>6</v>
      </c>
      <c r="S2366">
        <v>1</v>
      </c>
      <c r="T2366">
        <v>3.5</v>
      </c>
      <c r="U2366">
        <v>12.5</v>
      </c>
      <c r="V2366">
        <v>1830.0653594771243</v>
      </c>
      <c r="W2366">
        <v>1</v>
      </c>
    </row>
    <row r="2367" spans="1:23" x14ac:dyDescent="0.2">
      <c r="A2367">
        <v>2021</v>
      </c>
      <c r="B2367" t="s">
        <v>23</v>
      </c>
      <c r="C2367" t="s">
        <v>271</v>
      </c>
      <c r="D2367">
        <v>235</v>
      </c>
      <c r="E2367">
        <v>2</v>
      </c>
      <c r="F2367">
        <v>11</v>
      </c>
      <c r="G2367" t="s">
        <v>268</v>
      </c>
      <c r="H2367" s="1">
        <v>13</v>
      </c>
      <c r="I2367" s="1">
        <v>61</v>
      </c>
      <c r="J2367" s="1">
        <v>66</v>
      </c>
      <c r="K2367" s="1">
        <f>J2367-I2367</f>
        <v>5</v>
      </c>
      <c r="L2367" s="1">
        <v>148</v>
      </c>
      <c r="M2367" s="1">
        <v>70</v>
      </c>
      <c r="N2367" s="1">
        <v>3</v>
      </c>
      <c r="O2367" s="1">
        <v>4</v>
      </c>
      <c r="P2367" s="1">
        <f>H2367-2</f>
        <v>11</v>
      </c>
      <c r="Q2367" s="2">
        <v>0.19500000000000001</v>
      </c>
      <c r="R2367" s="1">
        <v>8</v>
      </c>
      <c r="S2367" s="1">
        <f>R2367/P2367</f>
        <v>0.72727272727272729</v>
      </c>
      <c r="T2367" s="1">
        <v>5</v>
      </c>
      <c r="U2367" s="1">
        <v>12.5</v>
      </c>
      <c r="V2367" s="1">
        <v>713.72549019607845</v>
      </c>
      <c r="W2367" s="1">
        <v>5</v>
      </c>
    </row>
    <row r="2368" spans="1:23" x14ac:dyDescent="0.2">
      <c r="A2368">
        <v>2021</v>
      </c>
      <c r="B2368" t="s">
        <v>23</v>
      </c>
      <c r="C2368" t="s">
        <v>271</v>
      </c>
      <c r="D2368">
        <v>236</v>
      </c>
      <c r="E2368">
        <v>1</v>
      </c>
      <c r="F2368">
        <v>6</v>
      </c>
      <c r="G2368" t="s">
        <v>269</v>
      </c>
      <c r="H2368" s="1">
        <v>11</v>
      </c>
      <c r="I2368" s="1">
        <v>66</v>
      </c>
      <c r="J2368" s="1">
        <v>69</v>
      </c>
      <c r="K2368" s="1">
        <f>J2368-I2368</f>
        <v>3</v>
      </c>
      <c r="L2368" s="1">
        <v>159</v>
      </c>
      <c r="M2368" s="1">
        <v>68</v>
      </c>
      <c r="N2368" s="1">
        <v>2</v>
      </c>
      <c r="O2368" s="1">
        <v>3.5</v>
      </c>
      <c r="P2368" s="1">
        <v>10</v>
      </c>
      <c r="Q2368" s="2">
        <v>9.4725000000000004E-2</v>
      </c>
      <c r="R2368" s="1">
        <v>3</v>
      </c>
      <c r="S2368" s="1">
        <f>R2368/P2368</f>
        <v>0.3</v>
      </c>
      <c r="T2368" s="1">
        <v>5</v>
      </c>
      <c r="U2368" s="1">
        <v>12.5</v>
      </c>
      <c r="V2368" s="1">
        <v>346.70588235294122</v>
      </c>
      <c r="W2368" s="1">
        <v>4</v>
      </c>
    </row>
    <row r="2369" spans="1:23" x14ac:dyDescent="0.2">
      <c r="A2369">
        <v>2021</v>
      </c>
      <c r="B2369" t="s">
        <v>23</v>
      </c>
      <c r="C2369" t="s">
        <v>271</v>
      </c>
      <c r="D2369">
        <v>236</v>
      </c>
      <c r="E2369">
        <v>2</v>
      </c>
      <c r="F2369">
        <v>15</v>
      </c>
      <c r="G2369" t="s">
        <v>269</v>
      </c>
      <c r="H2369" s="1">
        <v>6</v>
      </c>
      <c r="I2369" s="1">
        <v>67</v>
      </c>
      <c r="J2369" s="1">
        <v>70</v>
      </c>
      <c r="K2369" s="1">
        <f>J2369-I2369</f>
        <v>3</v>
      </c>
      <c r="L2369" s="1">
        <v>141</v>
      </c>
      <c r="M2369" s="1">
        <v>52</v>
      </c>
      <c r="N2369" s="1">
        <v>2.5</v>
      </c>
      <c r="O2369" s="1">
        <v>4.5</v>
      </c>
      <c r="P2369" s="1">
        <v>4</v>
      </c>
      <c r="Q2369" s="2">
        <v>0.18</v>
      </c>
      <c r="R2369" s="1">
        <v>4</v>
      </c>
      <c r="S2369" s="1">
        <f>R2369/P2369</f>
        <v>1</v>
      </c>
      <c r="T2369" s="1">
        <v>4</v>
      </c>
      <c r="U2369" s="1">
        <v>12.5</v>
      </c>
      <c r="V2369" s="1">
        <v>658.82352941176464</v>
      </c>
      <c r="W2369" s="1">
        <v>5</v>
      </c>
    </row>
    <row r="2370" spans="1:23" x14ac:dyDescent="0.2">
      <c r="A2370">
        <v>2021</v>
      </c>
      <c r="B2370" t="s">
        <v>23</v>
      </c>
      <c r="C2370" t="s">
        <v>271</v>
      </c>
      <c r="D2370">
        <v>237</v>
      </c>
      <c r="E2370">
        <v>1</v>
      </c>
      <c r="F2370">
        <v>8</v>
      </c>
      <c r="G2370" t="s">
        <v>270</v>
      </c>
      <c r="H2370" s="3">
        <v>6</v>
      </c>
      <c r="I2370" s="3">
        <v>70</v>
      </c>
      <c r="J2370" s="3">
        <v>72</v>
      </c>
      <c r="K2370" s="3">
        <f>J2370-I2370</f>
        <v>2</v>
      </c>
      <c r="L2370" s="3">
        <v>60</v>
      </c>
      <c r="M2370" s="3">
        <v>10</v>
      </c>
      <c r="N2370" s="3">
        <v>3</v>
      </c>
      <c r="O2370" s="3">
        <v>5</v>
      </c>
      <c r="P2370" s="3">
        <v>1</v>
      </c>
      <c r="Q2370" s="4">
        <v>0.01</v>
      </c>
      <c r="R2370" s="3">
        <v>1</v>
      </c>
      <c r="S2370" s="3">
        <f>R2370/P2370</f>
        <v>1</v>
      </c>
      <c r="T2370" s="3">
        <v>5</v>
      </c>
      <c r="U2370" s="3">
        <v>12.5</v>
      </c>
      <c r="V2370" s="3">
        <v>36.601307189542489</v>
      </c>
      <c r="W2370" s="3">
        <v>7</v>
      </c>
    </row>
    <row r="2371" spans="1:23" x14ac:dyDescent="0.2">
      <c r="A2371">
        <v>2021</v>
      </c>
      <c r="B2371" t="s">
        <v>23</v>
      </c>
      <c r="C2371" t="s">
        <v>271</v>
      </c>
      <c r="D2371">
        <v>237</v>
      </c>
      <c r="E2371">
        <v>2</v>
      </c>
      <c r="F2371">
        <v>9</v>
      </c>
      <c r="G2371" t="s">
        <v>270</v>
      </c>
      <c r="H2371">
        <v>9</v>
      </c>
      <c r="I2371">
        <v>55</v>
      </c>
      <c r="J2371">
        <v>58</v>
      </c>
      <c r="K2371">
        <v>3</v>
      </c>
      <c r="L2371">
        <v>172</v>
      </c>
      <c r="M2371">
        <v>80</v>
      </c>
      <c r="N2371">
        <v>1</v>
      </c>
      <c r="O2371">
        <v>1.5</v>
      </c>
      <c r="P2371">
        <v>9</v>
      </c>
      <c r="Q2371">
        <v>1.4</v>
      </c>
      <c r="R2371">
        <v>9</v>
      </c>
      <c r="S2371">
        <v>1</v>
      </c>
      <c r="T2371">
        <v>1</v>
      </c>
      <c r="U2371">
        <v>9.9</v>
      </c>
      <c r="V2371">
        <v>5276.4444444444434</v>
      </c>
      <c r="W2371">
        <v>2</v>
      </c>
    </row>
    <row r="2372" spans="1:23" x14ac:dyDescent="0.2">
      <c r="A2372">
        <v>2022</v>
      </c>
      <c r="B2372" t="s">
        <v>23</v>
      </c>
      <c r="C2372" t="s">
        <v>271</v>
      </c>
      <c r="D2372">
        <v>1</v>
      </c>
      <c r="E2372">
        <v>1</v>
      </c>
      <c r="F2372">
        <v>9</v>
      </c>
      <c r="G2372" t="s">
        <v>25</v>
      </c>
      <c r="H2372" s="1">
        <v>8</v>
      </c>
      <c r="I2372" s="1">
        <v>69</v>
      </c>
      <c r="J2372" s="1">
        <v>70</v>
      </c>
      <c r="K2372" s="1">
        <f t="shared" ref="K2372:K2379" si="116">J2372-I2372</f>
        <v>1</v>
      </c>
      <c r="L2372" s="1">
        <v>96</v>
      </c>
      <c r="M2372" s="1">
        <v>34</v>
      </c>
      <c r="N2372" s="1">
        <v>2</v>
      </c>
      <c r="O2372" s="1">
        <v>5</v>
      </c>
      <c r="P2372" s="1">
        <v>5</v>
      </c>
      <c r="Q2372" s="2">
        <v>0.128</v>
      </c>
      <c r="R2372" s="1">
        <v>5</v>
      </c>
      <c r="S2372" s="1">
        <f t="shared" ref="S2372:S2379" si="117">R2372/P2372</f>
        <v>1</v>
      </c>
      <c r="T2372" s="1">
        <v>4</v>
      </c>
      <c r="U2372" s="1">
        <v>12.5</v>
      </c>
      <c r="V2372" s="1">
        <v>468.49673202614383</v>
      </c>
      <c r="W2372" s="1">
        <v>6</v>
      </c>
    </row>
    <row r="2373" spans="1:23" x14ac:dyDescent="0.2">
      <c r="A2373">
        <v>2022</v>
      </c>
      <c r="B2373" t="s">
        <v>23</v>
      </c>
      <c r="C2373" t="s">
        <v>271</v>
      </c>
      <c r="D2373">
        <v>1</v>
      </c>
      <c r="E2373">
        <v>2</v>
      </c>
      <c r="F2373">
        <v>4</v>
      </c>
      <c r="G2373" t="s">
        <v>25</v>
      </c>
      <c r="H2373" s="1">
        <v>7</v>
      </c>
      <c r="I2373" s="1">
        <v>67</v>
      </c>
      <c r="J2373" s="1">
        <v>69</v>
      </c>
      <c r="K2373" s="1">
        <f t="shared" si="116"/>
        <v>2</v>
      </c>
      <c r="L2373" s="1">
        <v>146</v>
      </c>
      <c r="M2373" s="1">
        <v>65</v>
      </c>
      <c r="N2373" s="1">
        <v>1.5</v>
      </c>
      <c r="O2373" s="1">
        <v>2.5</v>
      </c>
      <c r="P2373" s="1">
        <v>5</v>
      </c>
      <c r="Q2373" s="2">
        <v>0.60480000000000012</v>
      </c>
      <c r="R2373" s="1">
        <v>5</v>
      </c>
      <c r="S2373" s="1">
        <f t="shared" si="117"/>
        <v>1</v>
      </c>
      <c r="T2373" s="1">
        <v>2.5</v>
      </c>
      <c r="U2373" s="1">
        <v>12.5</v>
      </c>
      <c r="V2373" s="1">
        <v>2213.6470588235297</v>
      </c>
      <c r="W2373" s="1">
        <v>4</v>
      </c>
    </row>
    <row r="2374" spans="1:23" x14ac:dyDescent="0.2">
      <c r="A2374">
        <v>2022</v>
      </c>
      <c r="B2374" t="s">
        <v>23</v>
      </c>
      <c r="C2374" t="s">
        <v>271</v>
      </c>
      <c r="D2374">
        <v>2</v>
      </c>
      <c r="E2374">
        <v>1</v>
      </c>
      <c r="F2374">
        <v>5</v>
      </c>
      <c r="G2374" t="s">
        <v>26</v>
      </c>
      <c r="H2374" s="1">
        <v>4</v>
      </c>
      <c r="I2374" s="1">
        <v>63</v>
      </c>
      <c r="J2374" s="1">
        <v>67</v>
      </c>
      <c r="K2374" s="1">
        <f t="shared" si="116"/>
        <v>4</v>
      </c>
      <c r="L2374" s="1">
        <v>117</v>
      </c>
      <c r="M2374" s="1">
        <v>25</v>
      </c>
      <c r="N2374" s="1">
        <v>1.5</v>
      </c>
      <c r="O2374" s="1">
        <v>4.5</v>
      </c>
      <c r="P2374" s="1">
        <v>2</v>
      </c>
      <c r="Q2374" s="2">
        <v>6.3199999999999992E-2</v>
      </c>
      <c r="R2374" s="1">
        <v>2</v>
      </c>
      <c r="S2374" s="1">
        <f t="shared" si="117"/>
        <v>1</v>
      </c>
      <c r="T2374" s="1">
        <v>5</v>
      </c>
      <c r="U2374" s="1">
        <v>12.5</v>
      </c>
      <c r="V2374" s="1">
        <v>231.3202614379085</v>
      </c>
      <c r="W2374" s="1">
        <v>5</v>
      </c>
    </row>
    <row r="2375" spans="1:23" x14ac:dyDescent="0.2">
      <c r="A2375">
        <v>2022</v>
      </c>
      <c r="B2375" t="s">
        <v>23</v>
      </c>
      <c r="C2375" t="s">
        <v>271</v>
      </c>
      <c r="D2375">
        <v>2</v>
      </c>
      <c r="E2375">
        <v>2</v>
      </c>
      <c r="F2375">
        <v>5</v>
      </c>
      <c r="G2375" t="s">
        <v>26</v>
      </c>
      <c r="H2375" s="1">
        <v>7</v>
      </c>
      <c r="I2375" s="1">
        <v>66</v>
      </c>
      <c r="J2375" s="1">
        <v>69</v>
      </c>
      <c r="K2375" s="1">
        <f t="shared" si="116"/>
        <v>3</v>
      </c>
      <c r="L2375" s="1">
        <v>130</v>
      </c>
      <c r="M2375" s="1">
        <v>46</v>
      </c>
      <c r="N2375" s="1">
        <v>2</v>
      </c>
      <c r="O2375" s="1">
        <v>4</v>
      </c>
      <c r="P2375" s="1">
        <v>6</v>
      </c>
      <c r="Q2375" s="2">
        <v>0.23400000000000001</v>
      </c>
      <c r="R2375" s="1">
        <v>6</v>
      </c>
      <c r="S2375" s="1">
        <f t="shared" si="117"/>
        <v>1</v>
      </c>
      <c r="T2375" s="1">
        <v>3</v>
      </c>
      <c r="U2375" s="1">
        <v>12.5</v>
      </c>
      <c r="V2375" s="1">
        <v>856.47058823529414</v>
      </c>
      <c r="W2375" s="1">
        <v>3</v>
      </c>
    </row>
    <row r="2376" spans="1:23" x14ac:dyDescent="0.2">
      <c r="A2376">
        <v>2022</v>
      </c>
      <c r="B2376" t="s">
        <v>23</v>
      </c>
      <c r="C2376" t="s">
        <v>271</v>
      </c>
      <c r="D2376">
        <v>3</v>
      </c>
      <c r="E2376">
        <v>1</v>
      </c>
      <c r="F2376">
        <v>6</v>
      </c>
      <c r="G2376" t="s">
        <v>27</v>
      </c>
      <c r="H2376" s="1">
        <v>10</v>
      </c>
      <c r="I2376" s="1">
        <v>69</v>
      </c>
      <c r="J2376" s="1">
        <v>72</v>
      </c>
      <c r="K2376" s="1">
        <f t="shared" si="116"/>
        <v>3</v>
      </c>
      <c r="L2376" s="1">
        <v>192</v>
      </c>
      <c r="M2376" s="1">
        <v>95</v>
      </c>
      <c r="N2376" s="1">
        <v>3</v>
      </c>
      <c r="O2376" s="1">
        <v>3.5</v>
      </c>
      <c r="P2376" s="1">
        <v>7</v>
      </c>
      <c r="Q2376" s="2">
        <v>0.54935999999999996</v>
      </c>
      <c r="R2376" s="1">
        <v>6</v>
      </c>
      <c r="S2376" s="1">
        <f t="shared" si="117"/>
        <v>0.8571428571428571</v>
      </c>
      <c r="T2376" s="1">
        <v>5</v>
      </c>
      <c r="U2376" s="1">
        <v>9.1999999999999993</v>
      </c>
      <c r="V2376" s="1">
        <v>2086.5626352941176</v>
      </c>
      <c r="W2376" s="1">
        <v>5</v>
      </c>
    </row>
    <row r="2377" spans="1:23" x14ac:dyDescent="0.2">
      <c r="A2377">
        <v>2022</v>
      </c>
      <c r="B2377" t="s">
        <v>23</v>
      </c>
      <c r="C2377" t="s">
        <v>271</v>
      </c>
      <c r="D2377">
        <v>3</v>
      </c>
      <c r="E2377">
        <v>2</v>
      </c>
      <c r="F2377">
        <v>15</v>
      </c>
      <c r="G2377" t="s">
        <v>27</v>
      </c>
      <c r="H2377" s="1">
        <v>14</v>
      </c>
      <c r="I2377" s="1">
        <v>62</v>
      </c>
      <c r="J2377" s="1">
        <v>66</v>
      </c>
      <c r="K2377" s="1">
        <f t="shared" si="116"/>
        <v>4</v>
      </c>
      <c r="L2377" s="1">
        <v>162</v>
      </c>
      <c r="M2377" s="1">
        <v>51</v>
      </c>
      <c r="N2377" s="1">
        <v>3</v>
      </c>
      <c r="O2377" s="1">
        <v>4.5</v>
      </c>
      <c r="P2377" s="1">
        <v>10</v>
      </c>
      <c r="Q2377" s="2">
        <v>0.10679999999999999</v>
      </c>
      <c r="R2377" s="1">
        <v>2</v>
      </c>
      <c r="S2377" s="1">
        <f t="shared" si="117"/>
        <v>0.2</v>
      </c>
      <c r="T2377" s="1">
        <v>5</v>
      </c>
      <c r="U2377" s="1">
        <v>12.5</v>
      </c>
      <c r="V2377" s="1">
        <v>390.90196078431364</v>
      </c>
      <c r="W2377" s="1">
        <v>4</v>
      </c>
    </row>
    <row r="2378" spans="1:23" x14ac:dyDescent="0.2">
      <c r="A2378">
        <v>2022</v>
      </c>
      <c r="B2378" t="s">
        <v>23</v>
      </c>
      <c r="C2378" t="s">
        <v>271</v>
      </c>
      <c r="D2378">
        <v>4</v>
      </c>
      <c r="E2378">
        <v>1</v>
      </c>
      <c r="F2378">
        <v>11</v>
      </c>
      <c r="G2378" t="s">
        <v>28</v>
      </c>
      <c r="H2378" s="1">
        <v>1</v>
      </c>
      <c r="I2378" s="1">
        <v>69</v>
      </c>
      <c r="J2378" s="1">
        <v>70</v>
      </c>
      <c r="K2378" s="1">
        <f t="shared" si="116"/>
        <v>1</v>
      </c>
      <c r="L2378" s="1">
        <v>140</v>
      </c>
      <c r="M2378" s="1">
        <v>80</v>
      </c>
      <c r="N2378" s="1">
        <v>2</v>
      </c>
      <c r="O2378" s="1">
        <v>3.5</v>
      </c>
      <c r="P2378" s="1">
        <v>1</v>
      </c>
      <c r="Q2378" s="2">
        <v>6.7500000000000004E-2</v>
      </c>
      <c r="R2378" s="1">
        <v>1</v>
      </c>
      <c r="S2378" s="1">
        <f t="shared" si="117"/>
        <v>1</v>
      </c>
      <c r="T2378" s="1">
        <v>5</v>
      </c>
      <c r="U2378" s="1">
        <v>12.5</v>
      </c>
      <c r="V2378" s="1">
        <v>247.05882352941177</v>
      </c>
      <c r="W2378" s="1">
        <v>4</v>
      </c>
    </row>
    <row r="2379" spans="1:23" x14ac:dyDescent="0.2">
      <c r="A2379">
        <v>2022</v>
      </c>
      <c r="B2379" t="s">
        <v>23</v>
      </c>
      <c r="C2379" t="s">
        <v>271</v>
      </c>
      <c r="D2379">
        <v>4</v>
      </c>
      <c r="E2379">
        <v>2</v>
      </c>
      <c r="F2379">
        <v>10</v>
      </c>
      <c r="G2379" t="s">
        <v>28</v>
      </c>
      <c r="H2379" s="1">
        <v>10</v>
      </c>
      <c r="I2379" s="1">
        <v>64</v>
      </c>
      <c r="J2379" s="1">
        <v>67</v>
      </c>
      <c r="K2379" s="1">
        <f t="shared" si="116"/>
        <v>3</v>
      </c>
      <c r="L2379" s="1">
        <v>118</v>
      </c>
      <c r="M2379" s="1">
        <v>40</v>
      </c>
      <c r="N2379" s="1">
        <v>1.5</v>
      </c>
      <c r="O2379" s="1">
        <v>5</v>
      </c>
      <c r="P2379" s="1">
        <v>6</v>
      </c>
      <c r="Q2379" s="2">
        <v>0.17399999999999999</v>
      </c>
      <c r="R2379" s="1">
        <v>6</v>
      </c>
      <c r="S2379" s="1">
        <f t="shared" si="117"/>
        <v>1</v>
      </c>
      <c r="T2379" s="1">
        <v>5</v>
      </c>
      <c r="U2379" s="1">
        <v>12.5</v>
      </c>
      <c r="V2379" s="1">
        <v>636.86274509803923</v>
      </c>
      <c r="W2379" s="1">
        <v>6</v>
      </c>
    </row>
    <row r="2380" spans="1:23" x14ac:dyDescent="0.2">
      <c r="A2380">
        <v>2022</v>
      </c>
      <c r="B2380" t="s">
        <v>23</v>
      </c>
      <c r="C2380" t="s">
        <v>271</v>
      </c>
      <c r="D2380">
        <v>5</v>
      </c>
      <c r="E2380">
        <v>1</v>
      </c>
      <c r="F2380">
        <v>9</v>
      </c>
      <c r="G2380" t="s">
        <v>29</v>
      </c>
      <c r="H2380">
        <v>16</v>
      </c>
      <c r="I2380">
        <v>57</v>
      </c>
      <c r="J2380">
        <v>60</v>
      </c>
      <c r="K2380">
        <v>3</v>
      </c>
      <c r="L2380">
        <v>150</v>
      </c>
      <c r="M2380">
        <v>81</v>
      </c>
      <c r="N2380">
        <v>2</v>
      </c>
      <c r="O2380">
        <v>1.5</v>
      </c>
      <c r="P2380">
        <v>14</v>
      </c>
      <c r="Q2380">
        <v>1.4</v>
      </c>
      <c r="R2380">
        <v>14</v>
      </c>
      <c r="S2380">
        <v>1</v>
      </c>
      <c r="T2380">
        <v>2</v>
      </c>
      <c r="U2380">
        <v>9.1999999999999993</v>
      </c>
      <c r="V2380">
        <v>5317.4379084967322</v>
      </c>
      <c r="W2380">
        <v>1</v>
      </c>
    </row>
    <row r="2381" spans="1:23" x14ac:dyDescent="0.2">
      <c r="A2381">
        <v>2022</v>
      </c>
      <c r="B2381" t="s">
        <v>23</v>
      </c>
      <c r="C2381" t="s">
        <v>271</v>
      </c>
      <c r="D2381">
        <v>5</v>
      </c>
      <c r="E2381">
        <v>2</v>
      </c>
      <c r="F2381">
        <v>3</v>
      </c>
      <c r="G2381" t="s">
        <v>29</v>
      </c>
      <c r="H2381">
        <v>13</v>
      </c>
      <c r="I2381">
        <v>55</v>
      </c>
      <c r="J2381">
        <v>57</v>
      </c>
      <c r="K2381">
        <v>2</v>
      </c>
      <c r="L2381">
        <v>176</v>
      </c>
      <c r="M2381">
        <v>40</v>
      </c>
      <c r="N2381">
        <v>3</v>
      </c>
      <c r="O2381">
        <v>3</v>
      </c>
      <c r="P2381">
        <v>10</v>
      </c>
      <c r="Q2381">
        <v>1.512</v>
      </c>
      <c r="R2381">
        <v>12</v>
      </c>
      <c r="S2381">
        <v>1.2</v>
      </c>
      <c r="T2381">
        <v>2</v>
      </c>
      <c r="U2381">
        <v>12.5</v>
      </c>
      <c r="V2381">
        <v>5534.1176470588234</v>
      </c>
      <c r="W2381">
        <v>1</v>
      </c>
    </row>
    <row r="2382" spans="1:23" x14ac:dyDescent="0.2">
      <c r="A2382">
        <v>2022</v>
      </c>
      <c r="B2382" t="s">
        <v>23</v>
      </c>
      <c r="C2382" t="s">
        <v>271</v>
      </c>
      <c r="D2382">
        <v>6</v>
      </c>
      <c r="E2382">
        <v>1</v>
      </c>
      <c r="F2382">
        <v>14</v>
      </c>
      <c r="G2382" t="s">
        <v>30</v>
      </c>
      <c r="H2382" s="1">
        <v>3</v>
      </c>
      <c r="I2382" s="1">
        <v>63</v>
      </c>
      <c r="J2382" s="1">
        <v>67</v>
      </c>
      <c r="K2382" s="1">
        <f t="shared" ref="K2382:K2387" si="118">J2382-I2382</f>
        <v>4</v>
      </c>
      <c r="L2382" s="1">
        <v>183</v>
      </c>
      <c r="M2382" s="1">
        <v>78</v>
      </c>
      <c r="N2382" s="1">
        <v>2</v>
      </c>
      <c r="O2382" s="1">
        <v>2.5</v>
      </c>
      <c r="P2382" s="1">
        <v>3</v>
      </c>
      <c r="Q2382" s="2">
        <v>0.12</v>
      </c>
      <c r="R2382" s="1">
        <v>3</v>
      </c>
      <c r="S2382" s="1">
        <f t="shared" ref="S2382:S2387" si="119">R2382/P2382</f>
        <v>1</v>
      </c>
      <c r="T2382" s="1">
        <v>3</v>
      </c>
      <c r="U2382" s="1">
        <v>10.7</v>
      </c>
      <c r="V2382" s="1">
        <v>448.25098039215686</v>
      </c>
      <c r="W2382" s="1">
        <v>4</v>
      </c>
    </row>
    <row r="2383" spans="1:23" x14ac:dyDescent="0.2">
      <c r="A2383">
        <v>2022</v>
      </c>
      <c r="B2383" t="s">
        <v>23</v>
      </c>
      <c r="C2383" t="s">
        <v>271</v>
      </c>
      <c r="D2383">
        <v>6</v>
      </c>
      <c r="E2383">
        <v>2</v>
      </c>
      <c r="F2383">
        <v>4</v>
      </c>
      <c r="G2383" t="s">
        <v>30</v>
      </c>
      <c r="H2383" s="1">
        <v>6</v>
      </c>
      <c r="I2383" s="1">
        <v>62</v>
      </c>
      <c r="J2383" s="1">
        <v>66</v>
      </c>
      <c r="K2383" s="1">
        <f t="shared" si="118"/>
        <v>4</v>
      </c>
      <c r="L2383" s="1">
        <v>187</v>
      </c>
      <c r="M2383" s="1">
        <v>103</v>
      </c>
      <c r="N2383" s="1">
        <v>2</v>
      </c>
      <c r="O2383" s="1">
        <v>2</v>
      </c>
      <c r="P2383" s="1">
        <v>5</v>
      </c>
      <c r="Q2383" s="2">
        <v>1.0891999999999999</v>
      </c>
      <c r="R2383" s="1">
        <v>4</v>
      </c>
      <c r="S2383" s="1">
        <f t="shared" si="119"/>
        <v>0.8</v>
      </c>
      <c r="T2383" s="1">
        <v>2</v>
      </c>
      <c r="U2383" s="1">
        <v>8.1</v>
      </c>
      <c r="V2383" s="1">
        <v>4187.0841307189548</v>
      </c>
      <c r="W2383" s="1">
        <v>3</v>
      </c>
    </row>
    <row r="2384" spans="1:23" x14ac:dyDescent="0.2">
      <c r="A2384">
        <v>2022</v>
      </c>
      <c r="B2384" t="s">
        <v>23</v>
      </c>
      <c r="C2384" t="s">
        <v>271</v>
      </c>
      <c r="D2384">
        <v>7</v>
      </c>
      <c r="E2384">
        <v>1</v>
      </c>
      <c r="F2384">
        <v>6</v>
      </c>
      <c r="G2384" t="s">
        <v>31</v>
      </c>
      <c r="H2384" s="1">
        <v>12</v>
      </c>
      <c r="I2384" s="1">
        <v>63</v>
      </c>
      <c r="J2384" s="1">
        <v>68</v>
      </c>
      <c r="K2384" s="1">
        <f t="shared" si="118"/>
        <v>5</v>
      </c>
      <c r="L2384" s="1">
        <v>165</v>
      </c>
      <c r="M2384" s="1">
        <v>115</v>
      </c>
      <c r="N2384" s="1">
        <v>2</v>
      </c>
      <c r="O2384" s="1">
        <v>3.5</v>
      </c>
      <c r="P2384" s="1">
        <f>H2384</f>
        <v>12</v>
      </c>
      <c r="Q2384" s="2">
        <v>0.3795</v>
      </c>
      <c r="R2384" s="1">
        <v>12</v>
      </c>
      <c r="S2384" s="1">
        <f t="shared" si="119"/>
        <v>1</v>
      </c>
      <c r="T2384" s="1">
        <v>5</v>
      </c>
      <c r="U2384" s="1">
        <v>12.5</v>
      </c>
      <c r="V2384" s="1">
        <v>1389.0196078431372</v>
      </c>
      <c r="W2384" s="1">
        <v>3</v>
      </c>
    </row>
    <row r="2385" spans="1:23" x14ac:dyDescent="0.2">
      <c r="A2385">
        <v>2022</v>
      </c>
      <c r="B2385" t="s">
        <v>23</v>
      </c>
      <c r="C2385" t="s">
        <v>271</v>
      </c>
      <c r="D2385">
        <v>7</v>
      </c>
      <c r="E2385">
        <v>2</v>
      </c>
      <c r="F2385">
        <v>8</v>
      </c>
      <c r="G2385" t="s">
        <v>31</v>
      </c>
      <c r="H2385" s="1">
        <v>13</v>
      </c>
      <c r="I2385" s="1">
        <v>62</v>
      </c>
      <c r="J2385" s="1">
        <v>67</v>
      </c>
      <c r="K2385" s="1">
        <f t="shared" si="118"/>
        <v>5</v>
      </c>
      <c r="L2385" s="1">
        <v>147</v>
      </c>
      <c r="M2385" s="1">
        <v>71</v>
      </c>
      <c r="N2385" s="1">
        <v>2</v>
      </c>
      <c r="O2385" s="1">
        <v>3.5</v>
      </c>
      <c r="P2385" s="1">
        <f>H2385</f>
        <v>13</v>
      </c>
      <c r="Q2385" s="2">
        <v>0.26700000000000002</v>
      </c>
      <c r="R2385" s="1">
        <v>10</v>
      </c>
      <c r="S2385" s="1">
        <f t="shared" si="119"/>
        <v>0.76923076923076927</v>
      </c>
      <c r="T2385" s="1">
        <v>5</v>
      </c>
      <c r="U2385" s="1">
        <v>12.5</v>
      </c>
      <c r="V2385" s="1">
        <v>977.25490196078442</v>
      </c>
      <c r="W2385" s="1">
        <v>6</v>
      </c>
    </row>
    <row r="2386" spans="1:23" x14ac:dyDescent="0.2">
      <c r="A2386">
        <v>2022</v>
      </c>
      <c r="B2386" t="s">
        <v>23</v>
      </c>
      <c r="C2386" t="s">
        <v>271</v>
      </c>
      <c r="D2386">
        <v>8</v>
      </c>
      <c r="E2386">
        <v>1</v>
      </c>
      <c r="F2386">
        <v>14</v>
      </c>
      <c r="G2386" t="s">
        <v>32</v>
      </c>
      <c r="H2386" s="1">
        <v>8</v>
      </c>
      <c r="I2386" s="1">
        <v>56</v>
      </c>
      <c r="J2386" s="1">
        <v>59</v>
      </c>
      <c r="K2386" s="1">
        <f t="shared" si="118"/>
        <v>3</v>
      </c>
      <c r="L2386" s="1">
        <v>157</v>
      </c>
      <c r="M2386" s="1">
        <v>60</v>
      </c>
      <c r="N2386" s="1">
        <v>2</v>
      </c>
      <c r="O2386" s="1">
        <v>4</v>
      </c>
      <c r="P2386" s="1">
        <v>5</v>
      </c>
      <c r="Q2386" s="2">
        <v>0.62024999999999997</v>
      </c>
      <c r="R2386" s="1">
        <v>6</v>
      </c>
      <c r="S2386" s="1">
        <f t="shared" si="119"/>
        <v>1.2</v>
      </c>
      <c r="T2386" s="1">
        <v>5</v>
      </c>
      <c r="U2386" s="1">
        <v>12.5</v>
      </c>
      <c r="V2386" s="1">
        <v>2270.1960784313724</v>
      </c>
      <c r="W2386" s="1">
        <v>6</v>
      </c>
    </row>
    <row r="2387" spans="1:23" x14ac:dyDescent="0.2">
      <c r="A2387">
        <v>2022</v>
      </c>
      <c r="B2387" t="s">
        <v>23</v>
      </c>
      <c r="C2387" t="s">
        <v>271</v>
      </c>
      <c r="D2387">
        <v>8</v>
      </c>
      <c r="E2387">
        <v>2</v>
      </c>
      <c r="F2387">
        <v>10</v>
      </c>
      <c r="G2387" t="s">
        <v>32</v>
      </c>
      <c r="H2387" s="1">
        <v>5</v>
      </c>
      <c r="I2387" s="1">
        <v>65</v>
      </c>
      <c r="J2387" s="1">
        <v>68</v>
      </c>
      <c r="K2387" s="1">
        <f t="shared" si="118"/>
        <v>3</v>
      </c>
      <c r="L2387" s="1">
        <v>115</v>
      </c>
      <c r="M2387" s="1">
        <v>60</v>
      </c>
      <c r="N2387" s="1">
        <v>3</v>
      </c>
      <c r="O2387" s="1">
        <v>3.5</v>
      </c>
      <c r="P2387" s="1">
        <v>4</v>
      </c>
      <c r="Q2387" s="2">
        <v>0.19340000000000002</v>
      </c>
      <c r="R2387" s="1">
        <v>3</v>
      </c>
      <c r="S2387" s="1">
        <f t="shared" si="119"/>
        <v>0.75</v>
      </c>
      <c r="T2387" s="1">
        <v>5</v>
      </c>
      <c r="U2387" s="1">
        <v>12.5</v>
      </c>
      <c r="V2387" s="1">
        <v>707.86928104575179</v>
      </c>
      <c r="W2387" s="1">
        <v>5</v>
      </c>
    </row>
    <row r="2388" spans="1:23" x14ac:dyDescent="0.2">
      <c r="A2388">
        <v>2022</v>
      </c>
      <c r="B2388" t="s">
        <v>23</v>
      </c>
      <c r="C2388" t="s">
        <v>271</v>
      </c>
      <c r="D2388">
        <v>9</v>
      </c>
      <c r="E2388">
        <v>1</v>
      </c>
      <c r="F2388">
        <v>12</v>
      </c>
      <c r="G2388" t="s">
        <v>33</v>
      </c>
      <c r="H2388">
        <v>2</v>
      </c>
      <c r="I2388">
        <v>63</v>
      </c>
      <c r="J2388">
        <v>67</v>
      </c>
      <c r="K2388">
        <v>4</v>
      </c>
      <c r="L2388">
        <v>115</v>
      </c>
      <c r="M2388">
        <v>61</v>
      </c>
      <c r="N2388">
        <v>1.5</v>
      </c>
      <c r="O2388">
        <v>4</v>
      </c>
      <c r="P2388">
        <v>2</v>
      </c>
      <c r="Q2388">
        <v>0.2</v>
      </c>
      <c r="R2388">
        <v>3</v>
      </c>
      <c r="S2388">
        <v>1.5</v>
      </c>
      <c r="T2388">
        <v>2</v>
      </c>
      <c r="U2388">
        <v>12.5</v>
      </c>
      <c r="V2388">
        <v>732.02614379084969</v>
      </c>
      <c r="W2388">
        <v>1</v>
      </c>
    </row>
    <row r="2389" spans="1:23" x14ac:dyDescent="0.2">
      <c r="A2389">
        <v>2022</v>
      </c>
      <c r="B2389" t="s">
        <v>23</v>
      </c>
      <c r="C2389" t="s">
        <v>271</v>
      </c>
      <c r="D2389">
        <v>9</v>
      </c>
      <c r="E2389">
        <v>2</v>
      </c>
      <c r="F2389">
        <v>5</v>
      </c>
      <c r="G2389" t="s">
        <v>33</v>
      </c>
      <c r="H2389" s="1">
        <v>13</v>
      </c>
      <c r="I2389" s="1">
        <v>56</v>
      </c>
      <c r="J2389" s="1">
        <v>59</v>
      </c>
      <c r="K2389" s="1">
        <f>J2389-I2389</f>
        <v>3</v>
      </c>
      <c r="L2389" s="1">
        <v>147</v>
      </c>
      <c r="M2389" s="1">
        <v>50</v>
      </c>
      <c r="N2389" s="1">
        <v>2</v>
      </c>
      <c r="O2389" s="1">
        <v>3.5</v>
      </c>
      <c r="P2389" s="1">
        <f>H2389-2</f>
        <v>11</v>
      </c>
      <c r="Q2389" s="2">
        <v>0.49</v>
      </c>
      <c r="R2389" s="1">
        <v>9</v>
      </c>
      <c r="S2389" s="1">
        <f>R2389/P2389</f>
        <v>0.81818181818181823</v>
      </c>
      <c r="T2389" s="1">
        <v>5</v>
      </c>
      <c r="U2389" s="1">
        <v>12.5</v>
      </c>
      <c r="V2389" s="1">
        <v>1793.4640522875818</v>
      </c>
      <c r="W2389" s="1">
        <v>5</v>
      </c>
    </row>
    <row r="2390" spans="1:23" x14ac:dyDescent="0.2">
      <c r="A2390">
        <v>2022</v>
      </c>
      <c r="B2390" t="s">
        <v>23</v>
      </c>
      <c r="C2390" t="s">
        <v>271</v>
      </c>
      <c r="D2390">
        <v>10</v>
      </c>
      <c r="E2390">
        <v>1</v>
      </c>
      <c r="F2390">
        <v>7</v>
      </c>
      <c r="G2390" t="s">
        <v>34</v>
      </c>
      <c r="H2390">
        <v>12</v>
      </c>
      <c r="I2390">
        <v>57</v>
      </c>
      <c r="J2390">
        <v>60</v>
      </c>
      <c r="K2390">
        <v>3</v>
      </c>
      <c r="L2390">
        <v>171</v>
      </c>
      <c r="M2390">
        <v>95</v>
      </c>
      <c r="N2390">
        <v>2</v>
      </c>
      <c r="O2390">
        <v>2</v>
      </c>
      <c r="P2390">
        <v>11</v>
      </c>
      <c r="Q2390">
        <v>0.8</v>
      </c>
      <c r="R2390">
        <v>9</v>
      </c>
      <c r="S2390">
        <v>0.81818181818181823</v>
      </c>
      <c r="T2390">
        <v>2</v>
      </c>
      <c r="U2390">
        <v>12.1</v>
      </c>
      <c r="V2390">
        <v>2941.4901960784318</v>
      </c>
      <c r="W2390">
        <v>2</v>
      </c>
    </row>
    <row r="2391" spans="1:23" x14ac:dyDescent="0.2">
      <c r="A2391">
        <v>2022</v>
      </c>
      <c r="B2391" t="s">
        <v>23</v>
      </c>
      <c r="C2391" t="s">
        <v>271</v>
      </c>
      <c r="D2391">
        <v>10</v>
      </c>
      <c r="E2391">
        <v>2</v>
      </c>
      <c r="F2391">
        <v>8</v>
      </c>
      <c r="G2391" t="s">
        <v>34</v>
      </c>
      <c r="H2391">
        <v>12</v>
      </c>
      <c r="I2391">
        <v>55</v>
      </c>
      <c r="J2391">
        <v>57</v>
      </c>
      <c r="K2391">
        <v>2</v>
      </c>
      <c r="L2391">
        <v>181</v>
      </c>
      <c r="M2391">
        <v>69</v>
      </c>
      <c r="N2391">
        <v>2</v>
      </c>
      <c r="O2391">
        <v>2</v>
      </c>
      <c r="P2391">
        <v>10</v>
      </c>
      <c r="Q2391">
        <v>0.9</v>
      </c>
      <c r="R2391">
        <v>10</v>
      </c>
      <c r="S2391">
        <v>1</v>
      </c>
      <c r="T2391">
        <v>3</v>
      </c>
      <c r="U2391">
        <v>9.3000000000000007</v>
      </c>
      <c r="V2391">
        <v>3414.588235294118</v>
      </c>
      <c r="W2391">
        <v>2</v>
      </c>
    </row>
    <row r="2392" spans="1:23" x14ac:dyDescent="0.2">
      <c r="A2392">
        <v>2022</v>
      </c>
      <c r="B2392" t="s">
        <v>23</v>
      </c>
      <c r="C2392" t="s">
        <v>271</v>
      </c>
      <c r="D2392">
        <v>11</v>
      </c>
      <c r="E2392">
        <v>1</v>
      </c>
      <c r="F2392">
        <v>6</v>
      </c>
      <c r="G2392" t="s">
        <v>35</v>
      </c>
      <c r="H2392" s="1">
        <v>12</v>
      </c>
      <c r="I2392" s="1">
        <v>57</v>
      </c>
      <c r="J2392" s="1">
        <v>61</v>
      </c>
      <c r="K2392" s="1">
        <f>J2392-I2392</f>
        <v>4</v>
      </c>
      <c r="L2392" s="1">
        <v>140</v>
      </c>
      <c r="M2392" s="1">
        <v>70</v>
      </c>
      <c r="N2392" s="1">
        <v>3</v>
      </c>
      <c r="O2392" s="1">
        <v>3.5</v>
      </c>
      <c r="P2392" s="1">
        <f>H2392</f>
        <v>12</v>
      </c>
      <c r="Q2392" s="2">
        <v>4.8150000000000005E-2</v>
      </c>
      <c r="R2392" s="1">
        <v>8</v>
      </c>
      <c r="S2392" s="1">
        <f>R2392/P2392</f>
        <v>0.66666666666666663</v>
      </c>
      <c r="T2392" s="1">
        <v>5</v>
      </c>
      <c r="U2392" s="1">
        <v>12.5</v>
      </c>
      <c r="V2392" s="1">
        <v>176.2352941176471</v>
      </c>
      <c r="W2392" s="1">
        <v>5</v>
      </c>
    </row>
    <row r="2393" spans="1:23" x14ac:dyDescent="0.2">
      <c r="A2393">
        <v>2022</v>
      </c>
      <c r="B2393" t="s">
        <v>23</v>
      </c>
      <c r="C2393" t="s">
        <v>271</v>
      </c>
      <c r="D2393">
        <v>11</v>
      </c>
      <c r="E2393">
        <v>2</v>
      </c>
      <c r="F2393">
        <v>15</v>
      </c>
      <c r="G2393" t="s">
        <v>35</v>
      </c>
      <c r="H2393" s="1">
        <v>6</v>
      </c>
      <c r="I2393" s="1">
        <v>63</v>
      </c>
      <c r="J2393" s="1">
        <v>67</v>
      </c>
      <c r="K2393" s="1">
        <f>J2393-I2393</f>
        <v>4</v>
      </c>
      <c r="L2393" s="1">
        <v>138</v>
      </c>
      <c r="M2393" s="1">
        <v>42</v>
      </c>
      <c r="N2393" s="1">
        <v>2</v>
      </c>
      <c r="O2393" s="1">
        <v>4</v>
      </c>
      <c r="P2393" s="1">
        <v>4</v>
      </c>
      <c r="Q2393" s="2">
        <v>0.1268</v>
      </c>
      <c r="R2393" s="1">
        <v>4</v>
      </c>
      <c r="S2393" s="1">
        <f>R2393/P2393</f>
        <v>1</v>
      </c>
      <c r="T2393" s="1">
        <v>4</v>
      </c>
      <c r="U2393" s="1">
        <v>12.5</v>
      </c>
      <c r="V2393" s="1">
        <v>464.10457516339869</v>
      </c>
      <c r="W2393" s="1">
        <v>3</v>
      </c>
    </row>
    <row r="2394" spans="1:23" x14ac:dyDescent="0.2">
      <c r="A2394">
        <v>2022</v>
      </c>
      <c r="B2394" t="s">
        <v>23</v>
      </c>
      <c r="C2394" t="s">
        <v>271</v>
      </c>
      <c r="D2394">
        <v>12</v>
      </c>
      <c r="E2394">
        <v>1</v>
      </c>
      <c r="F2394">
        <v>11</v>
      </c>
      <c r="G2394" t="s">
        <v>36</v>
      </c>
      <c r="H2394" s="1">
        <v>13</v>
      </c>
      <c r="I2394" s="1">
        <v>69</v>
      </c>
      <c r="J2394" s="1">
        <v>73</v>
      </c>
      <c r="K2394" s="1">
        <f>J2394-I2394</f>
        <v>4</v>
      </c>
      <c r="L2394" s="1">
        <v>166</v>
      </c>
      <c r="M2394" s="1">
        <v>83</v>
      </c>
      <c r="N2394" s="1">
        <v>2</v>
      </c>
      <c r="O2394" s="1">
        <v>3.5</v>
      </c>
      <c r="P2394" s="1">
        <v>9</v>
      </c>
      <c r="Q2394" s="2">
        <v>0.23232</v>
      </c>
      <c r="R2394" s="1">
        <v>7</v>
      </c>
      <c r="S2394" s="1">
        <f>R2394/P2394</f>
        <v>0.77777777777777779</v>
      </c>
      <c r="T2394" s="1">
        <v>5</v>
      </c>
      <c r="U2394" s="1">
        <v>12.5</v>
      </c>
      <c r="V2394" s="1">
        <v>850.32156862745103</v>
      </c>
      <c r="W2394" s="1">
        <v>5</v>
      </c>
    </row>
    <row r="2395" spans="1:23" x14ac:dyDescent="0.2">
      <c r="A2395">
        <v>2022</v>
      </c>
      <c r="B2395" t="s">
        <v>23</v>
      </c>
      <c r="C2395" t="s">
        <v>271</v>
      </c>
      <c r="D2395">
        <v>12</v>
      </c>
      <c r="E2395">
        <v>2</v>
      </c>
      <c r="F2395">
        <v>5</v>
      </c>
      <c r="G2395" t="s">
        <v>36</v>
      </c>
      <c r="H2395">
        <v>16</v>
      </c>
      <c r="I2395">
        <v>59</v>
      </c>
      <c r="J2395">
        <v>62</v>
      </c>
      <c r="K2395">
        <v>3</v>
      </c>
      <c r="L2395">
        <v>166</v>
      </c>
      <c r="M2395">
        <v>89</v>
      </c>
      <c r="N2395">
        <v>1</v>
      </c>
      <c r="O2395">
        <v>2</v>
      </c>
      <c r="P2395">
        <v>14</v>
      </c>
      <c r="Q2395">
        <v>1.4</v>
      </c>
      <c r="R2395">
        <v>10</v>
      </c>
      <c r="S2395">
        <v>0.7142857142857143</v>
      </c>
      <c r="T2395">
        <v>2</v>
      </c>
      <c r="U2395">
        <v>9.8000000000000007</v>
      </c>
      <c r="V2395">
        <v>5282.3006535947716</v>
      </c>
      <c r="W2395">
        <v>2</v>
      </c>
    </row>
    <row r="2396" spans="1:23" x14ac:dyDescent="0.2">
      <c r="A2396">
        <v>2022</v>
      </c>
      <c r="B2396" t="s">
        <v>23</v>
      </c>
      <c r="C2396" t="s">
        <v>271</v>
      </c>
      <c r="D2396">
        <v>13</v>
      </c>
      <c r="E2396">
        <v>1</v>
      </c>
      <c r="F2396">
        <v>5</v>
      </c>
      <c r="G2396" t="s">
        <v>37</v>
      </c>
      <c r="H2396" s="1">
        <v>13</v>
      </c>
      <c r="I2396" s="1">
        <v>59</v>
      </c>
      <c r="J2396" s="1">
        <v>64</v>
      </c>
      <c r="K2396" s="1">
        <f>J2396-I2396</f>
        <v>5</v>
      </c>
      <c r="L2396" s="1">
        <v>155</v>
      </c>
      <c r="M2396" s="1">
        <v>98</v>
      </c>
      <c r="N2396" s="1">
        <v>2</v>
      </c>
      <c r="O2396" s="1">
        <v>2.5</v>
      </c>
      <c r="P2396" s="1">
        <v>13</v>
      </c>
      <c r="Q2396" s="2">
        <v>0.65600000000000003</v>
      </c>
      <c r="R2396" s="1">
        <v>9</v>
      </c>
      <c r="S2396" s="1">
        <f>R2396/P2396</f>
        <v>0.69230769230769229</v>
      </c>
      <c r="T2396" s="1">
        <v>5</v>
      </c>
      <c r="U2396" s="1">
        <v>8.1999999999999993</v>
      </c>
      <c r="V2396" s="1">
        <v>2519.04</v>
      </c>
      <c r="W2396" s="1">
        <v>5</v>
      </c>
    </row>
    <row r="2397" spans="1:23" x14ac:dyDescent="0.2">
      <c r="A2397">
        <v>2022</v>
      </c>
      <c r="B2397" t="s">
        <v>23</v>
      </c>
      <c r="C2397" t="s">
        <v>271</v>
      </c>
      <c r="D2397">
        <v>13</v>
      </c>
      <c r="E2397">
        <v>2</v>
      </c>
      <c r="F2397">
        <v>1</v>
      </c>
      <c r="G2397" t="s">
        <v>37</v>
      </c>
      <c r="H2397">
        <v>16</v>
      </c>
      <c r="I2397">
        <v>55</v>
      </c>
      <c r="J2397">
        <v>56</v>
      </c>
      <c r="K2397">
        <v>1</v>
      </c>
      <c r="L2397">
        <v>160</v>
      </c>
      <c r="M2397">
        <v>60</v>
      </c>
      <c r="N2397">
        <v>2</v>
      </c>
      <c r="O2397">
        <v>3</v>
      </c>
      <c r="P2397">
        <v>16</v>
      </c>
      <c r="Q2397">
        <v>1.5</v>
      </c>
      <c r="R2397">
        <v>14</v>
      </c>
      <c r="S2397">
        <v>0.875</v>
      </c>
      <c r="T2397">
        <v>2.5</v>
      </c>
      <c r="U2397">
        <v>12.5</v>
      </c>
      <c r="V2397">
        <v>5490.1960784313724</v>
      </c>
      <c r="W2397">
        <v>1</v>
      </c>
    </row>
    <row r="2398" spans="1:23" x14ac:dyDescent="0.2">
      <c r="A2398">
        <v>2022</v>
      </c>
      <c r="B2398" t="s">
        <v>23</v>
      </c>
      <c r="C2398" t="s">
        <v>271</v>
      </c>
      <c r="D2398">
        <v>14</v>
      </c>
      <c r="E2398">
        <v>1</v>
      </c>
      <c r="F2398">
        <v>15</v>
      </c>
      <c r="G2398" t="s">
        <v>38</v>
      </c>
      <c r="H2398">
        <v>15</v>
      </c>
      <c r="I2398">
        <v>55</v>
      </c>
      <c r="J2398">
        <v>57</v>
      </c>
      <c r="K2398">
        <v>2</v>
      </c>
      <c r="L2398">
        <v>190</v>
      </c>
      <c r="M2398">
        <v>80</v>
      </c>
      <c r="N2398">
        <v>2</v>
      </c>
      <c r="O2398">
        <v>2.5</v>
      </c>
      <c r="P2398">
        <v>14</v>
      </c>
      <c r="Q2398">
        <v>0.4</v>
      </c>
      <c r="R2398">
        <v>9</v>
      </c>
      <c r="S2398">
        <v>0.6428571428571429</v>
      </c>
      <c r="T2398">
        <v>4</v>
      </c>
      <c r="U2398">
        <v>8.6999999999999993</v>
      </c>
      <c r="V2398">
        <v>1527.6339869281048</v>
      </c>
      <c r="W2398">
        <v>1</v>
      </c>
    </row>
    <row r="2399" spans="1:23" x14ac:dyDescent="0.2">
      <c r="A2399">
        <v>2022</v>
      </c>
      <c r="B2399" t="s">
        <v>23</v>
      </c>
      <c r="C2399" t="s">
        <v>271</v>
      </c>
      <c r="D2399">
        <v>14</v>
      </c>
      <c r="E2399">
        <v>2</v>
      </c>
      <c r="F2399">
        <v>15</v>
      </c>
      <c r="G2399" t="s">
        <v>38</v>
      </c>
      <c r="H2399" s="1">
        <v>11</v>
      </c>
      <c r="I2399" s="1">
        <v>56</v>
      </c>
      <c r="J2399" s="1">
        <v>60</v>
      </c>
      <c r="K2399" s="1">
        <f>J2399-I2399</f>
        <v>4</v>
      </c>
      <c r="L2399" s="1">
        <v>125</v>
      </c>
      <c r="M2399" s="1">
        <v>53</v>
      </c>
      <c r="N2399" s="1">
        <v>2</v>
      </c>
      <c r="O2399" s="1">
        <v>3.5</v>
      </c>
      <c r="P2399" s="1">
        <v>4</v>
      </c>
      <c r="Q2399" s="2">
        <v>1.7999999999999999E-2</v>
      </c>
      <c r="R2399" s="1">
        <v>1</v>
      </c>
      <c r="S2399" s="1">
        <f>R2399/P2399</f>
        <v>0.25</v>
      </c>
      <c r="T2399" s="1">
        <v>5</v>
      </c>
      <c r="U2399" s="1">
        <v>12.5</v>
      </c>
      <c r="V2399" s="1">
        <v>65.882352941176478</v>
      </c>
      <c r="W2399" s="1">
        <v>6</v>
      </c>
    </row>
    <row r="2400" spans="1:23" x14ac:dyDescent="0.2">
      <c r="A2400">
        <v>2022</v>
      </c>
      <c r="B2400" t="s">
        <v>23</v>
      </c>
      <c r="C2400" t="s">
        <v>271</v>
      </c>
      <c r="D2400">
        <v>15</v>
      </c>
      <c r="E2400">
        <v>1</v>
      </c>
      <c r="F2400">
        <v>14</v>
      </c>
      <c r="G2400" t="s">
        <v>39</v>
      </c>
      <c r="H2400" s="1">
        <v>12</v>
      </c>
      <c r="I2400" s="1">
        <v>58</v>
      </c>
      <c r="J2400" s="1">
        <v>62</v>
      </c>
      <c r="K2400" s="1">
        <f>J2400-I2400</f>
        <v>4</v>
      </c>
      <c r="L2400" s="1">
        <v>173</v>
      </c>
      <c r="M2400" s="1">
        <v>97</v>
      </c>
      <c r="N2400" s="1">
        <v>2</v>
      </c>
      <c r="O2400" s="1">
        <v>3</v>
      </c>
      <c r="P2400" s="1">
        <f>H2400</f>
        <v>12</v>
      </c>
      <c r="Q2400" s="2">
        <v>0.16650000000000001</v>
      </c>
      <c r="R2400" s="1">
        <v>10</v>
      </c>
      <c r="S2400" s="1">
        <f>R2400/P2400</f>
        <v>0.83333333333333337</v>
      </c>
      <c r="T2400" s="1">
        <v>5</v>
      </c>
      <c r="U2400" s="1">
        <v>12.5</v>
      </c>
      <c r="V2400" s="1">
        <v>609.41176470588243</v>
      </c>
      <c r="W2400" s="1">
        <v>4</v>
      </c>
    </row>
    <row r="2401" spans="1:23" x14ac:dyDescent="0.2">
      <c r="A2401">
        <v>2022</v>
      </c>
      <c r="B2401" t="s">
        <v>23</v>
      </c>
      <c r="C2401" t="s">
        <v>271</v>
      </c>
      <c r="D2401">
        <v>15</v>
      </c>
      <c r="E2401">
        <v>2</v>
      </c>
      <c r="F2401">
        <v>13</v>
      </c>
      <c r="G2401" t="s">
        <v>39</v>
      </c>
      <c r="H2401" s="1">
        <v>4</v>
      </c>
      <c r="I2401" s="1">
        <v>65</v>
      </c>
      <c r="J2401" s="1">
        <v>69</v>
      </c>
      <c r="K2401" s="1">
        <f>J2401-I2401</f>
        <v>4</v>
      </c>
      <c r="L2401" s="1">
        <v>167</v>
      </c>
      <c r="M2401" s="1">
        <v>72</v>
      </c>
      <c r="N2401" s="1">
        <v>2</v>
      </c>
      <c r="O2401" s="1">
        <v>3</v>
      </c>
      <c r="P2401" s="1">
        <v>4</v>
      </c>
      <c r="Q2401" s="2">
        <v>0.20996000000000001</v>
      </c>
      <c r="R2401" s="1">
        <v>3</v>
      </c>
      <c r="S2401" s="1">
        <f>R2401/P2401</f>
        <v>0.75</v>
      </c>
      <c r="T2401" s="1">
        <v>5</v>
      </c>
      <c r="U2401" s="1">
        <v>12.5</v>
      </c>
      <c r="V2401" s="1">
        <v>768.48104575163393</v>
      </c>
      <c r="W2401" s="1">
        <v>4</v>
      </c>
    </row>
    <row r="2402" spans="1:23" x14ac:dyDescent="0.2">
      <c r="A2402">
        <v>2022</v>
      </c>
      <c r="B2402" t="s">
        <v>23</v>
      </c>
      <c r="C2402" t="s">
        <v>271</v>
      </c>
      <c r="D2402">
        <v>16</v>
      </c>
      <c r="E2402">
        <v>1</v>
      </c>
      <c r="F2402">
        <v>5</v>
      </c>
      <c r="G2402" t="s">
        <v>40</v>
      </c>
      <c r="H2402" s="1">
        <v>13</v>
      </c>
      <c r="I2402" s="1">
        <v>67</v>
      </c>
      <c r="J2402" s="1">
        <v>70</v>
      </c>
      <c r="K2402" s="1">
        <f>J2402-I2402</f>
        <v>3</v>
      </c>
      <c r="L2402" s="1">
        <v>53</v>
      </c>
      <c r="M2402" s="1">
        <v>31</v>
      </c>
      <c r="N2402" s="1">
        <v>2.5</v>
      </c>
      <c r="O2402" s="1">
        <v>4.5</v>
      </c>
      <c r="P2402" s="1">
        <v>10</v>
      </c>
      <c r="Q2402" s="2">
        <v>0.35</v>
      </c>
      <c r="R2402" s="1">
        <v>9</v>
      </c>
      <c r="S2402" s="1">
        <f>R2402/P2402</f>
        <v>0.9</v>
      </c>
      <c r="T2402" s="1">
        <v>5</v>
      </c>
      <c r="U2402" s="1">
        <v>12.5</v>
      </c>
      <c r="V2402" s="1">
        <v>1281.0457516339868</v>
      </c>
      <c r="W2402" s="1">
        <v>6</v>
      </c>
    </row>
    <row r="2403" spans="1:23" x14ac:dyDescent="0.2">
      <c r="A2403">
        <v>2022</v>
      </c>
      <c r="B2403" t="s">
        <v>23</v>
      </c>
      <c r="C2403" t="s">
        <v>271</v>
      </c>
      <c r="D2403">
        <v>16</v>
      </c>
      <c r="E2403">
        <v>2</v>
      </c>
      <c r="F2403">
        <v>9</v>
      </c>
      <c r="G2403" t="s">
        <v>40</v>
      </c>
      <c r="H2403" s="1">
        <v>9</v>
      </c>
      <c r="I2403" s="1">
        <v>66</v>
      </c>
      <c r="J2403" s="1">
        <v>70</v>
      </c>
      <c r="K2403" s="1">
        <f>J2403-I2403</f>
        <v>4</v>
      </c>
      <c r="L2403" s="1">
        <v>156</v>
      </c>
      <c r="M2403" s="1">
        <v>73</v>
      </c>
      <c r="N2403" s="1">
        <v>2</v>
      </c>
      <c r="O2403" s="1">
        <v>3</v>
      </c>
      <c r="P2403" s="1">
        <v>5</v>
      </c>
      <c r="Q2403" s="2">
        <v>0.13400000000000001</v>
      </c>
      <c r="R2403" s="1">
        <v>5</v>
      </c>
      <c r="S2403" s="1">
        <f>R2403/P2403</f>
        <v>1</v>
      </c>
      <c r="T2403" s="1">
        <v>3</v>
      </c>
      <c r="U2403" s="1">
        <v>12.5</v>
      </c>
      <c r="V2403" s="1">
        <v>490.45751633986936</v>
      </c>
      <c r="W2403" s="1">
        <v>7</v>
      </c>
    </row>
    <row r="2404" spans="1:23" x14ac:dyDescent="0.2">
      <c r="A2404">
        <v>2022</v>
      </c>
      <c r="B2404" t="s">
        <v>23</v>
      </c>
      <c r="C2404" t="s">
        <v>271</v>
      </c>
      <c r="D2404">
        <v>17</v>
      </c>
      <c r="E2404">
        <v>1</v>
      </c>
      <c r="F2404">
        <v>10</v>
      </c>
      <c r="G2404" t="s">
        <v>41</v>
      </c>
      <c r="H2404">
        <v>12</v>
      </c>
      <c r="I2404">
        <v>50</v>
      </c>
      <c r="J2404">
        <v>54</v>
      </c>
      <c r="K2404">
        <v>4</v>
      </c>
      <c r="L2404">
        <v>79</v>
      </c>
      <c r="M2404">
        <v>32</v>
      </c>
      <c r="N2404">
        <v>2</v>
      </c>
      <c r="O2404">
        <v>3</v>
      </c>
      <c r="P2404">
        <v>10</v>
      </c>
      <c r="Q2404">
        <v>0.4</v>
      </c>
      <c r="R2404">
        <v>8</v>
      </c>
      <c r="S2404">
        <v>0.8</v>
      </c>
      <c r="T2404">
        <v>4</v>
      </c>
      <c r="U2404">
        <v>9.1999999999999993</v>
      </c>
      <c r="V2404">
        <v>1519.2679738562092</v>
      </c>
      <c r="W2404">
        <v>2</v>
      </c>
    </row>
    <row r="2405" spans="1:23" x14ac:dyDescent="0.2">
      <c r="A2405">
        <v>2022</v>
      </c>
      <c r="B2405" t="s">
        <v>23</v>
      </c>
      <c r="C2405" t="s">
        <v>271</v>
      </c>
      <c r="D2405">
        <v>17</v>
      </c>
      <c r="E2405">
        <v>2</v>
      </c>
      <c r="F2405">
        <v>1</v>
      </c>
      <c r="G2405" t="s">
        <v>41</v>
      </c>
      <c r="H2405">
        <v>7</v>
      </c>
      <c r="I2405">
        <v>64</v>
      </c>
      <c r="J2405">
        <v>67</v>
      </c>
      <c r="K2405">
        <v>3</v>
      </c>
      <c r="L2405">
        <v>135</v>
      </c>
      <c r="M2405">
        <v>80</v>
      </c>
      <c r="N2405">
        <v>2.5</v>
      </c>
      <c r="O2405">
        <v>3</v>
      </c>
      <c r="P2405">
        <v>7</v>
      </c>
      <c r="Q2405">
        <v>0.6</v>
      </c>
      <c r="R2405">
        <v>6</v>
      </c>
      <c r="S2405">
        <v>0.8571428571428571</v>
      </c>
      <c r="T2405">
        <v>2.5</v>
      </c>
      <c r="U2405">
        <v>12.5</v>
      </c>
      <c r="V2405">
        <v>2196.0784313725489</v>
      </c>
      <c r="W2405">
        <v>1</v>
      </c>
    </row>
    <row r="2406" spans="1:23" x14ac:dyDescent="0.2">
      <c r="A2406">
        <v>2022</v>
      </c>
      <c r="B2406" t="s">
        <v>23</v>
      </c>
      <c r="C2406" t="s">
        <v>271</v>
      </c>
      <c r="D2406">
        <v>18</v>
      </c>
      <c r="E2406">
        <v>1</v>
      </c>
      <c r="F2406">
        <v>7</v>
      </c>
      <c r="G2406" t="s">
        <v>42</v>
      </c>
      <c r="H2406" s="1">
        <v>10</v>
      </c>
      <c r="I2406" s="1">
        <v>61</v>
      </c>
      <c r="J2406" s="1">
        <v>65</v>
      </c>
      <c r="K2406" s="1">
        <f>J2406-I2406</f>
        <v>4</v>
      </c>
      <c r="L2406" s="1">
        <v>117</v>
      </c>
      <c r="M2406" s="1">
        <v>33</v>
      </c>
      <c r="N2406" s="1">
        <v>3</v>
      </c>
      <c r="O2406" s="1">
        <v>4</v>
      </c>
      <c r="P2406" s="1">
        <v>5</v>
      </c>
      <c r="Q2406" s="2">
        <v>0.16</v>
      </c>
      <c r="R2406" s="1">
        <v>5</v>
      </c>
      <c r="S2406" s="1">
        <f>R2406/P2406</f>
        <v>1</v>
      </c>
      <c r="T2406" s="1">
        <v>3.5</v>
      </c>
      <c r="U2406" s="1">
        <v>12.5</v>
      </c>
      <c r="V2406" s="1">
        <v>585.62091503267982</v>
      </c>
      <c r="W2406" s="1">
        <v>4</v>
      </c>
    </row>
    <row r="2407" spans="1:23" x14ac:dyDescent="0.2">
      <c r="A2407">
        <v>2022</v>
      </c>
      <c r="B2407" t="s">
        <v>23</v>
      </c>
      <c r="C2407" t="s">
        <v>271</v>
      </c>
      <c r="D2407">
        <v>18</v>
      </c>
      <c r="E2407">
        <v>2</v>
      </c>
      <c r="F2407">
        <v>7</v>
      </c>
      <c r="G2407" t="s">
        <v>42</v>
      </c>
      <c r="H2407" s="1">
        <v>7</v>
      </c>
      <c r="I2407" s="1">
        <v>57</v>
      </c>
      <c r="J2407" s="1">
        <v>61</v>
      </c>
      <c r="K2407" s="1">
        <f>J2407-I2407</f>
        <v>4</v>
      </c>
      <c r="L2407" s="1">
        <v>128</v>
      </c>
      <c r="M2407" s="1">
        <v>72</v>
      </c>
      <c r="N2407" s="1">
        <v>2</v>
      </c>
      <c r="O2407" s="1">
        <v>3.5</v>
      </c>
      <c r="P2407" s="1">
        <v>7</v>
      </c>
      <c r="Q2407" s="2">
        <v>0.11855999999999998</v>
      </c>
      <c r="R2407" s="1">
        <v>2</v>
      </c>
      <c r="S2407" s="1">
        <f>R2407/P2407</f>
        <v>0.2857142857142857</v>
      </c>
      <c r="T2407" s="1">
        <v>5</v>
      </c>
      <c r="U2407" s="1">
        <v>8.4</v>
      </c>
      <c r="V2407" s="1">
        <v>454.27852549019605</v>
      </c>
      <c r="W2407" s="1">
        <v>2</v>
      </c>
    </row>
    <row r="2408" spans="1:23" x14ac:dyDescent="0.2">
      <c r="A2408">
        <v>2022</v>
      </c>
      <c r="B2408" t="s">
        <v>23</v>
      </c>
      <c r="C2408" t="s">
        <v>271</v>
      </c>
      <c r="D2408">
        <v>19</v>
      </c>
      <c r="E2408">
        <v>1</v>
      </c>
      <c r="F2408">
        <v>6</v>
      </c>
      <c r="G2408" t="s">
        <v>263</v>
      </c>
      <c r="H2408">
        <v>5</v>
      </c>
      <c r="I2408">
        <v>55</v>
      </c>
      <c r="J2408">
        <v>58</v>
      </c>
      <c r="K2408">
        <v>3</v>
      </c>
      <c r="L2408">
        <v>197</v>
      </c>
      <c r="M2408">
        <v>69</v>
      </c>
      <c r="N2408">
        <v>2</v>
      </c>
      <c r="O2408">
        <v>2</v>
      </c>
      <c r="P2408">
        <v>4</v>
      </c>
      <c r="Q2408">
        <v>0.6</v>
      </c>
      <c r="R2408">
        <v>4</v>
      </c>
      <c r="S2408">
        <v>1</v>
      </c>
      <c r="T2408">
        <v>3</v>
      </c>
      <c r="U2408">
        <v>12.5</v>
      </c>
      <c r="V2408">
        <v>2196.0784313725489</v>
      </c>
      <c r="W2408">
        <v>2</v>
      </c>
    </row>
    <row r="2409" spans="1:23" x14ac:dyDescent="0.2">
      <c r="A2409">
        <v>2022</v>
      </c>
      <c r="B2409" t="s">
        <v>23</v>
      </c>
      <c r="C2409" t="s">
        <v>271</v>
      </c>
      <c r="D2409">
        <v>19</v>
      </c>
      <c r="E2409">
        <v>2</v>
      </c>
      <c r="F2409">
        <v>10</v>
      </c>
      <c r="G2409" t="s">
        <v>263</v>
      </c>
      <c r="H2409">
        <v>16</v>
      </c>
      <c r="I2409">
        <v>57</v>
      </c>
      <c r="J2409">
        <v>60</v>
      </c>
      <c r="K2409">
        <v>3</v>
      </c>
      <c r="L2409">
        <v>172</v>
      </c>
      <c r="M2409">
        <v>87</v>
      </c>
      <c r="N2409">
        <v>2</v>
      </c>
      <c r="O2409">
        <v>2</v>
      </c>
      <c r="P2409">
        <v>12</v>
      </c>
      <c r="Q2409">
        <v>0.6</v>
      </c>
      <c r="R2409">
        <v>17</v>
      </c>
      <c r="S2409">
        <v>1.4166666666666667</v>
      </c>
      <c r="T2409">
        <v>3</v>
      </c>
      <c r="U2409">
        <v>11.3</v>
      </c>
      <c r="V2409">
        <v>2226.1960784313724</v>
      </c>
      <c r="W2409">
        <v>2</v>
      </c>
    </row>
    <row r="2410" spans="1:23" x14ac:dyDescent="0.2">
      <c r="A2410">
        <v>2022</v>
      </c>
      <c r="B2410" t="s">
        <v>23</v>
      </c>
      <c r="C2410" t="s">
        <v>271</v>
      </c>
      <c r="D2410">
        <v>20</v>
      </c>
      <c r="E2410">
        <v>1</v>
      </c>
      <c r="F2410">
        <v>2</v>
      </c>
      <c r="G2410" t="s">
        <v>264</v>
      </c>
      <c r="H2410" s="1">
        <v>7</v>
      </c>
      <c r="I2410" s="1">
        <v>56</v>
      </c>
      <c r="J2410" s="1">
        <v>59</v>
      </c>
      <c r="K2410" s="1">
        <f>J2410-I2410</f>
        <v>3</v>
      </c>
      <c r="L2410" s="1">
        <v>167</v>
      </c>
      <c r="M2410" s="1">
        <v>53</v>
      </c>
      <c r="N2410" s="1">
        <v>2</v>
      </c>
      <c r="O2410" s="1">
        <v>3.5</v>
      </c>
      <c r="P2410" s="1">
        <v>7</v>
      </c>
      <c r="Q2410" s="2">
        <v>0.15875</v>
      </c>
      <c r="R2410" s="1">
        <v>5</v>
      </c>
      <c r="S2410" s="1">
        <f>R2410/P2410</f>
        <v>0.7142857142857143</v>
      </c>
      <c r="T2410" s="1">
        <v>5</v>
      </c>
      <c r="U2410" s="1">
        <v>12.5</v>
      </c>
      <c r="V2410" s="1">
        <v>581.04575163398692</v>
      </c>
      <c r="W2410" s="1">
        <v>5</v>
      </c>
    </row>
    <row r="2411" spans="1:23" x14ac:dyDescent="0.2">
      <c r="A2411">
        <v>2022</v>
      </c>
      <c r="B2411" t="s">
        <v>23</v>
      </c>
      <c r="C2411" t="s">
        <v>271</v>
      </c>
      <c r="D2411">
        <v>20</v>
      </c>
      <c r="E2411">
        <v>2</v>
      </c>
      <c r="F2411">
        <v>3</v>
      </c>
      <c r="G2411" t="s">
        <v>264</v>
      </c>
      <c r="H2411" s="3">
        <v>15</v>
      </c>
      <c r="I2411" s="3">
        <v>62</v>
      </c>
      <c r="J2411" s="3">
        <v>67</v>
      </c>
      <c r="K2411" s="3">
        <f>J2411-I2411</f>
        <v>5</v>
      </c>
      <c r="L2411" s="3">
        <v>178</v>
      </c>
      <c r="M2411" s="3">
        <v>63</v>
      </c>
      <c r="N2411" s="3">
        <v>2</v>
      </c>
      <c r="O2411" s="3">
        <v>3.5</v>
      </c>
      <c r="P2411" s="3">
        <v>12</v>
      </c>
      <c r="Q2411" s="4">
        <v>0.19725000000000001</v>
      </c>
      <c r="R2411" s="3">
        <v>8</v>
      </c>
      <c r="S2411" s="3">
        <f>R2411/P2411</f>
        <v>0.66666666666666663</v>
      </c>
      <c r="T2411" s="3">
        <v>5</v>
      </c>
      <c r="U2411" s="3">
        <v>12.5</v>
      </c>
      <c r="V2411" s="3">
        <v>721.96078431372564</v>
      </c>
      <c r="W2411" s="3">
        <v>6</v>
      </c>
    </row>
    <row r="2412" spans="1:23" x14ac:dyDescent="0.2">
      <c r="A2412">
        <v>2022</v>
      </c>
      <c r="B2412" t="s">
        <v>23</v>
      </c>
      <c r="C2412" t="s">
        <v>271</v>
      </c>
      <c r="D2412">
        <v>21</v>
      </c>
      <c r="E2412">
        <v>1</v>
      </c>
      <c r="F2412">
        <v>14</v>
      </c>
      <c r="G2412" t="s">
        <v>265</v>
      </c>
      <c r="H2412" s="1">
        <v>7</v>
      </c>
      <c r="I2412" s="1">
        <v>68</v>
      </c>
      <c r="J2412" s="1">
        <v>69</v>
      </c>
      <c r="K2412" s="1">
        <f>J2412-I2412</f>
        <v>1</v>
      </c>
      <c r="L2412" s="1">
        <v>122</v>
      </c>
      <c r="M2412" s="1">
        <v>55</v>
      </c>
      <c r="N2412" s="1">
        <v>2</v>
      </c>
      <c r="O2412" s="1">
        <v>3</v>
      </c>
      <c r="P2412" s="1">
        <v>6</v>
      </c>
      <c r="Q2412" s="2">
        <v>0.39700000000000002</v>
      </c>
      <c r="R2412" s="1">
        <v>6</v>
      </c>
      <c r="S2412" s="1">
        <f>R2412/P2412</f>
        <v>1</v>
      </c>
      <c r="T2412" s="1">
        <v>2.5</v>
      </c>
      <c r="U2412" s="1">
        <v>12.5</v>
      </c>
      <c r="V2412" s="1">
        <v>1453.0718954248368</v>
      </c>
      <c r="W2412" s="1">
        <v>4</v>
      </c>
    </row>
    <row r="2413" spans="1:23" x14ac:dyDescent="0.2">
      <c r="A2413">
        <v>2022</v>
      </c>
      <c r="B2413" t="s">
        <v>23</v>
      </c>
      <c r="C2413" t="s">
        <v>271</v>
      </c>
      <c r="D2413">
        <v>21</v>
      </c>
      <c r="E2413">
        <v>2</v>
      </c>
      <c r="F2413">
        <v>11</v>
      </c>
      <c r="G2413" t="s">
        <v>265</v>
      </c>
      <c r="H2413" s="1">
        <v>9</v>
      </c>
      <c r="I2413" s="1">
        <v>60</v>
      </c>
      <c r="J2413" s="1">
        <v>64</v>
      </c>
      <c r="K2413" s="1">
        <f>J2413-I2413</f>
        <v>4</v>
      </c>
      <c r="L2413" s="1">
        <v>187</v>
      </c>
      <c r="M2413" s="1">
        <v>103</v>
      </c>
      <c r="N2413" s="1">
        <v>3</v>
      </c>
      <c r="O2413" s="1">
        <v>3.5</v>
      </c>
      <c r="P2413" s="1">
        <v>6</v>
      </c>
      <c r="Q2413" s="2">
        <v>0.4012</v>
      </c>
      <c r="R2413" s="1">
        <v>7</v>
      </c>
      <c r="S2413" s="1">
        <f>R2413/P2413</f>
        <v>1.1666666666666667</v>
      </c>
      <c r="T2413" s="1">
        <v>5</v>
      </c>
      <c r="U2413" s="1">
        <v>8.5</v>
      </c>
      <c r="V2413" s="1">
        <v>1535.5733333333335</v>
      </c>
      <c r="W2413" s="1">
        <v>6</v>
      </c>
    </row>
    <row r="2414" spans="1:23" x14ac:dyDescent="0.2">
      <c r="A2414">
        <v>2022</v>
      </c>
      <c r="B2414" t="s">
        <v>23</v>
      </c>
      <c r="C2414" t="s">
        <v>271</v>
      </c>
      <c r="D2414">
        <v>22</v>
      </c>
      <c r="E2414">
        <v>1</v>
      </c>
      <c r="F2414">
        <v>7</v>
      </c>
      <c r="G2414" t="s">
        <v>46</v>
      </c>
      <c r="H2414" s="1">
        <v>10</v>
      </c>
      <c r="I2414" s="1">
        <v>67</v>
      </c>
      <c r="J2414" s="1">
        <v>71</v>
      </c>
      <c r="K2414" s="1">
        <f>J2414-I2414</f>
        <v>4</v>
      </c>
      <c r="L2414" s="1">
        <v>130</v>
      </c>
      <c r="M2414" s="1">
        <v>56</v>
      </c>
      <c r="N2414" s="1">
        <v>2</v>
      </c>
      <c r="O2414" s="1">
        <v>4</v>
      </c>
      <c r="P2414" s="1">
        <v>10</v>
      </c>
      <c r="Q2414" s="2">
        <v>0.93240000000000001</v>
      </c>
      <c r="R2414" s="1">
        <v>10</v>
      </c>
      <c r="S2414" s="1">
        <f>R2414/P2414</f>
        <v>1</v>
      </c>
      <c r="T2414" s="1">
        <v>2.5</v>
      </c>
      <c r="U2414" s="1">
        <v>12.5</v>
      </c>
      <c r="V2414" s="1">
        <v>3412.7058823529414</v>
      </c>
      <c r="W2414" s="1">
        <v>5</v>
      </c>
    </row>
    <row r="2415" spans="1:23" x14ac:dyDescent="0.2">
      <c r="A2415">
        <v>2022</v>
      </c>
      <c r="B2415" t="s">
        <v>23</v>
      </c>
      <c r="C2415" t="s">
        <v>271</v>
      </c>
      <c r="D2415">
        <v>22</v>
      </c>
      <c r="E2415">
        <v>2</v>
      </c>
      <c r="F2415">
        <v>14</v>
      </c>
      <c r="G2415" t="s">
        <v>46</v>
      </c>
      <c r="H2415">
        <v>6</v>
      </c>
      <c r="I2415">
        <v>56</v>
      </c>
      <c r="J2415">
        <v>60</v>
      </c>
      <c r="K2415">
        <v>4</v>
      </c>
      <c r="L2415">
        <v>91</v>
      </c>
      <c r="M2415">
        <v>23</v>
      </c>
      <c r="N2415">
        <v>2</v>
      </c>
      <c r="O2415">
        <v>3</v>
      </c>
      <c r="P2415">
        <v>6</v>
      </c>
      <c r="Q2415">
        <v>1</v>
      </c>
      <c r="R2415">
        <v>7</v>
      </c>
      <c r="S2415">
        <v>1.1666666666666667</v>
      </c>
      <c r="T2415">
        <v>3</v>
      </c>
      <c r="U2415">
        <v>12.5</v>
      </c>
      <c r="V2415">
        <v>3660.1307189542486</v>
      </c>
      <c r="W2415">
        <v>1</v>
      </c>
    </row>
    <row r="2416" spans="1:23" x14ac:dyDescent="0.2">
      <c r="A2416">
        <v>2022</v>
      </c>
      <c r="B2416" t="s">
        <v>23</v>
      </c>
      <c r="C2416" t="s">
        <v>271</v>
      </c>
      <c r="D2416">
        <v>23</v>
      </c>
      <c r="E2416">
        <v>1</v>
      </c>
      <c r="F2416">
        <v>4</v>
      </c>
      <c r="G2416" t="s">
        <v>47</v>
      </c>
      <c r="H2416" s="1">
        <v>12</v>
      </c>
      <c r="I2416" s="1">
        <v>67</v>
      </c>
      <c r="J2416" s="1">
        <v>72</v>
      </c>
      <c r="K2416" s="1">
        <f>J2416-I2416</f>
        <v>5</v>
      </c>
      <c r="L2416" s="1">
        <v>153</v>
      </c>
      <c r="M2416" s="1">
        <v>68</v>
      </c>
      <c r="N2416" s="1">
        <v>3</v>
      </c>
      <c r="O2416" s="1">
        <v>4</v>
      </c>
      <c r="P2416" s="1">
        <v>5</v>
      </c>
      <c r="Q2416" s="2">
        <v>0.34379999999999999</v>
      </c>
      <c r="R2416" s="1">
        <v>7</v>
      </c>
      <c r="S2416" s="1">
        <f>R2416/P2416</f>
        <v>1.4</v>
      </c>
      <c r="T2416" s="1">
        <v>5</v>
      </c>
      <c r="U2416" s="1">
        <v>12.5</v>
      </c>
      <c r="V2416" s="1">
        <v>1258.3529411764707</v>
      </c>
      <c r="W2416" s="1">
        <v>6</v>
      </c>
    </row>
    <row r="2417" spans="1:23" x14ac:dyDescent="0.2">
      <c r="A2417">
        <v>2022</v>
      </c>
      <c r="B2417" t="s">
        <v>23</v>
      </c>
      <c r="C2417" t="s">
        <v>271</v>
      </c>
      <c r="D2417">
        <v>23</v>
      </c>
      <c r="E2417">
        <v>2</v>
      </c>
      <c r="F2417">
        <v>8</v>
      </c>
      <c r="G2417" t="s">
        <v>47</v>
      </c>
      <c r="H2417">
        <v>7</v>
      </c>
      <c r="I2417">
        <v>59</v>
      </c>
      <c r="J2417">
        <v>62</v>
      </c>
      <c r="K2417">
        <v>3</v>
      </c>
      <c r="L2417">
        <v>123</v>
      </c>
      <c r="M2417">
        <v>56</v>
      </c>
      <c r="N2417">
        <v>1.5</v>
      </c>
      <c r="O2417">
        <v>4</v>
      </c>
      <c r="P2417">
        <v>7</v>
      </c>
      <c r="Q2417">
        <v>0.35</v>
      </c>
      <c r="R2417">
        <v>7</v>
      </c>
      <c r="S2417">
        <v>1</v>
      </c>
      <c r="T2417">
        <v>2.5</v>
      </c>
      <c r="U2417">
        <v>12.5</v>
      </c>
      <c r="V2417">
        <v>1281.0457516339868</v>
      </c>
      <c r="W2417">
        <v>1</v>
      </c>
    </row>
    <row r="2418" spans="1:23" x14ac:dyDescent="0.2">
      <c r="A2418">
        <v>2022</v>
      </c>
      <c r="B2418" t="s">
        <v>23</v>
      </c>
      <c r="C2418" t="s">
        <v>271</v>
      </c>
      <c r="D2418">
        <v>24</v>
      </c>
      <c r="E2418">
        <v>1</v>
      </c>
      <c r="F2418">
        <v>14</v>
      </c>
      <c r="G2418" t="s">
        <v>48</v>
      </c>
      <c r="H2418">
        <v>15</v>
      </c>
      <c r="I2418">
        <v>55</v>
      </c>
      <c r="J2418">
        <v>57</v>
      </c>
      <c r="K2418">
        <v>2</v>
      </c>
      <c r="L2418">
        <v>162</v>
      </c>
      <c r="M2418">
        <v>56</v>
      </c>
      <c r="N2418">
        <v>2</v>
      </c>
      <c r="O2418">
        <v>3</v>
      </c>
      <c r="P2418">
        <v>15</v>
      </c>
      <c r="Q2418">
        <v>1.6</v>
      </c>
      <c r="R2418">
        <v>10</v>
      </c>
      <c r="S2418">
        <v>0.66666666666666663</v>
      </c>
      <c r="T2418">
        <v>2.5</v>
      </c>
      <c r="U2418">
        <v>12.5</v>
      </c>
      <c r="V2418">
        <v>5856.2091503267975</v>
      </c>
      <c r="W2418">
        <v>1</v>
      </c>
    </row>
    <row r="2419" spans="1:23" x14ac:dyDescent="0.2">
      <c r="A2419">
        <v>2022</v>
      </c>
      <c r="B2419" t="s">
        <v>23</v>
      </c>
      <c r="C2419" t="s">
        <v>271</v>
      </c>
      <c r="D2419">
        <v>24</v>
      </c>
      <c r="E2419">
        <v>2</v>
      </c>
      <c r="F2419">
        <v>13</v>
      </c>
      <c r="G2419" t="s">
        <v>48</v>
      </c>
      <c r="H2419" s="1">
        <v>12</v>
      </c>
      <c r="I2419" s="1">
        <v>66</v>
      </c>
      <c r="J2419" s="1">
        <v>71</v>
      </c>
      <c r="K2419" s="1">
        <f t="shared" ref="K2419:K2431" si="120">J2419-I2419</f>
        <v>5</v>
      </c>
      <c r="L2419" s="1">
        <v>81</v>
      </c>
      <c r="M2419" s="1">
        <v>26</v>
      </c>
      <c r="N2419" s="1">
        <v>3</v>
      </c>
      <c r="O2419" s="1">
        <v>4.5</v>
      </c>
      <c r="P2419" s="1">
        <v>7</v>
      </c>
      <c r="Q2419" s="2">
        <v>0.108</v>
      </c>
      <c r="R2419" s="1">
        <v>5</v>
      </c>
      <c r="S2419" s="1">
        <f t="shared" ref="S2419:S2431" si="121">R2419/P2419</f>
        <v>0.7142857142857143</v>
      </c>
      <c r="T2419" s="1">
        <v>5</v>
      </c>
      <c r="U2419" s="1">
        <v>12.5</v>
      </c>
      <c r="V2419" s="1">
        <v>395.29411764705878</v>
      </c>
      <c r="W2419" s="1">
        <v>6</v>
      </c>
    </row>
    <row r="2420" spans="1:23" x14ac:dyDescent="0.2">
      <c r="A2420">
        <v>2022</v>
      </c>
      <c r="B2420" t="s">
        <v>23</v>
      </c>
      <c r="C2420" t="s">
        <v>271</v>
      </c>
      <c r="D2420">
        <v>25</v>
      </c>
      <c r="E2420">
        <v>1</v>
      </c>
      <c r="F2420">
        <v>8</v>
      </c>
      <c r="G2420" t="s">
        <v>49</v>
      </c>
      <c r="H2420" s="1">
        <v>2</v>
      </c>
      <c r="I2420" s="1">
        <v>68</v>
      </c>
      <c r="J2420" s="1">
        <v>73</v>
      </c>
      <c r="K2420" s="1">
        <f t="shared" si="120"/>
        <v>5</v>
      </c>
      <c r="L2420" s="1">
        <v>117</v>
      </c>
      <c r="M2420" s="1">
        <v>60</v>
      </c>
      <c r="N2420" s="1">
        <v>2</v>
      </c>
      <c r="O2420" s="1">
        <v>3.5</v>
      </c>
      <c r="P2420" s="1">
        <v>2</v>
      </c>
      <c r="Q2420" s="2">
        <v>0.16</v>
      </c>
      <c r="R2420" s="1">
        <v>2</v>
      </c>
      <c r="S2420" s="1">
        <f t="shared" si="121"/>
        <v>1</v>
      </c>
      <c r="T2420" s="1">
        <v>3</v>
      </c>
      <c r="U2420" s="1">
        <v>9.4</v>
      </c>
      <c r="V2420" s="1">
        <v>606.3686274509804</v>
      </c>
      <c r="W2420" s="1">
        <v>5</v>
      </c>
    </row>
    <row r="2421" spans="1:23" x14ac:dyDescent="0.2">
      <c r="A2421">
        <v>2022</v>
      </c>
      <c r="B2421" t="s">
        <v>23</v>
      </c>
      <c r="C2421" t="s">
        <v>271</v>
      </c>
      <c r="D2421">
        <v>25</v>
      </c>
      <c r="E2421">
        <v>2</v>
      </c>
      <c r="F2421">
        <v>7</v>
      </c>
      <c r="G2421" t="s">
        <v>49</v>
      </c>
      <c r="H2421" s="1">
        <v>12</v>
      </c>
      <c r="I2421" s="1">
        <v>66</v>
      </c>
      <c r="J2421" s="1">
        <v>67</v>
      </c>
      <c r="K2421" s="1">
        <f t="shared" si="120"/>
        <v>1</v>
      </c>
      <c r="L2421" s="1">
        <v>110</v>
      </c>
      <c r="M2421" s="1">
        <v>65</v>
      </c>
      <c r="N2421" s="1">
        <v>3</v>
      </c>
      <c r="O2421" s="1">
        <v>3.5</v>
      </c>
      <c r="P2421" s="1">
        <f>H2421-2</f>
        <v>10</v>
      </c>
      <c r="Q2421" s="2">
        <v>0.24074999999999999</v>
      </c>
      <c r="R2421" s="1">
        <v>10</v>
      </c>
      <c r="S2421" s="1">
        <f t="shared" si="121"/>
        <v>1</v>
      </c>
      <c r="T2421" s="1">
        <v>5</v>
      </c>
      <c r="U2421" s="1">
        <v>12.5</v>
      </c>
      <c r="V2421" s="1">
        <v>881.17647058823536</v>
      </c>
      <c r="W2421" s="1">
        <v>5</v>
      </c>
    </row>
    <row r="2422" spans="1:23" x14ac:dyDescent="0.2">
      <c r="A2422">
        <v>2022</v>
      </c>
      <c r="B2422" t="s">
        <v>23</v>
      </c>
      <c r="C2422" t="s">
        <v>271</v>
      </c>
      <c r="D2422">
        <v>26</v>
      </c>
      <c r="E2422">
        <v>1</v>
      </c>
      <c r="F2422">
        <v>1</v>
      </c>
      <c r="G2422" t="s">
        <v>50</v>
      </c>
      <c r="H2422" s="1">
        <v>4</v>
      </c>
      <c r="I2422" s="1">
        <v>67</v>
      </c>
      <c r="J2422" s="1">
        <v>72</v>
      </c>
      <c r="K2422" s="1">
        <f t="shared" si="120"/>
        <v>5</v>
      </c>
      <c r="L2422" s="1">
        <v>110</v>
      </c>
      <c r="M2422" s="1">
        <v>102</v>
      </c>
      <c r="N2422" s="1">
        <v>1</v>
      </c>
      <c r="O2422" s="1">
        <v>2</v>
      </c>
      <c r="P2422" s="1">
        <v>3</v>
      </c>
      <c r="Q2422" s="2">
        <v>0.28649999999999998</v>
      </c>
      <c r="R2422" s="1">
        <v>3</v>
      </c>
      <c r="S2422" s="1">
        <f t="shared" si="121"/>
        <v>1</v>
      </c>
      <c r="T2422" s="1">
        <v>4</v>
      </c>
      <c r="U2422" s="1">
        <v>12.5</v>
      </c>
      <c r="V2422" s="1">
        <v>1048.6274509803923</v>
      </c>
      <c r="W2422" s="1">
        <v>5</v>
      </c>
    </row>
    <row r="2423" spans="1:23" x14ac:dyDescent="0.2">
      <c r="A2423">
        <v>2022</v>
      </c>
      <c r="B2423" t="s">
        <v>23</v>
      </c>
      <c r="C2423" t="s">
        <v>271</v>
      </c>
      <c r="D2423">
        <v>26</v>
      </c>
      <c r="E2423">
        <v>2</v>
      </c>
      <c r="F2423">
        <v>1</v>
      </c>
      <c r="G2423" t="s">
        <v>50</v>
      </c>
      <c r="H2423" s="1">
        <v>8</v>
      </c>
      <c r="I2423" s="1">
        <v>58</v>
      </c>
      <c r="J2423" s="1">
        <v>62</v>
      </c>
      <c r="K2423" s="1">
        <f t="shared" si="120"/>
        <v>4</v>
      </c>
      <c r="L2423" s="1">
        <v>143</v>
      </c>
      <c r="M2423" s="1">
        <v>80</v>
      </c>
      <c r="N2423" s="1">
        <v>2</v>
      </c>
      <c r="O2423" s="1">
        <v>3.5</v>
      </c>
      <c r="P2423" s="1">
        <v>4</v>
      </c>
      <c r="Q2423" s="2">
        <v>0.33570000000000005</v>
      </c>
      <c r="R2423" s="1">
        <v>4</v>
      </c>
      <c r="S2423" s="1">
        <f t="shared" si="121"/>
        <v>1</v>
      </c>
      <c r="T2423" s="1">
        <v>3</v>
      </c>
      <c r="U2423" s="1">
        <v>10.7</v>
      </c>
      <c r="V2423" s="1">
        <v>1253.9821176470589</v>
      </c>
      <c r="W2423" s="1">
        <v>5</v>
      </c>
    </row>
    <row r="2424" spans="1:23" x14ac:dyDescent="0.2">
      <c r="A2424">
        <v>2022</v>
      </c>
      <c r="B2424" t="s">
        <v>23</v>
      </c>
      <c r="C2424" t="s">
        <v>271</v>
      </c>
      <c r="D2424">
        <v>27</v>
      </c>
      <c r="E2424">
        <v>1</v>
      </c>
      <c r="F2424">
        <v>12</v>
      </c>
      <c r="G2424" t="s">
        <v>51</v>
      </c>
      <c r="H2424" s="1">
        <v>5</v>
      </c>
      <c r="I2424" s="1">
        <v>62</v>
      </c>
      <c r="J2424" s="1">
        <v>65</v>
      </c>
      <c r="K2424" s="1">
        <f t="shared" si="120"/>
        <v>3</v>
      </c>
      <c r="L2424" s="1">
        <v>197</v>
      </c>
      <c r="M2424" s="1">
        <v>110</v>
      </c>
      <c r="N2424" s="1">
        <v>2</v>
      </c>
      <c r="O2424" s="1">
        <v>3</v>
      </c>
      <c r="P2424" s="1">
        <v>5</v>
      </c>
      <c r="Q2424" s="2">
        <v>0.315</v>
      </c>
      <c r="R2424" s="1">
        <v>3</v>
      </c>
      <c r="S2424" s="1">
        <f t="shared" si="121"/>
        <v>0.6</v>
      </c>
      <c r="T2424" s="1">
        <v>3</v>
      </c>
      <c r="U2424" s="1">
        <v>12.5</v>
      </c>
      <c r="V2424" s="1">
        <v>1152.9411764705883</v>
      </c>
      <c r="W2424" s="1">
        <v>2</v>
      </c>
    </row>
    <row r="2425" spans="1:23" x14ac:dyDescent="0.2">
      <c r="A2425">
        <v>2022</v>
      </c>
      <c r="B2425" t="s">
        <v>23</v>
      </c>
      <c r="C2425" t="s">
        <v>271</v>
      </c>
      <c r="D2425">
        <v>27</v>
      </c>
      <c r="E2425">
        <v>2</v>
      </c>
      <c r="F2425">
        <v>11</v>
      </c>
      <c r="G2425" t="s">
        <v>51</v>
      </c>
      <c r="H2425" s="1">
        <v>4</v>
      </c>
      <c r="I2425" s="1">
        <v>66</v>
      </c>
      <c r="J2425" s="1">
        <v>69</v>
      </c>
      <c r="K2425" s="1">
        <f t="shared" si="120"/>
        <v>3</v>
      </c>
      <c r="L2425" s="1">
        <v>167</v>
      </c>
      <c r="M2425" s="1">
        <v>73</v>
      </c>
      <c r="N2425" s="1">
        <v>2</v>
      </c>
      <c r="O2425" s="1">
        <v>3.5</v>
      </c>
      <c r="P2425" s="1">
        <v>2</v>
      </c>
      <c r="Q2425" s="2">
        <v>0.18680000000000002</v>
      </c>
      <c r="R2425" s="1">
        <v>2</v>
      </c>
      <c r="S2425" s="1">
        <f t="shared" si="121"/>
        <v>1</v>
      </c>
      <c r="T2425" s="1">
        <v>5</v>
      </c>
      <c r="U2425" s="1">
        <v>10.5</v>
      </c>
      <c r="V2425" s="1">
        <v>699.34013071895436</v>
      </c>
      <c r="W2425" s="1">
        <v>4</v>
      </c>
    </row>
    <row r="2426" spans="1:23" x14ac:dyDescent="0.2">
      <c r="A2426">
        <v>2022</v>
      </c>
      <c r="B2426" t="s">
        <v>23</v>
      </c>
      <c r="C2426" t="s">
        <v>271</v>
      </c>
      <c r="D2426">
        <v>28</v>
      </c>
      <c r="E2426">
        <v>1</v>
      </c>
      <c r="F2426">
        <v>8</v>
      </c>
      <c r="G2426" t="s">
        <v>52</v>
      </c>
      <c r="H2426" s="1">
        <v>6</v>
      </c>
      <c r="I2426" s="1">
        <v>58</v>
      </c>
      <c r="J2426" s="1">
        <v>62</v>
      </c>
      <c r="K2426" s="1">
        <f t="shared" si="120"/>
        <v>4</v>
      </c>
      <c r="L2426" s="1">
        <v>123</v>
      </c>
      <c r="M2426" s="1">
        <v>51</v>
      </c>
      <c r="N2426" s="1">
        <v>2</v>
      </c>
      <c r="O2426" s="1">
        <v>4</v>
      </c>
      <c r="P2426" s="1">
        <v>6</v>
      </c>
      <c r="Q2426" s="2">
        <v>0.64200000000000002</v>
      </c>
      <c r="R2426" s="1">
        <v>6</v>
      </c>
      <c r="S2426" s="1">
        <f t="shared" si="121"/>
        <v>1</v>
      </c>
      <c r="T2426" s="1">
        <v>3</v>
      </c>
      <c r="U2426" s="1">
        <v>12.5</v>
      </c>
      <c r="V2426" s="1">
        <v>2349.8039215686276</v>
      </c>
      <c r="W2426" s="1">
        <v>4</v>
      </c>
    </row>
    <row r="2427" spans="1:23" x14ac:dyDescent="0.2">
      <c r="A2427">
        <v>2022</v>
      </c>
      <c r="B2427" t="s">
        <v>23</v>
      </c>
      <c r="C2427" t="s">
        <v>271</v>
      </c>
      <c r="D2427">
        <v>28</v>
      </c>
      <c r="E2427">
        <v>2</v>
      </c>
      <c r="F2427">
        <v>15</v>
      </c>
      <c r="G2427" t="s">
        <v>52</v>
      </c>
      <c r="H2427" s="1">
        <v>11</v>
      </c>
      <c r="I2427" s="1">
        <v>64</v>
      </c>
      <c r="J2427" s="1">
        <v>69</v>
      </c>
      <c r="K2427" s="1">
        <f t="shared" si="120"/>
        <v>5</v>
      </c>
      <c r="L2427" s="1">
        <v>165</v>
      </c>
      <c r="M2427" s="1">
        <v>73</v>
      </c>
      <c r="N2427" s="1">
        <v>2</v>
      </c>
      <c r="O2427" s="1">
        <v>2.5</v>
      </c>
      <c r="P2427" s="1">
        <v>11</v>
      </c>
      <c r="Q2427" s="2">
        <v>0.38100000000000001</v>
      </c>
      <c r="R2427" s="1">
        <v>9</v>
      </c>
      <c r="S2427" s="1">
        <f t="shared" si="121"/>
        <v>0.81818181818181823</v>
      </c>
      <c r="T2427" s="1">
        <v>5</v>
      </c>
      <c r="U2427" s="1">
        <v>12.5</v>
      </c>
      <c r="V2427" s="1">
        <v>1394.5098039215686</v>
      </c>
      <c r="W2427" s="1">
        <v>6</v>
      </c>
    </row>
    <row r="2428" spans="1:23" x14ac:dyDescent="0.2">
      <c r="A2428">
        <v>2022</v>
      </c>
      <c r="B2428" t="s">
        <v>23</v>
      </c>
      <c r="C2428" t="s">
        <v>271</v>
      </c>
      <c r="D2428">
        <v>29</v>
      </c>
      <c r="E2428">
        <v>1</v>
      </c>
      <c r="F2428">
        <v>1</v>
      </c>
      <c r="G2428" t="s">
        <v>53</v>
      </c>
      <c r="H2428" s="1">
        <v>2</v>
      </c>
      <c r="I2428" s="1">
        <v>70</v>
      </c>
      <c r="J2428" s="1">
        <v>74</v>
      </c>
      <c r="K2428" s="1">
        <f t="shared" si="120"/>
        <v>4</v>
      </c>
      <c r="L2428" s="1">
        <v>103</v>
      </c>
      <c r="M2428" s="1">
        <v>58</v>
      </c>
      <c r="N2428" s="1">
        <v>2</v>
      </c>
      <c r="O2428" s="1">
        <v>3</v>
      </c>
      <c r="P2428" s="1">
        <v>2</v>
      </c>
      <c r="Q2428" s="2">
        <v>0.21048</v>
      </c>
      <c r="R2428" s="1">
        <v>2</v>
      </c>
      <c r="S2428" s="1">
        <f t="shared" si="121"/>
        <v>1</v>
      </c>
      <c r="T2428" s="1">
        <v>3</v>
      </c>
      <c r="U2428" s="1">
        <v>12.5</v>
      </c>
      <c r="V2428" s="1">
        <v>770.3843137254903</v>
      </c>
      <c r="W2428" s="1">
        <v>3</v>
      </c>
    </row>
    <row r="2429" spans="1:23" x14ac:dyDescent="0.2">
      <c r="A2429">
        <v>2022</v>
      </c>
      <c r="B2429" t="s">
        <v>23</v>
      </c>
      <c r="C2429" t="s">
        <v>271</v>
      </c>
      <c r="D2429">
        <v>29</v>
      </c>
      <c r="E2429">
        <v>2</v>
      </c>
      <c r="F2429">
        <v>11</v>
      </c>
      <c r="G2429" t="s">
        <v>53</v>
      </c>
      <c r="H2429" s="1">
        <v>9</v>
      </c>
      <c r="I2429" s="1">
        <v>68</v>
      </c>
      <c r="J2429" s="1">
        <v>71</v>
      </c>
      <c r="K2429" s="1">
        <f t="shared" si="120"/>
        <v>3</v>
      </c>
      <c r="L2429" s="1">
        <v>180</v>
      </c>
      <c r="M2429" s="1">
        <v>75</v>
      </c>
      <c r="N2429" s="1">
        <v>2</v>
      </c>
      <c r="O2429" s="1">
        <v>3</v>
      </c>
      <c r="P2429" s="1">
        <v>9</v>
      </c>
      <c r="Q2429" s="2">
        <v>0.23599999999999999</v>
      </c>
      <c r="R2429" s="1">
        <v>6</v>
      </c>
      <c r="S2429" s="1">
        <f t="shared" si="121"/>
        <v>0.66666666666666663</v>
      </c>
      <c r="T2429" s="1">
        <v>5</v>
      </c>
      <c r="U2429" s="1">
        <v>12.5</v>
      </c>
      <c r="V2429" s="1">
        <v>863.79084967320262</v>
      </c>
      <c r="W2429" s="1">
        <v>5</v>
      </c>
    </row>
    <row r="2430" spans="1:23" x14ac:dyDescent="0.2">
      <c r="A2430">
        <v>2022</v>
      </c>
      <c r="B2430" t="s">
        <v>23</v>
      </c>
      <c r="C2430" t="s">
        <v>271</v>
      </c>
      <c r="D2430">
        <v>30</v>
      </c>
      <c r="E2430">
        <v>1</v>
      </c>
      <c r="F2430">
        <v>10</v>
      </c>
      <c r="G2430" t="s">
        <v>54</v>
      </c>
      <c r="H2430" s="1">
        <v>10</v>
      </c>
      <c r="I2430" s="1">
        <v>59</v>
      </c>
      <c r="J2430" s="1">
        <v>64</v>
      </c>
      <c r="K2430" s="1">
        <f t="shared" si="120"/>
        <v>5</v>
      </c>
      <c r="L2430" s="1">
        <v>128</v>
      </c>
      <c r="M2430" s="1">
        <v>100</v>
      </c>
      <c r="N2430" s="1">
        <v>2</v>
      </c>
      <c r="O2430" s="1">
        <v>3.5</v>
      </c>
      <c r="P2430" s="1">
        <v>9</v>
      </c>
      <c r="Q2430" s="2">
        <v>0.68200000000000005</v>
      </c>
      <c r="R2430" s="1">
        <v>9</v>
      </c>
      <c r="S2430" s="1">
        <f t="shared" si="121"/>
        <v>1</v>
      </c>
      <c r="T2430" s="1">
        <v>5</v>
      </c>
      <c r="U2430" s="1">
        <v>12.5</v>
      </c>
      <c r="V2430" s="1">
        <v>2496.209150326797</v>
      </c>
      <c r="W2430" s="1">
        <v>5</v>
      </c>
    </row>
    <row r="2431" spans="1:23" x14ac:dyDescent="0.2">
      <c r="A2431">
        <v>2022</v>
      </c>
      <c r="B2431" t="s">
        <v>23</v>
      </c>
      <c r="C2431" t="s">
        <v>271</v>
      </c>
      <c r="D2431">
        <v>30</v>
      </c>
      <c r="E2431">
        <v>2</v>
      </c>
      <c r="F2431">
        <v>9</v>
      </c>
      <c r="G2431" t="s">
        <v>54</v>
      </c>
      <c r="H2431" s="1">
        <v>5</v>
      </c>
      <c r="I2431" s="1">
        <v>71</v>
      </c>
      <c r="J2431" s="1">
        <v>75</v>
      </c>
      <c r="K2431" s="1">
        <f t="shared" si="120"/>
        <v>4</v>
      </c>
      <c r="L2431" s="1">
        <v>133</v>
      </c>
      <c r="M2431" s="1">
        <v>42</v>
      </c>
      <c r="N2431" s="1">
        <v>3</v>
      </c>
      <c r="O2431" s="1">
        <v>4.5</v>
      </c>
      <c r="P2431" s="1">
        <v>2</v>
      </c>
      <c r="Q2431" s="2">
        <v>9.4399999999999998E-2</v>
      </c>
      <c r="R2431" s="1">
        <v>2</v>
      </c>
      <c r="S2431" s="1">
        <f t="shared" si="121"/>
        <v>1</v>
      </c>
      <c r="T2431" s="1">
        <v>5</v>
      </c>
      <c r="U2431" s="1">
        <v>12.5</v>
      </c>
      <c r="V2431" s="1">
        <v>345.51633986928101</v>
      </c>
      <c r="W2431" s="1">
        <v>5</v>
      </c>
    </row>
    <row r="2432" spans="1:23" x14ac:dyDescent="0.2">
      <c r="A2432">
        <v>2022</v>
      </c>
      <c r="B2432" t="s">
        <v>23</v>
      </c>
      <c r="C2432" t="s">
        <v>271</v>
      </c>
      <c r="D2432">
        <v>31</v>
      </c>
      <c r="E2432">
        <v>1</v>
      </c>
      <c r="F2432">
        <v>5</v>
      </c>
      <c r="G2432" t="s">
        <v>55</v>
      </c>
      <c r="H2432">
        <v>15</v>
      </c>
      <c r="I2432">
        <v>55</v>
      </c>
      <c r="J2432">
        <v>59</v>
      </c>
      <c r="K2432">
        <v>4</v>
      </c>
      <c r="L2432">
        <v>156</v>
      </c>
      <c r="M2432">
        <v>94</v>
      </c>
      <c r="N2432">
        <v>1</v>
      </c>
      <c r="O2432">
        <v>1.5</v>
      </c>
      <c r="P2432">
        <v>13</v>
      </c>
      <c r="Q2432">
        <v>1.4</v>
      </c>
      <c r="R2432">
        <v>13</v>
      </c>
      <c r="S2432">
        <v>1</v>
      </c>
      <c r="T2432">
        <v>2</v>
      </c>
      <c r="U2432">
        <v>10.5</v>
      </c>
      <c r="V2432">
        <v>5241.3071895424837</v>
      </c>
      <c r="W2432">
        <v>1</v>
      </c>
    </row>
    <row r="2433" spans="1:23" x14ac:dyDescent="0.2">
      <c r="A2433">
        <v>2022</v>
      </c>
      <c r="B2433" t="s">
        <v>23</v>
      </c>
      <c r="C2433" t="s">
        <v>271</v>
      </c>
      <c r="D2433">
        <v>31</v>
      </c>
      <c r="E2433">
        <v>2</v>
      </c>
      <c r="F2433">
        <v>3</v>
      </c>
      <c r="G2433" t="s">
        <v>55</v>
      </c>
      <c r="H2433" s="1">
        <v>3</v>
      </c>
      <c r="I2433" s="1">
        <v>59</v>
      </c>
      <c r="J2433" s="1">
        <v>62</v>
      </c>
      <c r="K2433" s="1">
        <f>J2433-I2433</f>
        <v>3</v>
      </c>
      <c r="L2433" s="1">
        <v>162</v>
      </c>
      <c r="M2433" s="1">
        <v>82</v>
      </c>
      <c r="N2433" s="1">
        <v>2</v>
      </c>
      <c r="O2433" s="1">
        <v>2</v>
      </c>
      <c r="P2433" s="1">
        <v>3</v>
      </c>
      <c r="Q2433" s="2">
        <v>0.47399999999999998</v>
      </c>
      <c r="R2433" s="1">
        <v>3</v>
      </c>
      <c r="S2433" s="1">
        <f>R2433/P2433</f>
        <v>1</v>
      </c>
      <c r="T2433" s="1">
        <v>2</v>
      </c>
      <c r="U2433" s="1">
        <v>9.6</v>
      </c>
      <c r="V2433" s="1">
        <v>1792.4015686274513</v>
      </c>
      <c r="W2433" s="1">
        <v>4</v>
      </c>
    </row>
    <row r="2434" spans="1:23" x14ac:dyDescent="0.2">
      <c r="A2434">
        <v>2022</v>
      </c>
      <c r="B2434" t="s">
        <v>23</v>
      </c>
      <c r="C2434" t="s">
        <v>271</v>
      </c>
      <c r="D2434">
        <v>32</v>
      </c>
      <c r="E2434">
        <v>1</v>
      </c>
      <c r="F2434">
        <v>8</v>
      </c>
      <c r="G2434" t="s">
        <v>56</v>
      </c>
      <c r="H2434" s="1">
        <v>11</v>
      </c>
      <c r="I2434" s="1">
        <v>65</v>
      </c>
      <c r="J2434" s="1">
        <v>69</v>
      </c>
      <c r="K2434" s="1">
        <f>J2434-I2434</f>
        <v>4</v>
      </c>
      <c r="L2434" s="1">
        <v>168</v>
      </c>
      <c r="M2434" s="1">
        <v>75</v>
      </c>
      <c r="N2434" s="1">
        <v>2</v>
      </c>
      <c r="O2434" s="1">
        <v>3.5</v>
      </c>
      <c r="P2434" s="1">
        <v>10</v>
      </c>
      <c r="Q2434" s="2">
        <v>0.16839999999999999</v>
      </c>
      <c r="R2434" s="1">
        <v>3</v>
      </c>
      <c r="S2434" s="1">
        <f>R2434/P2434</f>
        <v>0.3</v>
      </c>
      <c r="T2434" s="1">
        <v>5</v>
      </c>
      <c r="U2434" s="1">
        <v>12.5</v>
      </c>
      <c r="V2434" s="1">
        <v>616.3660130718954</v>
      </c>
      <c r="W2434" s="1">
        <v>4</v>
      </c>
    </row>
    <row r="2435" spans="1:23" x14ac:dyDescent="0.2">
      <c r="A2435">
        <v>2022</v>
      </c>
      <c r="B2435" t="s">
        <v>23</v>
      </c>
      <c r="C2435" t="s">
        <v>271</v>
      </c>
      <c r="D2435">
        <v>32</v>
      </c>
      <c r="E2435">
        <v>2</v>
      </c>
      <c r="F2435">
        <v>9</v>
      </c>
      <c r="G2435" t="s">
        <v>56</v>
      </c>
      <c r="H2435" s="1">
        <v>6</v>
      </c>
      <c r="I2435" s="1">
        <v>72</v>
      </c>
      <c r="J2435" s="1">
        <v>76</v>
      </c>
      <c r="K2435" s="1">
        <f>J2435-I2435</f>
        <v>4</v>
      </c>
      <c r="L2435" s="1">
        <v>126</v>
      </c>
      <c r="M2435" s="1">
        <v>41</v>
      </c>
      <c r="N2435" s="1">
        <v>2</v>
      </c>
      <c r="O2435" s="1">
        <v>4</v>
      </c>
      <c r="P2435" s="1">
        <v>5</v>
      </c>
      <c r="Q2435" s="2">
        <v>0.14399999999999999</v>
      </c>
      <c r="R2435" s="1">
        <v>5</v>
      </c>
      <c r="S2435" s="1">
        <f>R2435/P2435</f>
        <v>1</v>
      </c>
      <c r="T2435" s="1">
        <v>4.5</v>
      </c>
      <c r="U2435" s="1">
        <v>12.5</v>
      </c>
      <c r="V2435" s="1">
        <v>527.05882352941182</v>
      </c>
      <c r="W2435" s="1">
        <v>5</v>
      </c>
    </row>
    <row r="2436" spans="1:23" x14ac:dyDescent="0.2">
      <c r="A2436">
        <v>2022</v>
      </c>
      <c r="B2436" t="s">
        <v>23</v>
      </c>
      <c r="C2436" t="s">
        <v>271</v>
      </c>
      <c r="D2436">
        <v>33</v>
      </c>
      <c r="E2436">
        <v>1</v>
      </c>
      <c r="F2436">
        <v>14</v>
      </c>
      <c r="G2436" t="s">
        <v>57</v>
      </c>
      <c r="H2436" s="1">
        <v>2</v>
      </c>
      <c r="I2436" s="1">
        <v>57</v>
      </c>
      <c r="J2436" s="1">
        <v>60</v>
      </c>
      <c r="K2436" s="1">
        <f>J2436-I2436</f>
        <v>3</v>
      </c>
      <c r="L2436" s="1">
        <v>110</v>
      </c>
      <c r="M2436" s="1">
        <v>52</v>
      </c>
      <c r="N2436" s="1">
        <v>2</v>
      </c>
      <c r="O2436" s="1">
        <v>2.5</v>
      </c>
      <c r="P2436" s="1">
        <v>2</v>
      </c>
      <c r="Q2436" s="2">
        <v>0.24149999999999999</v>
      </c>
      <c r="R2436" s="1">
        <v>3</v>
      </c>
      <c r="S2436" s="1">
        <f>R2436/P2436</f>
        <v>1.5</v>
      </c>
      <c r="T2436" s="1">
        <v>3</v>
      </c>
      <c r="U2436" s="1">
        <v>10.1</v>
      </c>
      <c r="V2436" s="1">
        <v>908.166274509804</v>
      </c>
      <c r="W2436" s="1">
        <v>4</v>
      </c>
    </row>
    <row r="2437" spans="1:23" x14ac:dyDescent="0.2">
      <c r="A2437">
        <v>2022</v>
      </c>
      <c r="B2437" t="s">
        <v>23</v>
      </c>
      <c r="C2437" t="s">
        <v>271</v>
      </c>
      <c r="D2437">
        <v>33</v>
      </c>
      <c r="E2437">
        <v>2</v>
      </c>
      <c r="F2437">
        <v>8</v>
      </c>
      <c r="G2437" t="s">
        <v>57</v>
      </c>
      <c r="H2437">
        <v>16</v>
      </c>
      <c r="I2437">
        <v>55</v>
      </c>
      <c r="J2437">
        <v>58</v>
      </c>
      <c r="K2437">
        <v>3</v>
      </c>
      <c r="L2437">
        <v>170</v>
      </c>
      <c r="M2437">
        <v>91</v>
      </c>
      <c r="N2437">
        <v>2</v>
      </c>
      <c r="O2437">
        <v>2.5</v>
      </c>
      <c r="P2437">
        <v>12</v>
      </c>
      <c r="Q2437">
        <v>0.3</v>
      </c>
      <c r="R2437">
        <v>8</v>
      </c>
      <c r="S2437">
        <v>0.66666666666666663</v>
      </c>
      <c r="T2437">
        <v>3</v>
      </c>
      <c r="U2437">
        <v>10.7</v>
      </c>
      <c r="V2437">
        <v>1120.6274509803923</v>
      </c>
      <c r="W2437">
        <v>2</v>
      </c>
    </row>
    <row r="2438" spans="1:23" x14ac:dyDescent="0.2">
      <c r="A2438">
        <v>2022</v>
      </c>
      <c r="B2438" t="s">
        <v>23</v>
      </c>
      <c r="C2438" t="s">
        <v>271</v>
      </c>
      <c r="D2438">
        <v>34</v>
      </c>
      <c r="E2438">
        <v>1</v>
      </c>
      <c r="F2438">
        <v>6</v>
      </c>
      <c r="G2438" t="s">
        <v>58</v>
      </c>
      <c r="H2438" s="1">
        <v>14</v>
      </c>
      <c r="I2438" s="1">
        <v>66</v>
      </c>
      <c r="J2438" s="1">
        <v>71</v>
      </c>
      <c r="K2438" s="1">
        <f>J2438-I2438</f>
        <v>5</v>
      </c>
      <c r="L2438" s="1">
        <v>147</v>
      </c>
      <c r="M2438" s="1">
        <v>90</v>
      </c>
      <c r="N2438" s="1">
        <v>2</v>
      </c>
      <c r="O2438" s="1">
        <v>2.5</v>
      </c>
      <c r="P2438" s="1">
        <f>H2438</f>
        <v>14</v>
      </c>
      <c r="Q2438" s="2">
        <v>0.105</v>
      </c>
      <c r="R2438" s="1">
        <v>14</v>
      </c>
      <c r="S2438" s="1">
        <f>R2438/P2438</f>
        <v>1</v>
      </c>
      <c r="T2438" s="1">
        <v>5</v>
      </c>
      <c r="U2438" s="1">
        <v>12.5</v>
      </c>
      <c r="V2438" s="1">
        <v>384.31372549019608</v>
      </c>
      <c r="W2438" s="1">
        <v>5</v>
      </c>
    </row>
    <row r="2439" spans="1:23" x14ac:dyDescent="0.2">
      <c r="A2439">
        <v>2022</v>
      </c>
      <c r="B2439" t="s">
        <v>23</v>
      </c>
      <c r="C2439" t="s">
        <v>271</v>
      </c>
      <c r="D2439">
        <v>34</v>
      </c>
      <c r="E2439">
        <v>2</v>
      </c>
      <c r="F2439">
        <v>3</v>
      </c>
      <c r="G2439" t="s">
        <v>58</v>
      </c>
      <c r="H2439">
        <v>4</v>
      </c>
      <c r="I2439">
        <v>51</v>
      </c>
      <c r="J2439">
        <v>57</v>
      </c>
      <c r="K2439">
        <v>6</v>
      </c>
      <c r="L2439">
        <v>65</v>
      </c>
      <c r="M2439">
        <v>13</v>
      </c>
      <c r="N2439">
        <v>3</v>
      </c>
      <c r="O2439">
        <v>3</v>
      </c>
      <c r="P2439">
        <v>4</v>
      </c>
      <c r="Q2439">
        <v>0.4</v>
      </c>
      <c r="R2439">
        <v>3</v>
      </c>
      <c r="S2439">
        <v>0.75</v>
      </c>
      <c r="T2439">
        <v>4</v>
      </c>
      <c r="U2439">
        <v>12.5</v>
      </c>
      <c r="V2439">
        <v>1464.0522875816994</v>
      </c>
      <c r="W2439">
        <v>2</v>
      </c>
    </row>
    <row r="2440" spans="1:23" x14ac:dyDescent="0.2">
      <c r="A2440">
        <v>2022</v>
      </c>
      <c r="B2440" t="s">
        <v>23</v>
      </c>
      <c r="C2440" t="s">
        <v>271</v>
      </c>
      <c r="D2440">
        <v>35</v>
      </c>
      <c r="E2440">
        <v>1</v>
      </c>
      <c r="F2440">
        <v>9</v>
      </c>
      <c r="G2440" t="s">
        <v>59</v>
      </c>
      <c r="H2440" s="1">
        <v>8</v>
      </c>
      <c r="I2440" s="1">
        <v>58</v>
      </c>
      <c r="J2440" s="1">
        <v>62</v>
      </c>
      <c r="K2440" s="1">
        <f>J2440-I2440</f>
        <v>4</v>
      </c>
      <c r="L2440" s="1">
        <v>123</v>
      </c>
      <c r="M2440" s="1">
        <v>45</v>
      </c>
      <c r="N2440" s="1">
        <v>3</v>
      </c>
      <c r="O2440" s="1">
        <v>4</v>
      </c>
      <c r="P2440" s="1">
        <v>6</v>
      </c>
      <c r="Q2440" s="2">
        <v>7.9200000000000007E-2</v>
      </c>
      <c r="R2440" s="1">
        <v>6</v>
      </c>
      <c r="S2440" s="1">
        <f>R2440/P2440</f>
        <v>1</v>
      </c>
      <c r="T2440" s="1">
        <v>5</v>
      </c>
      <c r="U2440" s="1">
        <v>12.5</v>
      </c>
      <c r="V2440" s="1">
        <v>289.88235294117646</v>
      </c>
      <c r="W2440" s="1">
        <v>4</v>
      </c>
    </row>
    <row r="2441" spans="1:23" x14ac:dyDescent="0.2">
      <c r="A2441">
        <v>2022</v>
      </c>
      <c r="B2441" t="s">
        <v>23</v>
      </c>
      <c r="C2441" t="s">
        <v>271</v>
      </c>
      <c r="D2441">
        <v>35</v>
      </c>
      <c r="E2441">
        <v>2</v>
      </c>
      <c r="F2441">
        <v>9</v>
      </c>
      <c r="G2441" t="s">
        <v>59</v>
      </c>
      <c r="H2441" s="1">
        <v>12</v>
      </c>
      <c r="I2441" s="1">
        <v>60</v>
      </c>
      <c r="J2441" s="1">
        <v>63</v>
      </c>
      <c r="K2441" s="1">
        <f>J2441-I2441</f>
        <v>3</v>
      </c>
      <c r="L2441" s="1">
        <v>153</v>
      </c>
      <c r="M2441" s="1">
        <v>70</v>
      </c>
      <c r="N2441" s="5" t="s">
        <v>273</v>
      </c>
      <c r="O2441" s="1">
        <v>2.5</v>
      </c>
      <c r="P2441" s="1">
        <v>10</v>
      </c>
      <c r="Q2441" s="2">
        <v>0.36749999999999999</v>
      </c>
      <c r="R2441" s="1">
        <v>10</v>
      </c>
      <c r="S2441" s="1">
        <f>R2441/P2441</f>
        <v>1</v>
      </c>
      <c r="T2441" s="1">
        <v>5</v>
      </c>
      <c r="U2441" s="1">
        <v>8.6999999999999993</v>
      </c>
      <c r="V2441" s="1">
        <v>1403.5137254901956</v>
      </c>
      <c r="W2441" s="1">
        <v>5</v>
      </c>
    </row>
    <row r="2442" spans="1:23" x14ac:dyDescent="0.2">
      <c r="A2442">
        <v>2022</v>
      </c>
      <c r="B2442" t="s">
        <v>23</v>
      </c>
      <c r="C2442" t="s">
        <v>271</v>
      </c>
      <c r="D2442">
        <v>36</v>
      </c>
      <c r="E2442">
        <v>1</v>
      </c>
      <c r="F2442">
        <v>2</v>
      </c>
      <c r="G2442" t="s">
        <v>60</v>
      </c>
      <c r="H2442" s="1">
        <v>12</v>
      </c>
      <c r="I2442" s="1">
        <v>62</v>
      </c>
      <c r="J2442" s="1">
        <v>66</v>
      </c>
      <c r="K2442" s="1">
        <f>J2442-I2442</f>
        <v>4</v>
      </c>
      <c r="L2442" s="1">
        <v>168</v>
      </c>
      <c r="M2442" s="1">
        <v>78</v>
      </c>
      <c r="N2442" s="1">
        <v>2</v>
      </c>
      <c r="O2442" s="1">
        <v>2.5</v>
      </c>
      <c r="P2442" s="1">
        <v>12</v>
      </c>
      <c r="Q2442" s="2">
        <v>5.8199999999999995E-2</v>
      </c>
      <c r="R2442" s="1">
        <v>9</v>
      </c>
      <c r="S2442" s="1">
        <f>R2442/P2442</f>
        <v>0.75</v>
      </c>
      <c r="T2442" s="1">
        <v>5</v>
      </c>
      <c r="U2442" s="1">
        <v>7.5</v>
      </c>
      <c r="V2442" s="1">
        <v>225.19215686274509</v>
      </c>
      <c r="W2442" s="1">
        <v>4</v>
      </c>
    </row>
    <row r="2443" spans="1:23" x14ac:dyDescent="0.2">
      <c r="A2443">
        <v>2022</v>
      </c>
      <c r="B2443" t="s">
        <v>23</v>
      </c>
      <c r="C2443" t="s">
        <v>271</v>
      </c>
      <c r="D2443">
        <v>36</v>
      </c>
      <c r="E2443">
        <v>2</v>
      </c>
      <c r="F2443">
        <v>13</v>
      </c>
      <c r="G2443" t="s">
        <v>60</v>
      </c>
      <c r="H2443">
        <v>4</v>
      </c>
      <c r="I2443">
        <v>63</v>
      </c>
      <c r="J2443">
        <v>65</v>
      </c>
      <c r="K2443">
        <v>2</v>
      </c>
      <c r="L2443">
        <v>155</v>
      </c>
      <c r="M2443">
        <v>70</v>
      </c>
      <c r="N2443">
        <v>1.5</v>
      </c>
      <c r="O2443">
        <v>2</v>
      </c>
      <c r="P2443">
        <v>4</v>
      </c>
      <c r="Q2443">
        <v>1</v>
      </c>
      <c r="R2443">
        <v>5</v>
      </c>
      <c r="S2443">
        <v>1.25</v>
      </c>
      <c r="T2443">
        <v>2.5</v>
      </c>
      <c r="U2443">
        <v>12.5</v>
      </c>
      <c r="V2443">
        <v>3660.1307189542486</v>
      </c>
      <c r="W2443">
        <v>1</v>
      </c>
    </row>
    <row r="2444" spans="1:23" x14ac:dyDescent="0.2">
      <c r="A2444">
        <v>2022</v>
      </c>
      <c r="B2444" t="s">
        <v>23</v>
      </c>
      <c r="C2444" t="s">
        <v>271</v>
      </c>
      <c r="D2444">
        <v>37</v>
      </c>
      <c r="E2444">
        <v>1</v>
      </c>
      <c r="F2444">
        <v>14</v>
      </c>
      <c r="G2444" t="s">
        <v>61</v>
      </c>
      <c r="H2444">
        <v>13</v>
      </c>
      <c r="I2444">
        <v>56</v>
      </c>
      <c r="J2444">
        <v>60</v>
      </c>
      <c r="K2444">
        <v>4</v>
      </c>
      <c r="L2444">
        <v>90</v>
      </c>
      <c r="M2444">
        <v>28</v>
      </c>
      <c r="N2444">
        <v>2</v>
      </c>
      <c r="O2444">
        <v>3</v>
      </c>
      <c r="P2444">
        <v>13</v>
      </c>
      <c r="Q2444">
        <v>1.6</v>
      </c>
      <c r="R2444">
        <v>13</v>
      </c>
      <c r="S2444">
        <v>1</v>
      </c>
      <c r="T2444">
        <v>3</v>
      </c>
      <c r="U2444">
        <v>12.5</v>
      </c>
      <c r="V2444">
        <v>5856.2091503267975</v>
      </c>
      <c r="W2444">
        <v>2</v>
      </c>
    </row>
    <row r="2445" spans="1:23" x14ac:dyDescent="0.2">
      <c r="A2445">
        <v>2022</v>
      </c>
      <c r="B2445" t="s">
        <v>23</v>
      </c>
      <c r="C2445" t="s">
        <v>271</v>
      </c>
      <c r="D2445">
        <v>37</v>
      </c>
      <c r="E2445">
        <v>2</v>
      </c>
      <c r="F2445">
        <v>15</v>
      </c>
      <c r="G2445" t="s">
        <v>61</v>
      </c>
      <c r="H2445" s="1">
        <v>8</v>
      </c>
      <c r="I2445" s="1">
        <v>57</v>
      </c>
      <c r="J2445" s="1">
        <v>62</v>
      </c>
      <c r="K2445" s="1">
        <f>J2445-I2445</f>
        <v>5</v>
      </c>
      <c r="L2445" s="1">
        <v>158</v>
      </c>
      <c r="M2445" s="1">
        <v>82</v>
      </c>
      <c r="N2445" s="1">
        <v>2</v>
      </c>
      <c r="O2445" s="1">
        <v>3.5</v>
      </c>
      <c r="P2445" s="1">
        <v>8</v>
      </c>
      <c r="Q2445" s="2">
        <v>0.48160000000000003</v>
      </c>
      <c r="R2445" s="1">
        <v>6</v>
      </c>
      <c r="S2445" s="1">
        <f>R2445/P2445</f>
        <v>0.75</v>
      </c>
      <c r="T2445" s="1">
        <v>5</v>
      </c>
      <c r="U2445" s="1">
        <v>12.5</v>
      </c>
      <c r="V2445" s="1">
        <v>1762.7189542483659</v>
      </c>
      <c r="W2445" s="1">
        <v>3</v>
      </c>
    </row>
    <row r="2446" spans="1:23" x14ac:dyDescent="0.2">
      <c r="A2446">
        <v>2022</v>
      </c>
      <c r="B2446" t="s">
        <v>23</v>
      </c>
      <c r="C2446" t="s">
        <v>271</v>
      </c>
      <c r="D2446">
        <v>38</v>
      </c>
      <c r="E2446">
        <v>1</v>
      </c>
      <c r="F2446">
        <v>5</v>
      </c>
      <c r="G2446" t="s">
        <v>62</v>
      </c>
      <c r="H2446" s="1">
        <v>8</v>
      </c>
      <c r="I2446" s="1">
        <v>59</v>
      </c>
      <c r="J2446" s="1">
        <v>64</v>
      </c>
      <c r="K2446" s="1">
        <f>J2446-I2446</f>
        <v>5</v>
      </c>
      <c r="L2446" s="1">
        <v>100</v>
      </c>
      <c r="M2446" s="1">
        <v>50</v>
      </c>
      <c r="N2446" s="1">
        <v>2</v>
      </c>
      <c r="O2446" s="1">
        <v>4</v>
      </c>
      <c r="P2446" s="1">
        <v>8</v>
      </c>
      <c r="Q2446" s="2">
        <v>0.33</v>
      </c>
      <c r="R2446" s="1">
        <v>6</v>
      </c>
      <c r="S2446" s="1">
        <f>R2446/P2446</f>
        <v>0.75</v>
      </c>
      <c r="T2446" s="1">
        <v>4</v>
      </c>
      <c r="U2446" s="1">
        <v>12.5</v>
      </c>
      <c r="V2446" s="1">
        <v>1207.8431372549019</v>
      </c>
      <c r="W2446" s="1">
        <v>3</v>
      </c>
    </row>
    <row r="2447" spans="1:23" x14ac:dyDescent="0.2">
      <c r="A2447">
        <v>2022</v>
      </c>
      <c r="B2447" t="s">
        <v>23</v>
      </c>
      <c r="C2447" t="s">
        <v>271</v>
      </c>
      <c r="D2447">
        <v>38</v>
      </c>
      <c r="E2447">
        <v>2</v>
      </c>
      <c r="F2447">
        <v>3</v>
      </c>
      <c r="G2447" t="s">
        <v>62</v>
      </c>
      <c r="H2447">
        <v>7</v>
      </c>
      <c r="I2447">
        <v>55</v>
      </c>
      <c r="J2447">
        <v>61</v>
      </c>
      <c r="K2447">
        <v>6</v>
      </c>
      <c r="L2447">
        <v>146</v>
      </c>
      <c r="M2447">
        <v>54</v>
      </c>
      <c r="N2447">
        <v>1</v>
      </c>
      <c r="O2447">
        <v>5</v>
      </c>
      <c r="P2447">
        <v>7</v>
      </c>
      <c r="Q2447">
        <v>0.22989999999999999</v>
      </c>
      <c r="R2447">
        <v>5</v>
      </c>
      <c r="S2447">
        <v>0.7142857142857143</v>
      </c>
      <c r="T2447">
        <v>3</v>
      </c>
      <c r="U2447">
        <v>12.5</v>
      </c>
      <c r="V2447">
        <v>841.46405228758169</v>
      </c>
      <c r="W2447">
        <v>1</v>
      </c>
    </row>
    <row r="2448" spans="1:23" x14ac:dyDescent="0.2">
      <c r="A2448">
        <v>2022</v>
      </c>
      <c r="B2448" t="s">
        <v>23</v>
      </c>
      <c r="C2448" t="s">
        <v>271</v>
      </c>
      <c r="D2448">
        <v>39</v>
      </c>
      <c r="E2448">
        <v>1</v>
      </c>
      <c r="F2448">
        <v>15</v>
      </c>
      <c r="G2448" t="s">
        <v>63</v>
      </c>
      <c r="H2448" s="1">
        <v>12</v>
      </c>
      <c r="I2448" s="1">
        <v>63</v>
      </c>
      <c r="J2448" s="1">
        <v>68</v>
      </c>
      <c r="K2448" s="1">
        <f>J2448-I2448</f>
        <v>5</v>
      </c>
      <c r="L2448" s="1">
        <v>155</v>
      </c>
      <c r="M2448" s="1">
        <v>98</v>
      </c>
      <c r="N2448" s="1">
        <v>1</v>
      </c>
      <c r="O2448" s="1">
        <v>2</v>
      </c>
      <c r="P2448" s="1">
        <v>10</v>
      </c>
      <c r="Q2448" s="2">
        <v>0.12440000000000001</v>
      </c>
      <c r="R2448" s="1">
        <v>10</v>
      </c>
      <c r="S2448" s="1">
        <f>R2448/P2448</f>
        <v>1</v>
      </c>
      <c r="T2448" s="1">
        <v>4</v>
      </c>
      <c r="U2448" s="1">
        <v>7.9</v>
      </c>
      <c r="V2448" s="1">
        <v>479.25709803921575</v>
      </c>
      <c r="W2448" s="1">
        <v>5</v>
      </c>
    </row>
    <row r="2449" spans="1:23" x14ac:dyDescent="0.2">
      <c r="A2449">
        <v>2022</v>
      </c>
      <c r="B2449" t="s">
        <v>23</v>
      </c>
      <c r="C2449" t="s">
        <v>271</v>
      </c>
      <c r="D2449">
        <v>39</v>
      </c>
      <c r="E2449">
        <v>2</v>
      </c>
      <c r="F2449">
        <v>4</v>
      </c>
      <c r="G2449" t="s">
        <v>63</v>
      </c>
      <c r="H2449" s="1">
        <v>1</v>
      </c>
      <c r="I2449" s="1">
        <v>63</v>
      </c>
      <c r="J2449" s="1">
        <v>65</v>
      </c>
      <c r="K2449" s="1">
        <f>J2449-I2449</f>
        <v>2</v>
      </c>
      <c r="L2449" s="1">
        <v>52</v>
      </c>
      <c r="M2449" s="1">
        <v>65</v>
      </c>
      <c r="N2449" s="1">
        <v>1</v>
      </c>
      <c r="O2449" s="1">
        <v>2.5</v>
      </c>
      <c r="P2449" s="1">
        <v>1</v>
      </c>
      <c r="Q2449" s="2">
        <v>9.9000000000000005E-2</v>
      </c>
      <c r="R2449" s="1">
        <v>1</v>
      </c>
      <c r="S2449" s="1">
        <f>R2449/P2449</f>
        <v>1</v>
      </c>
      <c r="T2449" s="1">
        <v>2</v>
      </c>
      <c r="U2449" s="1">
        <v>12.5</v>
      </c>
      <c r="V2449" s="1">
        <v>362.35294117647055</v>
      </c>
      <c r="W2449" s="1">
        <v>3</v>
      </c>
    </row>
    <row r="2450" spans="1:23" x14ac:dyDescent="0.2">
      <c r="A2450">
        <v>2022</v>
      </c>
      <c r="B2450" t="s">
        <v>23</v>
      </c>
      <c r="C2450" t="s">
        <v>271</v>
      </c>
      <c r="D2450">
        <v>40</v>
      </c>
      <c r="E2450">
        <v>1</v>
      </c>
      <c r="F2450">
        <v>12</v>
      </c>
      <c r="G2450" t="s">
        <v>64</v>
      </c>
      <c r="H2450" s="1">
        <v>8</v>
      </c>
      <c r="I2450" s="1">
        <v>66</v>
      </c>
      <c r="J2450" s="1">
        <v>70</v>
      </c>
      <c r="K2450" s="1">
        <f>J2450-I2450</f>
        <v>4</v>
      </c>
      <c r="L2450" s="1">
        <v>156</v>
      </c>
      <c r="M2450" s="1">
        <v>93</v>
      </c>
      <c r="N2450" s="1">
        <v>2</v>
      </c>
      <c r="O2450" s="1">
        <v>3</v>
      </c>
      <c r="P2450" s="1">
        <f>H2450</f>
        <v>8</v>
      </c>
      <c r="Q2450" s="2">
        <v>5.6250000000000001E-2</v>
      </c>
      <c r="R2450" s="1">
        <v>8</v>
      </c>
      <c r="S2450" s="1">
        <f>R2450/P2450</f>
        <v>1</v>
      </c>
      <c r="T2450" s="1">
        <v>5</v>
      </c>
      <c r="U2450" s="1">
        <v>12.5</v>
      </c>
      <c r="V2450" s="1">
        <v>205.88235294117646</v>
      </c>
      <c r="W2450" s="1">
        <v>7</v>
      </c>
    </row>
    <row r="2451" spans="1:23" x14ac:dyDescent="0.2">
      <c r="A2451">
        <v>2022</v>
      </c>
      <c r="B2451" t="s">
        <v>23</v>
      </c>
      <c r="C2451" t="s">
        <v>271</v>
      </c>
      <c r="D2451">
        <v>40</v>
      </c>
      <c r="E2451">
        <v>2</v>
      </c>
      <c r="F2451">
        <v>14</v>
      </c>
      <c r="G2451" t="s">
        <v>64</v>
      </c>
      <c r="H2451">
        <v>10</v>
      </c>
      <c r="I2451">
        <v>60</v>
      </c>
      <c r="J2451">
        <v>63</v>
      </c>
      <c r="K2451">
        <v>3</v>
      </c>
      <c r="L2451">
        <v>88</v>
      </c>
      <c r="M2451">
        <v>32</v>
      </c>
      <c r="N2451">
        <v>1.5</v>
      </c>
      <c r="O2451">
        <v>4</v>
      </c>
      <c r="P2451">
        <v>10</v>
      </c>
      <c r="Q2451">
        <v>1.2</v>
      </c>
      <c r="R2451">
        <v>11</v>
      </c>
      <c r="S2451">
        <v>1.1000000000000001</v>
      </c>
      <c r="T2451">
        <v>2.5</v>
      </c>
      <c r="U2451">
        <v>12.5</v>
      </c>
      <c r="V2451">
        <v>4392.1568627450979</v>
      </c>
      <c r="W2451">
        <v>1</v>
      </c>
    </row>
    <row r="2452" spans="1:23" x14ac:dyDescent="0.2">
      <c r="A2452">
        <v>2022</v>
      </c>
      <c r="B2452" t="s">
        <v>23</v>
      </c>
      <c r="C2452" t="s">
        <v>271</v>
      </c>
      <c r="D2452">
        <v>41</v>
      </c>
      <c r="E2452">
        <v>1</v>
      </c>
      <c r="F2452">
        <v>7</v>
      </c>
      <c r="G2452" t="s">
        <v>65</v>
      </c>
      <c r="H2452">
        <v>7</v>
      </c>
      <c r="I2452">
        <v>63</v>
      </c>
      <c r="J2452">
        <v>65</v>
      </c>
      <c r="K2452">
        <v>2</v>
      </c>
      <c r="L2452">
        <v>150</v>
      </c>
      <c r="M2452">
        <v>70</v>
      </c>
      <c r="N2452">
        <v>1.5</v>
      </c>
      <c r="O2452">
        <v>3.5</v>
      </c>
      <c r="P2452">
        <v>7</v>
      </c>
      <c r="Q2452">
        <v>0.5</v>
      </c>
      <c r="R2452">
        <v>6</v>
      </c>
      <c r="S2452">
        <v>0.8571428571428571</v>
      </c>
      <c r="T2452">
        <v>2.5</v>
      </c>
      <c r="U2452">
        <v>12.5</v>
      </c>
      <c r="V2452">
        <v>1830.0653594771243</v>
      </c>
      <c r="W2452">
        <v>1</v>
      </c>
    </row>
    <row r="2453" spans="1:23" x14ac:dyDescent="0.2">
      <c r="A2453">
        <v>2022</v>
      </c>
      <c r="B2453" t="s">
        <v>23</v>
      </c>
      <c r="C2453" t="s">
        <v>271</v>
      </c>
      <c r="D2453">
        <v>41</v>
      </c>
      <c r="E2453">
        <v>2</v>
      </c>
      <c r="F2453">
        <v>9</v>
      </c>
      <c r="G2453" t="s">
        <v>65</v>
      </c>
      <c r="H2453" s="1">
        <v>12</v>
      </c>
      <c r="I2453" s="1">
        <v>60</v>
      </c>
      <c r="J2453" s="1">
        <v>63</v>
      </c>
      <c r="K2453" s="1">
        <f>J2453-I2453</f>
        <v>3</v>
      </c>
      <c r="L2453" s="1">
        <v>147</v>
      </c>
      <c r="M2453" s="1">
        <v>72</v>
      </c>
      <c r="N2453" s="1">
        <v>2</v>
      </c>
      <c r="O2453" s="1">
        <v>2.5</v>
      </c>
      <c r="P2453" s="1">
        <v>10</v>
      </c>
      <c r="Q2453" s="2">
        <v>0.14499999999999999</v>
      </c>
      <c r="R2453" s="1">
        <v>7</v>
      </c>
      <c r="S2453" s="1">
        <f>R2453/P2453</f>
        <v>0.7</v>
      </c>
      <c r="T2453" s="1">
        <v>5</v>
      </c>
      <c r="U2453" s="1">
        <v>12.5</v>
      </c>
      <c r="V2453" s="1">
        <v>530.718954248366</v>
      </c>
      <c r="W2453" s="1">
        <v>4</v>
      </c>
    </row>
    <row r="2454" spans="1:23" x14ac:dyDescent="0.2">
      <c r="A2454">
        <v>2022</v>
      </c>
      <c r="B2454" t="s">
        <v>23</v>
      </c>
      <c r="C2454" t="s">
        <v>271</v>
      </c>
      <c r="D2454">
        <v>42</v>
      </c>
      <c r="E2454">
        <v>1</v>
      </c>
      <c r="F2454">
        <v>3</v>
      </c>
      <c r="G2454" t="s">
        <v>66</v>
      </c>
      <c r="H2454" s="1">
        <v>12</v>
      </c>
      <c r="I2454" s="1">
        <v>57</v>
      </c>
      <c r="J2454" s="1">
        <v>61</v>
      </c>
      <c r="K2454" s="1">
        <f>J2454-I2454</f>
        <v>4</v>
      </c>
      <c r="L2454" s="1">
        <v>148</v>
      </c>
      <c r="M2454" s="1">
        <v>78</v>
      </c>
      <c r="N2454" s="1">
        <v>2</v>
      </c>
      <c r="O2454" s="1">
        <v>3.5</v>
      </c>
      <c r="P2454" s="1">
        <f>H2454</f>
        <v>12</v>
      </c>
      <c r="Q2454" s="2">
        <v>5.2199999999999996E-2</v>
      </c>
      <c r="R2454" s="1">
        <v>9</v>
      </c>
      <c r="S2454" s="1">
        <f>R2454/P2454</f>
        <v>0.75</v>
      </c>
      <c r="T2454" s="1">
        <v>5</v>
      </c>
      <c r="U2454" s="1">
        <v>12.5</v>
      </c>
      <c r="V2454" s="1">
        <v>191.05882352941177</v>
      </c>
      <c r="W2454" s="1">
        <v>2</v>
      </c>
    </row>
    <row r="2455" spans="1:23" x14ac:dyDescent="0.2">
      <c r="A2455">
        <v>2022</v>
      </c>
      <c r="B2455" t="s">
        <v>23</v>
      </c>
      <c r="C2455" t="s">
        <v>271</v>
      </c>
      <c r="D2455">
        <v>42</v>
      </c>
      <c r="E2455">
        <v>2</v>
      </c>
      <c r="F2455">
        <v>13</v>
      </c>
      <c r="G2455" t="s">
        <v>66</v>
      </c>
      <c r="H2455">
        <v>11</v>
      </c>
      <c r="I2455">
        <v>54</v>
      </c>
      <c r="J2455">
        <v>57</v>
      </c>
      <c r="K2455">
        <v>3</v>
      </c>
      <c r="L2455">
        <v>154</v>
      </c>
      <c r="M2455">
        <v>50</v>
      </c>
      <c r="N2455">
        <v>1.5</v>
      </c>
      <c r="O2455">
        <v>2</v>
      </c>
      <c r="P2455">
        <v>11</v>
      </c>
      <c r="Q2455">
        <v>0.8</v>
      </c>
      <c r="R2455">
        <v>11</v>
      </c>
      <c r="S2455">
        <v>1</v>
      </c>
      <c r="T2455">
        <v>2.5</v>
      </c>
      <c r="U2455">
        <v>12.5</v>
      </c>
      <c r="V2455">
        <v>2928.1045751633987</v>
      </c>
      <c r="W2455">
        <v>1</v>
      </c>
    </row>
    <row r="2456" spans="1:23" x14ac:dyDescent="0.2">
      <c r="A2456">
        <v>2022</v>
      </c>
      <c r="B2456" t="s">
        <v>23</v>
      </c>
      <c r="C2456" t="s">
        <v>271</v>
      </c>
      <c r="D2456">
        <v>43</v>
      </c>
      <c r="E2456">
        <v>1</v>
      </c>
      <c r="F2456">
        <v>10</v>
      </c>
      <c r="G2456" t="s">
        <v>67</v>
      </c>
      <c r="H2456" s="1">
        <v>10</v>
      </c>
      <c r="I2456" s="1">
        <v>68</v>
      </c>
      <c r="J2456" s="1">
        <v>71</v>
      </c>
      <c r="K2456" s="1">
        <f>J2456-I2456</f>
        <v>3</v>
      </c>
      <c r="L2456" s="1">
        <v>181</v>
      </c>
      <c r="M2456" s="1">
        <v>87</v>
      </c>
      <c r="N2456" s="1">
        <v>2</v>
      </c>
      <c r="O2456" s="1">
        <v>2.5</v>
      </c>
      <c r="P2456" s="1">
        <v>9</v>
      </c>
      <c r="Q2456" s="2">
        <v>0.78</v>
      </c>
      <c r="R2456" s="1">
        <v>9</v>
      </c>
      <c r="S2456" s="1">
        <f>R2456/P2456</f>
        <v>1</v>
      </c>
      <c r="T2456" s="1">
        <v>3</v>
      </c>
      <c r="U2456" s="1">
        <v>12.5</v>
      </c>
      <c r="V2456" s="1">
        <v>2854.9019607843138</v>
      </c>
      <c r="W2456" s="1">
        <v>5</v>
      </c>
    </row>
    <row r="2457" spans="1:23" x14ac:dyDescent="0.2">
      <c r="A2457">
        <v>2022</v>
      </c>
      <c r="B2457" t="s">
        <v>23</v>
      </c>
      <c r="C2457" t="s">
        <v>271</v>
      </c>
      <c r="D2457">
        <v>43</v>
      </c>
      <c r="E2457">
        <v>2</v>
      </c>
      <c r="F2457">
        <v>10</v>
      </c>
      <c r="G2457" t="s">
        <v>67</v>
      </c>
      <c r="H2457" s="1">
        <v>8</v>
      </c>
      <c r="I2457" s="1">
        <v>64</v>
      </c>
      <c r="J2457" s="1">
        <v>68</v>
      </c>
      <c r="K2457" s="1">
        <f>J2457-I2457</f>
        <v>4</v>
      </c>
      <c r="L2457" s="1">
        <v>98</v>
      </c>
      <c r="M2457" s="1">
        <v>45</v>
      </c>
      <c r="N2457" s="1">
        <v>1.5</v>
      </c>
      <c r="O2457" s="1">
        <v>4</v>
      </c>
      <c r="P2457" s="1">
        <v>6</v>
      </c>
      <c r="Q2457" s="2">
        <v>0.34</v>
      </c>
      <c r="R2457" s="1">
        <v>4</v>
      </c>
      <c r="S2457" s="1">
        <f>R2457/P2457</f>
        <v>0.66666666666666663</v>
      </c>
      <c r="T2457" s="1">
        <v>3</v>
      </c>
      <c r="U2457" s="1">
        <v>12.5</v>
      </c>
      <c r="V2457" s="1">
        <v>1244.4444444444448</v>
      </c>
      <c r="W2457" s="1">
        <v>5</v>
      </c>
    </row>
    <row r="2458" spans="1:23" x14ac:dyDescent="0.2">
      <c r="A2458">
        <v>2022</v>
      </c>
      <c r="B2458" t="s">
        <v>23</v>
      </c>
      <c r="C2458" t="s">
        <v>271</v>
      </c>
      <c r="D2458">
        <v>44</v>
      </c>
      <c r="E2458">
        <v>1</v>
      </c>
      <c r="F2458">
        <v>14</v>
      </c>
      <c r="G2458" t="s">
        <v>68</v>
      </c>
      <c r="H2458" s="1">
        <v>10</v>
      </c>
      <c r="I2458" s="1">
        <v>60</v>
      </c>
      <c r="J2458" s="1">
        <v>65</v>
      </c>
      <c r="K2458" s="1">
        <f>J2458-I2458</f>
        <v>5</v>
      </c>
      <c r="L2458" s="1">
        <v>167</v>
      </c>
      <c r="M2458" s="1">
        <v>96</v>
      </c>
      <c r="N2458" s="1">
        <v>2</v>
      </c>
      <c r="O2458" s="1">
        <v>4</v>
      </c>
      <c r="P2458" s="1">
        <v>9</v>
      </c>
      <c r="Q2458" s="2">
        <v>0.58560000000000001</v>
      </c>
      <c r="R2458" s="1">
        <v>7</v>
      </c>
      <c r="S2458" s="1">
        <f>R2458/P2458</f>
        <v>0.77777777777777779</v>
      </c>
      <c r="T2458" s="1">
        <v>5</v>
      </c>
      <c r="U2458" s="1">
        <v>8.5</v>
      </c>
      <c r="V2458" s="1">
        <v>2241.3552941176472</v>
      </c>
      <c r="W2458" s="1">
        <v>3</v>
      </c>
    </row>
    <row r="2459" spans="1:23" x14ac:dyDescent="0.2">
      <c r="A2459">
        <v>2022</v>
      </c>
      <c r="B2459" t="s">
        <v>23</v>
      </c>
      <c r="C2459" t="s">
        <v>271</v>
      </c>
      <c r="D2459">
        <v>44</v>
      </c>
      <c r="E2459">
        <v>2</v>
      </c>
      <c r="F2459">
        <v>12</v>
      </c>
      <c r="G2459" t="s">
        <v>68</v>
      </c>
      <c r="H2459" s="1">
        <v>8</v>
      </c>
      <c r="I2459" s="1">
        <v>60</v>
      </c>
      <c r="J2459" s="1">
        <v>63</v>
      </c>
      <c r="K2459" s="1">
        <f>J2459-I2459</f>
        <v>3</v>
      </c>
      <c r="L2459" s="1">
        <v>155</v>
      </c>
      <c r="M2459" s="1">
        <v>55</v>
      </c>
      <c r="N2459" s="1">
        <v>2</v>
      </c>
      <c r="O2459" s="1">
        <v>4</v>
      </c>
      <c r="P2459" s="1">
        <v>5</v>
      </c>
      <c r="Q2459" s="2">
        <v>7.9500000000000001E-2</v>
      </c>
      <c r="R2459" s="1">
        <v>5</v>
      </c>
      <c r="S2459" s="1">
        <f>R2459/P2459</f>
        <v>1</v>
      </c>
      <c r="T2459" s="1">
        <v>3.5</v>
      </c>
      <c r="U2459" s="1">
        <v>12.5</v>
      </c>
      <c r="V2459" s="1">
        <v>290.98039215686276</v>
      </c>
      <c r="W2459" s="1">
        <v>6</v>
      </c>
    </row>
    <row r="2460" spans="1:23" x14ac:dyDescent="0.2">
      <c r="A2460">
        <v>2022</v>
      </c>
      <c r="B2460" t="s">
        <v>23</v>
      </c>
      <c r="C2460" t="s">
        <v>271</v>
      </c>
      <c r="D2460">
        <v>45</v>
      </c>
      <c r="E2460">
        <v>1</v>
      </c>
      <c r="F2460">
        <v>7</v>
      </c>
      <c r="G2460" t="s">
        <v>69</v>
      </c>
      <c r="H2460">
        <v>14</v>
      </c>
      <c r="I2460">
        <v>53</v>
      </c>
      <c r="J2460">
        <v>55</v>
      </c>
      <c r="K2460">
        <v>2</v>
      </c>
      <c r="L2460">
        <v>138</v>
      </c>
      <c r="M2460">
        <v>77</v>
      </c>
      <c r="N2460">
        <v>2</v>
      </c>
      <c r="O2460">
        <v>2</v>
      </c>
      <c r="P2460">
        <v>14</v>
      </c>
      <c r="Q2460">
        <v>1</v>
      </c>
      <c r="R2460">
        <v>12</v>
      </c>
      <c r="S2460">
        <v>0.8571428571428571</v>
      </c>
      <c r="T2460">
        <v>2</v>
      </c>
      <c r="U2460">
        <v>10.199999999999999</v>
      </c>
      <c r="V2460">
        <v>3756.339869281046</v>
      </c>
      <c r="W2460">
        <v>1</v>
      </c>
    </row>
    <row r="2461" spans="1:23" x14ac:dyDescent="0.2">
      <c r="A2461">
        <v>2022</v>
      </c>
      <c r="B2461" t="s">
        <v>23</v>
      </c>
      <c r="C2461" t="s">
        <v>271</v>
      </c>
      <c r="D2461">
        <v>45</v>
      </c>
      <c r="E2461">
        <v>2</v>
      </c>
      <c r="F2461">
        <v>11</v>
      </c>
      <c r="G2461" t="s">
        <v>69</v>
      </c>
      <c r="H2461" s="1">
        <v>3</v>
      </c>
      <c r="I2461" s="1">
        <v>67</v>
      </c>
      <c r="J2461" s="1">
        <v>70</v>
      </c>
      <c r="K2461" s="1">
        <f t="shared" ref="K2461:K2474" si="122">J2461-I2461</f>
        <v>3</v>
      </c>
      <c r="L2461" s="1">
        <v>81</v>
      </c>
      <c r="M2461" s="1">
        <v>26</v>
      </c>
      <c r="N2461" s="1">
        <v>1.5</v>
      </c>
      <c r="O2461" s="1">
        <v>5</v>
      </c>
      <c r="P2461" s="1">
        <v>4</v>
      </c>
      <c r="Q2461" s="2">
        <v>5.6000000000000001E-2</v>
      </c>
      <c r="R2461" s="1">
        <v>2</v>
      </c>
      <c r="S2461" s="1">
        <f t="shared" ref="S2461:S2474" si="123">R2461/P2461</f>
        <v>0.5</v>
      </c>
      <c r="T2461" s="1">
        <v>5</v>
      </c>
      <c r="U2461" s="1">
        <v>12.5</v>
      </c>
      <c r="V2461" s="1">
        <v>204.96732026143792</v>
      </c>
      <c r="W2461" s="1">
        <v>8</v>
      </c>
    </row>
    <row r="2462" spans="1:23" x14ac:dyDescent="0.2">
      <c r="A2462">
        <v>2022</v>
      </c>
      <c r="B2462" t="s">
        <v>23</v>
      </c>
      <c r="C2462" t="s">
        <v>271</v>
      </c>
      <c r="D2462">
        <v>46</v>
      </c>
      <c r="E2462">
        <v>1</v>
      </c>
      <c r="F2462">
        <v>8</v>
      </c>
      <c r="G2462" t="s">
        <v>70</v>
      </c>
      <c r="H2462" s="1">
        <v>5</v>
      </c>
      <c r="I2462" s="1">
        <v>57</v>
      </c>
      <c r="J2462" s="1">
        <v>61</v>
      </c>
      <c r="K2462" s="1">
        <f t="shared" si="122"/>
        <v>4</v>
      </c>
      <c r="L2462" s="1">
        <v>107</v>
      </c>
      <c r="M2462" s="1">
        <v>67</v>
      </c>
      <c r="N2462" s="1">
        <v>2</v>
      </c>
      <c r="O2462" s="1">
        <v>3.5</v>
      </c>
      <c r="P2462" s="1">
        <v>5</v>
      </c>
      <c r="Q2462" s="2">
        <v>2.1360000000000001E-2</v>
      </c>
      <c r="R2462" s="1">
        <v>3</v>
      </c>
      <c r="S2462" s="1">
        <f t="shared" si="123"/>
        <v>0.6</v>
      </c>
      <c r="T2462" s="1">
        <v>5</v>
      </c>
      <c r="U2462" s="1">
        <v>12.5</v>
      </c>
      <c r="V2462" s="1">
        <v>78.180392156862752</v>
      </c>
      <c r="W2462" s="1">
        <v>5</v>
      </c>
    </row>
    <row r="2463" spans="1:23" x14ac:dyDescent="0.2">
      <c r="A2463">
        <v>2022</v>
      </c>
      <c r="B2463" t="s">
        <v>23</v>
      </c>
      <c r="C2463" t="s">
        <v>271</v>
      </c>
      <c r="D2463">
        <v>46</v>
      </c>
      <c r="E2463">
        <v>2</v>
      </c>
      <c r="F2463">
        <v>15</v>
      </c>
      <c r="G2463" t="s">
        <v>70</v>
      </c>
      <c r="H2463" s="1">
        <v>2</v>
      </c>
      <c r="I2463" s="1">
        <v>66</v>
      </c>
      <c r="J2463" s="1">
        <v>69</v>
      </c>
      <c r="K2463" s="1">
        <f t="shared" si="122"/>
        <v>3</v>
      </c>
      <c r="L2463" s="1">
        <v>78</v>
      </c>
      <c r="M2463" s="1">
        <v>30</v>
      </c>
      <c r="N2463" s="1">
        <v>2.5</v>
      </c>
      <c r="O2463" s="1">
        <v>4</v>
      </c>
      <c r="P2463" s="1">
        <v>1</v>
      </c>
      <c r="Q2463" s="2">
        <v>0.114</v>
      </c>
      <c r="R2463" s="1">
        <v>1</v>
      </c>
      <c r="S2463" s="1">
        <f t="shared" si="123"/>
        <v>1</v>
      </c>
      <c r="T2463" s="1">
        <v>4</v>
      </c>
      <c r="U2463" s="1">
        <v>12.5</v>
      </c>
      <c r="V2463" s="1">
        <v>417.25490196078431</v>
      </c>
      <c r="W2463" s="1">
        <v>5</v>
      </c>
    </row>
    <row r="2464" spans="1:23" x14ac:dyDescent="0.2">
      <c r="A2464">
        <v>2022</v>
      </c>
      <c r="B2464" t="s">
        <v>23</v>
      </c>
      <c r="C2464" t="s">
        <v>271</v>
      </c>
      <c r="D2464">
        <v>47</v>
      </c>
      <c r="E2464">
        <v>1</v>
      </c>
      <c r="F2464">
        <v>9</v>
      </c>
      <c r="G2464" t="s">
        <v>71</v>
      </c>
      <c r="H2464" s="1">
        <v>6</v>
      </c>
      <c r="I2464" s="1">
        <v>66</v>
      </c>
      <c r="J2464" s="1">
        <v>71</v>
      </c>
      <c r="K2464" s="1">
        <f t="shared" si="122"/>
        <v>5</v>
      </c>
      <c r="L2464" s="1">
        <v>123</v>
      </c>
      <c r="M2464" s="1">
        <v>82</v>
      </c>
      <c r="N2464" s="1">
        <v>2</v>
      </c>
      <c r="O2464" s="1">
        <v>3.5</v>
      </c>
      <c r="P2464" s="1">
        <v>3</v>
      </c>
      <c r="Q2464" s="2">
        <v>0.32739999999999997</v>
      </c>
      <c r="R2464" s="1">
        <v>3</v>
      </c>
      <c r="S2464" s="1">
        <f t="shared" si="123"/>
        <v>1</v>
      </c>
      <c r="T2464" s="1">
        <v>5</v>
      </c>
      <c r="U2464" s="1">
        <v>12.5</v>
      </c>
      <c r="V2464" s="1">
        <v>1198.3267973856209</v>
      </c>
      <c r="W2464" s="1">
        <v>5</v>
      </c>
    </row>
    <row r="2465" spans="1:23" x14ac:dyDescent="0.2">
      <c r="A2465">
        <v>2022</v>
      </c>
      <c r="B2465" t="s">
        <v>23</v>
      </c>
      <c r="C2465" t="s">
        <v>271</v>
      </c>
      <c r="D2465">
        <v>47</v>
      </c>
      <c r="E2465">
        <v>2</v>
      </c>
      <c r="F2465">
        <v>7</v>
      </c>
      <c r="G2465" t="s">
        <v>71</v>
      </c>
      <c r="H2465" s="1">
        <v>6</v>
      </c>
      <c r="I2465" s="1">
        <v>69</v>
      </c>
      <c r="J2465" s="1">
        <v>71</v>
      </c>
      <c r="K2465" s="1">
        <f t="shared" si="122"/>
        <v>2</v>
      </c>
      <c r="L2465" s="1">
        <v>130</v>
      </c>
      <c r="M2465" s="1">
        <v>72</v>
      </c>
      <c r="N2465" s="1">
        <v>2</v>
      </c>
      <c r="O2465" s="1">
        <v>3.5</v>
      </c>
      <c r="P2465" s="1">
        <v>6</v>
      </c>
      <c r="Q2465" s="2">
        <v>0.20376000000000002</v>
      </c>
      <c r="R2465" s="1">
        <v>3</v>
      </c>
      <c r="S2465" s="1">
        <f t="shared" si="123"/>
        <v>0.5</v>
      </c>
      <c r="T2465" s="1">
        <v>5</v>
      </c>
      <c r="U2465" s="1">
        <v>12.5</v>
      </c>
      <c r="V2465" s="1">
        <v>745.78823529411761</v>
      </c>
      <c r="W2465" s="1">
        <v>6</v>
      </c>
    </row>
    <row r="2466" spans="1:23" x14ac:dyDescent="0.2">
      <c r="A2466">
        <v>2022</v>
      </c>
      <c r="B2466" t="s">
        <v>23</v>
      </c>
      <c r="C2466" t="s">
        <v>271</v>
      </c>
      <c r="D2466">
        <v>48</v>
      </c>
      <c r="E2466">
        <v>1</v>
      </c>
      <c r="F2466">
        <v>4</v>
      </c>
      <c r="G2466" t="s">
        <v>72</v>
      </c>
      <c r="H2466" s="1">
        <v>15</v>
      </c>
      <c r="I2466" s="1">
        <v>61</v>
      </c>
      <c r="J2466" s="1">
        <v>66</v>
      </c>
      <c r="K2466" s="1">
        <f t="shared" si="122"/>
        <v>5</v>
      </c>
      <c r="L2466" s="1">
        <v>142</v>
      </c>
      <c r="M2466" s="1">
        <v>85</v>
      </c>
      <c r="N2466" s="1">
        <v>2</v>
      </c>
      <c r="O2466" s="1">
        <v>2.5</v>
      </c>
      <c r="P2466" s="1">
        <f>H2466-2</f>
        <v>13</v>
      </c>
      <c r="Q2466" s="2">
        <v>0.14399999999999999</v>
      </c>
      <c r="R2466" s="1">
        <v>11</v>
      </c>
      <c r="S2466" s="1">
        <f t="shared" si="123"/>
        <v>0.84615384615384615</v>
      </c>
      <c r="T2466" s="1">
        <v>2</v>
      </c>
      <c r="U2466" s="1">
        <v>12.5</v>
      </c>
      <c r="V2466" s="1">
        <v>527.05882352941182</v>
      </c>
      <c r="W2466" s="1">
        <v>5</v>
      </c>
    </row>
    <row r="2467" spans="1:23" x14ac:dyDescent="0.2">
      <c r="A2467">
        <v>2022</v>
      </c>
      <c r="B2467" t="s">
        <v>23</v>
      </c>
      <c r="C2467" t="s">
        <v>271</v>
      </c>
      <c r="D2467">
        <v>48</v>
      </c>
      <c r="E2467">
        <v>2</v>
      </c>
      <c r="F2467">
        <v>5</v>
      </c>
      <c r="G2467" t="s">
        <v>72</v>
      </c>
      <c r="H2467" s="1">
        <v>8</v>
      </c>
      <c r="I2467" s="1">
        <v>62</v>
      </c>
      <c r="J2467" s="1">
        <v>66</v>
      </c>
      <c r="K2467" s="1">
        <f t="shared" si="122"/>
        <v>4</v>
      </c>
      <c r="L2467" s="1">
        <v>173</v>
      </c>
      <c r="M2467" s="1">
        <v>96</v>
      </c>
      <c r="N2467" s="1">
        <v>2</v>
      </c>
      <c r="O2467" s="1">
        <v>2.5</v>
      </c>
      <c r="P2467" s="1">
        <v>8</v>
      </c>
      <c r="Q2467" s="2">
        <v>0.18647999999999998</v>
      </c>
      <c r="R2467" s="1">
        <v>5</v>
      </c>
      <c r="S2467" s="1">
        <f t="shared" si="123"/>
        <v>0.625</v>
      </c>
      <c r="T2467" s="1">
        <v>3</v>
      </c>
      <c r="U2467" s="1">
        <v>12.5</v>
      </c>
      <c r="V2467" s="1">
        <v>682.5411764705882</v>
      </c>
      <c r="W2467" s="1">
        <v>4</v>
      </c>
    </row>
    <row r="2468" spans="1:23" x14ac:dyDescent="0.2">
      <c r="A2468">
        <v>2022</v>
      </c>
      <c r="B2468" t="s">
        <v>23</v>
      </c>
      <c r="C2468" t="s">
        <v>271</v>
      </c>
      <c r="D2468">
        <v>49</v>
      </c>
      <c r="E2468">
        <v>1</v>
      </c>
      <c r="F2468">
        <v>6</v>
      </c>
      <c r="G2468" t="s">
        <v>73</v>
      </c>
      <c r="H2468" s="1">
        <v>5</v>
      </c>
      <c r="I2468" s="1">
        <v>62</v>
      </c>
      <c r="J2468" s="1">
        <v>66</v>
      </c>
      <c r="K2468" s="1">
        <f t="shared" si="122"/>
        <v>4</v>
      </c>
      <c r="L2468" s="1">
        <v>170</v>
      </c>
      <c r="M2468" s="1">
        <v>80</v>
      </c>
      <c r="N2468" s="1">
        <v>3</v>
      </c>
      <c r="O2468" s="1">
        <v>4</v>
      </c>
      <c r="P2468" s="1">
        <v>4</v>
      </c>
      <c r="Q2468" s="2">
        <v>0.3332</v>
      </c>
      <c r="R2468" s="1">
        <v>4</v>
      </c>
      <c r="S2468" s="1">
        <f t="shared" si="123"/>
        <v>1</v>
      </c>
      <c r="T2468" s="1">
        <v>5</v>
      </c>
      <c r="U2468" s="1">
        <v>11.6</v>
      </c>
      <c r="V2468" s="1">
        <v>1232.0995555555558</v>
      </c>
      <c r="W2468" s="1">
        <v>5</v>
      </c>
    </row>
    <row r="2469" spans="1:23" x14ac:dyDescent="0.2">
      <c r="A2469">
        <v>2022</v>
      </c>
      <c r="B2469" t="s">
        <v>23</v>
      </c>
      <c r="C2469" t="s">
        <v>271</v>
      </c>
      <c r="D2469">
        <v>49</v>
      </c>
      <c r="E2469">
        <v>2</v>
      </c>
      <c r="F2469">
        <v>6</v>
      </c>
      <c r="G2469" t="s">
        <v>73</v>
      </c>
      <c r="H2469" s="1">
        <v>7</v>
      </c>
      <c r="I2469" s="1">
        <v>62</v>
      </c>
      <c r="J2469" s="1">
        <v>67</v>
      </c>
      <c r="K2469" s="1">
        <f t="shared" si="122"/>
        <v>5</v>
      </c>
      <c r="L2469" s="1">
        <v>165</v>
      </c>
      <c r="M2469" s="1">
        <v>73</v>
      </c>
      <c r="N2469" s="1">
        <v>1</v>
      </c>
      <c r="O2469" s="1">
        <v>3.5</v>
      </c>
      <c r="P2469" s="1">
        <v>6</v>
      </c>
      <c r="Q2469" s="2">
        <v>0.6008</v>
      </c>
      <c r="R2469" s="1">
        <v>6</v>
      </c>
      <c r="S2469" s="1">
        <f t="shared" si="123"/>
        <v>1</v>
      </c>
      <c r="T2469" s="1">
        <v>5</v>
      </c>
      <c r="U2469" s="1">
        <v>12.5</v>
      </c>
      <c r="V2469" s="1">
        <v>2199.0065359477126</v>
      </c>
      <c r="W2469" s="1">
        <v>4</v>
      </c>
    </row>
    <row r="2470" spans="1:23" x14ac:dyDescent="0.2">
      <c r="A2470">
        <v>2022</v>
      </c>
      <c r="B2470" t="s">
        <v>23</v>
      </c>
      <c r="C2470" t="s">
        <v>271</v>
      </c>
      <c r="D2470">
        <v>50</v>
      </c>
      <c r="E2470">
        <v>1</v>
      </c>
      <c r="F2470">
        <v>4</v>
      </c>
      <c r="G2470" t="s">
        <v>74</v>
      </c>
      <c r="H2470" s="1">
        <v>10</v>
      </c>
      <c r="I2470" s="1">
        <v>63</v>
      </c>
      <c r="J2470" s="1">
        <v>67</v>
      </c>
      <c r="K2470" s="1">
        <f t="shared" si="122"/>
        <v>4</v>
      </c>
      <c r="L2470" s="1">
        <v>175</v>
      </c>
      <c r="M2470" s="1">
        <v>72</v>
      </c>
      <c r="N2470" s="1">
        <v>2</v>
      </c>
      <c r="O2470" s="1">
        <v>3.5</v>
      </c>
      <c r="P2470" s="1">
        <v>7</v>
      </c>
      <c r="Q2470" s="2">
        <v>0.2044</v>
      </c>
      <c r="R2470" s="1">
        <v>6</v>
      </c>
      <c r="S2470" s="1">
        <f t="shared" si="123"/>
        <v>0.8571428571428571</v>
      </c>
      <c r="T2470" s="1">
        <v>5</v>
      </c>
      <c r="U2470" s="1">
        <v>9.5</v>
      </c>
      <c r="V2470" s="1">
        <v>773.78091503267979</v>
      </c>
      <c r="W2470" s="1">
        <v>4</v>
      </c>
    </row>
    <row r="2471" spans="1:23" x14ac:dyDescent="0.2">
      <c r="A2471">
        <v>2022</v>
      </c>
      <c r="B2471" t="s">
        <v>23</v>
      </c>
      <c r="C2471" t="s">
        <v>271</v>
      </c>
      <c r="D2471">
        <v>50</v>
      </c>
      <c r="E2471">
        <v>2</v>
      </c>
      <c r="F2471">
        <v>13</v>
      </c>
      <c r="G2471" t="s">
        <v>74</v>
      </c>
      <c r="H2471" s="1">
        <v>6</v>
      </c>
      <c r="I2471" s="1">
        <v>64</v>
      </c>
      <c r="J2471" s="1">
        <v>69</v>
      </c>
      <c r="K2471" s="1">
        <f t="shared" si="122"/>
        <v>5</v>
      </c>
      <c r="L2471" s="1">
        <v>143</v>
      </c>
      <c r="M2471" s="1">
        <v>82</v>
      </c>
      <c r="N2471" s="1">
        <v>1</v>
      </c>
      <c r="O2471" s="1">
        <v>2.5</v>
      </c>
      <c r="P2471" s="1">
        <v>3</v>
      </c>
      <c r="Q2471" s="2">
        <v>0.316</v>
      </c>
      <c r="R2471" s="1">
        <v>3</v>
      </c>
      <c r="S2471" s="1">
        <f t="shared" si="123"/>
        <v>1</v>
      </c>
      <c r="T2471" s="1">
        <v>3</v>
      </c>
      <c r="U2471" s="1">
        <v>8.5</v>
      </c>
      <c r="V2471" s="1">
        <v>1209.4745098039216</v>
      </c>
      <c r="W2471" s="1">
        <v>4</v>
      </c>
    </row>
    <row r="2472" spans="1:23" x14ac:dyDescent="0.2">
      <c r="A2472">
        <v>2022</v>
      </c>
      <c r="B2472" t="s">
        <v>23</v>
      </c>
      <c r="C2472" t="s">
        <v>271</v>
      </c>
      <c r="D2472">
        <v>51</v>
      </c>
      <c r="E2472">
        <v>1</v>
      </c>
      <c r="F2472">
        <v>13</v>
      </c>
      <c r="G2472" t="s">
        <v>75</v>
      </c>
      <c r="H2472" s="1">
        <v>9</v>
      </c>
      <c r="I2472" s="1">
        <v>64</v>
      </c>
      <c r="J2472" s="1">
        <v>70</v>
      </c>
      <c r="K2472" s="1">
        <f t="shared" si="122"/>
        <v>6</v>
      </c>
      <c r="L2472" s="1">
        <v>171</v>
      </c>
      <c r="M2472" s="1">
        <v>66</v>
      </c>
      <c r="N2472" s="1">
        <v>2</v>
      </c>
      <c r="O2472" s="1">
        <v>3.5</v>
      </c>
      <c r="P2472" s="1">
        <f>H2472</f>
        <v>9</v>
      </c>
      <c r="Q2472" s="2">
        <v>0.26100000000000001</v>
      </c>
      <c r="R2472" s="1">
        <v>9</v>
      </c>
      <c r="S2472" s="1">
        <f t="shared" si="123"/>
        <v>1</v>
      </c>
      <c r="T2472" s="1">
        <v>5</v>
      </c>
      <c r="U2472" s="1">
        <v>12.5</v>
      </c>
      <c r="V2472" s="1">
        <v>955.29411764705901</v>
      </c>
      <c r="W2472" s="1">
        <v>4</v>
      </c>
    </row>
    <row r="2473" spans="1:23" x14ac:dyDescent="0.2">
      <c r="A2473">
        <v>2022</v>
      </c>
      <c r="B2473" t="s">
        <v>23</v>
      </c>
      <c r="C2473" t="s">
        <v>271</v>
      </c>
      <c r="D2473">
        <v>51</v>
      </c>
      <c r="E2473">
        <v>2</v>
      </c>
      <c r="F2473">
        <v>15</v>
      </c>
      <c r="G2473" t="s">
        <v>75</v>
      </c>
      <c r="H2473" s="1">
        <v>10</v>
      </c>
      <c r="I2473" s="1">
        <v>58</v>
      </c>
      <c r="J2473" s="1">
        <v>61</v>
      </c>
      <c r="K2473" s="1">
        <f t="shared" si="122"/>
        <v>3</v>
      </c>
      <c r="L2473" s="1">
        <v>177</v>
      </c>
      <c r="M2473" s="1">
        <v>87</v>
      </c>
      <c r="N2473" s="1">
        <v>2</v>
      </c>
      <c r="O2473" s="1">
        <v>2.5</v>
      </c>
      <c r="P2473" s="1">
        <v>8</v>
      </c>
      <c r="Q2473" s="2">
        <v>0.53204999999999991</v>
      </c>
      <c r="R2473" s="1">
        <v>6</v>
      </c>
      <c r="S2473" s="1">
        <f t="shared" si="123"/>
        <v>0.75</v>
      </c>
      <c r="T2473" s="1">
        <v>5</v>
      </c>
      <c r="U2473" s="1">
        <v>12.5</v>
      </c>
      <c r="V2473" s="1">
        <v>1947.372549019608</v>
      </c>
      <c r="W2473" s="1">
        <v>4</v>
      </c>
    </row>
    <row r="2474" spans="1:23" x14ac:dyDescent="0.2">
      <c r="A2474">
        <v>2022</v>
      </c>
      <c r="B2474" t="s">
        <v>23</v>
      </c>
      <c r="C2474" t="s">
        <v>271</v>
      </c>
      <c r="D2474">
        <v>52</v>
      </c>
      <c r="E2474">
        <v>1</v>
      </c>
      <c r="F2474">
        <v>13</v>
      </c>
      <c r="G2474" t="s">
        <v>76</v>
      </c>
      <c r="H2474" s="1">
        <v>10</v>
      </c>
      <c r="I2474" s="1">
        <v>64</v>
      </c>
      <c r="J2474" s="1">
        <v>67</v>
      </c>
      <c r="K2474" s="1">
        <f t="shared" si="122"/>
        <v>3</v>
      </c>
      <c r="L2474" s="1">
        <v>80</v>
      </c>
      <c r="M2474" s="1">
        <v>25</v>
      </c>
      <c r="N2474" s="1">
        <v>3</v>
      </c>
      <c r="O2474" s="1">
        <v>4.5</v>
      </c>
      <c r="P2474" s="1">
        <v>5</v>
      </c>
      <c r="Q2474" s="2">
        <v>0.153</v>
      </c>
      <c r="R2474" s="1">
        <v>5</v>
      </c>
      <c r="S2474" s="1">
        <f t="shared" si="123"/>
        <v>1</v>
      </c>
      <c r="T2474" s="1">
        <v>5</v>
      </c>
      <c r="U2474" s="1">
        <v>12.5</v>
      </c>
      <c r="V2474" s="1">
        <v>560</v>
      </c>
      <c r="W2474" s="1">
        <v>5</v>
      </c>
    </row>
    <row r="2475" spans="1:23" x14ac:dyDescent="0.2">
      <c r="A2475">
        <v>2022</v>
      </c>
      <c r="B2475" t="s">
        <v>23</v>
      </c>
      <c r="C2475" t="s">
        <v>271</v>
      </c>
      <c r="D2475">
        <v>52</v>
      </c>
      <c r="E2475">
        <v>2</v>
      </c>
      <c r="F2475">
        <v>5</v>
      </c>
      <c r="G2475" t="s">
        <v>76</v>
      </c>
      <c r="H2475">
        <v>6</v>
      </c>
      <c r="I2475">
        <v>63</v>
      </c>
      <c r="J2475">
        <v>67</v>
      </c>
      <c r="K2475">
        <v>4</v>
      </c>
      <c r="L2475">
        <v>139</v>
      </c>
      <c r="M2475">
        <v>55</v>
      </c>
      <c r="N2475">
        <v>2</v>
      </c>
      <c r="O2475">
        <v>3</v>
      </c>
      <c r="P2475">
        <v>6</v>
      </c>
      <c r="Q2475">
        <v>0.8</v>
      </c>
      <c r="R2475">
        <v>5</v>
      </c>
      <c r="S2475">
        <v>0.83333333333333337</v>
      </c>
      <c r="T2475">
        <v>2.5</v>
      </c>
      <c r="U2475">
        <v>12.5</v>
      </c>
      <c r="V2475">
        <v>2928.1045751633987</v>
      </c>
      <c r="W2475">
        <v>2</v>
      </c>
    </row>
    <row r="2476" spans="1:23" x14ac:dyDescent="0.2">
      <c r="A2476">
        <v>2022</v>
      </c>
      <c r="B2476" t="s">
        <v>23</v>
      </c>
      <c r="C2476" t="s">
        <v>271</v>
      </c>
      <c r="D2476">
        <v>53</v>
      </c>
      <c r="E2476">
        <v>1</v>
      </c>
      <c r="F2476">
        <v>5</v>
      </c>
      <c r="G2476" t="s">
        <v>77</v>
      </c>
      <c r="H2476">
        <v>8</v>
      </c>
      <c r="I2476">
        <v>55</v>
      </c>
      <c r="J2476">
        <v>57</v>
      </c>
      <c r="K2476">
        <v>2</v>
      </c>
      <c r="L2476">
        <v>190</v>
      </c>
      <c r="M2476">
        <v>60</v>
      </c>
      <c r="N2476">
        <v>2</v>
      </c>
      <c r="O2476">
        <v>3</v>
      </c>
      <c r="P2476">
        <v>8</v>
      </c>
      <c r="Q2476">
        <v>0.8</v>
      </c>
      <c r="R2476">
        <v>9</v>
      </c>
      <c r="S2476">
        <v>1.125</v>
      </c>
      <c r="T2476">
        <v>3</v>
      </c>
      <c r="U2476">
        <v>12.5</v>
      </c>
      <c r="V2476">
        <v>2928.1045751633987</v>
      </c>
      <c r="W2476">
        <v>1</v>
      </c>
    </row>
    <row r="2477" spans="1:23" x14ac:dyDescent="0.2">
      <c r="A2477">
        <v>2022</v>
      </c>
      <c r="B2477" t="s">
        <v>23</v>
      </c>
      <c r="C2477" t="s">
        <v>271</v>
      </c>
      <c r="D2477">
        <v>53</v>
      </c>
      <c r="E2477">
        <v>2</v>
      </c>
      <c r="F2477">
        <v>3</v>
      </c>
      <c r="G2477" t="s">
        <v>77</v>
      </c>
      <c r="H2477" s="1">
        <v>7</v>
      </c>
      <c r="I2477" s="1">
        <v>64</v>
      </c>
      <c r="J2477" s="1">
        <v>69</v>
      </c>
      <c r="K2477" s="1">
        <f>J2477-I2477</f>
        <v>5</v>
      </c>
      <c r="L2477" s="1">
        <v>133</v>
      </c>
      <c r="M2477" s="1">
        <v>88</v>
      </c>
      <c r="N2477" s="1">
        <v>2</v>
      </c>
      <c r="O2477" s="1">
        <v>3</v>
      </c>
      <c r="P2477" s="1">
        <f>H2477</f>
        <v>7</v>
      </c>
      <c r="Q2477" s="2">
        <v>0.33600000000000002</v>
      </c>
      <c r="R2477" s="1">
        <v>5</v>
      </c>
      <c r="S2477" s="1">
        <f>R2477/P2477</f>
        <v>0.7142857142857143</v>
      </c>
      <c r="T2477" s="1">
        <v>5</v>
      </c>
      <c r="U2477" s="1">
        <v>12.5</v>
      </c>
      <c r="V2477" s="1">
        <v>1229.8039215686274</v>
      </c>
      <c r="W2477" s="1">
        <v>5</v>
      </c>
    </row>
    <row r="2478" spans="1:23" x14ac:dyDescent="0.2">
      <c r="A2478">
        <v>2022</v>
      </c>
      <c r="B2478" t="s">
        <v>23</v>
      </c>
      <c r="C2478" t="s">
        <v>271</v>
      </c>
      <c r="D2478">
        <v>54</v>
      </c>
      <c r="E2478">
        <v>1</v>
      </c>
      <c r="F2478">
        <v>14</v>
      </c>
      <c r="G2478" t="s">
        <v>78</v>
      </c>
      <c r="H2478" s="1">
        <v>7</v>
      </c>
      <c r="I2478" s="1">
        <v>65</v>
      </c>
      <c r="J2478" s="1">
        <v>69</v>
      </c>
      <c r="K2478" s="1">
        <f>J2478-I2478</f>
        <v>4</v>
      </c>
      <c r="L2478" s="1">
        <v>137</v>
      </c>
      <c r="M2478" s="1">
        <v>87</v>
      </c>
      <c r="N2478" s="1">
        <v>2</v>
      </c>
      <c r="O2478" s="1">
        <v>3.5</v>
      </c>
      <c r="P2478" s="1">
        <v>7</v>
      </c>
      <c r="Q2478" s="2">
        <v>0.16190999999999997</v>
      </c>
      <c r="R2478" s="1">
        <v>6</v>
      </c>
      <c r="S2478" s="1">
        <f>R2478/P2478</f>
        <v>0.8571428571428571</v>
      </c>
      <c r="T2478" s="1">
        <v>4</v>
      </c>
      <c r="U2478" s="1">
        <v>12.5</v>
      </c>
      <c r="V2478" s="1">
        <v>592.61176470588225</v>
      </c>
      <c r="W2478" s="1">
        <v>3</v>
      </c>
    </row>
    <row r="2479" spans="1:23" x14ac:dyDescent="0.2">
      <c r="A2479">
        <v>2022</v>
      </c>
      <c r="B2479" t="s">
        <v>23</v>
      </c>
      <c r="C2479" t="s">
        <v>271</v>
      </c>
      <c r="D2479">
        <v>54</v>
      </c>
      <c r="E2479">
        <v>2</v>
      </c>
      <c r="F2479">
        <v>11</v>
      </c>
      <c r="G2479" t="s">
        <v>78</v>
      </c>
      <c r="H2479">
        <v>11</v>
      </c>
      <c r="I2479">
        <v>53</v>
      </c>
      <c r="J2479">
        <v>59</v>
      </c>
      <c r="K2479">
        <v>6</v>
      </c>
      <c r="L2479">
        <v>177</v>
      </c>
      <c r="M2479">
        <v>65</v>
      </c>
      <c r="N2479">
        <v>2</v>
      </c>
      <c r="O2479">
        <v>1.5</v>
      </c>
      <c r="P2479">
        <v>9</v>
      </c>
      <c r="Q2479">
        <v>0.8</v>
      </c>
      <c r="R2479">
        <v>9</v>
      </c>
      <c r="S2479">
        <v>1</v>
      </c>
      <c r="T2479">
        <v>1</v>
      </c>
      <c r="U2479">
        <v>11.1</v>
      </c>
      <c r="V2479">
        <v>2974.9542483660134</v>
      </c>
      <c r="W2479">
        <v>2</v>
      </c>
    </row>
    <row r="2480" spans="1:23" x14ac:dyDescent="0.2">
      <c r="A2480">
        <v>2022</v>
      </c>
      <c r="B2480" t="s">
        <v>23</v>
      </c>
      <c r="C2480" t="s">
        <v>271</v>
      </c>
      <c r="D2480">
        <v>55</v>
      </c>
      <c r="E2480">
        <v>1</v>
      </c>
      <c r="F2480">
        <v>2</v>
      </c>
      <c r="G2480" t="s">
        <v>79</v>
      </c>
      <c r="H2480">
        <v>5</v>
      </c>
      <c r="I2480">
        <v>56</v>
      </c>
      <c r="J2480">
        <v>61</v>
      </c>
      <c r="K2480">
        <v>5</v>
      </c>
      <c r="L2480">
        <v>120</v>
      </c>
      <c r="M2480">
        <v>36</v>
      </c>
      <c r="N2480">
        <v>3</v>
      </c>
      <c r="O2480">
        <v>3</v>
      </c>
      <c r="P2480">
        <v>5</v>
      </c>
      <c r="Q2480">
        <v>0.7</v>
      </c>
      <c r="R2480">
        <v>6</v>
      </c>
      <c r="S2480">
        <v>1.2</v>
      </c>
      <c r="T2480">
        <v>2</v>
      </c>
      <c r="U2480">
        <v>12.5</v>
      </c>
      <c r="V2480">
        <v>2562.0915032679736</v>
      </c>
      <c r="W2480">
        <v>2</v>
      </c>
    </row>
    <row r="2481" spans="1:23" x14ac:dyDescent="0.2">
      <c r="A2481">
        <v>2022</v>
      </c>
      <c r="B2481" t="s">
        <v>23</v>
      </c>
      <c r="C2481" t="s">
        <v>271</v>
      </c>
      <c r="D2481">
        <v>55</v>
      </c>
      <c r="E2481">
        <v>2</v>
      </c>
      <c r="F2481">
        <v>10</v>
      </c>
      <c r="G2481" t="s">
        <v>79</v>
      </c>
      <c r="H2481" s="1">
        <v>10</v>
      </c>
      <c r="I2481" s="1">
        <v>68</v>
      </c>
      <c r="J2481" s="1">
        <v>71</v>
      </c>
      <c r="K2481" s="1">
        <f>J2481-I2481</f>
        <v>3</v>
      </c>
      <c r="L2481" s="1">
        <v>149</v>
      </c>
      <c r="M2481" s="1">
        <v>35</v>
      </c>
      <c r="N2481" s="1">
        <v>3</v>
      </c>
      <c r="O2481" s="1">
        <v>4</v>
      </c>
      <c r="P2481" s="1">
        <v>8</v>
      </c>
      <c r="Q2481" s="2">
        <v>0.3</v>
      </c>
      <c r="R2481" s="1">
        <v>8</v>
      </c>
      <c r="S2481" s="1">
        <f>R2481/P2481</f>
        <v>1</v>
      </c>
      <c r="T2481" s="1">
        <v>3.5</v>
      </c>
      <c r="U2481" s="1">
        <v>12.5</v>
      </c>
      <c r="V2481" s="1">
        <v>1098.0392156862745</v>
      </c>
      <c r="W2481" s="1">
        <v>4</v>
      </c>
    </row>
    <row r="2482" spans="1:23" x14ac:dyDescent="0.2">
      <c r="A2482">
        <v>2022</v>
      </c>
      <c r="B2482" t="s">
        <v>23</v>
      </c>
      <c r="C2482" t="s">
        <v>271</v>
      </c>
      <c r="D2482">
        <v>56</v>
      </c>
      <c r="E2482">
        <v>1</v>
      </c>
      <c r="F2482">
        <v>4</v>
      </c>
      <c r="G2482" t="s">
        <v>80</v>
      </c>
      <c r="H2482">
        <v>12</v>
      </c>
      <c r="I2482">
        <v>64</v>
      </c>
      <c r="J2482">
        <v>67</v>
      </c>
      <c r="K2482">
        <v>3</v>
      </c>
      <c r="L2482">
        <v>134</v>
      </c>
      <c r="M2482">
        <v>60</v>
      </c>
      <c r="N2482">
        <v>1.5</v>
      </c>
      <c r="O2482">
        <v>3.5</v>
      </c>
      <c r="P2482">
        <v>12</v>
      </c>
      <c r="Q2482">
        <v>1.3</v>
      </c>
      <c r="R2482">
        <v>10</v>
      </c>
      <c r="S2482">
        <v>0.83333333333333337</v>
      </c>
      <c r="T2482">
        <v>2.5</v>
      </c>
      <c r="U2482">
        <v>12.5</v>
      </c>
      <c r="V2482">
        <v>4758.169934640523</v>
      </c>
      <c r="W2482">
        <v>2</v>
      </c>
    </row>
    <row r="2483" spans="1:23" x14ac:dyDescent="0.2">
      <c r="A2483">
        <v>2022</v>
      </c>
      <c r="B2483" t="s">
        <v>23</v>
      </c>
      <c r="C2483" t="s">
        <v>271</v>
      </c>
      <c r="D2483">
        <v>56</v>
      </c>
      <c r="E2483">
        <v>2</v>
      </c>
      <c r="F2483">
        <v>12</v>
      </c>
      <c r="G2483" t="s">
        <v>80</v>
      </c>
      <c r="H2483">
        <v>2</v>
      </c>
      <c r="I2483">
        <v>55</v>
      </c>
      <c r="J2483">
        <v>57</v>
      </c>
      <c r="K2483">
        <v>2</v>
      </c>
      <c r="L2483">
        <v>158</v>
      </c>
      <c r="M2483">
        <v>56</v>
      </c>
      <c r="N2483">
        <v>1.5</v>
      </c>
      <c r="O2483">
        <v>2</v>
      </c>
      <c r="P2483">
        <v>2</v>
      </c>
      <c r="Q2483">
        <v>0.5</v>
      </c>
      <c r="R2483">
        <v>3</v>
      </c>
      <c r="S2483">
        <v>1.5</v>
      </c>
      <c r="T2483">
        <v>2.5</v>
      </c>
      <c r="U2483">
        <v>12.5</v>
      </c>
      <c r="V2483">
        <v>1830.0653594771243</v>
      </c>
      <c r="W2483">
        <v>1</v>
      </c>
    </row>
    <row r="2484" spans="1:23" x14ac:dyDescent="0.2">
      <c r="A2484">
        <v>2022</v>
      </c>
      <c r="B2484" t="s">
        <v>23</v>
      </c>
      <c r="C2484" t="s">
        <v>271</v>
      </c>
      <c r="D2484">
        <v>57</v>
      </c>
      <c r="E2484">
        <v>1</v>
      </c>
      <c r="F2484">
        <v>1</v>
      </c>
      <c r="G2484" t="s">
        <v>81</v>
      </c>
      <c r="H2484">
        <v>15</v>
      </c>
      <c r="I2484">
        <v>56</v>
      </c>
      <c r="J2484">
        <v>58</v>
      </c>
      <c r="K2484">
        <v>2</v>
      </c>
      <c r="L2484">
        <v>160</v>
      </c>
      <c r="M2484">
        <v>63</v>
      </c>
      <c r="N2484">
        <v>2.5</v>
      </c>
      <c r="O2484">
        <v>2</v>
      </c>
      <c r="P2484">
        <v>14</v>
      </c>
      <c r="Q2484">
        <v>1.2</v>
      </c>
      <c r="R2484">
        <v>13</v>
      </c>
      <c r="S2484">
        <v>0.9285714285714286</v>
      </c>
      <c r="T2484">
        <v>3</v>
      </c>
      <c r="U2484">
        <v>12.5</v>
      </c>
      <c r="V2484">
        <v>4392.1568627450979</v>
      </c>
      <c r="W2484">
        <v>2</v>
      </c>
    </row>
    <row r="2485" spans="1:23" x14ac:dyDescent="0.2">
      <c r="A2485">
        <v>2022</v>
      </c>
      <c r="B2485" t="s">
        <v>23</v>
      </c>
      <c r="C2485" t="s">
        <v>271</v>
      </c>
      <c r="D2485">
        <v>57</v>
      </c>
      <c r="E2485">
        <v>2</v>
      </c>
      <c r="F2485">
        <v>13</v>
      </c>
      <c r="G2485" t="s">
        <v>81</v>
      </c>
      <c r="H2485" s="1">
        <v>6</v>
      </c>
      <c r="I2485" s="1">
        <v>66</v>
      </c>
      <c r="J2485" s="1">
        <v>71</v>
      </c>
      <c r="K2485" s="1">
        <f>J2485-I2485</f>
        <v>5</v>
      </c>
      <c r="L2485" s="1">
        <v>109</v>
      </c>
      <c r="M2485" s="1">
        <v>36</v>
      </c>
      <c r="N2485" s="1">
        <v>1.5</v>
      </c>
      <c r="O2485" s="1">
        <v>4.5</v>
      </c>
      <c r="P2485" s="1">
        <v>4</v>
      </c>
      <c r="Q2485" s="2">
        <v>0.18</v>
      </c>
      <c r="R2485" s="1">
        <v>3</v>
      </c>
      <c r="S2485" s="1">
        <f>R2485/P2485</f>
        <v>0.75</v>
      </c>
      <c r="T2485" s="1">
        <v>4</v>
      </c>
      <c r="U2485" s="1">
        <v>12.5</v>
      </c>
      <c r="V2485" s="1">
        <v>658.82352941176464</v>
      </c>
      <c r="W2485" s="1">
        <v>5</v>
      </c>
    </row>
    <row r="2486" spans="1:23" x14ac:dyDescent="0.2">
      <c r="A2486">
        <v>2022</v>
      </c>
      <c r="B2486" t="s">
        <v>23</v>
      </c>
      <c r="C2486" t="s">
        <v>271</v>
      </c>
      <c r="D2486">
        <v>58</v>
      </c>
      <c r="E2486">
        <v>1</v>
      </c>
      <c r="F2486">
        <v>10</v>
      </c>
      <c r="G2486" t="s">
        <v>82</v>
      </c>
      <c r="H2486" s="1">
        <v>6</v>
      </c>
      <c r="I2486" s="1">
        <v>63</v>
      </c>
      <c r="J2486" s="1">
        <v>68</v>
      </c>
      <c r="K2486" s="1">
        <f>J2486-I2486</f>
        <v>5</v>
      </c>
      <c r="L2486" s="1">
        <v>138</v>
      </c>
      <c r="M2486" s="1">
        <v>51</v>
      </c>
      <c r="N2486" s="1">
        <v>2.5</v>
      </c>
      <c r="O2486" s="1">
        <v>3.5</v>
      </c>
      <c r="P2486" s="1">
        <v>6</v>
      </c>
      <c r="Q2486" s="2">
        <v>0.22800000000000001</v>
      </c>
      <c r="R2486" s="1">
        <v>6</v>
      </c>
      <c r="S2486" s="1">
        <f>R2486/P2486</f>
        <v>1</v>
      </c>
      <c r="T2486" s="1">
        <v>4</v>
      </c>
      <c r="U2486" s="1">
        <v>12.5</v>
      </c>
      <c r="V2486" s="1">
        <v>834.50980392156862</v>
      </c>
      <c r="W2486" s="1">
        <v>4</v>
      </c>
    </row>
    <row r="2487" spans="1:23" x14ac:dyDescent="0.2">
      <c r="A2487">
        <v>2022</v>
      </c>
      <c r="B2487" t="s">
        <v>23</v>
      </c>
      <c r="C2487" t="s">
        <v>271</v>
      </c>
      <c r="D2487">
        <v>58</v>
      </c>
      <c r="E2487">
        <v>2</v>
      </c>
      <c r="F2487">
        <v>3</v>
      </c>
      <c r="G2487" t="s">
        <v>82</v>
      </c>
      <c r="H2487" s="1">
        <v>11</v>
      </c>
      <c r="I2487" s="1">
        <v>64</v>
      </c>
      <c r="J2487" s="1">
        <v>69</v>
      </c>
      <c r="K2487" s="1">
        <f>J2487-I2487</f>
        <v>5</v>
      </c>
      <c r="L2487" s="1">
        <v>143</v>
      </c>
      <c r="M2487" s="1">
        <v>55</v>
      </c>
      <c r="N2487" s="1">
        <v>1.5</v>
      </c>
      <c r="O2487" s="1">
        <v>4</v>
      </c>
      <c r="P2487" s="1">
        <v>6</v>
      </c>
      <c r="Q2487" s="2">
        <v>0.224</v>
      </c>
      <c r="R2487" s="1">
        <v>6</v>
      </c>
      <c r="S2487" s="1">
        <f>R2487/P2487</f>
        <v>1</v>
      </c>
      <c r="T2487" s="1">
        <v>5</v>
      </c>
      <c r="U2487" s="1">
        <v>12.5</v>
      </c>
      <c r="V2487" s="1">
        <v>819.86928104575168</v>
      </c>
      <c r="W2487" s="1">
        <v>4</v>
      </c>
    </row>
    <row r="2488" spans="1:23" x14ac:dyDescent="0.2">
      <c r="A2488">
        <v>2022</v>
      </c>
      <c r="B2488" t="s">
        <v>23</v>
      </c>
      <c r="C2488" t="s">
        <v>271</v>
      </c>
      <c r="D2488">
        <v>59</v>
      </c>
      <c r="E2488">
        <v>1</v>
      </c>
      <c r="F2488">
        <v>12</v>
      </c>
      <c r="G2488" t="s">
        <v>83</v>
      </c>
      <c r="H2488" s="1">
        <v>14</v>
      </c>
      <c r="I2488" s="1">
        <v>69</v>
      </c>
      <c r="J2488" s="1">
        <v>72</v>
      </c>
      <c r="K2488" s="1">
        <f>J2488-I2488</f>
        <v>3</v>
      </c>
      <c r="L2488" s="1">
        <v>165</v>
      </c>
      <c r="M2488" s="1">
        <v>90</v>
      </c>
      <c r="N2488" s="1">
        <v>2</v>
      </c>
      <c r="O2488" s="1">
        <v>3.5</v>
      </c>
      <c r="P2488" s="1">
        <v>8</v>
      </c>
      <c r="Q2488" s="2">
        <v>0.19</v>
      </c>
      <c r="R2488" s="1">
        <v>9</v>
      </c>
      <c r="S2488" s="1">
        <f>R2488/P2488</f>
        <v>1.125</v>
      </c>
      <c r="T2488" s="1">
        <v>5</v>
      </c>
      <c r="U2488" s="1">
        <v>8.4</v>
      </c>
      <c r="V2488" s="1">
        <v>728.0104575163399</v>
      </c>
      <c r="W2488" s="1">
        <v>5</v>
      </c>
    </row>
    <row r="2489" spans="1:23" x14ac:dyDescent="0.2">
      <c r="A2489">
        <v>2022</v>
      </c>
      <c r="B2489" t="s">
        <v>23</v>
      </c>
      <c r="C2489" t="s">
        <v>271</v>
      </c>
      <c r="D2489">
        <v>59</v>
      </c>
      <c r="E2489">
        <v>2</v>
      </c>
      <c r="F2489">
        <v>11</v>
      </c>
      <c r="G2489" t="s">
        <v>83</v>
      </c>
      <c r="H2489" s="1">
        <v>9</v>
      </c>
      <c r="I2489" s="1">
        <v>63</v>
      </c>
      <c r="J2489" s="1">
        <v>68</v>
      </c>
      <c r="K2489" s="1">
        <f>J2489-I2489</f>
        <v>5</v>
      </c>
      <c r="L2489" s="1">
        <v>169</v>
      </c>
      <c r="M2489" s="1">
        <v>78</v>
      </c>
      <c r="N2489" s="1">
        <v>2</v>
      </c>
      <c r="O2489" s="1">
        <v>3.5</v>
      </c>
      <c r="P2489" s="1">
        <f>H2489</f>
        <v>9</v>
      </c>
      <c r="Q2489" s="2">
        <v>0.71437499999999998</v>
      </c>
      <c r="R2489" s="1">
        <v>9</v>
      </c>
      <c r="S2489" s="1">
        <f>R2489/P2489</f>
        <v>1</v>
      </c>
      <c r="T2489" s="1">
        <v>5</v>
      </c>
      <c r="U2489" s="1">
        <v>12.5</v>
      </c>
      <c r="V2489" s="1">
        <v>2614.7058823529414</v>
      </c>
      <c r="W2489" s="1">
        <v>3</v>
      </c>
    </row>
    <row r="2490" spans="1:23" x14ac:dyDescent="0.2">
      <c r="A2490">
        <v>2022</v>
      </c>
      <c r="B2490" t="s">
        <v>23</v>
      </c>
      <c r="C2490" t="s">
        <v>271</v>
      </c>
      <c r="D2490">
        <v>60</v>
      </c>
      <c r="E2490">
        <v>1</v>
      </c>
      <c r="F2490">
        <v>8</v>
      </c>
      <c r="G2490" t="s">
        <v>84</v>
      </c>
      <c r="H2490">
        <v>16</v>
      </c>
      <c r="I2490">
        <v>51</v>
      </c>
      <c r="J2490">
        <v>54</v>
      </c>
      <c r="K2490">
        <v>3</v>
      </c>
      <c r="L2490">
        <v>175</v>
      </c>
      <c r="M2490">
        <v>97</v>
      </c>
      <c r="N2490">
        <v>2</v>
      </c>
      <c r="O2490">
        <v>2.5</v>
      </c>
      <c r="P2490">
        <v>16</v>
      </c>
      <c r="Q2490">
        <v>0.4</v>
      </c>
      <c r="R2490">
        <v>14</v>
      </c>
      <c r="S2490">
        <v>0.875</v>
      </c>
      <c r="T2490">
        <v>2</v>
      </c>
      <c r="U2490">
        <v>10.199999999999999</v>
      </c>
      <c r="V2490">
        <v>1502.5359477124182</v>
      </c>
      <c r="W2490">
        <v>2</v>
      </c>
    </row>
    <row r="2491" spans="1:23" x14ac:dyDescent="0.2">
      <c r="A2491">
        <v>2022</v>
      </c>
      <c r="B2491" t="s">
        <v>23</v>
      </c>
      <c r="C2491" t="s">
        <v>271</v>
      </c>
      <c r="D2491">
        <v>60</v>
      </c>
      <c r="E2491">
        <v>2</v>
      </c>
      <c r="F2491">
        <v>14</v>
      </c>
      <c r="G2491" t="s">
        <v>84</v>
      </c>
      <c r="H2491">
        <v>14</v>
      </c>
      <c r="I2491">
        <v>58</v>
      </c>
      <c r="J2491">
        <v>60</v>
      </c>
      <c r="K2491">
        <v>2</v>
      </c>
      <c r="L2491">
        <v>167</v>
      </c>
      <c r="M2491">
        <v>92</v>
      </c>
      <c r="N2491">
        <v>2</v>
      </c>
      <c r="O2491">
        <v>2</v>
      </c>
      <c r="P2491">
        <v>13</v>
      </c>
      <c r="Q2491">
        <v>0.8</v>
      </c>
      <c r="R2491">
        <v>12</v>
      </c>
      <c r="S2491">
        <v>0.92307692307692313</v>
      </c>
      <c r="T2491">
        <v>3</v>
      </c>
      <c r="U2491">
        <v>10</v>
      </c>
      <c r="V2491">
        <v>3011.7647058823527</v>
      </c>
      <c r="W2491">
        <v>2</v>
      </c>
    </row>
    <row r="2492" spans="1:23" x14ac:dyDescent="0.2">
      <c r="A2492">
        <v>2022</v>
      </c>
      <c r="B2492" t="s">
        <v>23</v>
      </c>
      <c r="C2492" t="s">
        <v>271</v>
      </c>
      <c r="D2492">
        <v>61</v>
      </c>
      <c r="E2492">
        <v>1</v>
      </c>
      <c r="F2492">
        <v>12</v>
      </c>
      <c r="G2492" t="s">
        <v>85</v>
      </c>
      <c r="H2492" s="1">
        <v>10</v>
      </c>
      <c r="I2492" s="1">
        <v>62</v>
      </c>
      <c r="J2492" s="1">
        <v>65</v>
      </c>
      <c r="K2492" s="1">
        <f>J2492-I2492</f>
        <v>3</v>
      </c>
      <c r="L2492" s="1">
        <v>194</v>
      </c>
      <c r="M2492" s="1">
        <v>73</v>
      </c>
      <c r="N2492" s="1">
        <v>2</v>
      </c>
      <c r="O2492" s="1">
        <v>3</v>
      </c>
      <c r="P2492" s="1">
        <v>10</v>
      </c>
      <c r="Q2492" s="2">
        <v>3.8249999999999999E-2</v>
      </c>
      <c r="R2492" s="1">
        <v>5</v>
      </c>
      <c r="S2492" s="1">
        <f>R2492/P2492</f>
        <v>0.5</v>
      </c>
      <c r="T2492" s="1">
        <v>3</v>
      </c>
      <c r="U2492" s="1">
        <v>12.5</v>
      </c>
      <c r="V2492" s="1">
        <v>140</v>
      </c>
      <c r="W2492" s="1">
        <v>3</v>
      </c>
    </row>
    <row r="2493" spans="1:23" x14ac:dyDescent="0.2">
      <c r="A2493">
        <v>2022</v>
      </c>
      <c r="B2493" t="s">
        <v>23</v>
      </c>
      <c r="C2493" t="s">
        <v>271</v>
      </c>
      <c r="D2493">
        <v>61</v>
      </c>
      <c r="E2493">
        <v>2</v>
      </c>
      <c r="F2493">
        <v>2</v>
      </c>
      <c r="G2493" t="s">
        <v>85</v>
      </c>
      <c r="H2493">
        <v>15</v>
      </c>
      <c r="I2493">
        <v>54</v>
      </c>
      <c r="J2493">
        <v>55</v>
      </c>
      <c r="K2493">
        <v>1</v>
      </c>
      <c r="L2493">
        <v>153</v>
      </c>
      <c r="M2493">
        <v>20</v>
      </c>
      <c r="N2493">
        <v>2</v>
      </c>
      <c r="O2493">
        <v>2</v>
      </c>
      <c r="P2493">
        <v>15</v>
      </c>
      <c r="Q2493">
        <v>1</v>
      </c>
      <c r="R2493">
        <v>14</v>
      </c>
      <c r="S2493">
        <v>0.93333333333333335</v>
      </c>
      <c r="T2493">
        <v>2</v>
      </c>
      <c r="U2493">
        <v>7.8</v>
      </c>
      <c r="V2493">
        <v>3856.7320261437908</v>
      </c>
      <c r="W2493">
        <v>2</v>
      </c>
    </row>
    <row r="2494" spans="1:23" x14ac:dyDescent="0.2">
      <c r="A2494">
        <v>2022</v>
      </c>
      <c r="B2494" t="s">
        <v>23</v>
      </c>
      <c r="C2494" t="s">
        <v>271</v>
      </c>
      <c r="D2494">
        <v>62</v>
      </c>
      <c r="E2494">
        <v>1</v>
      </c>
      <c r="F2494">
        <v>7</v>
      </c>
      <c r="G2494" t="s">
        <v>86</v>
      </c>
      <c r="H2494">
        <v>6</v>
      </c>
      <c r="I2494">
        <v>63</v>
      </c>
      <c r="J2494">
        <v>65</v>
      </c>
      <c r="K2494">
        <v>2</v>
      </c>
      <c r="L2494">
        <v>155</v>
      </c>
      <c r="M2494">
        <v>70</v>
      </c>
      <c r="N2494">
        <v>1.5</v>
      </c>
      <c r="O2494">
        <v>2</v>
      </c>
      <c r="P2494">
        <v>6</v>
      </c>
      <c r="Q2494">
        <v>0.3</v>
      </c>
      <c r="R2494">
        <v>7</v>
      </c>
      <c r="S2494">
        <v>1.1666666666666667</v>
      </c>
      <c r="T2494">
        <v>2</v>
      </c>
      <c r="U2494">
        <v>12.5</v>
      </c>
      <c r="V2494">
        <v>1098.0392156862745</v>
      </c>
      <c r="W2494">
        <v>2</v>
      </c>
    </row>
    <row r="2495" spans="1:23" x14ac:dyDescent="0.2">
      <c r="A2495">
        <v>2022</v>
      </c>
      <c r="B2495" t="s">
        <v>23</v>
      </c>
      <c r="C2495" t="s">
        <v>271</v>
      </c>
      <c r="D2495">
        <v>62</v>
      </c>
      <c r="E2495">
        <v>2</v>
      </c>
      <c r="F2495">
        <v>4</v>
      </c>
      <c r="G2495" t="s">
        <v>86</v>
      </c>
      <c r="H2495">
        <v>3</v>
      </c>
      <c r="I2495">
        <v>55</v>
      </c>
      <c r="J2495">
        <v>59</v>
      </c>
      <c r="K2495">
        <v>4</v>
      </c>
      <c r="L2495">
        <v>115</v>
      </c>
      <c r="M2495">
        <v>43</v>
      </c>
      <c r="N2495">
        <v>3</v>
      </c>
      <c r="O2495">
        <v>4</v>
      </c>
      <c r="P2495">
        <v>3</v>
      </c>
      <c r="Q2495">
        <v>0.251</v>
      </c>
      <c r="R2495">
        <v>4</v>
      </c>
      <c r="S2495">
        <v>1.3333333333333333</v>
      </c>
      <c r="T2495">
        <v>4</v>
      </c>
      <c r="U2495">
        <v>12.5</v>
      </c>
      <c r="V2495">
        <v>918.69281045751632</v>
      </c>
      <c r="W2495">
        <v>2</v>
      </c>
    </row>
    <row r="2496" spans="1:23" x14ac:dyDescent="0.2">
      <c r="A2496">
        <v>2022</v>
      </c>
      <c r="B2496" t="s">
        <v>23</v>
      </c>
      <c r="C2496" t="s">
        <v>271</v>
      </c>
      <c r="D2496">
        <v>63</v>
      </c>
      <c r="E2496">
        <v>1</v>
      </c>
      <c r="F2496">
        <v>6</v>
      </c>
      <c r="G2496" t="s">
        <v>87</v>
      </c>
      <c r="H2496" s="1">
        <v>10</v>
      </c>
      <c r="I2496" s="1">
        <v>64</v>
      </c>
      <c r="J2496" s="1">
        <v>67</v>
      </c>
      <c r="K2496" s="1">
        <f>J2496-I2496</f>
        <v>3</v>
      </c>
      <c r="L2496" s="1">
        <v>124</v>
      </c>
      <c r="M2496" s="1">
        <v>42</v>
      </c>
      <c r="N2496" s="1">
        <v>2</v>
      </c>
      <c r="O2496" s="1">
        <v>4</v>
      </c>
      <c r="P2496" s="1">
        <v>8</v>
      </c>
      <c r="Q2496" s="2">
        <v>0.65900000000000003</v>
      </c>
      <c r="R2496" s="1">
        <v>8</v>
      </c>
      <c r="S2496" s="1">
        <f>R2496/P2496</f>
        <v>1</v>
      </c>
      <c r="T2496" s="1">
        <v>3.5</v>
      </c>
      <c r="U2496" s="1">
        <v>12.5</v>
      </c>
      <c r="V2496" s="1">
        <v>2412.0261437908498</v>
      </c>
      <c r="W2496" s="1">
        <v>3</v>
      </c>
    </row>
    <row r="2497" spans="1:23" x14ac:dyDescent="0.2">
      <c r="A2497">
        <v>2022</v>
      </c>
      <c r="B2497" t="s">
        <v>23</v>
      </c>
      <c r="C2497" t="s">
        <v>271</v>
      </c>
      <c r="D2497">
        <v>63</v>
      </c>
      <c r="E2497">
        <v>2</v>
      </c>
      <c r="F2497">
        <v>3</v>
      </c>
      <c r="G2497" t="s">
        <v>87</v>
      </c>
      <c r="H2497">
        <v>15</v>
      </c>
      <c r="I2497">
        <v>56</v>
      </c>
      <c r="J2497">
        <v>58</v>
      </c>
      <c r="K2497">
        <v>2</v>
      </c>
      <c r="L2497">
        <v>130</v>
      </c>
      <c r="M2497">
        <v>67</v>
      </c>
      <c r="N2497">
        <v>2</v>
      </c>
      <c r="O2497">
        <v>2</v>
      </c>
      <c r="P2497">
        <v>14</v>
      </c>
      <c r="Q2497">
        <v>1.6</v>
      </c>
      <c r="R2497">
        <v>13</v>
      </c>
      <c r="S2497">
        <v>0.9285714285714286</v>
      </c>
      <c r="T2497">
        <v>2</v>
      </c>
      <c r="U2497">
        <v>8</v>
      </c>
      <c r="V2497">
        <v>6157.3856209150345</v>
      </c>
      <c r="W2497">
        <v>2</v>
      </c>
    </row>
    <row r="2498" spans="1:23" x14ac:dyDescent="0.2">
      <c r="A2498">
        <v>2022</v>
      </c>
      <c r="B2498" t="s">
        <v>23</v>
      </c>
      <c r="C2498" t="s">
        <v>271</v>
      </c>
      <c r="D2498">
        <v>64</v>
      </c>
      <c r="E2498">
        <v>1</v>
      </c>
      <c r="F2498">
        <v>2</v>
      </c>
      <c r="G2498" t="s">
        <v>88</v>
      </c>
      <c r="H2498">
        <v>14</v>
      </c>
      <c r="I2498">
        <v>58</v>
      </c>
      <c r="J2498">
        <v>59</v>
      </c>
      <c r="K2498">
        <v>1</v>
      </c>
      <c r="L2498">
        <v>180</v>
      </c>
      <c r="M2498">
        <v>87</v>
      </c>
      <c r="N2498">
        <v>2</v>
      </c>
      <c r="O2498">
        <v>2.5</v>
      </c>
      <c r="P2498">
        <v>13</v>
      </c>
      <c r="Q2498">
        <v>0.9</v>
      </c>
      <c r="R2498">
        <v>11</v>
      </c>
      <c r="S2498">
        <v>0.84615384615384615</v>
      </c>
      <c r="T2498">
        <v>3</v>
      </c>
      <c r="U2498">
        <v>8.3000000000000007</v>
      </c>
      <c r="V2498">
        <v>3452.2352941176473</v>
      </c>
      <c r="W2498">
        <v>2</v>
      </c>
    </row>
    <row r="2499" spans="1:23" x14ac:dyDescent="0.2">
      <c r="A2499">
        <v>2022</v>
      </c>
      <c r="B2499" t="s">
        <v>23</v>
      </c>
      <c r="C2499" t="s">
        <v>271</v>
      </c>
      <c r="D2499">
        <v>64</v>
      </c>
      <c r="E2499">
        <v>2</v>
      </c>
      <c r="F2499">
        <v>6</v>
      </c>
      <c r="G2499" t="s">
        <v>88</v>
      </c>
      <c r="H2499" s="1">
        <v>10</v>
      </c>
      <c r="I2499" s="1">
        <v>65</v>
      </c>
      <c r="J2499" s="1">
        <v>67</v>
      </c>
      <c r="K2499" s="1">
        <f>J2499-I2499</f>
        <v>2</v>
      </c>
      <c r="L2499" s="1">
        <v>183</v>
      </c>
      <c r="M2499" s="1">
        <v>78</v>
      </c>
      <c r="N2499" s="1">
        <v>2</v>
      </c>
      <c r="O2499" s="1">
        <v>2</v>
      </c>
      <c r="P2499" s="1">
        <v>10</v>
      </c>
      <c r="Q2499" s="2">
        <v>0.69</v>
      </c>
      <c r="R2499" s="1">
        <v>9</v>
      </c>
      <c r="S2499" s="1">
        <f>R2499/P2499</f>
        <v>0.9</v>
      </c>
      <c r="T2499" s="1">
        <v>3</v>
      </c>
      <c r="U2499" s="1">
        <v>12.5</v>
      </c>
      <c r="V2499" s="1">
        <v>2525.4901960784314</v>
      </c>
      <c r="W2499" s="1">
        <v>4</v>
      </c>
    </row>
    <row r="2500" spans="1:23" x14ac:dyDescent="0.2">
      <c r="A2500">
        <v>2022</v>
      </c>
      <c r="B2500" t="s">
        <v>23</v>
      </c>
      <c r="C2500" t="s">
        <v>271</v>
      </c>
      <c r="D2500">
        <v>65</v>
      </c>
      <c r="E2500">
        <v>1</v>
      </c>
      <c r="F2500">
        <v>4</v>
      </c>
      <c r="G2500" t="s">
        <v>89</v>
      </c>
      <c r="H2500" s="1">
        <v>5</v>
      </c>
      <c r="I2500" s="1">
        <v>67</v>
      </c>
      <c r="J2500" s="1">
        <v>72</v>
      </c>
      <c r="K2500" s="1">
        <f>J2500-I2500</f>
        <v>5</v>
      </c>
      <c r="L2500" s="1">
        <v>125</v>
      </c>
      <c r="M2500" s="1">
        <v>87</v>
      </c>
      <c r="N2500" s="1">
        <v>2</v>
      </c>
      <c r="O2500" s="1">
        <v>2.5</v>
      </c>
      <c r="P2500" s="1">
        <v>4</v>
      </c>
      <c r="Q2500" s="2">
        <v>0.21299999999999999</v>
      </c>
      <c r="R2500" s="1">
        <v>3</v>
      </c>
      <c r="S2500" s="1">
        <f>R2500/P2500</f>
        <v>0.75</v>
      </c>
      <c r="T2500" s="1">
        <v>3</v>
      </c>
      <c r="U2500" s="1">
        <v>12.5</v>
      </c>
      <c r="V2500" s="1">
        <v>779.6078431372548</v>
      </c>
      <c r="W2500" s="1">
        <v>4</v>
      </c>
    </row>
    <row r="2501" spans="1:23" x14ac:dyDescent="0.2">
      <c r="A2501">
        <v>2022</v>
      </c>
      <c r="B2501" t="s">
        <v>23</v>
      </c>
      <c r="C2501" t="s">
        <v>271</v>
      </c>
      <c r="D2501">
        <v>65</v>
      </c>
      <c r="E2501">
        <v>2</v>
      </c>
      <c r="F2501">
        <v>2</v>
      </c>
      <c r="G2501" t="s">
        <v>89</v>
      </c>
      <c r="H2501">
        <v>6</v>
      </c>
      <c r="I2501">
        <v>63</v>
      </c>
      <c r="J2501">
        <v>66</v>
      </c>
      <c r="K2501">
        <v>3</v>
      </c>
      <c r="L2501">
        <v>87</v>
      </c>
      <c r="M2501">
        <v>32</v>
      </c>
      <c r="N2501">
        <v>1.5</v>
      </c>
      <c r="O2501">
        <v>2</v>
      </c>
      <c r="P2501">
        <v>6</v>
      </c>
      <c r="Q2501">
        <v>0.5</v>
      </c>
      <c r="R2501">
        <v>7</v>
      </c>
      <c r="S2501">
        <v>1.1666666666666667</v>
      </c>
      <c r="T2501">
        <v>2.5</v>
      </c>
      <c r="U2501">
        <v>12.5</v>
      </c>
      <c r="V2501">
        <v>1830.0653594771243</v>
      </c>
      <c r="W2501">
        <v>2</v>
      </c>
    </row>
    <row r="2502" spans="1:23" x14ac:dyDescent="0.2">
      <c r="A2502">
        <v>2022</v>
      </c>
      <c r="B2502" t="s">
        <v>23</v>
      </c>
      <c r="C2502" t="s">
        <v>271</v>
      </c>
      <c r="D2502">
        <v>66</v>
      </c>
      <c r="E2502">
        <v>1</v>
      </c>
      <c r="F2502">
        <v>4</v>
      </c>
      <c r="G2502" t="s">
        <v>90</v>
      </c>
      <c r="H2502" s="1">
        <v>9</v>
      </c>
      <c r="I2502" s="1">
        <v>67</v>
      </c>
      <c r="J2502" s="1">
        <v>69</v>
      </c>
      <c r="K2502" s="1">
        <f>J2502-I2502</f>
        <v>2</v>
      </c>
      <c r="L2502" s="1">
        <v>137</v>
      </c>
      <c r="M2502" s="1">
        <v>78</v>
      </c>
      <c r="N2502" s="1">
        <v>2</v>
      </c>
      <c r="O2502" s="1">
        <v>3.5</v>
      </c>
      <c r="P2502" s="1">
        <v>7</v>
      </c>
      <c r="Q2502" s="2">
        <v>0.10344</v>
      </c>
      <c r="R2502" s="1">
        <v>3</v>
      </c>
      <c r="S2502" s="1">
        <f>R2502/P2502</f>
        <v>0.42857142857142855</v>
      </c>
      <c r="T2502" s="1">
        <v>5</v>
      </c>
      <c r="U2502" s="1">
        <v>12.5</v>
      </c>
      <c r="V2502" s="1">
        <v>378.60392156862747</v>
      </c>
      <c r="W2502" s="1">
        <v>6</v>
      </c>
    </row>
    <row r="2503" spans="1:23" x14ac:dyDescent="0.2">
      <c r="A2503">
        <v>2022</v>
      </c>
      <c r="B2503" t="s">
        <v>23</v>
      </c>
      <c r="C2503" t="s">
        <v>271</v>
      </c>
      <c r="D2503">
        <v>66</v>
      </c>
      <c r="E2503">
        <v>2</v>
      </c>
      <c r="F2503">
        <v>6</v>
      </c>
      <c r="G2503" t="s">
        <v>90</v>
      </c>
      <c r="H2503">
        <v>1</v>
      </c>
      <c r="I2503">
        <v>55</v>
      </c>
      <c r="J2503">
        <v>61</v>
      </c>
      <c r="K2503">
        <v>6</v>
      </c>
      <c r="L2503">
        <v>48</v>
      </c>
      <c r="M2503">
        <v>20</v>
      </c>
      <c r="N2503">
        <v>1</v>
      </c>
      <c r="O2503">
        <v>4</v>
      </c>
      <c r="P2503">
        <v>1</v>
      </c>
      <c r="Q2503">
        <v>0.04</v>
      </c>
      <c r="R2503">
        <v>1</v>
      </c>
      <c r="S2503">
        <v>1</v>
      </c>
      <c r="T2503">
        <v>4</v>
      </c>
      <c r="U2503">
        <v>12.5</v>
      </c>
      <c r="V2503">
        <v>146.40522875816995</v>
      </c>
      <c r="W2503">
        <v>2</v>
      </c>
    </row>
    <row r="2504" spans="1:23" x14ac:dyDescent="0.2">
      <c r="A2504">
        <v>2022</v>
      </c>
      <c r="B2504" t="s">
        <v>23</v>
      </c>
      <c r="C2504" t="s">
        <v>271</v>
      </c>
      <c r="D2504">
        <v>67</v>
      </c>
      <c r="E2504">
        <v>1</v>
      </c>
      <c r="F2504">
        <v>2</v>
      </c>
      <c r="G2504" t="s">
        <v>91</v>
      </c>
      <c r="H2504">
        <v>5</v>
      </c>
      <c r="I2504">
        <v>59</v>
      </c>
      <c r="J2504">
        <v>62</v>
      </c>
      <c r="K2504">
        <v>3</v>
      </c>
      <c r="L2504">
        <v>150</v>
      </c>
      <c r="M2504">
        <v>50</v>
      </c>
      <c r="N2504">
        <v>1.5</v>
      </c>
      <c r="O2504">
        <v>3.5</v>
      </c>
      <c r="P2504">
        <v>5</v>
      </c>
      <c r="Q2504">
        <v>0.3</v>
      </c>
      <c r="R2504">
        <v>4</v>
      </c>
      <c r="S2504">
        <v>0.8</v>
      </c>
      <c r="T2504">
        <v>2.5</v>
      </c>
      <c r="U2504">
        <v>12.5</v>
      </c>
      <c r="V2504">
        <v>1098.0392156862745</v>
      </c>
      <c r="W2504">
        <v>2</v>
      </c>
    </row>
    <row r="2505" spans="1:23" x14ac:dyDescent="0.2">
      <c r="A2505">
        <v>2022</v>
      </c>
      <c r="B2505" t="s">
        <v>23</v>
      </c>
      <c r="C2505" t="s">
        <v>271</v>
      </c>
      <c r="D2505">
        <v>67</v>
      </c>
      <c r="E2505">
        <v>2</v>
      </c>
      <c r="F2505">
        <v>14</v>
      </c>
      <c r="G2505" t="s">
        <v>91</v>
      </c>
      <c r="H2505" s="1">
        <v>8</v>
      </c>
      <c r="I2505" s="1">
        <v>67</v>
      </c>
      <c r="J2505" s="1">
        <v>70</v>
      </c>
      <c r="K2505" s="1">
        <f>J2505-I2505</f>
        <v>3</v>
      </c>
      <c r="L2505" s="1">
        <v>128</v>
      </c>
      <c r="M2505" s="1">
        <v>53</v>
      </c>
      <c r="N2505" s="1">
        <v>3</v>
      </c>
      <c r="O2505" s="1">
        <v>4</v>
      </c>
      <c r="P2505" s="1">
        <v>6</v>
      </c>
      <c r="Q2505" s="2">
        <v>0.1</v>
      </c>
      <c r="R2505" s="1">
        <v>1</v>
      </c>
      <c r="S2505" s="1">
        <f>R2505/P2505</f>
        <v>0.16666666666666666</v>
      </c>
      <c r="T2505" s="1">
        <v>5</v>
      </c>
      <c r="U2505" s="1">
        <v>12.5</v>
      </c>
      <c r="V2505" s="1">
        <v>366.01307189542484</v>
      </c>
      <c r="W2505" s="1">
        <v>5</v>
      </c>
    </row>
    <row r="2506" spans="1:23" x14ac:dyDescent="0.2">
      <c r="A2506">
        <v>2022</v>
      </c>
      <c r="B2506" t="s">
        <v>23</v>
      </c>
      <c r="C2506" t="s">
        <v>271</v>
      </c>
      <c r="D2506">
        <v>68</v>
      </c>
      <c r="E2506">
        <v>1</v>
      </c>
      <c r="F2506">
        <v>7</v>
      </c>
      <c r="G2506" t="s">
        <v>92</v>
      </c>
      <c r="H2506" s="1">
        <v>7</v>
      </c>
      <c r="I2506" s="1">
        <v>68</v>
      </c>
      <c r="J2506" s="1">
        <v>71</v>
      </c>
      <c r="K2506" s="1">
        <f>J2506-I2506</f>
        <v>3</v>
      </c>
      <c r="L2506" s="1">
        <v>103</v>
      </c>
      <c r="M2506" s="1">
        <v>46</v>
      </c>
      <c r="N2506" s="1">
        <v>2</v>
      </c>
      <c r="O2506" s="1">
        <v>4</v>
      </c>
      <c r="P2506" s="1">
        <v>4</v>
      </c>
      <c r="Q2506" s="2">
        <v>0.10260000000000001</v>
      </c>
      <c r="R2506" s="1">
        <v>3</v>
      </c>
      <c r="S2506" s="1">
        <f>R2506/P2506</f>
        <v>0.75</v>
      </c>
      <c r="T2506" s="1">
        <v>4</v>
      </c>
      <c r="U2506" s="1">
        <v>12.5</v>
      </c>
      <c r="V2506" s="1">
        <v>375.52941176470597</v>
      </c>
      <c r="W2506" s="1">
        <v>5</v>
      </c>
    </row>
    <row r="2507" spans="1:23" x14ac:dyDescent="0.2">
      <c r="A2507">
        <v>2022</v>
      </c>
      <c r="B2507" t="s">
        <v>23</v>
      </c>
      <c r="C2507" t="s">
        <v>271</v>
      </c>
      <c r="D2507">
        <v>68</v>
      </c>
      <c r="E2507">
        <v>2</v>
      </c>
      <c r="F2507">
        <v>13</v>
      </c>
      <c r="G2507" t="s">
        <v>92</v>
      </c>
      <c r="H2507" s="1">
        <v>6</v>
      </c>
      <c r="I2507" s="1">
        <v>68</v>
      </c>
      <c r="J2507" s="1">
        <v>71</v>
      </c>
      <c r="K2507" s="1">
        <f>J2507-I2507</f>
        <v>3</v>
      </c>
      <c r="L2507" s="1">
        <v>137</v>
      </c>
      <c r="M2507" s="1">
        <v>45</v>
      </c>
      <c r="N2507" s="1">
        <v>1.5</v>
      </c>
      <c r="O2507" s="1">
        <v>4.5</v>
      </c>
      <c r="P2507" s="1">
        <v>4</v>
      </c>
      <c r="Q2507" s="2">
        <v>0.254</v>
      </c>
      <c r="R2507" s="1">
        <v>3</v>
      </c>
      <c r="S2507" s="1">
        <f>R2507/P2507</f>
        <v>0.75</v>
      </c>
      <c r="T2507" s="1">
        <v>4</v>
      </c>
      <c r="U2507" s="1">
        <v>12.5</v>
      </c>
      <c r="V2507" s="1">
        <v>929.67320261437919</v>
      </c>
      <c r="W2507" s="1">
        <v>5</v>
      </c>
    </row>
    <row r="2508" spans="1:23" x14ac:dyDescent="0.2">
      <c r="A2508">
        <v>2022</v>
      </c>
      <c r="B2508" t="s">
        <v>23</v>
      </c>
      <c r="C2508" t="s">
        <v>271</v>
      </c>
      <c r="D2508">
        <v>69</v>
      </c>
      <c r="E2508">
        <v>1</v>
      </c>
      <c r="F2508">
        <v>14</v>
      </c>
      <c r="G2508" t="s">
        <v>93</v>
      </c>
      <c r="H2508" s="1">
        <v>3</v>
      </c>
      <c r="I2508" s="1">
        <v>63</v>
      </c>
      <c r="J2508" s="1">
        <v>65</v>
      </c>
      <c r="K2508" s="1">
        <f>J2508-I2508</f>
        <v>2</v>
      </c>
      <c r="L2508" s="1">
        <v>126</v>
      </c>
      <c r="M2508" s="1">
        <v>51</v>
      </c>
      <c r="N2508" s="1">
        <v>2</v>
      </c>
      <c r="O2508" s="1">
        <v>3</v>
      </c>
      <c r="P2508" s="1">
        <v>2</v>
      </c>
      <c r="Q2508" s="2">
        <v>6.1499999999999999E-2</v>
      </c>
      <c r="R2508" s="1">
        <v>2</v>
      </c>
      <c r="S2508" s="1">
        <f>R2508/P2508</f>
        <v>1</v>
      </c>
      <c r="T2508" s="1">
        <v>3</v>
      </c>
      <c r="U2508" s="1">
        <v>12.5</v>
      </c>
      <c r="V2508" s="1">
        <v>225.0980392156863</v>
      </c>
      <c r="W2508" s="1">
        <v>5</v>
      </c>
    </row>
    <row r="2509" spans="1:23" x14ac:dyDescent="0.2">
      <c r="A2509">
        <v>2022</v>
      </c>
      <c r="B2509" t="s">
        <v>23</v>
      </c>
      <c r="C2509" t="s">
        <v>271</v>
      </c>
      <c r="D2509">
        <v>69</v>
      </c>
      <c r="E2509">
        <v>2</v>
      </c>
      <c r="F2509">
        <v>15</v>
      </c>
      <c r="G2509" t="s">
        <v>93</v>
      </c>
      <c r="H2509" s="1">
        <v>13</v>
      </c>
      <c r="I2509" s="1">
        <v>65</v>
      </c>
      <c r="J2509" s="1">
        <v>69</v>
      </c>
      <c r="K2509" s="1">
        <f>J2509-I2509</f>
        <v>4</v>
      </c>
      <c r="L2509" s="1">
        <v>91</v>
      </c>
      <c r="M2509" s="1">
        <v>32</v>
      </c>
      <c r="N2509" s="1">
        <v>2.5</v>
      </c>
      <c r="O2509" s="1">
        <v>4.5</v>
      </c>
      <c r="P2509" s="1">
        <v>10</v>
      </c>
      <c r="Q2509" s="2">
        <v>0.18479999999999999</v>
      </c>
      <c r="R2509" s="1">
        <v>9</v>
      </c>
      <c r="S2509" s="1">
        <f>R2509/P2509</f>
        <v>0.9</v>
      </c>
      <c r="T2509" s="1">
        <v>5</v>
      </c>
      <c r="U2509" s="1">
        <v>12.5</v>
      </c>
      <c r="V2509" s="1">
        <v>676.39215686274508</v>
      </c>
      <c r="W2509" s="1">
        <v>6</v>
      </c>
    </row>
    <row r="2510" spans="1:23" x14ac:dyDescent="0.2">
      <c r="A2510">
        <v>2022</v>
      </c>
      <c r="B2510" t="s">
        <v>23</v>
      </c>
      <c r="C2510" t="s">
        <v>271</v>
      </c>
      <c r="D2510">
        <v>70</v>
      </c>
      <c r="E2510">
        <v>1</v>
      </c>
      <c r="F2510">
        <v>14</v>
      </c>
      <c r="G2510" t="s">
        <v>94</v>
      </c>
      <c r="H2510">
        <v>10</v>
      </c>
      <c r="I2510">
        <v>55</v>
      </c>
      <c r="J2510">
        <v>58</v>
      </c>
      <c r="K2510">
        <v>3</v>
      </c>
      <c r="L2510">
        <v>146</v>
      </c>
      <c r="M2510">
        <v>56</v>
      </c>
      <c r="N2510">
        <v>2</v>
      </c>
      <c r="O2510">
        <v>3</v>
      </c>
      <c r="P2510">
        <v>10</v>
      </c>
      <c r="Q2510">
        <v>0.5</v>
      </c>
      <c r="R2510">
        <v>12</v>
      </c>
      <c r="S2510">
        <v>1.2</v>
      </c>
      <c r="T2510">
        <v>2</v>
      </c>
      <c r="U2510">
        <v>12.5</v>
      </c>
      <c r="V2510">
        <v>1830.0653594771243</v>
      </c>
      <c r="W2510">
        <v>2</v>
      </c>
    </row>
    <row r="2511" spans="1:23" x14ac:dyDescent="0.2">
      <c r="A2511">
        <v>2022</v>
      </c>
      <c r="B2511" t="s">
        <v>23</v>
      </c>
      <c r="C2511" t="s">
        <v>271</v>
      </c>
      <c r="D2511">
        <v>70</v>
      </c>
      <c r="E2511">
        <v>2</v>
      </c>
      <c r="F2511">
        <v>4</v>
      </c>
      <c r="G2511" t="s">
        <v>94</v>
      </c>
      <c r="H2511">
        <v>13</v>
      </c>
      <c r="I2511">
        <v>56</v>
      </c>
      <c r="J2511">
        <v>60</v>
      </c>
      <c r="K2511">
        <v>4</v>
      </c>
      <c r="L2511">
        <v>137</v>
      </c>
      <c r="M2511">
        <v>60</v>
      </c>
      <c r="N2511">
        <v>2</v>
      </c>
      <c r="O2511">
        <v>2</v>
      </c>
      <c r="P2511">
        <v>12</v>
      </c>
      <c r="Q2511">
        <v>1</v>
      </c>
      <c r="R2511">
        <v>12</v>
      </c>
      <c r="S2511">
        <v>1</v>
      </c>
      <c r="T2511">
        <v>3</v>
      </c>
      <c r="U2511">
        <v>9.8000000000000007</v>
      </c>
      <c r="V2511">
        <v>3773.0718954248368</v>
      </c>
      <c r="W2511">
        <v>2</v>
      </c>
    </row>
    <row r="2512" spans="1:23" x14ac:dyDescent="0.2">
      <c r="A2512">
        <v>2022</v>
      </c>
      <c r="B2512" t="s">
        <v>23</v>
      </c>
      <c r="C2512" t="s">
        <v>271</v>
      </c>
      <c r="D2512">
        <v>71</v>
      </c>
      <c r="E2512">
        <v>1</v>
      </c>
      <c r="F2512">
        <v>7</v>
      </c>
      <c r="G2512" t="s">
        <v>95</v>
      </c>
      <c r="H2512" s="1">
        <v>4</v>
      </c>
      <c r="I2512" s="1">
        <v>64</v>
      </c>
      <c r="J2512" s="1">
        <v>68</v>
      </c>
      <c r="K2512" s="1">
        <f>J2512-I2512</f>
        <v>4</v>
      </c>
      <c r="L2512" s="1">
        <v>153</v>
      </c>
      <c r="M2512" s="1">
        <v>55</v>
      </c>
      <c r="N2512" s="1">
        <v>2</v>
      </c>
      <c r="O2512" s="1">
        <v>3</v>
      </c>
      <c r="P2512" s="1">
        <v>3</v>
      </c>
      <c r="Q2512" s="2">
        <v>0.23200000000000001</v>
      </c>
      <c r="R2512" s="1">
        <v>3</v>
      </c>
      <c r="S2512" s="1">
        <f>R2512/P2512</f>
        <v>1</v>
      </c>
      <c r="T2512" s="1">
        <v>2</v>
      </c>
      <c r="U2512" s="1">
        <v>12.5</v>
      </c>
      <c r="V2512" s="1">
        <v>849.15032679738556</v>
      </c>
      <c r="W2512" s="1">
        <v>3</v>
      </c>
    </row>
    <row r="2513" spans="1:23" x14ac:dyDescent="0.2">
      <c r="A2513">
        <v>2022</v>
      </c>
      <c r="B2513" t="s">
        <v>23</v>
      </c>
      <c r="C2513" t="s">
        <v>271</v>
      </c>
      <c r="D2513">
        <v>71</v>
      </c>
      <c r="E2513">
        <v>2</v>
      </c>
      <c r="F2513">
        <v>13</v>
      </c>
      <c r="G2513" t="s">
        <v>95</v>
      </c>
      <c r="H2513" s="1">
        <v>1</v>
      </c>
      <c r="I2513" s="1">
        <v>64</v>
      </c>
      <c r="J2513" s="1">
        <v>67</v>
      </c>
      <c r="K2513" s="1">
        <f>J2513-I2513</f>
        <v>3</v>
      </c>
      <c r="L2513" s="1">
        <v>198</v>
      </c>
      <c r="M2513" s="1">
        <v>95</v>
      </c>
      <c r="N2513" s="1">
        <v>2</v>
      </c>
      <c r="O2513" s="1">
        <v>3.5</v>
      </c>
      <c r="P2513" s="1">
        <v>1</v>
      </c>
      <c r="Q2513" s="2">
        <v>2.2499999999999999E-2</v>
      </c>
      <c r="R2513" s="1">
        <v>1</v>
      </c>
      <c r="S2513" s="1">
        <f>R2513/P2513</f>
        <v>1</v>
      </c>
      <c r="T2513" s="1">
        <v>5</v>
      </c>
      <c r="U2513" s="1">
        <v>12.5</v>
      </c>
      <c r="V2513" s="1">
        <v>82.35294117647058</v>
      </c>
      <c r="W2513" s="1">
        <v>5</v>
      </c>
    </row>
    <row r="2514" spans="1:23" x14ac:dyDescent="0.2">
      <c r="A2514">
        <v>2022</v>
      </c>
      <c r="B2514" t="s">
        <v>23</v>
      </c>
      <c r="C2514" t="s">
        <v>271</v>
      </c>
      <c r="D2514">
        <v>72</v>
      </c>
      <c r="E2514">
        <v>1</v>
      </c>
      <c r="F2514">
        <v>4</v>
      </c>
      <c r="G2514" t="s">
        <v>96</v>
      </c>
      <c r="H2514">
        <v>16</v>
      </c>
      <c r="I2514">
        <v>57</v>
      </c>
      <c r="J2514">
        <v>58</v>
      </c>
      <c r="K2514">
        <v>1</v>
      </c>
      <c r="L2514">
        <v>165</v>
      </c>
      <c r="M2514">
        <v>69</v>
      </c>
      <c r="N2514">
        <v>1</v>
      </c>
      <c r="O2514">
        <v>2</v>
      </c>
      <c r="P2514">
        <v>14</v>
      </c>
      <c r="Q2514">
        <v>0.8</v>
      </c>
      <c r="R2514">
        <v>9</v>
      </c>
      <c r="S2514">
        <v>0.6428571428571429</v>
      </c>
      <c r="T2514">
        <v>2</v>
      </c>
      <c r="U2514">
        <v>9.5</v>
      </c>
      <c r="V2514">
        <v>3028.4967320261439</v>
      </c>
      <c r="W2514">
        <v>2</v>
      </c>
    </row>
    <row r="2515" spans="1:23" x14ac:dyDescent="0.2">
      <c r="A2515">
        <v>2022</v>
      </c>
      <c r="B2515" t="s">
        <v>23</v>
      </c>
      <c r="C2515" t="s">
        <v>271</v>
      </c>
      <c r="D2515">
        <v>72</v>
      </c>
      <c r="E2515">
        <v>2</v>
      </c>
      <c r="F2515">
        <v>13</v>
      </c>
      <c r="G2515" t="s">
        <v>96</v>
      </c>
      <c r="H2515" s="1">
        <v>10</v>
      </c>
      <c r="I2515" s="1">
        <v>64</v>
      </c>
      <c r="J2515" s="1">
        <v>68</v>
      </c>
      <c r="K2515" s="1">
        <f>J2515-I2515</f>
        <v>4</v>
      </c>
      <c r="L2515" s="1">
        <v>120</v>
      </c>
      <c r="M2515" s="1">
        <v>55</v>
      </c>
      <c r="N2515" s="1">
        <v>3</v>
      </c>
      <c r="O2515" s="1">
        <v>4</v>
      </c>
      <c r="P2515" s="1">
        <f>H2515</f>
        <v>10</v>
      </c>
      <c r="Q2515" s="2">
        <v>9.0899999999999995E-2</v>
      </c>
      <c r="R2515" s="1">
        <v>8</v>
      </c>
      <c r="S2515" s="1">
        <f>R2515/P2515</f>
        <v>0.8</v>
      </c>
      <c r="T2515" s="1">
        <v>5</v>
      </c>
      <c r="U2515" s="1">
        <v>12.5</v>
      </c>
      <c r="V2515" s="1">
        <v>332.70588235294122</v>
      </c>
      <c r="W2515" s="1">
        <v>5</v>
      </c>
    </row>
    <row r="2516" spans="1:23" x14ac:dyDescent="0.2">
      <c r="A2516">
        <v>2022</v>
      </c>
      <c r="B2516" t="s">
        <v>23</v>
      </c>
      <c r="C2516" t="s">
        <v>271</v>
      </c>
      <c r="D2516">
        <v>73</v>
      </c>
      <c r="E2516">
        <v>1</v>
      </c>
      <c r="F2516">
        <v>6</v>
      </c>
      <c r="G2516" t="s">
        <v>97</v>
      </c>
      <c r="H2516">
        <v>7</v>
      </c>
      <c r="I2516">
        <v>55</v>
      </c>
      <c r="J2516">
        <v>57</v>
      </c>
      <c r="K2516">
        <v>2</v>
      </c>
      <c r="L2516">
        <v>190</v>
      </c>
      <c r="M2516">
        <v>60</v>
      </c>
      <c r="N2516">
        <v>2</v>
      </c>
      <c r="O2516">
        <v>3</v>
      </c>
      <c r="P2516">
        <v>7</v>
      </c>
      <c r="Q2516">
        <v>0.5</v>
      </c>
      <c r="R2516">
        <v>6</v>
      </c>
      <c r="S2516">
        <v>0.8571428571428571</v>
      </c>
      <c r="T2516">
        <v>2.5</v>
      </c>
      <c r="U2516">
        <v>12.5</v>
      </c>
      <c r="V2516">
        <v>1830.0653594771243</v>
      </c>
      <c r="W2516">
        <v>1</v>
      </c>
    </row>
    <row r="2517" spans="1:23" x14ac:dyDescent="0.2">
      <c r="A2517">
        <v>2022</v>
      </c>
      <c r="B2517" t="s">
        <v>23</v>
      </c>
      <c r="C2517" t="s">
        <v>271</v>
      </c>
      <c r="D2517">
        <v>73</v>
      </c>
      <c r="E2517">
        <v>2</v>
      </c>
      <c r="F2517">
        <v>3</v>
      </c>
      <c r="G2517" t="s">
        <v>97</v>
      </c>
      <c r="H2517" s="1">
        <v>5</v>
      </c>
      <c r="I2517" s="1">
        <v>63</v>
      </c>
      <c r="J2517" s="1">
        <v>68</v>
      </c>
      <c r="K2517" s="1">
        <f>J2517-I2517</f>
        <v>5</v>
      </c>
      <c r="L2517" s="1">
        <v>152</v>
      </c>
      <c r="M2517" s="1">
        <v>36</v>
      </c>
      <c r="N2517" s="1">
        <v>1.5</v>
      </c>
      <c r="O2517" s="1">
        <v>4</v>
      </c>
      <c r="P2517" s="1">
        <v>4</v>
      </c>
      <c r="Q2517" s="2">
        <v>0.32400000000000001</v>
      </c>
      <c r="R2517" s="1">
        <v>4</v>
      </c>
      <c r="S2517" s="1">
        <f>R2517/P2517</f>
        <v>1</v>
      </c>
      <c r="T2517" s="1">
        <v>2.5</v>
      </c>
      <c r="U2517" s="1">
        <v>12.5</v>
      </c>
      <c r="V2517" s="1">
        <v>1185.8823529411764</v>
      </c>
      <c r="W2517" s="1">
        <v>5</v>
      </c>
    </row>
    <row r="2518" spans="1:23" x14ac:dyDescent="0.2">
      <c r="A2518">
        <v>2022</v>
      </c>
      <c r="B2518" t="s">
        <v>23</v>
      </c>
      <c r="C2518" t="s">
        <v>271</v>
      </c>
      <c r="D2518">
        <v>74</v>
      </c>
      <c r="E2518">
        <v>1</v>
      </c>
      <c r="F2518">
        <v>12</v>
      </c>
      <c r="G2518" t="s">
        <v>98</v>
      </c>
      <c r="H2518" s="1">
        <v>7</v>
      </c>
      <c r="I2518" s="1">
        <v>68</v>
      </c>
      <c r="J2518" s="1">
        <v>70</v>
      </c>
      <c r="K2518" s="1">
        <f>J2518-I2518</f>
        <v>2</v>
      </c>
      <c r="L2518" s="1">
        <v>151</v>
      </c>
      <c r="M2518" s="1">
        <v>56</v>
      </c>
      <c r="N2518" s="1">
        <v>2</v>
      </c>
      <c r="O2518" s="1">
        <v>3</v>
      </c>
      <c r="P2518" s="1">
        <v>7</v>
      </c>
      <c r="Q2518" s="2">
        <v>0.41699999999999998</v>
      </c>
      <c r="R2518" s="1">
        <v>7</v>
      </c>
      <c r="S2518" s="1">
        <f>R2518/P2518</f>
        <v>1</v>
      </c>
      <c r="T2518" s="1">
        <v>3.5</v>
      </c>
      <c r="U2518" s="1">
        <v>12.5</v>
      </c>
      <c r="V2518" s="1">
        <v>1526.2745098039215</v>
      </c>
      <c r="W2518" s="1">
        <v>3</v>
      </c>
    </row>
    <row r="2519" spans="1:23" x14ac:dyDescent="0.2">
      <c r="A2519">
        <v>2022</v>
      </c>
      <c r="B2519" t="s">
        <v>23</v>
      </c>
      <c r="C2519" t="s">
        <v>271</v>
      </c>
      <c r="D2519">
        <v>74</v>
      </c>
      <c r="E2519">
        <v>2</v>
      </c>
      <c r="F2519">
        <v>4</v>
      </c>
      <c r="G2519" t="s">
        <v>98</v>
      </c>
      <c r="H2519">
        <v>10</v>
      </c>
      <c r="I2519">
        <v>57</v>
      </c>
      <c r="J2519">
        <v>63</v>
      </c>
      <c r="K2519">
        <v>6</v>
      </c>
      <c r="L2519">
        <v>127</v>
      </c>
      <c r="M2519">
        <v>65</v>
      </c>
      <c r="N2519">
        <v>2</v>
      </c>
      <c r="O2519">
        <v>2</v>
      </c>
      <c r="P2519">
        <v>8</v>
      </c>
      <c r="Q2519">
        <v>1</v>
      </c>
      <c r="R2519">
        <v>8</v>
      </c>
      <c r="S2519">
        <v>1</v>
      </c>
      <c r="T2519">
        <v>2</v>
      </c>
      <c r="U2519">
        <v>8</v>
      </c>
      <c r="V2519">
        <v>3848.3660130718949</v>
      </c>
      <c r="W2519">
        <v>2</v>
      </c>
    </row>
    <row r="2520" spans="1:23" x14ac:dyDescent="0.2">
      <c r="A2520">
        <v>2022</v>
      </c>
      <c r="B2520" t="s">
        <v>23</v>
      </c>
      <c r="C2520" t="s">
        <v>271</v>
      </c>
      <c r="D2520">
        <v>75</v>
      </c>
      <c r="E2520">
        <v>1</v>
      </c>
      <c r="F2520">
        <v>14</v>
      </c>
      <c r="G2520" t="s">
        <v>99</v>
      </c>
      <c r="H2520">
        <v>16</v>
      </c>
      <c r="I2520">
        <v>51</v>
      </c>
      <c r="J2520">
        <v>54</v>
      </c>
      <c r="K2520">
        <v>3</v>
      </c>
      <c r="L2520">
        <v>161</v>
      </c>
      <c r="M2520">
        <v>74</v>
      </c>
      <c r="N2520">
        <v>1</v>
      </c>
      <c r="O2520">
        <v>2</v>
      </c>
      <c r="P2520">
        <v>10</v>
      </c>
      <c r="Q2520">
        <v>0.3</v>
      </c>
      <c r="R2520">
        <v>10</v>
      </c>
      <c r="S2520">
        <v>1</v>
      </c>
      <c r="T2520">
        <v>2</v>
      </c>
      <c r="U2520">
        <v>12.1</v>
      </c>
      <c r="V2520">
        <v>1103.0588235294117</v>
      </c>
      <c r="W2520">
        <v>1</v>
      </c>
    </row>
    <row r="2521" spans="1:23" x14ac:dyDescent="0.2">
      <c r="A2521">
        <v>2022</v>
      </c>
      <c r="B2521" t="s">
        <v>23</v>
      </c>
      <c r="C2521" t="s">
        <v>271</v>
      </c>
      <c r="D2521">
        <v>75</v>
      </c>
      <c r="E2521">
        <v>2</v>
      </c>
      <c r="F2521">
        <v>4</v>
      </c>
      <c r="G2521" t="s">
        <v>99</v>
      </c>
      <c r="H2521" s="1">
        <v>5</v>
      </c>
      <c r="I2521" s="1">
        <v>62</v>
      </c>
      <c r="J2521" s="1">
        <v>67</v>
      </c>
      <c r="K2521" s="1">
        <f t="shared" ref="K2521:K2526" si="124">J2521-I2521</f>
        <v>5</v>
      </c>
      <c r="L2521" s="1">
        <v>110</v>
      </c>
      <c r="M2521" s="1">
        <v>32</v>
      </c>
      <c r="N2521" s="1">
        <v>2.5</v>
      </c>
      <c r="O2521" s="1">
        <v>4</v>
      </c>
      <c r="P2521" s="1">
        <v>4</v>
      </c>
      <c r="Q2521" s="2">
        <v>0.10199999999999999</v>
      </c>
      <c r="R2521" s="1">
        <v>4</v>
      </c>
      <c r="S2521" s="1">
        <f t="shared" ref="S2521:S2526" si="125">R2521/P2521</f>
        <v>1</v>
      </c>
      <c r="T2521" s="1">
        <v>5</v>
      </c>
      <c r="U2521" s="1">
        <v>12.5</v>
      </c>
      <c r="V2521" s="1">
        <v>373.33333333333326</v>
      </c>
      <c r="W2521" s="1">
        <v>4</v>
      </c>
    </row>
    <row r="2522" spans="1:23" x14ac:dyDescent="0.2">
      <c r="A2522">
        <v>2022</v>
      </c>
      <c r="B2522" t="s">
        <v>23</v>
      </c>
      <c r="C2522" t="s">
        <v>271</v>
      </c>
      <c r="D2522">
        <v>76</v>
      </c>
      <c r="E2522">
        <v>1</v>
      </c>
      <c r="F2522">
        <v>3</v>
      </c>
      <c r="G2522" t="s">
        <v>100</v>
      </c>
      <c r="H2522" s="1">
        <v>10</v>
      </c>
      <c r="I2522" s="1">
        <v>65</v>
      </c>
      <c r="J2522" s="1">
        <v>70</v>
      </c>
      <c r="K2522" s="1">
        <f t="shared" si="124"/>
        <v>5</v>
      </c>
      <c r="L2522" s="1">
        <v>187</v>
      </c>
      <c r="M2522" s="1">
        <v>107</v>
      </c>
      <c r="N2522" s="1">
        <v>2</v>
      </c>
      <c r="O2522" s="1">
        <v>3.5</v>
      </c>
      <c r="P2522" s="1">
        <v>9</v>
      </c>
      <c r="Q2522" s="2">
        <v>0.22700000000000001</v>
      </c>
      <c r="R2522" s="1">
        <v>3</v>
      </c>
      <c r="S2522" s="1">
        <f t="shared" si="125"/>
        <v>0.33333333333333331</v>
      </c>
      <c r="T2522" s="1">
        <v>5</v>
      </c>
      <c r="U2522" s="1">
        <v>12.5</v>
      </c>
      <c r="V2522" s="1">
        <v>830.84967320261444</v>
      </c>
      <c r="W2522" s="1">
        <v>6</v>
      </c>
    </row>
    <row r="2523" spans="1:23" x14ac:dyDescent="0.2">
      <c r="A2523">
        <v>2022</v>
      </c>
      <c r="B2523" t="s">
        <v>23</v>
      </c>
      <c r="C2523" t="s">
        <v>271</v>
      </c>
      <c r="D2523">
        <v>76</v>
      </c>
      <c r="E2523">
        <v>2</v>
      </c>
      <c r="F2523">
        <v>2</v>
      </c>
      <c r="G2523" t="s">
        <v>100</v>
      </c>
      <c r="H2523" s="1">
        <v>8</v>
      </c>
      <c r="I2523" s="1">
        <v>61</v>
      </c>
      <c r="J2523" s="1">
        <v>66</v>
      </c>
      <c r="K2523" s="1">
        <f t="shared" si="124"/>
        <v>5</v>
      </c>
      <c r="L2523" s="1">
        <v>162</v>
      </c>
      <c r="M2523" s="1">
        <v>90</v>
      </c>
      <c r="N2523" s="1">
        <v>2</v>
      </c>
      <c r="O2523" s="1">
        <v>2.5</v>
      </c>
      <c r="P2523" s="1">
        <v>7</v>
      </c>
      <c r="Q2523" s="2">
        <v>0.13100000000000001</v>
      </c>
      <c r="R2523" s="1">
        <v>4</v>
      </c>
      <c r="S2523" s="1">
        <f t="shared" si="125"/>
        <v>0.5714285714285714</v>
      </c>
      <c r="T2523" s="1">
        <v>4</v>
      </c>
      <c r="U2523" s="1">
        <v>12.5</v>
      </c>
      <c r="V2523" s="1">
        <v>479.47712418300648</v>
      </c>
      <c r="W2523" s="1">
        <v>4</v>
      </c>
    </row>
    <row r="2524" spans="1:23" x14ac:dyDescent="0.2">
      <c r="A2524">
        <v>2022</v>
      </c>
      <c r="B2524" t="s">
        <v>23</v>
      </c>
      <c r="C2524" t="s">
        <v>271</v>
      </c>
      <c r="D2524">
        <v>77</v>
      </c>
      <c r="E2524">
        <v>1</v>
      </c>
      <c r="F2524">
        <v>3</v>
      </c>
      <c r="G2524" t="s">
        <v>101</v>
      </c>
      <c r="H2524" s="1">
        <v>6</v>
      </c>
      <c r="I2524" s="1">
        <v>64</v>
      </c>
      <c r="J2524" s="1">
        <v>67</v>
      </c>
      <c r="K2524" s="1">
        <f t="shared" si="124"/>
        <v>3</v>
      </c>
      <c r="L2524" s="1">
        <v>118</v>
      </c>
      <c r="M2524" s="1">
        <v>50</v>
      </c>
      <c r="N2524" s="1">
        <v>2</v>
      </c>
      <c r="O2524" s="1">
        <v>4.5</v>
      </c>
      <c r="P2524" s="1">
        <v>6</v>
      </c>
      <c r="Q2524" s="2">
        <v>0.152</v>
      </c>
      <c r="R2524" s="1">
        <v>6</v>
      </c>
      <c r="S2524" s="1">
        <f t="shared" si="125"/>
        <v>1</v>
      </c>
      <c r="T2524" s="1">
        <v>4</v>
      </c>
      <c r="U2524" s="1">
        <v>12.5</v>
      </c>
      <c r="V2524" s="1">
        <v>556.33986928104571</v>
      </c>
      <c r="W2524" s="1">
        <v>3</v>
      </c>
    </row>
    <row r="2525" spans="1:23" x14ac:dyDescent="0.2">
      <c r="A2525">
        <v>2022</v>
      </c>
      <c r="B2525" t="s">
        <v>23</v>
      </c>
      <c r="C2525" t="s">
        <v>271</v>
      </c>
      <c r="D2525">
        <v>77</v>
      </c>
      <c r="E2525">
        <v>2</v>
      </c>
      <c r="F2525">
        <v>12</v>
      </c>
      <c r="G2525" t="s">
        <v>101</v>
      </c>
      <c r="H2525" s="1">
        <v>7</v>
      </c>
      <c r="I2525" s="1">
        <v>58</v>
      </c>
      <c r="J2525" s="1">
        <v>63</v>
      </c>
      <c r="K2525" s="1">
        <f t="shared" si="124"/>
        <v>5</v>
      </c>
      <c r="L2525" s="1">
        <v>116</v>
      </c>
      <c r="M2525" s="1">
        <v>61</v>
      </c>
      <c r="N2525" s="1">
        <v>3</v>
      </c>
      <c r="O2525" s="1">
        <v>2.5</v>
      </c>
      <c r="P2525" s="1">
        <v>7</v>
      </c>
      <c r="Q2525" s="2">
        <v>0.376</v>
      </c>
      <c r="R2525" s="1">
        <v>7</v>
      </c>
      <c r="S2525" s="1">
        <f t="shared" si="125"/>
        <v>1</v>
      </c>
      <c r="T2525" s="1">
        <v>3</v>
      </c>
      <c r="U2525" s="1">
        <v>12.5</v>
      </c>
      <c r="V2525" s="1">
        <v>1376.2091503267975</v>
      </c>
      <c r="W2525" s="1">
        <v>2</v>
      </c>
    </row>
    <row r="2526" spans="1:23" x14ac:dyDescent="0.2">
      <c r="A2526">
        <v>2022</v>
      </c>
      <c r="B2526" t="s">
        <v>23</v>
      </c>
      <c r="C2526" t="s">
        <v>271</v>
      </c>
      <c r="D2526">
        <v>78</v>
      </c>
      <c r="E2526">
        <v>1</v>
      </c>
      <c r="F2526">
        <v>1</v>
      </c>
      <c r="G2526" t="s">
        <v>102</v>
      </c>
      <c r="H2526" s="1">
        <v>10</v>
      </c>
      <c r="I2526" s="1">
        <v>59</v>
      </c>
      <c r="J2526" s="1">
        <v>64</v>
      </c>
      <c r="K2526" s="1">
        <f t="shared" si="124"/>
        <v>5</v>
      </c>
      <c r="L2526" s="1">
        <v>128</v>
      </c>
      <c r="M2526" s="1">
        <v>100</v>
      </c>
      <c r="N2526" s="1">
        <v>2</v>
      </c>
      <c r="O2526" s="1">
        <v>3.5</v>
      </c>
      <c r="P2526" s="1">
        <v>9</v>
      </c>
      <c r="Q2526" s="2">
        <v>0.68200000000000005</v>
      </c>
      <c r="R2526" s="1">
        <v>9</v>
      </c>
      <c r="S2526" s="1">
        <f t="shared" si="125"/>
        <v>1</v>
      </c>
      <c r="T2526" s="1">
        <v>5</v>
      </c>
      <c r="U2526" s="1">
        <v>12.5</v>
      </c>
      <c r="V2526" s="1">
        <v>2496.209150326797</v>
      </c>
      <c r="W2526" s="1">
        <v>5</v>
      </c>
    </row>
    <row r="2527" spans="1:23" x14ac:dyDescent="0.2">
      <c r="A2527">
        <v>2022</v>
      </c>
      <c r="B2527" t="s">
        <v>23</v>
      </c>
      <c r="C2527" t="s">
        <v>271</v>
      </c>
      <c r="D2527">
        <v>78</v>
      </c>
      <c r="E2527">
        <v>2</v>
      </c>
      <c r="F2527">
        <v>13</v>
      </c>
      <c r="G2527" t="s">
        <v>102</v>
      </c>
      <c r="H2527">
        <v>12</v>
      </c>
      <c r="I2527">
        <v>53</v>
      </c>
      <c r="J2527">
        <v>56</v>
      </c>
      <c r="K2527">
        <v>3</v>
      </c>
      <c r="L2527">
        <v>188</v>
      </c>
      <c r="M2527">
        <v>39</v>
      </c>
      <c r="N2527">
        <v>2</v>
      </c>
      <c r="O2527">
        <v>2</v>
      </c>
      <c r="P2527">
        <v>8</v>
      </c>
      <c r="Q2527">
        <v>0.6</v>
      </c>
      <c r="R2527">
        <v>8</v>
      </c>
      <c r="S2527">
        <v>1</v>
      </c>
      <c r="T2527">
        <v>4</v>
      </c>
      <c r="U2527">
        <v>9.6</v>
      </c>
      <c r="V2527">
        <v>2268.8627450980393</v>
      </c>
      <c r="W2527">
        <v>2</v>
      </c>
    </row>
    <row r="2528" spans="1:23" x14ac:dyDescent="0.2">
      <c r="A2528">
        <v>2022</v>
      </c>
      <c r="B2528" t="s">
        <v>23</v>
      </c>
      <c r="C2528" t="s">
        <v>271</v>
      </c>
      <c r="D2528">
        <v>79</v>
      </c>
      <c r="E2528">
        <v>1</v>
      </c>
      <c r="F2528">
        <v>10</v>
      </c>
      <c r="G2528" t="s">
        <v>103</v>
      </c>
      <c r="H2528" s="1">
        <v>2</v>
      </c>
      <c r="I2528" s="1">
        <v>68</v>
      </c>
      <c r="J2528" s="1">
        <v>73</v>
      </c>
      <c r="K2528" s="1">
        <f>J2528-I2528</f>
        <v>5</v>
      </c>
      <c r="L2528" s="1">
        <v>66</v>
      </c>
      <c r="M2528" s="1">
        <v>37</v>
      </c>
      <c r="N2528" s="1">
        <v>1.5</v>
      </c>
      <c r="O2528" s="1">
        <v>5</v>
      </c>
      <c r="P2528" s="1">
        <v>2</v>
      </c>
      <c r="Q2528" s="2">
        <v>8.2000000000000003E-2</v>
      </c>
      <c r="R2528" s="1">
        <v>2</v>
      </c>
      <c r="S2528" s="1">
        <f>R2528/P2528</f>
        <v>1</v>
      </c>
      <c r="T2528" s="1">
        <v>4</v>
      </c>
      <c r="U2528" s="1">
        <v>12.5</v>
      </c>
      <c r="V2528" s="1">
        <v>300.13071895424832</v>
      </c>
      <c r="W2528" s="1">
        <v>2</v>
      </c>
    </row>
    <row r="2529" spans="1:23" x14ac:dyDescent="0.2">
      <c r="A2529">
        <v>2022</v>
      </c>
      <c r="B2529" t="s">
        <v>23</v>
      </c>
      <c r="C2529" t="s">
        <v>271</v>
      </c>
      <c r="D2529">
        <v>79</v>
      </c>
      <c r="E2529">
        <v>2</v>
      </c>
      <c r="F2529">
        <v>9</v>
      </c>
      <c r="G2529" t="s">
        <v>103</v>
      </c>
      <c r="H2529" s="1">
        <v>7</v>
      </c>
      <c r="I2529" s="1">
        <v>63</v>
      </c>
      <c r="J2529" s="1">
        <v>67</v>
      </c>
      <c r="K2529" s="1">
        <f>J2529-I2529</f>
        <v>4</v>
      </c>
      <c r="L2529" s="1">
        <v>126</v>
      </c>
      <c r="M2529" s="1">
        <v>41</v>
      </c>
      <c r="N2529" s="1">
        <v>1.5</v>
      </c>
      <c r="O2529" s="1">
        <v>4</v>
      </c>
      <c r="P2529" s="1">
        <v>4</v>
      </c>
      <c r="Q2529" s="2">
        <v>0.192</v>
      </c>
      <c r="R2529" s="1">
        <v>4</v>
      </c>
      <c r="S2529" s="1">
        <f>R2529/P2529</f>
        <v>1</v>
      </c>
      <c r="T2529" s="1">
        <v>4</v>
      </c>
      <c r="U2529" s="1">
        <v>12.5</v>
      </c>
      <c r="V2529" s="1">
        <v>702.74509803921569</v>
      </c>
      <c r="W2529" s="1">
        <v>4</v>
      </c>
    </row>
    <row r="2530" spans="1:23" x14ac:dyDescent="0.2">
      <c r="A2530">
        <v>2022</v>
      </c>
      <c r="B2530" t="s">
        <v>23</v>
      </c>
      <c r="C2530" t="s">
        <v>271</v>
      </c>
      <c r="D2530">
        <v>80</v>
      </c>
      <c r="E2530">
        <v>1</v>
      </c>
      <c r="F2530">
        <v>11</v>
      </c>
      <c r="G2530" t="s">
        <v>104</v>
      </c>
      <c r="H2530" s="1">
        <v>4</v>
      </c>
      <c r="I2530" s="1">
        <v>64</v>
      </c>
      <c r="J2530" s="1">
        <v>69</v>
      </c>
      <c r="K2530" s="1">
        <f>J2530-I2530</f>
        <v>5</v>
      </c>
      <c r="L2530" s="1">
        <v>110</v>
      </c>
      <c r="M2530" s="1">
        <v>35</v>
      </c>
      <c r="N2530" s="1">
        <v>2</v>
      </c>
      <c r="O2530" s="1">
        <v>3</v>
      </c>
      <c r="P2530" s="1">
        <v>4</v>
      </c>
      <c r="Q2530" s="2">
        <v>0.3</v>
      </c>
      <c r="R2530" s="1">
        <v>4</v>
      </c>
      <c r="S2530" s="1">
        <f>R2530/P2530</f>
        <v>1</v>
      </c>
      <c r="T2530" s="1">
        <v>3.5</v>
      </c>
      <c r="U2530" s="1">
        <v>12.5</v>
      </c>
      <c r="V2530" s="1">
        <v>1098.0392156862745</v>
      </c>
      <c r="W2530" s="1">
        <v>2</v>
      </c>
    </row>
    <row r="2531" spans="1:23" x14ac:dyDescent="0.2">
      <c r="A2531">
        <v>2022</v>
      </c>
      <c r="B2531" t="s">
        <v>23</v>
      </c>
      <c r="C2531" t="s">
        <v>271</v>
      </c>
      <c r="D2531">
        <v>80</v>
      </c>
      <c r="E2531">
        <v>2</v>
      </c>
      <c r="F2531">
        <v>7</v>
      </c>
      <c r="G2531" t="s">
        <v>104</v>
      </c>
      <c r="H2531" s="1">
        <v>2</v>
      </c>
      <c r="I2531" s="1">
        <v>67</v>
      </c>
      <c r="J2531" s="1">
        <v>71</v>
      </c>
      <c r="K2531" s="1">
        <f>J2531-I2531</f>
        <v>4</v>
      </c>
      <c r="L2531" s="1">
        <v>109</v>
      </c>
      <c r="M2531" s="1">
        <v>43</v>
      </c>
      <c r="N2531" s="1">
        <v>2</v>
      </c>
      <c r="O2531" s="1">
        <v>3.5</v>
      </c>
      <c r="P2531" s="1">
        <v>2</v>
      </c>
      <c r="Q2531" s="2">
        <v>0.19400000000000001</v>
      </c>
      <c r="R2531" s="1">
        <v>2</v>
      </c>
      <c r="S2531" s="1">
        <f>R2531/P2531</f>
        <v>1</v>
      </c>
      <c r="T2531" s="1">
        <v>2.5</v>
      </c>
      <c r="U2531" s="1">
        <v>12.5</v>
      </c>
      <c r="V2531" s="1">
        <v>710.06535947712428</v>
      </c>
      <c r="W2531" s="1">
        <v>2</v>
      </c>
    </row>
    <row r="2532" spans="1:23" x14ac:dyDescent="0.2">
      <c r="A2532">
        <v>2022</v>
      </c>
      <c r="B2532" t="s">
        <v>23</v>
      </c>
      <c r="C2532" t="s">
        <v>271</v>
      </c>
      <c r="D2532">
        <v>81</v>
      </c>
      <c r="E2532">
        <v>1</v>
      </c>
      <c r="F2532">
        <v>15</v>
      </c>
      <c r="G2532" t="s">
        <v>105</v>
      </c>
      <c r="H2532" s="1">
        <v>8</v>
      </c>
      <c r="I2532" s="1">
        <v>63</v>
      </c>
      <c r="J2532" s="1">
        <v>66</v>
      </c>
      <c r="K2532" s="1">
        <f>J2532-I2532</f>
        <v>3</v>
      </c>
      <c r="L2532" s="1">
        <v>133</v>
      </c>
      <c r="M2532" s="1">
        <v>50</v>
      </c>
      <c r="N2532" s="1">
        <v>2</v>
      </c>
      <c r="O2532" s="1">
        <v>4.5</v>
      </c>
      <c r="P2532" s="1">
        <v>4</v>
      </c>
      <c r="Q2532" s="2">
        <v>0.23599999999999999</v>
      </c>
      <c r="R2532" s="1">
        <v>4</v>
      </c>
      <c r="S2532" s="1">
        <f>R2532/P2532</f>
        <v>1</v>
      </c>
      <c r="T2532" s="1">
        <v>3.5</v>
      </c>
      <c r="U2532" s="1">
        <v>12.5</v>
      </c>
      <c r="V2532" s="1">
        <v>863.79084967320262</v>
      </c>
      <c r="W2532" s="1">
        <v>5</v>
      </c>
    </row>
    <row r="2533" spans="1:23" x14ac:dyDescent="0.2">
      <c r="A2533">
        <v>2022</v>
      </c>
      <c r="B2533" t="s">
        <v>23</v>
      </c>
      <c r="C2533" t="s">
        <v>271</v>
      </c>
      <c r="D2533">
        <v>81</v>
      </c>
      <c r="E2533">
        <v>2</v>
      </c>
      <c r="F2533">
        <v>2</v>
      </c>
      <c r="G2533" t="s">
        <v>105</v>
      </c>
      <c r="H2533">
        <v>8</v>
      </c>
      <c r="I2533">
        <v>62</v>
      </c>
      <c r="J2533">
        <v>65</v>
      </c>
      <c r="K2533">
        <v>3</v>
      </c>
      <c r="L2533">
        <v>165</v>
      </c>
      <c r="M2533">
        <v>75</v>
      </c>
      <c r="N2533">
        <v>1.5</v>
      </c>
      <c r="O2533">
        <v>3.5</v>
      </c>
      <c r="P2533">
        <v>8</v>
      </c>
      <c r="Q2533">
        <v>0.5</v>
      </c>
      <c r="R2533">
        <v>6</v>
      </c>
      <c r="S2533">
        <v>0.75</v>
      </c>
      <c r="T2533">
        <v>3.5</v>
      </c>
      <c r="U2533">
        <v>12.5</v>
      </c>
      <c r="V2533">
        <v>1830.0653594771243</v>
      </c>
      <c r="W2533">
        <v>2</v>
      </c>
    </row>
    <row r="2534" spans="1:23" x14ac:dyDescent="0.2">
      <c r="A2534">
        <v>2022</v>
      </c>
      <c r="B2534" t="s">
        <v>23</v>
      </c>
      <c r="C2534" t="s">
        <v>271</v>
      </c>
      <c r="D2534">
        <v>82</v>
      </c>
      <c r="E2534">
        <v>1</v>
      </c>
      <c r="F2534">
        <v>10</v>
      </c>
      <c r="G2534" t="s">
        <v>106</v>
      </c>
      <c r="H2534" s="1">
        <v>12</v>
      </c>
      <c r="I2534" s="1">
        <v>53</v>
      </c>
      <c r="J2534" s="1">
        <v>57</v>
      </c>
      <c r="K2534" s="1">
        <f>J2534-I2534</f>
        <v>4</v>
      </c>
      <c r="L2534" s="1">
        <v>141</v>
      </c>
      <c r="M2534" s="1">
        <v>61</v>
      </c>
      <c r="N2534" s="1">
        <v>2</v>
      </c>
      <c r="O2534" s="1">
        <v>3.5</v>
      </c>
      <c r="P2534" s="1">
        <v>10</v>
      </c>
      <c r="Q2534" s="2">
        <v>0.67919999999999991</v>
      </c>
      <c r="R2534" s="1">
        <v>10</v>
      </c>
      <c r="S2534" s="1">
        <f>R2534/P2534</f>
        <v>1</v>
      </c>
      <c r="T2534" s="1">
        <v>2.5</v>
      </c>
      <c r="U2534" s="1">
        <v>12.5</v>
      </c>
      <c r="V2534" s="1">
        <v>2485.9607843137255</v>
      </c>
      <c r="W2534" s="1">
        <v>3</v>
      </c>
    </row>
    <row r="2535" spans="1:23" x14ac:dyDescent="0.2">
      <c r="A2535">
        <v>2022</v>
      </c>
      <c r="B2535" t="s">
        <v>23</v>
      </c>
      <c r="C2535" t="s">
        <v>271</v>
      </c>
      <c r="D2535">
        <v>82</v>
      </c>
      <c r="E2535">
        <v>2</v>
      </c>
      <c r="F2535">
        <v>1</v>
      </c>
      <c r="G2535" t="s">
        <v>106</v>
      </c>
      <c r="H2535" s="3">
        <v>2</v>
      </c>
      <c r="I2535" s="3">
        <v>70</v>
      </c>
      <c r="J2535" s="3">
        <v>72</v>
      </c>
      <c r="K2535" s="3">
        <f>J2535-I2535</f>
        <v>2</v>
      </c>
      <c r="L2535" s="3">
        <v>158</v>
      </c>
      <c r="M2535" s="3">
        <v>77</v>
      </c>
      <c r="N2535" s="3">
        <v>2</v>
      </c>
      <c r="O2535" s="3">
        <v>2.5</v>
      </c>
      <c r="P2535" s="3">
        <v>8</v>
      </c>
      <c r="Q2535" s="4">
        <v>0.33</v>
      </c>
      <c r="R2535" s="3">
        <v>6</v>
      </c>
      <c r="S2535" s="3">
        <f>R2535/P2535</f>
        <v>0.75</v>
      </c>
      <c r="T2535" s="3">
        <v>4</v>
      </c>
      <c r="U2535" s="3">
        <v>12.5</v>
      </c>
      <c r="V2535" s="3">
        <v>1207.8431372549019</v>
      </c>
      <c r="W2535" s="3">
        <v>5</v>
      </c>
    </row>
    <row r="2536" spans="1:23" x14ac:dyDescent="0.2">
      <c r="A2536">
        <v>2022</v>
      </c>
      <c r="B2536" t="s">
        <v>23</v>
      </c>
      <c r="C2536" t="s">
        <v>271</v>
      </c>
      <c r="D2536">
        <v>83</v>
      </c>
      <c r="E2536">
        <v>1</v>
      </c>
      <c r="F2536">
        <v>9</v>
      </c>
      <c r="G2536" t="s">
        <v>107</v>
      </c>
      <c r="H2536">
        <v>15</v>
      </c>
      <c r="I2536">
        <v>50</v>
      </c>
      <c r="J2536">
        <v>53</v>
      </c>
      <c r="K2536">
        <v>3</v>
      </c>
      <c r="L2536">
        <v>137</v>
      </c>
      <c r="M2536">
        <v>75</v>
      </c>
      <c r="N2536">
        <v>2</v>
      </c>
      <c r="O2536">
        <v>2</v>
      </c>
      <c r="P2536">
        <v>13</v>
      </c>
      <c r="Q2536">
        <v>1.3</v>
      </c>
      <c r="R2536">
        <v>8</v>
      </c>
      <c r="S2536">
        <v>0.61538461538461542</v>
      </c>
      <c r="T2536">
        <v>2</v>
      </c>
      <c r="U2536">
        <v>8.8000000000000007</v>
      </c>
      <c r="V2536">
        <v>4959.3725490196075</v>
      </c>
      <c r="W2536">
        <v>2</v>
      </c>
    </row>
    <row r="2537" spans="1:23" x14ac:dyDescent="0.2">
      <c r="A2537">
        <v>2022</v>
      </c>
      <c r="B2537" t="s">
        <v>23</v>
      </c>
      <c r="C2537" t="s">
        <v>271</v>
      </c>
      <c r="D2537">
        <v>83</v>
      </c>
      <c r="E2537">
        <v>2</v>
      </c>
      <c r="F2537">
        <v>3</v>
      </c>
      <c r="G2537" t="s">
        <v>107</v>
      </c>
      <c r="H2537" s="3">
        <v>7</v>
      </c>
      <c r="I2537" s="3">
        <v>69</v>
      </c>
      <c r="J2537" s="3">
        <v>72</v>
      </c>
      <c r="K2537" s="3">
        <f>J2537-I2537</f>
        <v>3</v>
      </c>
      <c r="L2537" s="3">
        <v>188</v>
      </c>
      <c r="M2537" s="3">
        <v>71</v>
      </c>
      <c r="N2537" s="3">
        <v>2</v>
      </c>
      <c r="O2537" s="3">
        <v>2.5</v>
      </c>
      <c r="P2537" s="3">
        <f>H2537-1</f>
        <v>6</v>
      </c>
      <c r="Q2537" s="4">
        <v>5.7000000000000002E-2</v>
      </c>
      <c r="R2537" s="3">
        <v>5</v>
      </c>
      <c r="S2537" s="3">
        <f>R2537/P2537</f>
        <v>0.83333333333333337</v>
      </c>
      <c r="T2537" s="3">
        <v>3</v>
      </c>
      <c r="U2537" s="3">
        <v>12.5</v>
      </c>
      <c r="V2537" s="3">
        <v>208.62745098039215</v>
      </c>
      <c r="W2537" s="3">
        <v>4</v>
      </c>
    </row>
    <row r="2538" spans="1:23" x14ac:dyDescent="0.2">
      <c r="A2538">
        <v>2022</v>
      </c>
      <c r="B2538" t="s">
        <v>23</v>
      </c>
      <c r="C2538" t="s">
        <v>271</v>
      </c>
      <c r="D2538">
        <v>84</v>
      </c>
      <c r="E2538">
        <v>1</v>
      </c>
      <c r="F2538">
        <v>12</v>
      </c>
      <c r="G2538" t="s">
        <v>108</v>
      </c>
      <c r="H2538" s="1">
        <v>7</v>
      </c>
      <c r="I2538" s="1">
        <v>68</v>
      </c>
      <c r="J2538" s="1">
        <v>71</v>
      </c>
      <c r="K2538" s="1">
        <f>J2538-I2538</f>
        <v>3</v>
      </c>
      <c r="L2538" s="1">
        <v>153</v>
      </c>
      <c r="M2538" s="1">
        <v>62</v>
      </c>
      <c r="N2538" s="1">
        <v>2</v>
      </c>
      <c r="O2538" s="1">
        <v>3.5</v>
      </c>
      <c r="P2538" s="1">
        <v>7</v>
      </c>
      <c r="Q2538" s="2">
        <v>0.25129999999999997</v>
      </c>
      <c r="R2538" s="1">
        <v>6</v>
      </c>
      <c r="S2538" s="1">
        <f>R2538/P2538</f>
        <v>0.8571428571428571</v>
      </c>
      <c r="T2538" s="1">
        <v>4</v>
      </c>
      <c r="U2538" s="1">
        <v>12.5</v>
      </c>
      <c r="V2538" s="1">
        <v>919.79084967320262</v>
      </c>
      <c r="W2538" s="1">
        <v>3</v>
      </c>
    </row>
    <row r="2539" spans="1:23" x14ac:dyDescent="0.2">
      <c r="A2539">
        <v>2022</v>
      </c>
      <c r="B2539" t="s">
        <v>23</v>
      </c>
      <c r="C2539" t="s">
        <v>271</v>
      </c>
      <c r="D2539">
        <v>84</v>
      </c>
      <c r="E2539">
        <v>2</v>
      </c>
      <c r="F2539">
        <v>4</v>
      </c>
      <c r="G2539" t="s">
        <v>108</v>
      </c>
      <c r="H2539" s="1">
        <v>10</v>
      </c>
      <c r="I2539" s="1">
        <v>70</v>
      </c>
      <c r="J2539" s="1">
        <v>74</v>
      </c>
      <c r="K2539" s="1">
        <f>J2539-I2539</f>
        <v>4</v>
      </c>
      <c r="L2539" s="1">
        <v>72</v>
      </c>
      <c r="M2539" s="1">
        <v>20</v>
      </c>
      <c r="N2539" s="1">
        <v>2</v>
      </c>
      <c r="O2539" s="1">
        <v>5</v>
      </c>
      <c r="P2539" s="1">
        <v>7</v>
      </c>
      <c r="Q2539" s="2">
        <v>0.128</v>
      </c>
      <c r="R2539" s="1">
        <v>3</v>
      </c>
      <c r="S2539" s="1">
        <f>R2539/P2539</f>
        <v>0.42857142857142855</v>
      </c>
      <c r="T2539" s="1">
        <v>5</v>
      </c>
      <c r="U2539" s="1">
        <v>12.5</v>
      </c>
      <c r="V2539" s="1">
        <v>468.49673202614383</v>
      </c>
      <c r="W2539" s="1">
        <v>3</v>
      </c>
    </row>
    <row r="2540" spans="1:23" x14ac:dyDescent="0.2">
      <c r="A2540">
        <v>2022</v>
      </c>
      <c r="B2540" t="s">
        <v>23</v>
      </c>
      <c r="C2540" t="s">
        <v>271</v>
      </c>
      <c r="D2540">
        <v>85</v>
      </c>
      <c r="E2540">
        <v>1</v>
      </c>
      <c r="F2540">
        <v>5</v>
      </c>
      <c r="G2540" t="s">
        <v>109</v>
      </c>
      <c r="H2540" s="1">
        <v>6</v>
      </c>
      <c r="I2540" s="1">
        <v>54</v>
      </c>
      <c r="J2540" s="1">
        <v>59</v>
      </c>
      <c r="K2540" s="1">
        <f>J2540-I2540</f>
        <v>5</v>
      </c>
      <c r="L2540" s="1">
        <v>100</v>
      </c>
      <c r="M2540" s="1">
        <v>63</v>
      </c>
      <c r="N2540" s="1">
        <v>2</v>
      </c>
      <c r="O2540" s="1">
        <v>3.5</v>
      </c>
      <c r="P2540" s="1">
        <v>5</v>
      </c>
      <c r="Q2540" s="2">
        <v>5.5875000000000001E-2</v>
      </c>
      <c r="R2540" s="1">
        <v>4</v>
      </c>
      <c r="S2540" s="1">
        <f>R2540/P2540</f>
        <v>0.8</v>
      </c>
      <c r="T2540" s="1">
        <v>5</v>
      </c>
      <c r="U2540" s="1">
        <v>12.5</v>
      </c>
      <c r="V2540" s="1">
        <v>204.50980392156868</v>
      </c>
      <c r="W2540" s="1">
        <v>5</v>
      </c>
    </row>
    <row r="2541" spans="1:23" x14ac:dyDescent="0.2">
      <c r="A2541">
        <v>2022</v>
      </c>
      <c r="B2541" t="s">
        <v>23</v>
      </c>
      <c r="C2541" t="s">
        <v>271</v>
      </c>
      <c r="D2541">
        <v>85</v>
      </c>
      <c r="E2541">
        <v>2</v>
      </c>
      <c r="F2541">
        <v>11</v>
      </c>
      <c r="G2541" t="s">
        <v>109</v>
      </c>
      <c r="H2541">
        <v>6</v>
      </c>
      <c r="I2541">
        <v>60</v>
      </c>
      <c r="J2541">
        <v>63</v>
      </c>
      <c r="K2541">
        <v>3</v>
      </c>
      <c r="L2541">
        <v>118</v>
      </c>
      <c r="M2541">
        <v>22</v>
      </c>
      <c r="N2541">
        <v>1</v>
      </c>
      <c r="O2541">
        <v>2</v>
      </c>
      <c r="P2541">
        <v>6</v>
      </c>
      <c r="Q2541">
        <v>0.23200000000000001</v>
      </c>
      <c r="R2541">
        <v>6</v>
      </c>
      <c r="S2541">
        <v>1</v>
      </c>
      <c r="T2541">
        <v>3</v>
      </c>
      <c r="U2541">
        <v>12.5</v>
      </c>
      <c r="V2541">
        <v>849.15032679738556</v>
      </c>
      <c r="W2541">
        <v>1</v>
      </c>
    </row>
    <row r="2542" spans="1:23" x14ac:dyDescent="0.2">
      <c r="A2542">
        <v>2022</v>
      </c>
      <c r="B2542" t="s">
        <v>23</v>
      </c>
      <c r="C2542" t="s">
        <v>271</v>
      </c>
      <c r="D2542">
        <v>86</v>
      </c>
      <c r="E2542">
        <v>1</v>
      </c>
      <c r="F2542">
        <v>6</v>
      </c>
      <c r="G2542" t="s">
        <v>110</v>
      </c>
      <c r="H2542" s="1">
        <v>9</v>
      </c>
      <c r="I2542" s="1">
        <v>59</v>
      </c>
      <c r="J2542" s="1">
        <v>65</v>
      </c>
      <c r="K2542" s="1">
        <f>J2542-I2542</f>
        <v>6</v>
      </c>
      <c r="L2542" s="1">
        <v>131</v>
      </c>
      <c r="M2542" s="1">
        <v>63</v>
      </c>
      <c r="N2542" s="1">
        <v>2</v>
      </c>
      <c r="O2542" s="1">
        <v>2.5</v>
      </c>
      <c r="P2542" s="1">
        <v>9</v>
      </c>
      <c r="Q2542" s="2">
        <v>0.51749999999999996</v>
      </c>
      <c r="R2542" s="1">
        <v>8</v>
      </c>
      <c r="S2542" s="1">
        <f>R2542/P2542</f>
        <v>0.88888888888888884</v>
      </c>
      <c r="T2542" s="1">
        <v>5</v>
      </c>
      <c r="U2542" s="1">
        <v>12.5</v>
      </c>
      <c r="V2542" s="1">
        <v>1894.1176470588236</v>
      </c>
      <c r="W2542" s="1">
        <v>5</v>
      </c>
    </row>
    <row r="2543" spans="1:23" x14ac:dyDescent="0.2">
      <c r="A2543">
        <v>2022</v>
      </c>
      <c r="B2543" t="s">
        <v>23</v>
      </c>
      <c r="C2543" t="s">
        <v>271</v>
      </c>
      <c r="D2543">
        <v>86</v>
      </c>
      <c r="E2543">
        <v>2</v>
      </c>
      <c r="F2543">
        <v>15</v>
      </c>
      <c r="G2543" t="s">
        <v>110</v>
      </c>
      <c r="H2543" s="1">
        <v>4</v>
      </c>
      <c r="I2543" s="1">
        <v>66</v>
      </c>
      <c r="J2543" s="1">
        <v>70</v>
      </c>
      <c r="K2543" s="1">
        <f>J2543-I2543</f>
        <v>4</v>
      </c>
      <c r="L2543" s="1">
        <v>137</v>
      </c>
      <c r="M2543" s="1">
        <v>56</v>
      </c>
      <c r="N2543" s="1">
        <v>2.5</v>
      </c>
      <c r="O2543" s="1">
        <v>2.5</v>
      </c>
      <c r="P2543" s="1">
        <v>4</v>
      </c>
      <c r="Q2543" s="2">
        <v>0.48099999999999998</v>
      </c>
      <c r="R2543" s="1">
        <v>4</v>
      </c>
      <c r="S2543" s="1">
        <f>R2543/P2543</f>
        <v>1</v>
      </c>
      <c r="T2543" s="1">
        <v>2</v>
      </c>
      <c r="U2543" s="1">
        <v>12.5</v>
      </c>
      <c r="V2543" s="1">
        <v>1760.5228758169933</v>
      </c>
      <c r="W2543" s="1">
        <v>2</v>
      </c>
    </row>
    <row r="2544" spans="1:23" x14ac:dyDescent="0.2">
      <c r="A2544">
        <v>2022</v>
      </c>
      <c r="B2544" t="s">
        <v>23</v>
      </c>
      <c r="C2544" t="s">
        <v>271</v>
      </c>
      <c r="D2544">
        <v>87</v>
      </c>
      <c r="E2544">
        <v>1</v>
      </c>
      <c r="F2544">
        <v>13</v>
      </c>
      <c r="G2544" t="s">
        <v>111</v>
      </c>
      <c r="H2544">
        <v>4</v>
      </c>
      <c r="I2544">
        <v>55</v>
      </c>
      <c r="J2544">
        <v>57</v>
      </c>
      <c r="K2544">
        <v>2</v>
      </c>
      <c r="L2544">
        <v>146</v>
      </c>
      <c r="M2544">
        <v>67</v>
      </c>
      <c r="N2544">
        <v>1</v>
      </c>
      <c r="O2544">
        <v>2</v>
      </c>
      <c r="P2544">
        <v>4</v>
      </c>
      <c r="Q2544">
        <v>0.25</v>
      </c>
      <c r="R2544">
        <v>4</v>
      </c>
      <c r="S2544">
        <v>1</v>
      </c>
      <c r="T2544">
        <v>3</v>
      </c>
      <c r="U2544">
        <v>12.5</v>
      </c>
      <c r="V2544">
        <v>915.03267973856214</v>
      </c>
      <c r="W2544">
        <v>2</v>
      </c>
    </row>
    <row r="2545" spans="1:23" x14ac:dyDescent="0.2">
      <c r="A2545">
        <v>2022</v>
      </c>
      <c r="B2545" t="s">
        <v>23</v>
      </c>
      <c r="C2545" t="s">
        <v>271</v>
      </c>
      <c r="D2545">
        <v>87</v>
      </c>
      <c r="E2545">
        <v>2</v>
      </c>
      <c r="F2545">
        <v>8</v>
      </c>
      <c r="G2545" t="s">
        <v>111</v>
      </c>
      <c r="H2545" s="1">
        <v>15</v>
      </c>
      <c r="I2545" s="1">
        <v>63</v>
      </c>
      <c r="J2545" s="1">
        <v>68</v>
      </c>
      <c r="K2545" s="1">
        <f>J2545-I2545</f>
        <v>5</v>
      </c>
      <c r="L2545" s="1">
        <v>150</v>
      </c>
      <c r="M2545" s="1">
        <v>108</v>
      </c>
      <c r="N2545" s="1">
        <v>1</v>
      </c>
      <c r="O2545" s="1">
        <v>2</v>
      </c>
      <c r="P2545" s="1">
        <f>H2545</f>
        <v>15</v>
      </c>
      <c r="Q2545" s="2">
        <v>0.10125000000000001</v>
      </c>
      <c r="R2545" s="1">
        <v>8</v>
      </c>
      <c r="S2545" s="1">
        <f>R2545/P2545</f>
        <v>0.53333333333333333</v>
      </c>
      <c r="T2545" s="1">
        <v>4</v>
      </c>
      <c r="U2545" s="1">
        <v>12.5</v>
      </c>
      <c r="V2545" s="1">
        <v>370.58823529411768</v>
      </c>
      <c r="W2545" s="1">
        <v>5</v>
      </c>
    </row>
    <row r="2546" spans="1:23" x14ac:dyDescent="0.2">
      <c r="A2546">
        <v>2022</v>
      </c>
      <c r="B2546" t="s">
        <v>23</v>
      </c>
      <c r="C2546" t="s">
        <v>271</v>
      </c>
      <c r="D2546">
        <v>88</v>
      </c>
      <c r="E2546">
        <v>1</v>
      </c>
      <c r="F2546">
        <v>13</v>
      </c>
      <c r="G2546" t="s">
        <v>112</v>
      </c>
      <c r="H2546" s="1">
        <v>9</v>
      </c>
      <c r="I2546" s="1">
        <v>62</v>
      </c>
      <c r="J2546" s="1">
        <v>66</v>
      </c>
      <c r="K2546" s="1">
        <f>J2546-I2546</f>
        <v>4</v>
      </c>
      <c r="L2546" s="1">
        <v>171</v>
      </c>
      <c r="M2546" s="1">
        <v>88</v>
      </c>
      <c r="N2546" s="1">
        <v>2</v>
      </c>
      <c r="O2546" s="1">
        <v>3</v>
      </c>
      <c r="P2546" s="1">
        <v>7</v>
      </c>
      <c r="Q2546" s="2">
        <v>6.7949999999999983E-2</v>
      </c>
      <c r="R2546" s="1">
        <v>4</v>
      </c>
      <c r="S2546" s="1">
        <f>R2546/P2546</f>
        <v>0.5714285714285714</v>
      </c>
      <c r="T2546" s="1">
        <v>5</v>
      </c>
      <c r="U2546" s="1">
        <v>12.5</v>
      </c>
      <c r="V2546" s="1">
        <v>248.70588235294113</v>
      </c>
      <c r="W2546" s="1">
        <v>4</v>
      </c>
    </row>
    <row r="2547" spans="1:23" x14ac:dyDescent="0.2">
      <c r="A2547">
        <v>2022</v>
      </c>
      <c r="B2547" t="s">
        <v>23</v>
      </c>
      <c r="C2547" t="s">
        <v>271</v>
      </c>
      <c r="D2547">
        <v>88</v>
      </c>
      <c r="E2547">
        <v>2</v>
      </c>
      <c r="F2547">
        <v>2</v>
      </c>
      <c r="G2547" t="s">
        <v>112</v>
      </c>
      <c r="H2547">
        <v>6</v>
      </c>
      <c r="I2547">
        <v>64</v>
      </c>
      <c r="J2547">
        <v>67</v>
      </c>
      <c r="K2547">
        <v>3</v>
      </c>
      <c r="L2547">
        <v>120</v>
      </c>
      <c r="M2547">
        <v>80</v>
      </c>
      <c r="N2547">
        <v>2</v>
      </c>
      <c r="O2547">
        <v>3</v>
      </c>
      <c r="P2547">
        <v>6</v>
      </c>
      <c r="Q2547">
        <v>0.3</v>
      </c>
      <c r="R2547">
        <v>6</v>
      </c>
      <c r="S2547">
        <v>1</v>
      </c>
      <c r="T2547">
        <v>2.5</v>
      </c>
      <c r="U2547">
        <v>12.5</v>
      </c>
      <c r="V2547">
        <v>1098.0392156862745</v>
      </c>
      <c r="W2547">
        <v>1</v>
      </c>
    </row>
    <row r="2548" spans="1:23" x14ac:dyDescent="0.2">
      <c r="A2548">
        <v>2022</v>
      </c>
      <c r="B2548" t="s">
        <v>23</v>
      </c>
      <c r="C2548" t="s">
        <v>271</v>
      </c>
      <c r="D2548">
        <v>89</v>
      </c>
      <c r="E2548">
        <v>1</v>
      </c>
      <c r="F2548">
        <v>3</v>
      </c>
      <c r="G2548" t="s">
        <v>113</v>
      </c>
      <c r="H2548" s="1">
        <v>7</v>
      </c>
      <c r="I2548" s="1">
        <v>64</v>
      </c>
      <c r="J2548" s="1">
        <v>68</v>
      </c>
      <c r="K2548" s="1">
        <f>J2548-I2548</f>
        <v>4</v>
      </c>
      <c r="L2548" s="1">
        <v>165</v>
      </c>
      <c r="M2548" s="1">
        <v>73</v>
      </c>
      <c r="N2548" s="1">
        <v>2</v>
      </c>
      <c r="O2548" s="1">
        <v>3.5</v>
      </c>
      <c r="P2548" s="1">
        <v>7</v>
      </c>
      <c r="Q2548" s="2">
        <v>0.222</v>
      </c>
      <c r="R2548" s="1">
        <v>5</v>
      </c>
      <c r="S2548" s="1">
        <f>R2548/P2548</f>
        <v>0.7142857142857143</v>
      </c>
      <c r="T2548" s="1">
        <v>5</v>
      </c>
      <c r="U2548" s="1">
        <v>12.5</v>
      </c>
      <c r="V2548" s="1">
        <v>812.54901960784309</v>
      </c>
      <c r="W2548" s="1">
        <v>5</v>
      </c>
    </row>
    <row r="2549" spans="1:23" x14ac:dyDescent="0.2">
      <c r="A2549">
        <v>2022</v>
      </c>
      <c r="B2549" t="s">
        <v>23</v>
      </c>
      <c r="C2549" t="s">
        <v>271</v>
      </c>
      <c r="D2549">
        <v>89</v>
      </c>
      <c r="E2549">
        <v>2</v>
      </c>
      <c r="F2549">
        <v>6</v>
      </c>
      <c r="G2549" t="s">
        <v>113</v>
      </c>
      <c r="H2549" s="1">
        <v>2</v>
      </c>
      <c r="I2549" s="1">
        <v>66</v>
      </c>
      <c r="J2549" s="1">
        <v>69</v>
      </c>
      <c r="K2549" s="1">
        <f>J2549-I2549</f>
        <v>3</v>
      </c>
      <c r="L2549" s="1">
        <v>78</v>
      </c>
      <c r="M2549" s="1">
        <v>51</v>
      </c>
      <c r="N2549" s="1">
        <v>2</v>
      </c>
      <c r="O2549" s="1">
        <v>3</v>
      </c>
      <c r="P2549" s="1">
        <v>2</v>
      </c>
      <c r="Q2549" s="2">
        <v>9.8662500000000014E-2</v>
      </c>
      <c r="R2549" s="1">
        <v>3</v>
      </c>
      <c r="S2549" s="1">
        <f>R2549/P2549</f>
        <v>1.5</v>
      </c>
      <c r="T2549" s="1">
        <v>3</v>
      </c>
      <c r="U2549" s="1">
        <v>12.5</v>
      </c>
      <c r="V2549" s="1">
        <v>361.11764705882365</v>
      </c>
      <c r="W2549" s="1">
        <v>3</v>
      </c>
    </row>
    <row r="2550" spans="1:23" x14ac:dyDescent="0.2">
      <c r="A2550">
        <v>2022</v>
      </c>
      <c r="B2550" t="s">
        <v>23</v>
      </c>
      <c r="C2550" t="s">
        <v>271</v>
      </c>
      <c r="D2550">
        <v>90</v>
      </c>
      <c r="E2550">
        <v>1</v>
      </c>
      <c r="F2550">
        <v>15</v>
      </c>
      <c r="G2550" t="s">
        <v>114</v>
      </c>
      <c r="H2550" s="1">
        <v>6</v>
      </c>
      <c r="I2550" s="1">
        <v>58</v>
      </c>
      <c r="J2550" s="1">
        <v>63</v>
      </c>
      <c r="K2550" s="1">
        <f>J2550-I2550</f>
        <v>5</v>
      </c>
      <c r="L2550" s="1">
        <v>55</v>
      </c>
      <c r="M2550" s="1">
        <v>27</v>
      </c>
      <c r="N2550" s="1">
        <v>1.5</v>
      </c>
      <c r="O2550" s="1">
        <v>5</v>
      </c>
      <c r="P2550" s="1">
        <v>3</v>
      </c>
      <c r="Q2550" s="2">
        <v>0.11</v>
      </c>
      <c r="R2550" s="1">
        <v>3</v>
      </c>
      <c r="S2550" s="1">
        <f>R2550/P2550</f>
        <v>1</v>
      </c>
      <c r="T2550" s="1">
        <v>5</v>
      </c>
      <c r="U2550" s="1">
        <v>12.5</v>
      </c>
      <c r="V2550" s="1">
        <v>402.61437908496731</v>
      </c>
      <c r="W2550" s="1">
        <v>6</v>
      </c>
    </row>
    <row r="2551" spans="1:23" x14ac:dyDescent="0.2">
      <c r="A2551">
        <v>2022</v>
      </c>
      <c r="B2551" t="s">
        <v>23</v>
      </c>
      <c r="C2551" t="s">
        <v>271</v>
      </c>
      <c r="D2551">
        <v>90</v>
      </c>
      <c r="E2551">
        <v>2</v>
      </c>
      <c r="F2551">
        <v>3</v>
      </c>
      <c r="G2551" t="s">
        <v>114</v>
      </c>
      <c r="H2551" s="1">
        <v>6</v>
      </c>
      <c r="I2551" s="1">
        <v>61</v>
      </c>
      <c r="J2551" s="1">
        <v>65</v>
      </c>
      <c r="K2551" s="1">
        <f>J2551-I2551</f>
        <v>4</v>
      </c>
      <c r="L2551" s="1">
        <v>103</v>
      </c>
      <c r="M2551" s="1">
        <v>45</v>
      </c>
      <c r="N2551" s="1">
        <v>3</v>
      </c>
      <c r="O2551" s="1">
        <v>2.5</v>
      </c>
      <c r="P2551" s="1">
        <v>6</v>
      </c>
      <c r="Q2551" s="2">
        <v>0.442</v>
      </c>
      <c r="R2551" s="1">
        <v>6</v>
      </c>
      <c r="S2551" s="1">
        <f>R2551/P2551</f>
        <v>1</v>
      </c>
      <c r="T2551" s="1">
        <v>2</v>
      </c>
      <c r="U2551" s="1">
        <v>12.5</v>
      </c>
      <c r="V2551" s="1">
        <v>1617.7777777777778</v>
      </c>
      <c r="W2551" s="1">
        <v>3</v>
      </c>
    </row>
    <row r="2552" spans="1:23" x14ac:dyDescent="0.2">
      <c r="A2552">
        <v>2022</v>
      </c>
      <c r="B2552" t="s">
        <v>23</v>
      </c>
      <c r="C2552" t="s">
        <v>271</v>
      </c>
      <c r="D2552">
        <v>91</v>
      </c>
      <c r="E2552">
        <v>1</v>
      </c>
      <c r="F2552">
        <v>1</v>
      </c>
      <c r="G2552" t="s">
        <v>115</v>
      </c>
      <c r="H2552">
        <v>8</v>
      </c>
      <c r="I2552">
        <v>63</v>
      </c>
      <c r="J2552">
        <v>65</v>
      </c>
      <c r="K2552">
        <v>2</v>
      </c>
      <c r="L2552">
        <v>164</v>
      </c>
      <c r="M2552">
        <v>62</v>
      </c>
      <c r="N2552">
        <v>1.5</v>
      </c>
      <c r="O2552">
        <v>3.5</v>
      </c>
      <c r="P2552">
        <v>8</v>
      </c>
      <c r="Q2552">
        <v>0.3</v>
      </c>
      <c r="R2552">
        <v>6</v>
      </c>
      <c r="S2552">
        <v>0.75</v>
      </c>
      <c r="T2552">
        <v>2.5</v>
      </c>
      <c r="U2552">
        <v>12.5</v>
      </c>
      <c r="V2552">
        <v>1098.0392156862745</v>
      </c>
      <c r="W2552">
        <v>2</v>
      </c>
    </row>
    <row r="2553" spans="1:23" x14ac:dyDescent="0.2">
      <c r="A2553">
        <v>2022</v>
      </c>
      <c r="B2553" t="s">
        <v>23</v>
      </c>
      <c r="C2553" t="s">
        <v>271</v>
      </c>
      <c r="D2553">
        <v>91</v>
      </c>
      <c r="E2553">
        <v>2</v>
      </c>
      <c r="F2553">
        <v>8</v>
      </c>
      <c r="G2553" t="s">
        <v>115</v>
      </c>
      <c r="H2553" s="1">
        <v>14</v>
      </c>
      <c r="I2553" s="1">
        <v>62</v>
      </c>
      <c r="J2553" s="1">
        <v>66</v>
      </c>
      <c r="K2553" s="1">
        <f>J2553-I2553</f>
        <v>4</v>
      </c>
      <c r="L2553" s="1">
        <v>137</v>
      </c>
      <c r="M2553" s="1">
        <v>58</v>
      </c>
      <c r="N2553" s="1">
        <v>3</v>
      </c>
      <c r="O2553" s="1">
        <v>4</v>
      </c>
      <c r="P2553" s="1">
        <v>10</v>
      </c>
      <c r="Q2553" s="2">
        <v>0.13639999999999997</v>
      </c>
      <c r="R2553" s="1">
        <v>7</v>
      </c>
      <c r="S2553" s="1">
        <f>R2553/P2553</f>
        <v>0.7</v>
      </c>
      <c r="T2553" s="1">
        <v>4.5</v>
      </c>
      <c r="U2553" s="1">
        <v>12.5</v>
      </c>
      <c r="V2553" s="1">
        <v>499.24183006535935</v>
      </c>
      <c r="W2553" s="1">
        <v>7</v>
      </c>
    </row>
    <row r="2554" spans="1:23" x14ac:dyDescent="0.2">
      <c r="A2554">
        <v>2022</v>
      </c>
      <c r="B2554" t="s">
        <v>23</v>
      </c>
      <c r="C2554" t="s">
        <v>271</v>
      </c>
      <c r="D2554">
        <v>92</v>
      </c>
      <c r="E2554">
        <v>1</v>
      </c>
      <c r="F2554">
        <v>4</v>
      </c>
      <c r="G2554" t="s">
        <v>116</v>
      </c>
      <c r="H2554" s="1">
        <v>9</v>
      </c>
      <c r="I2554" s="1">
        <v>66</v>
      </c>
      <c r="J2554" s="1">
        <v>69</v>
      </c>
      <c r="K2554" s="1">
        <f>J2554-I2554</f>
        <v>3</v>
      </c>
      <c r="L2554" s="1">
        <v>117</v>
      </c>
      <c r="M2554" s="1">
        <v>58</v>
      </c>
      <c r="N2554" s="1">
        <v>2</v>
      </c>
      <c r="O2554" s="1">
        <v>3.5</v>
      </c>
      <c r="P2554" s="1">
        <v>7</v>
      </c>
      <c r="Q2554" s="2">
        <v>2.2499999999999999E-2</v>
      </c>
      <c r="R2554" s="1">
        <v>2</v>
      </c>
      <c r="S2554" s="1">
        <f>R2554/P2554</f>
        <v>0.2857142857142857</v>
      </c>
      <c r="T2554" s="1">
        <v>5</v>
      </c>
      <c r="U2554" s="1">
        <v>12.5</v>
      </c>
      <c r="V2554" s="1">
        <v>82.35294117647058</v>
      </c>
      <c r="W2554" s="1">
        <v>6</v>
      </c>
    </row>
    <row r="2555" spans="1:23" x14ac:dyDescent="0.2">
      <c r="A2555">
        <v>2022</v>
      </c>
      <c r="B2555" t="s">
        <v>23</v>
      </c>
      <c r="C2555" t="s">
        <v>271</v>
      </c>
      <c r="D2555">
        <v>92</v>
      </c>
      <c r="E2555">
        <v>2</v>
      </c>
      <c r="F2555">
        <v>15</v>
      </c>
      <c r="G2555" t="s">
        <v>116</v>
      </c>
      <c r="H2555">
        <v>1</v>
      </c>
      <c r="I2555">
        <v>56</v>
      </c>
      <c r="J2555">
        <v>60</v>
      </c>
      <c r="K2555">
        <v>4</v>
      </c>
      <c r="L2555">
        <v>90</v>
      </c>
      <c r="M2555">
        <v>28</v>
      </c>
      <c r="N2555">
        <v>2.5</v>
      </c>
      <c r="O2555">
        <v>2</v>
      </c>
      <c r="P2555">
        <v>1</v>
      </c>
      <c r="Q2555">
        <v>0.1</v>
      </c>
      <c r="R2555">
        <v>1</v>
      </c>
      <c r="S2555">
        <v>1</v>
      </c>
      <c r="T2555">
        <v>3</v>
      </c>
      <c r="U2555">
        <v>12.5</v>
      </c>
      <c r="V2555">
        <v>366.01307189542484</v>
      </c>
      <c r="W2555">
        <v>2</v>
      </c>
    </row>
    <row r="2556" spans="1:23" x14ac:dyDescent="0.2">
      <c r="A2556">
        <v>2022</v>
      </c>
      <c r="B2556" t="s">
        <v>23</v>
      </c>
      <c r="C2556" t="s">
        <v>271</v>
      </c>
      <c r="D2556">
        <v>93</v>
      </c>
      <c r="E2556">
        <v>1</v>
      </c>
      <c r="F2556">
        <v>9</v>
      </c>
      <c r="G2556" t="s">
        <v>117</v>
      </c>
      <c r="H2556" s="1">
        <v>11</v>
      </c>
      <c r="I2556" s="1">
        <v>62</v>
      </c>
      <c r="J2556" s="1">
        <v>66</v>
      </c>
      <c r="K2556" s="1">
        <f>J2556-I2556</f>
        <v>4</v>
      </c>
      <c r="L2556" s="1">
        <v>155</v>
      </c>
      <c r="M2556" s="1">
        <v>67</v>
      </c>
      <c r="N2556" s="1">
        <v>2</v>
      </c>
      <c r="O2556" s="1">
        <v>2.5</v>
      </c>
      <c r="P2556" s="1">
        <v>11</v>
      </c>
      <c r="Q2556" s="2">
        <v>0.22668000000000002</v>
      </c>
      <c r="R2556" s="1">
        <v>8</v>
      </c>
      <c r="S2556" s="1">
        <f>R2556/P2556</f>
        <v>0.72727272727272729</v>
      </c>
      <c r="T2556" s="1">
        <v>5</v>
      </c>
      <c r="U2556" s="1">
        <v>12.5</v>
      </c>
      <c r="V2556" s="1">
        <v>829.6784313725492</v>
      </c>
      <c r="W2556" s="1">
        <v>5</v>
      </c>
    </row>
    <row r="2557" spans="1:23" x14ac:dyDescent="0.2">
      <c r="A2557">
        <v>2022</v>
      </c>
      <c r="B2557" t="s">
        <v>23</v>
      </c>
      <c r="C2557" t="s">
        <v>271</v>
      </c>
      <c r="D2557">
        <v>93</v>
      </c>
      <c r="E2557">
        <v>2</v>
      </c>
      <c r="F2557">
        <v>7</v>
      </c>
      <c r="G2557" t="s">
        <v>117</v>
      </c>
      <c r="H2557">
        <v>3</v>
      </c>
      <c r="I2557">
        <v>55</v>
      </c>
      <c r="J2557">
        <v>57</v>
      </c>
      <c r="K2557">
        <v>2</v>
      </c>
      <c r="L2557">
        <v>146</v>
      </c>
      <c r="M2557">
        <v>67</v>
      </c>
      <c r="N2557">
        <v>1.5</v>
      </c>
      <c r="O2557">
        <v>4</v>
      </c>
      <c r="P2557">
        <v>3</v>
      </c>
      <c r="Q2557">
        <v>0.4</v>
      </c>
      <c r="R2557">
        <v>5</v>
      </c>
      <c r="S2557">
        <v>1.6666666666666667</v>
      </c>
      <c r="T2557">
        <v>2</v>
      </c>
      <c r="U2557">
        <v>12.5</v>
      </c>
      <c r="V2557">
        <v>1464.0522875816994</v>
      </c>
      <c r="W2557">
        <v>1</v>
      </c>
    </row>
    <row r="2558" spans="1:23" x14ac:dyDescent="0.2">
      <c r="A2558">
        <v>2022</v>
      </c>
      <c r="B2558" t="s">
        <v>23</v>
      </c>
      <c r="C2558" t="s">
        <v>271</v>
      </c>
      <c r="D2558">
        <v>94</v>
      </c>
      <c r="E2558">
        <v>1</v>
      </c>
      <c r="F2558">
        <v>6</v>
      </c>
      <c r="G2558" t="s">
        <v>118</v>
      </c>
      <c r="H2558" s="1">
        <v>9</v>
      </c>
      <c r="I2558" s="1">
        <v>64</v>
      </c>
      <c r="J2558" s="1">
        <v>67</v>
      </c>
      <c r="K2558" s="1">
        <f>J2558-I2558</f>
        <v>3</v>
      </c>
      <c r="L2558" s="1">
        <v>90</v>
      </c>
      <c r="M2558" s="1">
        <v>26</v>
      </c>
      <c r="N2558" s="1">
        <v>2</v>
      </c>
      <c r="O2558" s="1">
        <v>5</v>
      </c>
      <c r="P2558" s="1">
        <v>1</v>
      </c>
      <c r="Q2558" s="2">
        <v>0.03</v>
      </c>
      <c r="R2558" s="1">
        <v>1</v>
      </c>
      <c r="S2558" s="1">
        <f>R2558/P2558</f>
        <v>1</v>
      </c>
      <c r="T2558" s="1">
        <v>5</v>
      </c>
      <c r="U2558" s="1">
        <v>12.5</v>
      </c>
      <c r="V2558" s="1">
        <v>109.80392156862746</v>
      </c>
      <c r="W2558" s="1">
        <v>7</v>
      </c>
    </row>
    <row r="2559" spans="1:23" x14ac:dyDescent="0.2">
      <c r="A2559">
        <v>2022</v>
      </c>
      <c r="B2559" t="s">
        <v>23</v>
      </c>
      <c r="C2559" t="s">
        <v>271</v>
      </c>
      <c r="D2559">
        <v>94</v>
      </c>
      <c r="E2559">
        <v>2</v>
      </c>
      <c r="F2559">
        <v>10</v>
      </c>
      <c r="G2559" t="s">
        <v>118</v>
      </c>
      <c r="H2559">
        <v>15</v>
      </c>
      <c r="I2559">
        <v>57</v>
      </c>
      <c r="J2559">
        <v>58</v>
      </c>
      <c r="K2559">
        <v>1</v>
      </c>
      <c r="L2559">
        <v>148</v>
      </c>
      <c r="M2559">
        <v>86</v>
      </c>
      <c r="N2559">
        <v>2</v>
      </c>
      <c r="O2559">
        <v>2</v>
      </c>
      <c r="P2559">
        <v>13</v>
      </c>
      <c r="Q2559">
        <v>1</v>
      </c>
      <c r="R2559">
        <v>12</v>
      </c>
      <c r="S2559">
        <v>0.92307692307692313</v>
      </c>
      <c r="T2559">
        <v>2</v>
      </c>
      <c r="U2559">
        <v>11.4</v>
      </c>
      <c r="V2559">
        <v>3706.1437908496728</v>
      </c>
      <c r="W2559">
        <v>2</v>
      </c>
    </row>
    <row r="2560" spans="1:23" x14ac:dyDescent="0.2">
      <c r="A2560">
        <v>2022</v>
      </c>
      <c r="B2560" t="s">
        <v>23</v>
      </c>
      <c r="C2560" t="s">
        <v>271</v>
      </c>
      <c r="D2560">
        <v>95</v>
      </c>
      <c r="E2560">
        <v>1</v>
      </c>
      <c r="F2560">
        <v>7</v>
      </c>
      <c r="G2560" t="s">
        <v>119</v>
      </c>
      <c r="H2560" s="1">
        <v>7</v>
      </c>
      <c r="I2560" s="1">
        <v>61</v>
      </c>
      <c r="J2560" s="1">
        <v>66</v>
      </c>
      <c r="K2560" s="1">
        <f>J2560-I2560</f>
        <v>5</v>
      </c>
      <c r="L2560" s="1">
        <v>195</v>
      </c>
      <c r="M2560" s="1">
        <v>130</v>
      </c>
      <c r="N2560" s="1">
        <v>2</v>
      </c>
      <c r="O2560" s="1">
        <v>2</v>
      </c>
      <c r="P2560" s="1">
        <v>6</v>
      </c>
      <c r="Q2560" s="2">
        <v>0.14699999999999999</v>
      </c>
      <c r="R2560" s="1">
        <v>7</v>
      </c>
      <c r="S2560" s="1">
        <f>R2560/P2560</f>
        <v>1.1666666666666667</v>
      </c>
      <c r="T2560" s="1">
        <v>2</v>
      </c>
      <c r="U2560" s="1">
        <v>9</v>
      </c>
      <c r="V2560" s="1">
        <v>559.56078431372543</v>
      </c>
      <c r="W2560" s="1">
        <v>4</v>
      </c>
    </row>
    <row r="2561" spans="1:23" x14ac:dyDescent="0.2">
      <c r="A2561">
        <v>2022</v>
      </c>
      <c r="B2561" t="s">
        <v>23</v>
      </c>
      <c r="C2561" t="s">
        <v>271</v>
      </c>
      <c r="D2561">
        <v>95</v>
      </c>
      <c r="E2561">
        <v>2</v>
      </c>
      <c r="F2561">
        <v>12</v>
      </c>
      <c r="G2561" t="s">
        <v>119</v>
      </c>
      <c r="H2561" s="1">
        <v>11</v>
      </c>
      <c r="I2561" s="1">
        <v>66</v>
      </c>
      <c r="J2561" s="1">
        <v>71</v>
      </c>
      <c r="K2561" s="1">
        <f>J2561-I2561</f>
        <v>5</v>
      </c>
      <c r="L2561" s="1">
        <v>157</v>
      </c>
      <c r="M2561" s="1">
        <v>112</v>
      </c>
      <c r="N2561" s="1">
        <v>2</v>
      </c>
      <c r="O2561" s="1">
        <v>2</v>
      </c>
      <c r="P2561" s="1">
        <v>11</v>
      </c>
      <c r="Q2561" s="2">
        <v>0.4995</v>
      </c>
      <c r="R2561" s="1">
        <v>11</v>
      </c>
      <c r="S2561" s="1">
        <f>R2561/P2561</f>
        <v>1</v>
      </c>
      <c r="T2561" s="1">
        <v>4</v>
      </c>
      <c r="U2561" s="1">
        <v>12.5</v>
      </c>
      <c r="V2561" s="1">
        <v>1828.2352941176473</v>
      </c>
      <c r="W2561" s="1">
        <v>4</v>
      </c>
    </row>
    <row r="2562" spans="1:23" x14ac:dyDescent="0.2">
      <c r="A2562">
        <v>2022</v>
      </c>
      <c r="B2562" t="s">
        <v>23</v>
      </c>
      <c r="C2562" t="s">
        <v>271</v>
      </c>
      <c r="D2562">
        <v>96</v>
      </c>
      <c r="E2562">
        <v>1</v>
      </c>
      <c r="F2562">
        <v>4</v>
      </c>
      <c r="G2562" t="s">
        <v>120</v>
      </c>
      <c r="H2562">
        <v>12</v>
      </c>
      <c r="I2562">
        <v>55</v>
      </c>
      <c r="J2562">
        <v>58</v>
      </c>
      <c r="K2562">
        <v>3</v>
      </c>
      <c r="L2562">
        <v>148</v>
      </c>
      <c r="M2562">
        <v>77</v>
      </c>
      <c r="N2562">
        <v>2</v>
      </c>
      <c r="O2562">
        <v>2</v>
      </c>
      <c r="P2562">
        <v>11</v>
      </c>
      <c r="Q2562">
        <v>0.5</v>
      </c>
      <c r="R2562">
        <v>9</v>
      </c>
      <c r="S2562">
        <v>0.81818181818181823</v>
      </c>
      <c r="T2562">
        <v>2</v>
      </c>
      <c r="U2562">
        <v>11.2</v>
      </c>
      <c r="V2562">
        <v>1857.2549019607843</v>
      </c>
      <c r="W2562">
        <v>2</v>
      </c>
    </row>
    <row r="2563" spans="1:23" x14ac:dyDescent="0.2">
      <c r="A2563">
        <v>2022</v>
      </c>
      <c r="B2563" t="s">
        <v>23</v>
      </c>
      <c r="C2563" t="s">
        <v>271</v>
      </c>
      <c r="D2563">
        <v>96</v>
      </c>
      <c r="E2563">
        <v>2</v>
      </c>
      <c r="F2563">
        <v>12</v>
      </c>
      <c r="G2563" t="s">
        <v>120</v>
      </c>
      <c r="H2563" s="1">
        <v>12</v>
      </c>
      <c r="I2563" s="1">
        <v>58</v>
      </c>
      <c r="J2563" s="1">
        <v>62</v>
      </c>
      <c r="K2563" s="1">
        <f>J2563-I2563</f>
        <v>4</v>
      </c>
      <c r="L2563" s="1">
        <v>128</v>
      </c>
      <c r="M2563" s="1">
        <v>55</v>
      </c>
      <c r="N2563" s="1">
        <v>2.5</v>
      </c>
      <c r="O2563" s="1">
        <v>3.5</v>
      </c>
      <c r="P2563" s="1">
        <v>10</v>
      </c>
      <c r="Q2563" s="2">
        <v>0.2802</v>
      </c>
      <c r="R2563" s="1">
        <v>9</v>
      </c>
      <c r="S2563" s="1">
        <f>R2563/P2563</f>
        <v>0.9</v>
      </c>
      <c r="T2563" s="1">
        <v>2.5</v>
      </c>
      <c r="U2563" s="1">
        <v>12.5</v>
      </c>
      <c r="V2563" s="1">
        <v>1025.5686274509806</v>
      </c>
      <c r="W2563" s="1">
        <v>4</v>
      </c>
    </row>
    <row r="2564" spans="1:23" x14ac:dyDescent="0.2">
      <c r="A2564">
        <v>2022</v>
      </c>
      <c r="B2564" t="s">
        <v>23</v>
      </c>
      <c r="C2564" t="s">
        <v>271</v>
      </c>
      <c r="D2564">
        <v>97</v>
      </c>
      <c r="E2564">
        <v>1</v>
      </c>
      <c r="F2564">
        <v>12</v>
      </c>
      <c r="G2564" t="s">
        <v>121</v>
      </c>
      <c r="H2564" s="1">
        <v>7</v>
      </c>
      <c r="I2564" s="1">
        <v>63</v>
      </c>
      <c r="J2564" s="1">
        <v>68</v>
      </c>
      <c r="K2564" s="1">
        <f>J2564-I2564</f>
        <v>5</v>
      </c>
      <c r="L2564" s="1">
        <v>45</v>
      </c>
      <c r="M2564" s="1">
        <v>26</v>
      </c>
      <c r="N2564" s="1">
        <v>2.5</v>
      </c>
      <c r="O2564" s="1">
        <v>4</v>
      </c>
      <c r="P2564" s="1">
        <v>6</v>
      </c>
      <c r="Q2564" s="2">
        <v>0.22700000000000001</v>
      </c>
      <c r="R2564" s="1">
        <v>6</v>
      </c>
      <c r="S2564" s="1">
        <f>R2564/P2564</f>
        <v>1</v>
      </c>
      <c r="T2564" s="1">
        <v>5</v>
      </c>
      <c r="U2564" s="1">
        <v>12.5</v>
      </c>
      <c r="V2564" s="1">
        <v>830.84967320261444</v>
      </c>
      <c r="W2564" s="1">
        <v>6</v>
      </c>
    </row>
    <row r="2565" spans="1:23" x14ac:dyDescent="0.2">
      <c r="A2565">
        <v>2022</v>
      </c>
      <c r="B2565" t="s">
        <v>23</v>
      </c>
      <c r="C2565" t="s">
        <v>271</v>
      </c>
      <c r="D2565">
        <v>97</v>
      </c>
      <c r="E2565">
        <v>2</v>
      </c>
      <c r="F2565">
        <v>7</v>
      </c>
      <c r="G2565" t="s">
        <v>121</v>
      </c>
      <c r="H2565" s="1">
        <v>5</v>
      </c>
      <c r="I2565" s="1">
        <v>66</v>
      </c>
      <c r="J2565" s="1">
        <v>69</v>
      </c>
      <c r="K2565" s="1">
        <f>J2565-I2565</f>
        <v>3</v>
      </c>
      <c r="L2565" s="1">
        <v>108</v>
      </c>
      <c r="M2565" s="1">
        <v>40</v>
      </c>
      <c r="N2565" s="1">
        <v>1.5</v>
      </c>
      <c r="O2565" s="1">
        <v>4.5</v>
      </c>
      <c r="P2565" s="1">
        <v>5</v>
      </c>
      <c r="Q2565" s="2">
        <v>0.16500000000000001</v>
      </c>
      <c r="R2565" s="1">
        <v>5</v>
      </c>
      <c r="S2565" s="1">
        <f>R2565/P2565</f>
        <v>1</v>
      </c>
      <c r="T2565" s="1">
        <v>4</v>
      </c>
      <c r="U2565" s="1">
        <v>12.5</v>
      </c>
      <c r="V2565" s="1">
        <v>603.92156862745094</v>
      </c>
      <c r="W2565" s="1">
        <v>3</v>
      </c>
    </row>
    <row r="2566" spans="1:23" x14ac:dyDescent="0.2">
      <c r="A2566">
        <v>2022</v>
      </c>
      <c r="B2566" t="s">
        <v>23</v>
      </c>
      <c r="C2566" t="s">
        <v>271</v>
      </c>
      <c r="D2566">
        <v>98</v>
      </c>
      <c r="E2566">
        <v>1</v>
      </c>
      <c r="F2566">
        <v>15</v>
      </c>
      <c r="G2566" t="s">
        <v>122</v>
      </c>
      <c r="H2566">
        <v>14</v>
      </c>
      <c r="I2566">
        <v>55</v>
      </c>
      <c r="J2566">
        <v>56</v>
      </c>
      <c r="K2566">
        <v>1</v>
      </c>
      <c r="L2566">
        <v>172</v>
      </c>
      <c r="M2566">
        <v>70</v>
      </c>
      <c r="N2566">
        <v>2</v>
      </c>
      <c r="O2566">
        <v>2</v>
      </c>
      <c r="P2566">
        <v>12</v>
      </c>
      <c r="Q2566">
        <v>1.3</v>
      </c>
      <c r="R2566">
        <v>6</v>
      </c>
      <c r="S2566">
        <v>0.5</v>
      </c>
      <c r="T2566">
        <v>2</v>
      </c>
      <c r="U2566">
        <v>12.5</v>
      </c>
      <c r="V2566">
        <v>4758.169934640523</v>
      </c>
      <c r="W2566">
        <v>2</v>
      </c>
    </row>
    <row r="2567" spans="1:23" x14ac:dyDescent="0.2">
      <c r="A2567">
        <v>2022</v>
      </c>
      <c r="B2567" t="s">
        <v>23</v>
      </c>
      <c r="C2567" t="s">
        <v>271</v>
      </c>
      <c r="D2567">
        <v>98</v>
      </c>
      <c r="E2567">
        <v>2</v>
      </c>
      <c r="F2567">
        <v>1</v>
      </c>
      <c r="G2567" t="s">
        <v>122</v>
      </c>
      <c r="H2567" s="1">
        <v>8</v>
      </c>
      <c r="I2567" s="1">
        <v>69</v>
      </c>
      <c r="J2567" s="1">
        <v>74</v>
      </c>
      <c r="K2567" s="1">
        <f>J2567-I2567</f>
        <v>5</v>
      </c>
      <c r="L2567" s="1">
        <v>147</v>
      </c>
      <c r="M2567" s="1">
        <v>80</v>
      </c>
      <c r="N2567" s="1">
        <v>2</v>
      </c>
      <c r="O2567" s="1">
        <v>3.5</v>
      </c>
      <c r="P2567" s="1">
        <v>6</v>
      </c>
      <c r="Q2567" s="2">
        <v>0.22040000000000001</v>
      </c>
      <c r="R2567" s="1">
        <v>5</v>
      </c>
      <c r="S2567" s="1">
        <f>R2567/P2567</f>
        <v>0.83333333333333337</v>
      </c>
      <c r="T2567" s="1">
        <v>5</v>
      </c>
      <c r="U2567" s="1">
        <v>12.5</v>
      </c>
      <c r="V2567" s="1">
        <v>806.69281045751632</v>
      </c>
      <c r="W2567" s="1">
        <v>5</v>
      </c>
    </row>
    <row r="2568" spans="1:23" x14ac:dyDescent="0.2">
      <c r="A2568">
        <v>2022</v>
      </c>
      <c r="B2568" t="s">
        <v>23</v>
      </c>
      <c r="C2568" t="s">
        <v>271</v>
      </c>
      <c r="D2568">
        <v>99</v>
      </c>
      <c r="E2568">
        <v>1</v>
      </c>
      <c r="F2568">
        <v>1</v>
      </c>
      <c r="G2568" t="s">
        <v>123</v>
      </c>
      <c r="H2568" s="1">
        <v>6</v>
      </c>
      <c r="I2568" s="1">
        <v>61</v>
      </c>
      <c r="J2568" s="1">
        <v>65</v>
      </c>
      <c r="K2568" s="1">
        <f>J2568-I2568</f>
        <v>4</v>
      </c>
      <c r="L2568" s="1">
        <v>110</v>
      </c>
      <c r="M2568" s="1">
        <v>41</v>
      </c>
      <c r="N2568" s="1">
        <v>3</v>
      </c>
      <c r="O2568" s="1">
        <v>4</v>
      </c>
      <c r="P2568" s="1">
        <v>3</v>
      </c>
      <c r="Q2568" s="2">
        <v>0.15</v>
      </c>
      <c r="R2568" s="1">
        <v>3</v>
      </c>
      <c r="S2568" s="1">
        <f>R2568/P2568</f>
        <v>1</v>
      </c>
      <c r="T2568" s="1">
        <v>3</v>
      </c>
      <c r="U2568" s="1">
        <v>12.5</v>
      </c>
      <c r="V2568" s="1">
        <v>549.01960784313724</v>
      </c>
      <c r="W2568" s="1">
        <v>5</v>
      </c>
    </row>
    <row r="2569" spans="1:23" x14ac:dyDescent="0.2">
      <c r="A2569">
        <v>2022</v>
      </c>
      <c r="B2569" t="s">
        <v>23</v>
      </c>
      <c r="C2569" t="s">
        <v>271</v>
      </c>
      <c r="D2569">
        <v>99</v>
      </c>
      <c r="E2569">
        <v>2</v>
      </c>
      <c r="F2569">
        <v>12</v>
      </c>
      <c r="G2569" t="s">
        <v>123</v>
      </c>
      <c r="H2569" s="1">
        <v>16</v>
      </c>
      <c r="I2569" s="1">
        <v>70</v>
      </c>
      <c r="J2569" s="1">
        <v>73</v>
      </c>
      <c r="K2569" s="1">
        <f>J2569-I2569</f>
        <v>3</v>
      </c>
      <c r="L2569" s="1">
        <v>123</v>
      </c>
      <c r="M2569" s="1">
        <v>41</v>
      </c>
      <c r="N2569" s="1">
        <v>2</v>
      </c>
      <c r="O2569" s="1">
        <v>4</v>
      </c>
      <c r="P2569" s="1">
        <v>15</v>
      </c>
      <c r="Q2569" s="2">
        <v>0.64519999999999988</v>
      </c>
      <c r="R2569" s="1">
        <v>16</v>
      </c>
      <c r="S2569" s="1">
        <f>R2569/P2569</f>
        <v>1.0666666666666667</v>
      </c>
      <c r="T2569" s="1">
        <v>3</v>
      </c>
      <c r="U2569" s="1">
        <v>12.5</v>
      </c>
      <c r="V2569" s="1">
        <v>2361.5163398692807</v>
      </c>
      <c r="W2569" s="1">
        <v>6</v>
      </c>
    </row>
    <row r="2570" spans="1:23" x14ac:dyDescent="0.2">
      <c r="A2570">
        <v>2022</v>
      </c>
      <c r="B2570" t="s">
        <v>23</v>
      </c>
      <c r="C2570" t="s">
        <v>271</v>
      </c>
      <c r="D2570">
        <v>100</v>
      </c>
      <c r="E2570">
        <v>1</v>
      </c>
      <c r="F2570">
        <v>9</v>
      </c>
      <c r="G2570" t="s">
        <v>124</v>
      </c>
      <c r="H2570">
        <v>16</v>
      </c>
      <c r="I2570">
        <v>54</v>
      </c>
      <c r="J2570">
        <v>55</v>
      </c>
      <c r="K2570">
        <v>1</v>
      </c>
      <c r="L2570">
        <v>156</v>
      </c>
      <c r="M2570">
        <v>54</v>
      </c>
      <c r="N2570">
        <v>1</v>
      </c>
      <c r="O2570">
        <v>1.5</v>
      </c>
      <c r="P2570">
        <v>14</v>
      </c>
      <c r="Q2570">
        <v>1.2</v>
      </c>
      <c r="R2570">
        <v>11</v>
      </c>
      <c r="S2570">
        <v>0.7857142857142857</v>
      </c>
      <c r="T2570">
        <v>2</v>
      </c>
      <c r="U2570">
        <v>11.1</v>
      </c>
      <c r="V2570">
        <v>4462.4313725490192</v>
      </c>
      <c r="W2570">
        <v>2</v>
      </c>
    </row>
    <row r="2571" spans="1:23" x14ac:dyDescent="0.2">
      <c r="A2571">
        <v>2022</v>
      </c>
      <c r="B2571" t="s">
        <v>23</v>
      </c>
      <c r="C2571" t="s">
        <v>271</v>
      </c>
      <c r="D2571">
        <v>100</v>
      </c>
      <c r="E2571">
        <v>2</v>
      </c>
      <c r="F2571">
        <v>6</v>
      </c>
      <c r="G2571" t="s">
        <v>124</v>
      </c>
      <c r="H2571">
        <v>9</v>
      </c>
      <c r="I2571">
        <v>54</v>
      </c>
      <c r="J2571">
        <v>57</v>
      </c>
      <c r="K2571">
        <v>3</v>
      </c>
      <c r="L2571">
        <v>87</v>
      </c>
      <c r="M2571">
        <v>31</v>
      </c>
      <c r="N2571">
        <v>2</v>
      </c>
      <c r="O2571">
        <v>3</v>
      </c>
      <c r="P2571">
        <v>8</v>
      </c>
      <c r="Q2571">
        <v>0.73499999999999999</v>
      </c>
      <c r="R2571">
        <v>8</v>
      </c>
      <c r="S2571">
        <v>1</v>
      </c>
      <c r="T2571">
        <v>3</v>
      </c>
      <c r="U2571">
        <v>12.5</v>
      </c>
      <c r="V2571">
        <v>2690.1960784313724</v>
      </c>
      <c r="W2571">
        <v>2</v>
      </c>
    </row>
    <row r="2572" spans="1:23" x14ac:dyDescent="0.2">
      <c r="A2572">
        <v>2022</v>
      </c>
      <c r="B2572" t="s">
        <v>23</v>
      </c>
      <c r="C2572" t="s">
        <v>271</v>
      </c>
      <c r="D2572">
        <v>101</v>
      </c>
      <c r="E2572">
        <v>1</v>
      </c>
      <c r="F2572">
        <v>5</v>
      </c>
      <c r="G2572" t="s">
        <v>125</v>
      </c>
      <c r="H2572">
        <v>14</v>
      </c>
      <c r="I2572">
        <v>50</v>
      </c>
      <c r="J2572">
        <v>54</v>
      </c>
      <c r="K2572">
        <v>4</v>
      </c>
      <c r="L2572">
        <v>162</v>
      </c>
      <c r="M2572">
        <v>98</v>
      </c>
      <c r="N2572">
        <v>1</v>
      </c>
      <c r="O2572">
        <v>2</v>
      </c>
      <c r="P2572">
        <v>13</v>
      </c>
      <c r="Q2572">
        <v>0.8</v>
      </c>
      <c r="R2572">
        <v>10</v>
      </c>
      <c r="S2572">
        <v>0.76923076923076927</v>
      </c>
      <c r="T2572">
        <v>2</v>
      </c>
      <c r="U2572">
        <v>12.1</v>
      </c>
      <c r="V2572">
        <v>2941.4901960784318</v>
      </c>
      <c r="W2572">
        <v>2</v>
      </c>
    </row>
    <row r="2573" spans="1:23" x14ac:dyDescent="0.2">
      <c r="A2573">
        <v>2022</v>
      </c>
      <c r="B2573" t="s">
        <v>23</v>
      </c>
      <c r="C2573" t="s">
        <v>271</v>
      </c>
      <c r="D2573">
        <v>101</v>
      </c>
      <c r="E2573">
        <v>2</v>
      </c>
      <c r="F2573">
        <v>14</v>
      </c>
      <c r="G2573" t="s">
        <v>125</v>
      </c>
      <c r="H2573" s="1">
        <v>8</v>
      </c>
      <c r="I2573" s="1">
        <v>61</v>
      </c>
      <c r="J2573" s="1">
        <v>65</v>
      </c>
      <c r="K2573" s="1">
        <f>J2573-I2573</f>
        <v>4</v>
      </c>
      <c r="L2573" s="1">
        <v>105</v>
      </c>
      <c r="M2573" s="1">
        <v>46</v>
      </c>
      <c r="N2573" s="1">
        <v>1.5</v>
      </c>
      <c r="O2573" s="1">
        <v>4.5</v>
      </c>
      <c r="P2573" s="1">
        <v>6</v>
      </c>
      <c r="Q2573" s="2">
        <v>4.6799999999999994E-2</v>
      </c>
      <c r="R2573" s="1">
        <v>3</v>
      </c>
      <c r="S2573" s="1">
        <f>R2573/P2573</f>
        <v>0.5</v>
      </c>
      <c r="T2573" s="1">
        <v>5</v>
      </c>
      <c r="U2573" s="1">
        <v>12.5</v>
      </c>
      <c r="V2573" s="1">
        <v>171.29411764705884</v>
      </c>
      <c r="W2573" s="1">
        <v>5</v>
      </c>
    </row>
    <row r="2574" spans="1:23" x14ac:dyDescent="0.2">
      <c r="A2574">
        <v>2022</v>
      </c>
      <c r="B2574" t="s">
        <v>23</v>
      </c>
      <c r="C2574" t="s">
        <v>271</v>
      </c>
      <c r="D2574">
        <v>102</v>
      </c>
      <c r="E2574">
        <v>1</v>
      </c>
      <c r="F2574">
        <v>2</v>
      </c>
      <c r="G2574" t="s">
        <v>126</v>
      </c>
      <c r="H2574" s="1">
        <v>8</v>
      </c>
      <c r="I2574" s="1">
        <v>59</v>
      </c>
      <c r="J2574" s="1">
        <v>63</v>
      </c>
      <c r="K2574" s="1">
        <f>J2574-I2574</f>
        <v>4</v>
      </c>
      <c r="L2574" s="1">
        <v>133</v>
      </c>
      <c r="M2574" s="1">
        <v>51</v>
      </c>
      <c r="N2574" s="1">
        <v>2</v>
      </c>
      <c r="O2574" s="1">
        <v>3.5</v>
      </c>
      <c r="P2574" s="1">
        <v>7</v>
      </c>
      <c r="Q2574" s="2">
        <v>0.51</v>
      </c>
      <c r="R2574" s="1">
        <v>7</v>
      </c>
      <c r="S2574" s="1">
        <f>R2574/P2574</f>
        <v>1</v>
      </c>
      <c r="T2574" s="1">
        <v>2</v>
      </c>
      <c r="U2574" s="1">
        <v>12.5</v>
      </c>
      <c r="V2574" s="1">
        <v>1866.6666666666667</v>
      </c>
      <c r="W2574" s="1">
        <v>2</v>
      </c>
    </row>
    <row r="2575" spans="1:23" x14ac:dyDescent="0.2">
      <c r="A2575">
        <v>2022</v>
      </c>
      <c r="B2575" t="s">
        <v>23</v>
      </c>
      <c r="C2575" t="s">
        <v>271</v>
      </c>
      <c r="D2575">
        <v>102</v>
      </c>
      <c r="E2575">
        <v>2</v>
      </c>
      <c r="F2575">
        <v>1</v>
      </c>
      <c r="G2575" t="s">
        <v>126</v>
      </c>
      <c r="H2575" s="1">
        <v>12</v>
      </c>
      <c r="I2575" s="1">
        <v>59</v>
      </c>
      <c r="J2575" s="1">
        <v>63</v>
      </c>
      <c r="K2575" s="1">
        <f>J2575-I2575</f>
        <v>4</v>
      </c>
      <c r="L2575" s="1">
        <v>148</v>
      </c>
      <c r="M2575" s="1">
        <v>83</v>
      </c>
      <c r="N2575" s="1">
        <v>3</v>
      </c>
      <c r="O2575" s="1">
        <v>3.5</v>
      </c>
      <c r="P2575" s="1">
        <v>10</v>
      </c>
      <c r="Q2575" s="2">
        <v>0.75149999999999995</v>
      </c>
      <c r="R2575" s="1">
        <v>10</v>
      </c>
      <c r="S2575" s="1">
        <f>R2575/P2575</f>
        <v>1</v>
      </c>
      <c r="T2575" s="1">
        <v>5</v>
      </c>
      <c r="U2575" s="1">
        <v>12.5</v>
      </c>
      <c r="V2575" s="1">
        <v>2750.5882352941176</v>
      </c>
      <c r="W2575" s="1">
        <v>6</v>
      </c>
    </row>
    <row r="2576" spans="1:23" x14ac:dyDescent="0.2">
      <c r="A2576">
        <v>2022</v>
      </c>
      <c r="B2576" t="s">
        <v>23</v>
      </c>
      <c r="C2576" t="s">
        <v>271</v>
      </c>
      <c r="D2576">
        <v>103</v>
      </c>
      <c r="E2576">
        <v>1</v>
      </c>
      <c r="F2576">
        <v>7</v>
      </c>
      <c r="G2576" t="s">
        <v>127</v>
      </c>
      <c r="H2576">
        <v>14</v>
      </c>
      <c r="I2576">
        <v>56</v>
      </c>
      <c r="J2576">
        <v>60</v>
      </c>
      <c r="K2576">
        <v>4</v>
      </c>
      <c r="L2576">
        <v>130</v>
      </c>
      <c r="M2576">
        <v>45</v>
      </c>
      <c r="N2576">
        <v>2</v>
      </c>
      <c r="O2576">
        <v>2.5</v>
      </c>
      <c r="P2576">
        <v>12</v>
      </c>
      <c r="Q2576">
        <v>0.6</v>
      </c>
      <c r="R2576">
        <v>12</v>
      </c>
      <c r="S2576">
        <v>1</v>
      </c>
      <c r="T2576">
        <v>3</v>
      </c>
      <c r="U2576">
        <v>10.4</v>
      </c>
      <c r="V2576">
        <v>2248.7843137254904</v>
      </c>
      <c r="W2576">
        <v>1</v>
      </c>
    </row>
    <row r="2577" spans="1:23" x14ac:dyDescent="0.2">
      <c r="A2577">
        <v>2022</v>
      </c>
      <c r="B2577" t="s">
        <v>23</v>
      </c>
      <c r="C2577" t="s">
        <v>271</v>
      </c>
      <c r="D2577">
        <v>103</v>
      </c>
      <c r="E2577">
        <v>2</v>
      </c>
      <c r="F2577">
        <v>8</v>
      </c>
      <c r="G2577" t="s">
        <v>127</v>
      </c>
      <c r="H2577">
        <v>15</v>
      </c>
      <c r="I2577">
        <v>50</v>
      </c>
      <c r="J2577">
        <v>51</v>
      </c>
      <c r="K2577">
        <v>1</v>
      </c>
      <c r="L2577">
        <v>138</v>
      </c>
      <c r="M2577">
        <v>38</v>
      </c>
      <c r="N2577">
        <v>2</v>
      </c>
      <c r="O2577">
        <v>2</v>
      </c>
      <c r="P2577">
        <v>11</v>
      </c>
      <c r="Q2577">
        <v>0.5</v>
      </c>
      <c r="R2577">
        <v>10</v>
      </c>
      <c r="S2577">
        <v>0.90909090909090906</v>
      </c>
      <c r="T2577">
        <v>3</v>
      </c>
      <c r="U2577">
        <v>8.6999999999999993</v>
      </c>
      <c r="V2577">
        <v>1909.5424836601305</v>
      </c>
      <c r="W2577">
        <v>2</v>
      </c>
    </row>
    <row r="2578" spans="1:23" x14ac:dyDescent="0.2">
      <c r="A2578">
        <v>2022</v>
      </c>
      <c r="B2578" t="s">
        <v>23</v>
      </c>
      <c r="C2578" t="s">
        <v>271</v>
      </c>
      <c r="D2578">
        <v>104</v>
      </c>
      <c r="E2578">
        <v>1</v>
      </c>
      <c r="F2578">
        <v>7</v>
      </c>
      <c r="G2578" t="s">
        <v>128</v>
      </c>
      <c r="H2578" s="1">
        <v>6</v>
      </c>
      <c r="I2578" s="1">
        <v>67</v>
      </c>
      <c r="J2578" s="1">
        <v>72</v>
      </c>
      <c r="K2578" s="1">
        <f>J2578-I2578</f>
        <v>5</v>
      </c>
      <c r="L2578" s="1">
        <v>112</v>
      </c>
      <c r="M2578" s="1">
        <v>46</v>
      </c>
      <c r="N2578" s="1">
        <v>2</v>
      </c>
      <c r="O2578" s="1">
        <v>4.5</v>
      </c>
      <c r="P2578" s="1">
        <v>5</v>
      </c>
      <c r="Q2578" s="2">
        <v>0.26200000000000001</v>
      </c>
      <c r="R2578" s="1">
        <v>4</v>
      </c>
      <c r="S2578" s="1">
        <f>R2578/P2578</f>
        <v>0.8</v>
      </c>
      <c r="T2578" s="1">
        <v>4</v>
      </c>
      <c r="U2578" s="1">
        <v>12.5</v>
      </c>
      <c r="V2578" s="1">
        <v>958.95424836601296</v>
      </c>
      <c r="W2578" s="1">
        <v>4</v>
      </c>
    </row>
    <row r="2579" spans="1:23" x14ac:dyDescent="0.2">
      <c r="A2579">
        <v>2022</v>
      </c>
      <c r="B2579" t="s">
        <v>23</v>
      </c>
      <c r="C2579" t="s">
        <v>271</v>
      </c>
      <c r="D2579">
        <v>104</v>
      </c>
      <c r="E2579">
        <v>2</v>
      </c>
      <c r="F2579">
        <v>14</v>
      </c>
      <c r="G2579" t="s">
        <v>128</v>
      </c>
      <c r="H2579">
        <v>15</v>
      </c>
      <c r="I2579">
        <v>56</v>
      </c>
      <c r="J2579">
        <v>60</v>
      </c>
      <c r="K2579">
        <v>4</v>
      </c>
      <c r="L2579">
        <v>175</v>
      </c>
      <c r="M2579">
        <v>86</v>
      </c>
      <c r="N2579">
        <v>1.5</v>
      </c>
      <c r="O2579">
        <v>2</v>
      </c>
      <c r="P2579">
        <v>14</v>
      </c>
      <c r="Q2579">
        <v>1</v>
      </c>
      <c r="R2579">
        <v>12</v>
      </c>
      <c r="S2579">
        <v>0.8571428571428571</v>
      </c>
      <c r="T2579">
        <v>3</v>
      </c>
      <c r="U2579">
        <v>12.5</v>
      </c>
      <c r="V2579">
        <v>3660.1307189542486</v>
      </c>
      <c r="W2579">
        <v>2</v>
      </c>
    </row>
    <row r="2580" spans="1:23" x14ac:dyDescent="0.2">
      <c r="A2580">
        <v>2022</v>
      </c>
      <c r="B2580" t="s">
        <v>23</v>
      </c>
      <c r="C2580" t="s">
        <v>271</v>
      </c>
      <c r="D2580">
        <v>105</v>
      </c>
      <c r="E2580">
        <v>1</v>
      </c>
      <c r="F2580">
        <v>10</v>
      </c>
      <c r="G2580" t="s">
        <v>129</v>
      </c>
      <c r="H2580" s="1">
        <v>4</v>
      </c>
      <c r="I2580" s="1">
        <v>64</v>
      </c>
      <c r="J2580" s="1">
        <v>68</v>
      </c>
      <c r="K2580" s="1">
        <f>J2580-I2580</f>
        <v>4</v>
      </c>
      <c r="L2580" s="1">
        <v>155</v>
      </c>
      <c r="M2580" s="1">
        <v>72</v>
      </c>
      <c r="N2580" s="1">
        <v>2</v>
      </c>
      <c r="O2580" s="1">
        <v>3.5</v>
      </c>
      <c r="P2580" s="1">
        <v>4</v>
      </c>
      <c r="Q2580" s="2">
        <v>0.34803999999999996</v>
      </c>
      <c r="R2580" s="1">
        <v>4</v>
      </c>
      <c r="S2580" s="1">
        <f>R2580/P2580</f>
        <v>1</v>
      </c>
      <c r="T2580" s="1">
        <v>5</v>
      </c>
      <c r="U2580" s="1">
        <v>12.5</v>
      </c>
      <c r="V2580" s="1">
        <v>1273.8718954248366</v>
      </c>
      <c r="W2580" s="1">
        <v>5</v>
      </c>
    </row>
    <row r="2581" spans="1:23" x14ac:dyDescent="0.2">
      <c r="A2581">
        <v>2022</v>
      </c>
      <c r="B2581" t="s">
        <v>23</v>
      </c>
      <c r="C2581" t="s">
        <v>271</v>
      </c>
      <c r="D2581">
        <v>105</v>
      </c>
      <c r="E2581">
        <v>2</v>
      </c>
      <c r="F2581">
        <v>7</v>
      </c>
      <c r="G2581" t="s">
        <v>129</v>
      </c>
      <c r="H2581" s="1">
        <v>13</v>
      </c>
      <c r="I2581" s="1">
        <v>66</v>
      </c>
      <c r="J2581" s="1">
        <v>70</v>
      </c>
      <c r="K2581" s="1">
        <f>J2581-I2581</f>
        <v>4</v>
      </c>
      <c r="L2581" s="1">
        <v>129</v>
      </c>
      <c r="M2581" s="1">
        <v>55</v>
      </c>
      <c r="N2581" s="1">
        <v>2</v>
      </c>
      <c r="O2581" s="1">
        <v>3</v>
      </c>
      <c r="P2581" s="1">
        <f>H2581</f>
        <v>13</v>
      </c>
      <c r="Q2581" s="2">
        <v>0.26043749999999999</v>
      </c>
      <c r="R2581" s="1">
        <v>10</v>
      </c>
      <c r="S2581" s="1">
        <f>R2581/P2581</f>
        <v>0.76923076923076927</v>
      </c>
      <c r="T2581" s="1">
        <v>5</v>
      </c>
      <c r="U2581" s="1">
        <v>12.5</v>
      </c>
      <c r="V2581" s="1">
        <v>953.23529411764707</v>
      </c>
      <c r="W2581" s="1">
        <v>5</v>
      </c>
    </row>
    <row r="2582" spans="1:23" x14ac:dyDescent="0.2">
      <c r="A2582">
        <v>2022</v>
      </c>
      <c r="B2582" t="s">
        <v>23</v>
      </c>
      <c r="C2582" t="s">
        <v>271</v>
      </c>
      <c r="D2582">
        <v>106</v>
      </c>
      <c r="E2582">
        <v>1</v>
      </c>
      <c r="F2582">
        <v>12</v>
      </c>
      <c r="G2582" t="s">
        <v>130</v>
      </c>
      <c r="H2582" s="1">
        <v>7</v>
      </c>
      <c r="I2582" s="1">
        <v>60</v>
      </c>
      <c r="J2582" s="1">
        <v>65</v>
      </c>
      <c r="K2582" s="1">
        <f>J2582-I2582</f>
        <v>5</v>
      </c>
      <c r="L2582" s="1">
        <v>173</v>
      </c>
      <c r="M2582" s="1">
        <v>90</v>
      </c>
      <c r="N2582" s="1">
        <v>2</v>
      </c>
      <c r="O2582" s="1">
        <v>2.5</v>
      </c>
      <c r="P2582" s="1">
        <v>7</v>
      </c>
      <c r="Q2582" s="2">
        <v>0.4708</v>
      </c>
      <c r="R2582" s="1">
        <v>6</v>
      </c>
      <c r="S2582" s="1">
        <f>R2582/P2582</f>
        <v>0.8571428571428571</v>
      </c>
      <c r="T2582" s="1">
        <v>4</v>
      </c>
      <c r="U2582" s="1">
        <v>12.5</v>
      </c>
      <c r="V2582" s="1">
        <v>1723.18954248366</v>
      </c>
      <c r="W2582" s="1">
        <v>4</v>
      </c>
    </row>
    <row r="2583" spans="1:23" x14ac:dyDescent="0.2">
      <c r="A2583">
        <v>2022</v>
      </c>
      <c r="B2583" t="s">
        <v>23</v>
      </c>
      <c r="C2583" t="s">
        <v>271</v>
      </c>
      <c r="D2583">
        <v>106</v>
      </c>
      <c r="E2583">
        <v>2</v>
      </c>
      <c r="F2583">
        <v>2</v>
      </c>
      <c r="G2583" t="s">
        <v>130</v>
      </c>
      <c r="H2583">
        <v>12</v>
      </c>
      <c r="I2583">
        <v>58</v>
      </c>
      <c r="J2583">
        <v>60</v>
      </c>
      <c r="K2583">
        <v>2</v>
      </c>
      <c r="L2583">
        <v>116</v>
      </c>
      <c r="M2583">
        <v>22</v>
      </c>
      <c r="N2583">
        <v>2</v>
      </c>
      <c r="O2583">
        <v>3</v>
      </c>
      <c r="P2583">
        <v>12</v>
      </c>
      <c r="Q2583">
        <v>0.3</v>
      </c>
      <c r="R2583">
        <v>10</v>
      </c>
      <c r="S2583">
        <v>0.83333333333333337</v>
      </c>
      <c r="T2583">
        <v>3</v>
      </c>
      <c r="U2583">
        <v>12.5</v>
      </c>
      <c r="V2583">
        <v>1098.0392156862745</v>
      </c>
      <c r="W2583">
        <v>1</v>
      </c>
    </row>
    <row r="2584" spans="1:23" x14ac:dyDescent="0.2">
      <c r="A2584">
        <v>2022</v>
      </c>
      <c r="B2584" t="s">
        <v>23</v>
      </c>
      <c r="C2584" t="s">
        <v>271</v>
      </c>
      <c r="D2584">
        <v>107</v>
      </c>
      <c r="E2584">
        <v>1</v>
      </c>
      <c r="F2584">
        <v>7</v>
      </c>
      <c r="G2584" t="s">
        <v>131</v>
      </c>
      <c r="H2584">
        <v>15</v>
      </c>
      <c r="I2584">
        <v>53</v>
      </c>
      <c r="J2584">
        <v>55</v>
      </c>
      <c r="K2584">
        <v>2</v>
      </c>
      <c r="L2584">
        <v>173</v>
      </c>
      <c r="M2584">
        <v>72</v>
      </c>
      <c r="N2584">
        <v>2</v>
      </c>
      <c r="O2584">
        <v>2.5</v>
      </c>
      <c r="P2584">
        <v>13</v>
      </c>
      <c r="Q2584">
        <v>1.3</v>
      </c>
      <c r="R2584">
        <v>14</v>
      </c>
      <c r="S2584">
        <v>1.0769230769230769</v>
      </c>
      <c r="T2584">
        <v>2</v>
      </c>
      <c r="U2584">
        <v>9.4</v>
      </c>
      <c r="V2584">
        <v>4926.7450980392159</v>
      </c>
      <c r="W2584">
        <v>2</v>
      </c>
    </row>
    <row r="2585" spans="1:23" x14ac:dyDescent="0.2">
      <c r="A2585">
        <v>2022</v>
      </c>
      <c r="B2585" t="s">
        <v>23</v>
      </c>
      <c r="C2585" t="s">
        <v>271</v>
      </c>
      <c r="D2585">
        <v>107</v>
      </c>
      <c r="E2585">
        <v>2</v>
      </c>
      <c r="F2585">
        <v>1</v>
      </c>
      <c r="G2585" t="s">
        <v>131</v>
      </c>
      <c r="H2585" s="1">
        <v>12</v>
      </c>
      <c r="I2585" s="1">
        <v>57</v>
      </c>
      <c r="J2585" s="1">
        <v>61</v>
      </c>
      <c r="K2585" s="1">
        <f>J2585-I2585</f>
        <v>4</v>
      </c>
      <c r="L2585" s="1">
        <v>161</v>
      </c>
      <c r="M2585" s="1">
        <v>87</v>
      </c>
      <c r="N2585" s="1">
        <v>2</v>
      </c>
      <c r="O2585" s="1">
        <v>2</v>
      </c>
      <c r="P2585" s="1">
        <v>11</v>
      </c>
      <c r="Q2585" s="2">
        <v>0.74895</v>
      </c>
      <c r="R2585" s="1">
        <v>11</v>
      </c>
      <c r="S2585" s="1">
        <f>R2585/P2585</f>
        <v>1</v>
      </c>
      <c r="T2585" s="1">
        <v>3</v>
      </c>
      <c r="U2585" s="1">
        <v>12.5</v>
      </c>
      <c r="V2585" s="1">
        <v>2741.2549019607845</v>
      </c>
      <c r="W2585" s="1">
        <v>4</v>
      </c>
    </row>
    <row r="2586" spans="1:23" x14ac:dyDescent="0.2">
      <c r="A2586">
        <v>2022</v>
      </c>
      <c r="B2586" t="s">
        <v>23</v>
      </c>
      <c r="C2586" t="s">
        <v>271</v>
      </c>
      <c r="D2586">
        <v>108</v>
      </c>
      <c r="E2586">
        <v>1</v>
      </c>
      <c r="F2586">
        <v>13</v>
      </c>
      <c r="G2586" t="s">
        <v>132</v>
      </c>
      <c r="H2586" s="1">
        <v>8</v>
      </c>
      <c r="I2586" s="1">
        <v>65</v>
      </c>
      <c r="J2586" s="1">
        <v>70</v>
      </c>
      <c r="K2586" s="1">
        <f>J2586-I2586</f>
        <v>5</v>
      </c>
      <c r="L2586" s="1">
        <v>158</v>
      </c>
      <c r="M2586" s="1">
        <v>83</v>
      </c>
      <c r="N2586" s="1">
        <v>2</v>
      </c>
      <c r="O2586" s="1">
        <v>3.5</v>
      </c>
      <c r="P2586" s="1">
        <v>8</v>
      </c>
      <c r="Q2586" s="2">
        <v>0.35239999999999999</v>
      </c>
      <c r="R2586" s="1">
        <v>6</v>
      </c>
      <c r="S2586" s="1">
        <f>R2586/P2586</f>
        <v>0.75</v>
      </c>
      <c r="T2586" s="1">
        <v>5</v>
      </c>
      <c r="U2586" s="1">
        <v>7.9</v>
      </c>
      <c r="V2586" s="1">
        <v>1357.6382745098038</v>
      </c>
      <c r="W2586" s="1">
        <v>6</v>
      </c>
    </row>
    <row r="2587" spans="1:23" x14ac:dyDescent="0.2">
      <c r="A2587">
        <v>2022</v>
      </c>
      <c r="B2587" t="s">
        <v>23</v>
      </c>
      <c r="C2587" t="s">
        <v>271</v>
      </c>
      <c r="D2587">
        <v>108</v>
      </c>
      <c r="E2587">
        <v>2</v>
      </c>
      <c r="F2587">
        <v>14</v>
      </c>
      <c r="G2587" t="s">
        <v>132</v>
      </c>
      <c r="H2587" s="1">
        <v>10</v>
      </c>
      <c r="I2587" s="1">
        <v>68</v>
      </c>
      <c r="J2587" s="1">
        <v>72</v>
      </c>
      <c r="K2587" s="1">
        <f>J2587-I2587</f>
        <v>4</v>
      </c>
      <c r="L2587" s="1">
        <v>165</v>
      </c>
      <c r="M2587" s="1">
        <v>77</v>
      </c>
      <c r="N2587" s="1">
        <v>2</v>
      </c>
      <c r="O2587" s="1">
        <v>3.5</v>
      </c>
      <c r="P2587" s="1">
        <v>6</v>
      </c>
      <c r="Q2587" s="2">
        <v>0.43992000000000003</v>
      </c>
      <c r="R2587" s="1">
        <v>4</v>
      </c>
      <c r="S2587" s="1">
        <f>R2587/P2587</f>
        <v>0.66666666666666663</v>
      </c>
      <c r="T2587" s="1">
        <v>5</v>
      </c>
      <c r="U2587" s="1">
        <v>12.5</v>
      </c>
      <c r="V2587" s="1">
        <v>1610.164705882353</v>
      </c>
      <c r="W2587" s="1">
        <v>4</v>
      </c>
    </row>
    <row r="2588" spans="1:23" x14ac:dyDescent="0.2">
      <c r="A2588">
        <v>2022</v>
      </c>
      <c r="B2588" t="s">
        <v>23</v>
      </c>
      <c r="C2588" t="s">
        <v>271</v>
      </c>
      <c r="D2588">
        <v>109</v>
      </c>
      <c r="E2588">
        <v>1</v>
      </c>
      <c r="F2588">
        <v>12</v>
      </c>
      <c r="G2588" t="s">
        <v>133</v>
      </c>
      <c r="H2588">
        <v>15</v>
      </c>
      <c r="I2588">
        <v>59</v>
      </c>
      <c r="J2588">
        <v>62</v>
      </c>
      <c r="K2588">
        <v>3</v>
      </c>
      <c r="L2588">
        <v>125</v>
      </c>
      <c r="M2588">
        <v>51</v>
      </c>
      <c r="N2588">
        <v>2</v>
      </c>
      <c r="O2588">
        <v>3</v>
      </c>
      <c r="P2588">
        <v>15</v>
      </c>
      <c r="Q2588">
        <v>0.8</v>
      </c>
      <c r="R2588">
        <v>15</v>
      </c>
      <c r="S2588">
        <v>1</v>
      </c>
      <c r="T2588">
        <v>3</v>
      </c>
      <c r="U2588">
        <v>12.5</v>
      </c>
      <c r="V2588">
        <v>2928.1045751633987</v>
      </c>
      <c r="W2588">
        <v>1</v>
      </c>
    </row>
    <row r="2589" spans="1:23" x14ac:dyDescent="0.2">
      <c r="A2589">
        <v>2022</v>
      </c>
      <c r="B2589" t="s">
        <v>23</v>
      </c>
      <c r="C2589" t="s">
        <v>271</v>
      </c>
      <c r="D2589">
        <v>109</v>
      </c>
      <c r="E2589">
        <v>2</v>
      </c>
      <c r="F2589">
        <v>1</v>
      </c>
      <c r="G2589" t="s">
        <v>133</v>
      </c>
      <c r="H2589">
        <v>11</v>
      </c>
      <c r="I2589">
        <v>60</v>
      </c>
      <c r="J2589">
        <v>62</v>
      </c>
      <c r="K2589">
        <v>2</v>
      </c>
      <c r="L2589">
        <v>196</v>
      </c>
      <c r="M2589">
        <v>66</v>
      </c>
      <c r="N2589">
        <v>2</v>
      </c>
      <c r="O2589">
        <v>2</v>
      </c>
      <c r="P2589">
        <v>11</v>
      </c>
      <c r="Q2589">
        <v>1.514</v>
      </c>
      <c r="R2589">
        <v>11</v>
      </c>
      <c r="S2589">
        <v>1</v>
      </c>
      <c r="T2589">
        <v>3</v>
      </c>
      <c r="U2589">
        <v>12.5</v>
      </c>
      <c r="V2589">
        <v>5541.4379084967322</v>
      </c>
      <c r="W2589">
        <v>2</v>
      </c>
    </row>
    <row r="2590" spans="1:23" x14ac:dyDescent="0.2">
      <c r="A2590">
        <v>2022</v>
      </c>
      <c r="B2590" t="s">
        <v>23</v>
      </c>
      <c r="C2590" t="s">
        <v>271</v>
      </c>
      <c r="D2590">
        <v>110</v>
      </c>
      <c r="E2590">
        <v>1</v>
      </c>
      <c r="F2590">
        <v>15</v>
      </c>
      <c r="G2590" t="s">
        <v>134</v>
      </c>
      <c r="H2590" s="1">
        <v>6</v>
      </c>
      <c r="I2590" s="1">
        <v>59</v>
      </c>
      <c r="J2590" s="1">
        <v>62</v>
      </c>
      <c r="K2590" s="1">
        <f>J2590-I2590</f>
        <v>3</v>
      </c>
      <c r="L2590" s="1">
        <v>133</v>
      </c>
      <c r="M2590" s="1">
        <v>72</v>
      </c>
      <c r="N2590" s="1">
        <v>2</v>
      </c>
      <c r="O2590" s="1">
        <v>3</v>
      </c>
      <c r="P2590" s="1">
        <v>3</v>
      </c>
      <c r="Q2590" s="2">
        <v>0.18060000000000001</v>
      </c>
      <c r="R2590" s="1">
        <v>2</v>
      </c>
      <c r="S2590" s="1">
        <f>R2590/P2590</f>
        <v>0.66666666666666663</v>
      </c>
      <c r="T2590" s="1">
        <v>3</v>
      </c>
      <c r="U2590" s="1">
        <v>12.5</v>
      </c>
      <c r="V2590" s="1">
        <v>661.01960784313724</v>
      </c>
      <c r="W2590" s="1">
        <v>3</v>
      </c>
    </row>
    <row r="2591" spans="1:23" x14ac:dyDescent="0.2">
      <c r="A2591">
        <v>2022</v>
      </c>
      <c r="B2591" t="s">
        <v>23</v>
      </c>
      <c r="C2591" t="s">
        <v>271</v>
      </c>
      <c r="D2591">
        <v>110</v>
      </c>
      <c r="E2591">
        <v>2</v>
      </c>
      <c r="F2591">
        <v>10</v>
      </c>
      <c r="G2591" t="s">
        <v>134</v>
      </c>
      <c r="H2591" s="1">
        <v>7</v>
      </c>
      <c r="I2591" s="1">
        <v>65</v>
      </c>
      <c r="J2591" s="1">
        <v>68</v>
      </c>
      <c r="K2591" s="1">
        <f>J2591-I2591</f>
        <v>3</v>
      </c>
      <c r="L2591" s="1">
        <v>152</v>
      </c>
      <c r="M2591" s="1">
        <v>68</v>
      </c>
      <c r="N2591" s="1">
        <v>2</v>
      </c>
      <c r="O2591" s="1">
        <v>3.5</v>
      </c>
      <c r="P2591" s="1">
        <v>7</v>
      </c>
      <c r="Q2591" s="2">
        <v>0.57629999999999992</v>
      </c>
      <c r="R2591" s="1">
        <v>5</v>
      </c>
      <c r="S2591" s="1">
        <f>R2591/P2591</f>
        <v>0.7142857142857143</v>
      </c>
      <c r="T2591" s="1">
        <v>5</v>
      </c>
      <c r="U2591" s="1">
        <v>12.5</v>
      </c>
      <c r="V2591" s="1">
        <v>2109.3333333333335</v>
      </c>
      <c r="W2591" s="1">
        <v>6</v>
      </c>
    </row>
    <row r="2592" spans="1:23" x14ac:dyDescent="0.2">
      <c r="A2592">
        <v>2022</v>
      </c>
      <c r="B2592" t="s">
        <v>23</v>
      </c>
      <c r="C2592" t="s">
        <v>271</v>
      </c>
      <c r="D2592">
        <v>111</v>
      </c>
      <c r="E2592">
        <v>1</v>
      </c>
      <c r="F2592">
        <v>5</v>
      </c>
      <c r="G2592" t="s">
        <v>135</v>
      </c>
      <c r="H2592" s="1">
        <v>6</v>
      </c>
      <c r="I2592" s="1">
        <v>57</v>
      </c>
      <c r="J2592" s="1">
        <v>61</v>
      </c>
      <c r="K2592" s="1">
        <f>J2592-I2592</f>
        <v>4</v>
      </c>
      <c r="L2592" s="1">
        <v>183</v>
      </c>
      <c r="M2592" s="1">
        <v>90</v>
      </c>
      <c r="N2592" s="1">
        <v>2</v>
      </c>
      <c r="O2592" s="1">
        <v>2</v>
      </c>
      <c r="P2592" s="1">
        <v>6</v>
      </c>
      <c r="Q2592" s="2">
        <v>1.113</v>
      </c>
      <c r="R2592" s="1">
        <v>6</v>
      </c>
      <c r="S2592" s="1">
        <f>R2592/P2592</f>
        <v>1</v>
      </c>
      <c r="T2592" s="1">
        <v>3</v>
      </c>
      <c r="U2592" s="1">
        <v>12.3</v>
      </c>
      <c r="V2592" s="1">
        <v>4083.0368627450985</v>
      </c>
      <c r="W2592" s="1">
        <v>4</v>
      </c>
    </row>
    <row r="2593" spans="1:23" x14ac:dyDescent="0.2">
      <c r="A2593">
        <v>2022</v>
      </c>
      <c r="B2593" t="s">
        <v>23</v>
      </c>
      <c r="C2593" t="s">
        <v>271</v>
      </c>
      <c r="D2593">
        <v>111</v>
      </c>
      <c r="E2593">
        <v>2</v>
      </c>
      <c r="F2593">
        <v>5</v>
      </c>
      <c r="G2593" t="s">
        <v>135</v>
      </c>
      <c r="H2593" s="1">
        <v>8</v>
      </c>
      <c r="I2593" s="1">
        <v>67</v>
      </c>
      <c r="J2593" s="1">
        <v>70</v>
      </c>
      <c r="K2593" s="1">
        <f>J2593-I2593</f>
        <v>3</v>
      </c>
      <c r="L2593" s="1">
        <v>104</v>
      </c>
      <c r="M2593" s="1">
        <v>25</v>
      </c>
      <c r="N2593" s="1">
        <v>2</v>
      </c>
      <c r="O2593" s="1">
        <v>4</v>
      </c>
      <c r="P2593" s="1">
        <v>4</v>
      </c>
      <c r="Q2593" s="2">
        <v>0.16400000000000001</v>
      </c>
      <c r="R2593" s="1">
        <v>3</v>
      </c>
      <c r="S2593" s="1">
        <f>R2593/P2593</f>
        <v>0.75</v>
      </c>
      <c r="T2593" s="1">
        <v>5</v>
      </c>
      <c r="U2593" s="1">
        <v>12.5</v>
      </c>
      <c r="V2593" s="1">
        <v>600.26143790849665</v>
      </c>
      <c r="W2593" s="1">
        <v>4</v>
      </c>
    </row>
    <row r="2594" spans="1:23" x14ac:dyDescent="0.2">
      <c r="A2594">
        <v>2022</v>
      </c>
      <c r="B2594" t="s">
        <v>23</v>
      </c>
      <c r="C2594" t="s">
        <v>271</v>
      </c>
      <c r="D2594">
        <v>112</v>
      </c>
      <c r="E2594">
        <v>1</v>
      </c>
      <c r="F2594">
        <v>3</v>
      </c>
      <c r="G2594" t="s">
        <v>136</v>
      </c>
      <c r="H2594" s="1">
        <v>6</v>
      </c>
      <c r="I2594" s="1">
        <v>69</v>
      </c>
      <c r="J2594" s="1">
        <v>74</v>
      </c>
      <c r="K2594" s="1">
        <f>J2594-I2594</f>
        <v>5</v>
      </c>
      <c r="L2594" s="1">
        <v>104</v>
      </c>
      <c r="M2594" s="1">
        <v>32</v>
      </c>
      <c r="N2594" s="1">
        <v>2.5</v>
      </c>
      <c r="O2594" s="1">
        <v>4.5</v>
      </c>
      <c r="P2594" s="1">
        <v>5</v>
      </c>
      <c r="Q2594" s="2">
        <v>0.126</v>
      </c>
      <c r="R2594" s="1">
        <v>5</v>
      </c>
      <c r="S2594" s="1">
        <f>R2594/P2594</f>
        <v>1</v>
      </c>
      <c r="T2594" s="1">
        <v>5</v>
      </c>
      <c r="U2594" s="1">
        <v>12.5</v>
      </c>
      <c r="V2594" s="1">
        <v>461.17647058823536</v>
      </c>
      <c r="W2594" s="1">
        <v>5</v>
      </c>
    </row>
    <row r="2595" spans="1:23" x14ac:dyDescent="0.2">
      <c r="A2595">
        <v>2022</v>
      </c>
      <c r="B2595" t="s">
        <v>23</v>
      </c>
      <c r="C2595" t="s">
        <v>271</v>
      </c>
      <c r="D2595">
        <v>112</v>
      </c>
      <c r="E2595">
        <v>2</v>
      </c>
      <c r="F2595">
        <v>1</v>
      </c>
      <c r="G2595" t="s">
        <v>136</v>
      </c>
      <c r="H2595">
        <v>16</v>
      </c>
      <c r="I2595">
        <v>54</v>
      </c>
      <c r="J2595">
        <v>58</v>
      </c>
      <c r="K2595">
        <v>4</v>
      </c>
      <c r="L2595">
        <v>150</v>
      </c>
      <c r="M2595">
        <v>61</v>
      </c>
      <c r="N2595">
        <v>2</v>
      </c>
      <c r="O2595">
        <v>2</v>
      </c>
      <c r="P2595">
        <v>15</v>
      </c>
      <c r="Q2595">
        <v>0.7</v>
      </c>
      <c r="R2595">
        <v>13</v>
      </c>
      <c r="S2595">
        <v>0.8666666666666667</v>
      </c>
      <c r="T2595">
        <v>3</v>
      </c>
      <c r="U2595">
        <v>10.6</v>
      </c>
      <c r="V2595">
        <v>2617.7254901960787</v>
      </c>
      <c r="W2595">
        <v>2</v>
      </c>
    </row>
    <row r="2596" spans="1:23" x14ac:dyDescent="0.2">
      <c r="A2596">
        <v>2022</v>
      </c>
      <c r="B2596" t="s">
        <v>23</v>
      </c>
      <c r="C2596" t="s">
        <v>271</v>
      </c>
      <c r="D2596">
        <v>113</v>
      </c>
      <c r="E2596">
        <v>1</v>
      </c>
      <c r="F2596">
        <v>5</v>
      </c>
      <c r="G2596" t="s">
        <v>137</v>
      </c>
      <c r="H2596">
        <v>15</v>
      </c>
      <c r="I2596">
        <v>55</v>
      </c>
      <c r="J2596">
        <v>58</v>
      </c>
      <c r="K2596">
        <v>3</v>
      </c>
      <c r="L2596">
        <v>172</v>
      </c>
      <c r="M2596">
        <v>45</v>
      </c>
      <c r="N2596">
        <v>2</v>
      </c>
      <c r="O2596">
        <v>2</v>
      </c>
      <c r="P2596">
        <v>11</v>
      </c>
      <c r="Q2596">
        <v>0.4</v>
      </c>
      <c r="R2596">
        <v>9</v>
      </c>
      <c r="S2596">
        <v>0.81818181818181823</v>
      </c>
      <c r="T2596">
        <v>2</v>
      </c>
      <c r="U2596">
        <v>10.5</v>
      </c>
      <c r="V2596">
        <v>1497.5163398692812</v>
      </c>
      <c r="W2596">
        <v>2</v>
      </c>
    </row>
    <row r="2597" spans="1:23" x14ac:dyDescent="0.2">
      <c r="A2597">
        <v>2022</v>
      </c>
      <c r="B2597" t="s">
        <v>23</v>
      </c>
      <c r="C2597" t="s">
        <v>271</v>
      </c>
      <c r="D2597">
        <v>113</v>
      </c>
      <c r="E2597">
        <v>2</v>
      </c>
      <c r="F2597">
        <v>10</v>
      </c>
      <c r="G2597" t="s">
        <v>137</v>
      </c>
      <c r="H2597">
        <v>1</v>
      </c>
      <c r="I2597">
        <v>58</v>
      </c>
      <c r="J2597">
        <v>63</v>
      </c>
      <c r="K2597">
        <v>5</v>
      </c>
      <c r="L2597">
        <v>119</v>
      </c>
      <c r="M2597">
        <v>48</v>
      </c>
      <c r="N2597">
        <v>4</v>
      </c>
      <c r="O2597">
        <v>5</v>
      </c>
      <c r="P2597">
        <v>1</v>
      </c>
      <c r="Q2597">
        <v>3.7999999999999999E-2</v>
      </c>
      <c r="R2597">
        <v>1</v>
      </c>
      <c r="S2597">
        <v>1</v>
      </c>
      <c r="T2597">
        <v>3</v>
      </c>
      <c r="U2597">
        <v>12.5</v>
      </c>
      <c r="V2597">
        <v>139.08496732026143</v>
      </c>
      <c r="W2597">
        <v>1</v>
      </c>
    </row>
    <row r="2598" spans="1:23" x14ac:dyDescent="0.2">
      <c r="A2598">
        <v>2022</v>
      </c>
      <c r="B2598" t="s">
        <v>23</v>
      </c>
      <c r="C2598" t="s">
        <v>271</v>
      </c>
      <c r="D2598">
        <v>114</v>
      </c>
      <c r="E2598">
        <v>1</v>
      </c>
      <c r="F2598">
        <v>4</v>
      </c>
      <c r="G2598" t="s">
        <v>138</v>
      </c>
      <c r="H2598" s="3">
        <v>10</v>
      </c>
      <c r="I2598" s="3">
        <v>67</v>
      </c>
      <c r="J2598" s="3">
        <v>70</v>
      </c>
      <c r="K2598" s="3">
        <f>J2598-I2598</f>
        <v>3</v>
      </c>
      <c r="L2598" s="3">
        <v>120</v>
      </c>
      <c r="M2598" s="3">
        <v>56</v>
      </c>
      <c r="N2598" s="3">
        <v>2</v>
      </c>
      <c r="O2598" s="3">
        <v>4.5</v>
      </c>
      <c r="P2598" s="3">
        <v>6</v>
      </c>
      <c r="Q2598" s="4">
        <v>0.08</v>
      </c>
      <c r="R2598" s="3">
        <v>5</v>
      </c>
      <c r="S2598" s="3">
        <f>R2598/P2598</f>
        <v>0.83333333333333337</v>
      </c>
      <c r="T2598" s="3">
        <v>5</v>
      </c>
      <c r="U2598" s="3">
        <v>12.5</v>
      </c>
      <c r="V2598" s="3">
        <v>292.81045751633991</v>
      </c>
      <c r="W2598" s="3">
        <v>4</v>
      </c>
    </row>
    <row r="2599" spans="1:23" x14ac:dyDescent="0.2">
      <c r="A2599">
        <v>2022</v>
      </c>
      <c r="B2599" t="s">
        <v>23</v>
      </c>
      <c r="C2599" t="s">
        <v>271</v>
      </c>
      <c r="D2599">
        <v>114</v>
      </c>
      <c r="E2599">
        <v>2</v>
      </c>
      <c r="F2599">
        <v>7</v>
      </c>
      <c r="G2599" t="s">
        <v>138</v>
      </c>
      <c r="H2599">
        <v>14</v>
      </c>
      <c r="I2599">
        <v>58</v>
      </c>
      <c r="J2599">
        <v>60</v>
      </c>
      <c r="K2599">
        <v>2</v>
      </c>
      <c r="L2599">
        <v>173</v>
      </c>
      <c r="M2599">
        <v>95</v>
      </c>
      <c r="N2599">
        <v>1.5</v>
      </c>
      <c r="O2599">
        <v>2</v>
      </c>
      <c r="P2599">
        <v>13</v>
      </c>
      <c r="Q2599">
        <v>1</v>
      </c>
      <c r="R2599">
        <v>13</v>
      </c>
      <c r="S2599">
        <v>1</v>
      </c>
      <c r="T2599">
        <v>2.5</v>
      </c>
      <c r="U2599">
        <v>12.5</v>
      </c>
      <c r="V2599">
        <v>3660.1307189542486</v>
      </c>
      <c r="W2599">
        <v>2</v>
      </c>
    </row>
    <row r="2600" spans="1:23" x14ac:dyDescent="0.2">
      <c r="A2600">
        <v>2022</v>
      </c>
      <c r="B2600" t="s">
        <v>23</v>
      </c>
      <c r="C2600" t="s">
        <v>271</v>
      </c>
      <c r="D2600">
        <v>115</v>
      </c>
      <c r="E2600">
        <v>1</v>
      </c>
      <c r="F2600">
        <v>4</v>
      </c>
      <c r="G2600" t="s">
        <v>139</v>
      </c>
      <c r="H2600" s="3">
        <v>4</v>
      </c>
      <c r="I2600" s="3">
        <v>68</v>
      </c>
      <c r="J2600" s="3">
        <v>71</v>
      </c>
      <c r="K2600" s="3">
        <f>J2600-I2600</f>
        <v>3</v>
      </c>
      <c r="L2600" s="3">
        <v>84</v>
      </c>
      <c r="M2600" s="3">
        <v>39</v>
      </c>
      <c r="N2600" s="3">
        <v>2</v>
      </c>
      <c r="O2600" s="3">
        <v>3</v>
      </c>
      <c r="P2600" s="3">
        <f>H2600</f>
        <v>4</v>
      </c>
      <c r="Q2600" s="4">
        <v>6.5250000000000002E-2</v>
      </c>
      <c r="R2600" s="3">
        <v>2</v>
      </c>
      <c r="S2600" s="3">
        <f>R2600/P2600</f>
        <v>0.5</v>
      </c>
      <c r="T2600" s="3">
        <v>4</v>
      </c>
      <c r="U2600" s="3">
        <v>12.5</v>
      </c>
      <c r="V2600" s="3">
        <v>238.82352941176475</v>
      </c>
      <c r="W2600" s="3">
        <v>3</v>
      </c>
    </row>
    <row r="2601" spans="1:23" x14ac:dyDescent="0.2">
      <c r="A2601">
        <v>2022</v>
      </c>
      <c r="B2601" t="s">
        <v>23</v>
      </c>
      <c r="C2601" t="s">
        <v>271</v>
      </c>
      <c r="D2601">
        <v>115</v>
      </c>
      <c r="E2601">
        <v>2</v>
      </c>
      <c r="F2601">
        <v>6</v>
      </c>
      <c r="G2601" t="s">
        <v>139</v>
      </c>
      <c r="H2601">
        <v>3</v>
      </c>
      <c r="I2601">
        <v>56</v>
      </c>
      <c r="J2601">
        <v>58</v>
      </c>
      <c r="K2601">
        <v>2</v>
      </c>
      <c r="L2601">
        <v>133</v>
      </c>
      <c r="M2601">
        <v>53</v>
      </c>
      <c r="N2601">
        <v>3</v>
      </c>
      <c r="O2601">
        <v>3</v>
      </c>
      <c r="P2601">
        <v>3</v>
      </c>
      <c r="Q2601">
        <v>0.215</v>
      </c>
      <c r="R2601">
        <v>3</v>
      </c>
      <c r="S2601">
        <v>1</v>
      </c>
      <c r="T2601">
        <v>4</v>
      </c>
      <c r="U2601">
        <v>12.5</v>
      </c>
      <c r="V2601">
        <v>786.92810457516339</v>
      </c>
      <c r="W2601">
        <v>2</v>
      </c>
    </row>
    <row r="2602" spans="1:23" x14ac:dyDescent="0.2">
      <c r="A2602">
        <v>2022</v>
      </c>
      <c r="B2602" t="s">
        <v>23</v>
      </c>
      <c r="C2602" t="s">
        <v>271</v>
      </c>
      <c r="D2602">
        <v>116</v>
      </c>
      <c r="E2602">
        <v>1</v>
      </c>
      <c r="F2602">
        <v>15</v>
      </c>
      <c r="G2602" t="s">
        <v>140</v>
      </c>
      <c r="H2602">
        <v>2</v>
      </c>
      <c r="I2602">
        <v>55</v>
      </c>
      <c r="J2602">
        <v>56</v>
      </c>
      <c r="K2602">
        <v>1</v>
      </c>
      <c r="L2602">
        <v>185</v>
      </c>
      <c r="M2602">
        <v>74</v>
      </c>
      <c r="N2602">
        <v>2</v>
      </c>
      <c r="O2602">
        <v>2</v>
      </c>
      <c r="P2602">
        <v>2</v>
      </c>
      <c r="Q2602">
        <v>0.14099999999999999</v>
      </c>
      <c r="R2602">
        <v>2</v>
      </c>
      <c r="S2602">
        <v>1</v>
      </c>
      <c r="T2602">
        <v>3</v>
      </c>
      <c r="U2602">
        <v>12.5</v>
      </c>
      <c r="V2602">
        <v>516.07843137254906</v>
      </c>
      <c r="W2602">
        <v>1</v>
      </c>
    </row>
    <row r="2603" spans="1:23" x14ac:dyDescent="0.2">
      <c r="A2603">
        <v>2022</v>
      </c>
      <c r="B2603" t="s">
        <v>23</v>
      </c>
      <c r="C2603" t="s">
        <v>271</v>
      </c>
      <c r="D2603">
        <v>116</v>
      </c>
      <c r="E2603">
        <v>2</v>
      </c>
      <c r="F2603">
        <v>12</v>
      </c>
      <c r="G2603" t="s">
        <v>140</v>
      </c>
      <c r="H2603">
        <v>4</v>
      </c>
      <c r="I2603">
        <v>59</v>
      </c>
      <c r="J2603">
        <v>62</v>
      </c>
      <c r="K2603">
        <v>3</v>
      </c>
      <c r="L2603">
        <v>137</v>
      </c>
      <c r="M2603">
        <v>55</v>
      </c>
      <c r="N2603">
        <v>1.5</v>
      </c>
      <c r="O2603">
        <v>3.5</v>
      </c>
      <c r="P2603">
        <v>4</v>
      </c>
      <c r="Q2603">
        <v>0.7</v>
      </c>
      <c r="R2603">
        <v>5</v>
      </c>
      <c r="S2603">
        <v>1.25</v>
      </c>
      <c r="T2603">
        <v>2.5</v>
      </c>
      <c r="U2603">
        <v>12.5</v>
      </c>
      <c r="V2603">
        <v>2562.0915032679736</v>
      </c>
      <c r="W2603">
        <v>1</v>
      </c>
    </row>
    <row r="2604" spans="1:23" x14ac:dyDescent="0.2">
      <c r="A2604">
        <v>2022</v>
      </c>
      <c r="B2604" t="s">
        <v>23</v>
      </c>
      <c r="C2604" t="s">
        <v>271</v>
      </c>
      <c r="D2604">
        <v>117</v>
      </c>
      <c r="E2604">
        <v>1</v>
      </c>
      <c r="F2604">
        <v>11</v>
      </c>
      <c r="G2604" t="s">
        <v>141</v>
      </c>
      <c r="H2604" s="1">
        <v>8</v>
      </c>
      <c r="I2604" s="1">
        <v>63</v>
      </c>
      <c r="J2604" s="1">
        <v>66</v>
      </c>
      <c r="K2604" s="1">
        <f>J2604-I2604</f>
        <v>3</v>
      </c>
      <c r="L2604" s="1">
        <v>88</v>
      </c>
      <c r="M2604" s="1">
        <v>36</v>
      </c>
      <c r="N2604" s="1">
        <v>3</v>
      </c>
      <c r="O2604" s="1">
        <v>4</v>
      </c>
      <c r="P2604" s="1">
        <v>7</v>
      </c>
      <c r="Q2604" s="2">
        <v>0.52500000000000002</v>
      </c>
      <c r="R2604" s="1">
        <v>5</v>
      </c>
      <c r="S2604" s="1">
        <f>R2604/P2604</f>
        <v>0.7142857142857143</v>
      </c>
      <c r="T2604" s="1">
        <v>4</v>
      </c>
      <c r="U2604" s="1">
        <v>12.5</v>
      </c>
      <c r="V2604" s="1">
        <v>1921.5686274509806</v>
      </c>
      <c r="W2604" s="1">
        <v>5</v>
      </c>
    </row>
    <row r="2605" spans="1:23" x14ac:dyDescent="0.2">
      <c r="A2605">
        <v>2022</v>
      </c>
      <c r="B2605" t="s">
        <v>23</v>
      </c>
      <c r="C2605" t="s">
        <v>271</v>
      </c>
      <c r="D2605">
        <v>117</v>
      </c>
      <c r="E2605">
        <v>2</v>
      </c>
      <c r="F2605">
        <v>12</v>
      </c>
      <c r="G2605" t="s">
        <v>141</v>
      </c>
      <c r="H2605">
        <v>5</v>
      </c>
      <c r="I2605">
        <v>55</v>
      </c>
      <c r="J2605">
        <v>58</v>
      </c>
      <c r="K2605">
        <v>3</v>
      </c>
      <c r="L2605">
        <v>151</v>
      </c>
      <c r="M2605">
        <v>56</v>
      </c>
      <c r="N2605">
        <v>3</v>
      </c>
      <c r="O2605">
        <v>3</v>
      </c>
      <c r="P2605">
        <v>5</v>
      </c>
      <c r="Q2605">
        <v>0.74099999999999999</v>
      </c>
      <c r="R2605">
        <v>5</v>
      </c>
      <c r="S2605">
        <v>1</v>
      </c>
      <c r="T2605">
        <v>2</v>
      </c>
      <c r="U2605">
        <v>12.5</v>
      </c>
      <c r="V2605">
        <v>2712.1568627450979</v>
      </c>
      <c r="W2605">
        <v>1</v>
      </c>
    </row>
    <row r="2606" spans="1:23" x14ac:dyDescent="0.2">
      <c r="A2606">
        <v>2022</v>
      </c>
      <c r="B2606" t="s">
        <v>23</v>
      </c>
      <c r="C2606" t="s">
        <v>271</v>
      </c>
      <c r="D2606">
        <v>118</v>
      </c>
      <c r="E2606">
        <v>1</v>
      </c>
      <c r="F2606">
        <v>13</v>
      </c>
      <c r="G2606" t="s">
        <v>142</v>
      </c>
      <c r="H2606" s="1">
        <v>4</v>
      </c>
      <c r="I2606" s="1">
        <v>63</v>
      </c>
      <c r="J2606" s="1">
        <v>66</v>
      </c>
      <c r="K2606" s="1">
        <f t="shared" ref="K2606:K2611" si="126">J2606-I2606</f>
        <v>3</v>
      </c>
      <c r="L2606" s="1">
        <v>103</v>
      </c>
      <c r="M2606" s="1">
        <v>33</v>
      </c>
      <c r="N2606" s="1">
        <v>2</v>
      </c>
      <c r="O2606" s="1">
        <v>4</v>
      </c>
      <c r="P2606" s="1">
        <v>4</v>
      </c>
      <c r="Q2606" s="2">
        <v>0.6</v>
      </c>
      <c r="R2606" s="1">
        <v>6</v>
      </c>
      <c r="S2606" s="1">
        <f t="shared" ref="S2606:S2611" si="127">R2606/P2606</f>
        <v>1.5</v>
      </c>
      <c r="T2606" s="1">
        <v>2.5</v>
      </c>
      <c r="U2606" s="1">
        <v>12.5</v>
      </c>
      <c r="V2606" s="1">
        <v>2196.0784313725489</v>
      </c>
      <c r="W2606" s="1">
        <v>2</v>
      </c>
    </row>
    <row r="2607" spans="1:23" x14ac:dyDescent="0.2">
      <c r="A2607">
        <v>2022</v>
      </c>
      <c r="B2607" t="s">
        <v>23</v>
      </c>
      <c r="C2607" t="s">
        <v>271</v>
      </c>
      <c r="D2607">
        <v>118</v>
      </c>
      <c r="E2607">
        <v>2</v>
      </c>
      <c r="F2607">
        <v>15</v>
      </c>
      <c r="G2607" t="s">
        <v>142</v>
      </c>
      <c r="H2607" s="1">
        <v>5</v>
      </c>
      <c r="I2607" s="1">
        <v>66</v>
      </c>
      <c r="J2607" s="1">
        <v>70</v>
      </c>
      <c r="K2607" s="1">
        <f t="shared" si="126"/>
        <v>4</v>
      </c>
      <c r="L2607" s="1">
        <v>155</v>
      </c>
      <c r="M2607" s="1">
        <v>83</v>
      </c>
      <c r="N2607" s="1">
        <v>2</v>
      </c>
      <c r="O2607" s="1">
        <v>2</v>
      </c>
      <c r="P2607" s="1">
        <v>4</v>
      </c>
      <c r="Q2607" s="2">
        <v>0.81509999999999994</v>
      </c>
      <c r="R2607" s="1">
        <v>4</v>
      </c>
      <c r="S2607" s="1">
        <f t="shared" si="127"/>
        <v>1</v>
      </c>
      <c r="T2607" s="1">
        <v>3</v>
      </c>
      <c r="U2607" s="1">
        <v>12.5</v>
      </c>
      <c r="V2607" s="1">
        <v>2983.372549019607</v>
      </c>
      <c r="W2607" s="1">
        <v>5</v>
      </c>
    </row>
    <row r="2608" spans="1:23" x14ac:dyDescent="0.2">
      <c r="A2608">
        <v>2022</v>
      </c>
      <c r="B2608" t="s">
        <v>23</v>
      </c>
      <c r="C2608" t="s">
        <v>271</v>
      </c>
      <c r="D2608">
        <v>119</v>
      </c>
      <c r="E2608">
        <v>1</v>
      </c>
      <c r="F2608">
        <v>10</v>
      </c>
      <c r="G2608" t="s">
        <v>143</v>
      </c>
      <c r="H2608" s="1">
        <v>13</v>
      </c>
      <c r="I2608" s="1">
        <v>56</v>
      </c>
      <c r="J2608" s="1">
        <v>61</v>
      </c>
      <c r="K2608" s="1">
        <f t="shared" si="126"/>
        <v>5</v>
      </c>
      <c r="L2608" s="1">
        <v>100</v>
      </c>
      <c r="M2608" s="1">
        <v>63</v>
      </c>
      <c r="N2608" s="1">
        <v>2</v>
      </c>
      <c r="O2608" s="1">
        <v>4</v>
      </c>
      <c r="P2608" s="1">
        <f>H2608</f>
        <v>13</v>
      </c>
      <c r="Q2608" s="2">
        <v>0.28649999999999998</v>
      </c>
      <c r="R2608" s="1">
        <v>10</v>
      </c>
      <c r="S2608" s="1">
        <f t="shared" si="127"/>
        <v>0.76923076923076927</v>
      </c>
      <c r="T2608" s="1">
        <v>5</v>
      </c>
      <c r="U2608" s="1">
        <v>12.5</v>
      </c>
      <c r="V2608" s="1">
        <v>1048.6274509803923</v>
      </c>
      <c r="W2608" s="1">
        <v>7</v>
      </c>
    </row>
    <row r="2609" spans="1:23" x14ac:dyDescent="0.2">
      <c r="A2609">
        <v>2022</v>
      </c>
      <c r="B2609" t="s">
        <v>23</v>
      </c>
      <c r="C2609" t="s">
        <v>271</v>
      </c>
      <c r="D2609">
        <v>119</v>
      </c>
      <c r="E2609">
        <v>2</v>
      </c>
      <c r="F2609">
        <v>9</v>
      </c>
      <c r="G2609" t="s">
        <v>143</v>
      </c>
      <c r="H2609" s="1">
        <v>9</v>
      </c>
      <c r="I2609" s="1">
        <v>63</v>
      </c>
      <c r="J2609" s="1">
        <v>65</v>
      </c>
      <c r="K2609" s="1">
        <f t="shared" si="126"/>
        <v>2</v>
      </c>
      <c r="L2609" s="1">
        <v>175</v>
      </c>
      <c r="M2609" s="1">
        <v>83</v>
      </c>
      <c r="N2609" s="1">
        <v>2</v>
      </c>
      <c r="O2609" s="1">
        <v>3</v>
      </c>
      <c r="P2609" s="1">
        <v>7</v>
      </c>
      <c r="Q2609" s="2">
        <v>0.1812</v>
      </c>
      <c r="R2609" s="1">
        <v>4</v>
      </c>
      <c r="S2609" s="1">
        <f t="shared" si="127"/>
        <v>0.5714285714285714</v>
      </c>
      <c r="T2609" s="1">
        <v>5</v>
      </c>
      <c r="U2609" s="1">
        <v>12.5</v>
      </c>
      <c r="V2609" s="1">
        <v>663.21568627450984</v>
      </c>
      <c r="W2609" s="1">
        <v>4</v>
      </c>
    </row>
    <row r="2610" spans="1:23" x14ac:dyDescent="0.2">
      <c r="A2610">
        <v>2022</v>
      </c>
      <c r="B2610" t="s">
        <v>23</v>
      </c>
      <c r="C2610" t="s">
        <v>271</v>
      </c>
      <c r="D2610">
        <v>120</v>
      </c>
      <c r="E2610">
        <v>1</v>
      </c>
      <c r="F2610">
        <v>13</v>
      </c>
      <c r="G2610" t="s">
        <v>144</v>
      </c>
      <c r="H2610" s="1">
        <v>8</v>
      </c>
      <c r="I2610" s="1">
        <v>61</v>
      </c>
      <c r="J2610" s="1">
        <v>66</v>
      </c>
      <c r="K2610" s="1">
        <f t="shared" si="126"/>
        <v>5</v>
      </c>
      <c r="L2610" s="1">
        <v>68</v>
      </c>
      <c r="M2610" s="1">
        <v>25</v>
      </c>
      <c r="N2610" s="1">
        <v>3.5</v>
      </c>
      <c r="O2610" s="1">
        <v>4.5</v>
      </c>
      <c r="P2610" s="1">
        <v>6</v>
      </c>
      <c r="Q2610" s="2">
        <v>0.17799999999999999</v>
      </c>
      <c r="R2610" s="1">
        <v>5</v>
      </c>
      <c r="S2610" s="1">
        <f t="shared" si="127"/>
        <v>0.83333333333333337</v>
      </c>
      <c r="T2610" s="1">
        <v>3.5</v>
      </c>
      <c r="U2610" s="1">
        <v>12.5</v>
      </c>
      <c r="V2610" s="1">
        <v>651.50326797385628</v>
      </c>
      <c r="W2610" s="1">
        <v>6</v>
      </c>
    </row>
    <row r="2611" spans="1:23" x14ac:dyDescent="0.2">
      <c r="A2611">
        <v>2022</v>
      </c>
      <c r="B2611" t="s">
        <v>23</v>
      </c>
      <c r="C2611" t="s">
        <v>271</v>
      </c>
      <c r="D2611">
        <v>120</v>
      </c>
      <c r="E2611">
        <v>2</v>
      </c>
      <c r="F2611">
        <v>11</v>
      </c>
      <c r="G2611" t="s">
        <v>144</v>
      </c>
      <c r="H2611" s="1">
        <v>3</v>
      </c>
      <c r="I2611" s="1">
        <v>61</v>
      </c>
      <c r="J2611" s="1">
        <v>64</v>
      </c>
      <c r="K2611" s="1">
        <f t="shared" si="126"/>
        <v>3</v>
      </c>
      <c r="L2611" s="1">
        <v>132</v>
      </c>
      <c r="M2611" s="1">
        <v>40</v>
      </c>
      <c r="N2611" s="1">
        <v>3</v>
      </c>
      <c r="O2611" s="1">
        <v>4</v>
      </c>
      <c r="P2611" s="1">
        <f>H2611</f>
        <v>3</v>
      </c>
      <c r="Q2611" s="2">
        <v>0.53549999999999998</v>
      </c>
      <c r="R2611" s="1">
        <v>3</v>
      </c>
      <c r="S2611" s="1">
        <f t="shared" si="127"/>
        <v>1</v>
      </c>
      <c r="T2611" s="1">
        <v>5</v>
      </c>
      <c r="U2611" s="1">
        <v>12.5</v>
      </c>
      <c r="V2611" s="1">
        <v>1960</v>
      </c>
      <c r="W2611" s="1">
        <v>6</v>
      </c>
    </row>
    <row r="2612" spans="1:23" x14ac:dyDescent="0.2">
      <c r="A2612">
        <v>2022</v>
      </c>
      <c r="B2612" t="s">
        <v>23</v>
      </c>
      <c r="C2612" t="s">
        <v>271</v>
      </c>
      <c r="D2612">
        <v>121</v>
      </c>
      <c r="E2612">
        <v>1</v>
      </c>
      <c r="F2612">
        <v>6</v>
      </c>
      <c r="G2612" t="s">
        <v>145</v>
      </c>
      <c r="H2612">
        <v>10</v>
      </c>
      <c r="I2612">
        <v>56</v>
      </c>
      <c r="J2612">
        <v>62</v>
      </c>
      <c r="K2612">
        <v>6</v>
      </c>
      <c r="L2612">
        <v>96</v>
      </c>
      <c r="M2612">
        <v>39</v>
      </c>
      <c r="N2612">
        <v>1</v>
      </c>
      <c r="O2612">
        <v>2</v>
      </c>
      <c r="P2612">
        <v>10</v>
      </c>
      <c r="Q2612">
        <v>1.41</v>
      </c>
      <c r="R2612">
        <v>10</v>
      </c>
      <c r="S2612">
        <v>1</v>
      </c>
      <c r="T2612">
        <v>3</v>
      </c>
      <c r="U2612">
        <v>12.5</v>
      </c>
      <c r="V2612">
        <v>5160.7843137254904</v>
      </c>
      <c r="W2612">
        <v>2</v>
      </c>
    </row>
    <row r="2613" spans="1:23" x14ac:dyDescent="0.2">
      <c r="A2613">
        <v>2022</v>
      </c>
      <c r="B2613" t="s">
        <v>23</v>
      </c>
      <c r="C2613" t="s">
        <v>271</v>
      </c>
      <c r="D2613">
        <v>121</v>
      </c>
      <c r="E2613">
        <v>2</v>
      </c>
      <c r="F2613">
        <v>6</v>
      </c>
      <c r="G2613" t="s">
        <v>145</v>
      </c>
      <c r="H2613">
        <v>6</v>
      </c>
      <c r="I2613">
        <v>59</v>
      </c>
      <c r="J2613">
        <v>63</v>
      </c>
      <c r="K2613">
        <v>4</v>
      </c>
      <c r="L2613">
        <v>130</v>
      </c>
      <c r="M2613">
        <v>55</v>
      </c>
      <c r="N2613">
        <v>1.5</v>
      </c>
      <c r="O2613">
        <v>2</v>
      </c>
      <c r="P2613">
        <v>6</v>
      </c>
      <c r="Q2613">
        <v>0.5</v>
      </c>
      <c r="R2613">
        <v>6</v>
      </c>
      <c r="S2613">
        <v>1</v>
      </c>
      <c r="T2613">
        <v>2.5</v>
      </c>
      <c r="U2613">
        <v>12.5</v>
      </c>
      <c r="V2613">
        <v>1830.0653594771243</v>
      </c>
      <c r="W2613">
        <v>1</v>
      </c>
    </row>
    <row r="2614" spans="1:23" x14ac:dyDescent="0.2">
      <c r="A2614">
        <v>2022</v>
      </c>
      <c r="B2614" t="s">
        <v>23</v>
      </c>
      <c r="C2614" t="s">
        <v>271</v>
      </c>
      <c r="D2614">
        <v>122</v>
      </c>
      <c r="E2614">
        <v>1</v>
      </c>
      <c r="F2614">
        <v>3</v>
      </c>
      <c r="G2614" t="s">
        <v>146</v>
      </c>
      <c r="H2614">
        <v>11</v>
      </c>
      <c r="I2614">
        <v>51</v>
      </c>
      <c r="J2614">
        <v>52</v>
      </c>
      <c r="K2614">
        <v>1</v>
      </c>
      <c r="L2614">
        <v>194</v>
      </c>
      <c r="M2614">
        <v>76</v>
      </c>
      <c r="N2614">
        <v>2</v>
      </c>
      <c r="O2614">
        <v>2.5</v>
      </c>
      <c r="P2614">
        <v>11</v>
      </c>
      <c r="Q2614">
        <v>0.7</v>
      </c>
      <c r="R2614">
        <v>12</v>
      </c>
      <c r="S2614">
        <v>1.0909090909090908</v>
      </c>
      <c r="T2614">
        <v>3</v>
      </c>
      <c r="U2614">
        <v>9.4</v>
      </c>
      <c r="V2614">
        <v>2652.8627450980393</v>
      </c>
      <c r="W2614">
        <v>2</v>
      </c>
    </row>
    <row r="2615" spans="1:23" x14ac:dyDescent="0.2">
      <c r="A2615">
        <v>2022</v>
      </c>
      <c r="B2615" t="s">
        <v>23</v>
      </c>
      <c r="C2615" t="s">
        <v>271</v>
      </c>
      <c r="D2615">
        <v>122</v>
      </c>
      <c r="E2615">
        <v>2</v>
      </c>
      <c r="F2615">
        <v>2</v>
      </c>
      <c r="G2615" t="s">
        <v>146</v>
      </c>
      <c r="H2615" s="1">
        <v>2</v>
      </c>
      <c r="I2615" s="1">
        <v>59</v>
      </c>
      <c r="J2615" s="1">
        <v>63</v>
      </c>
      <c r="K2615" s="1">
        <f>J2615-I2615</f>
        <v>4</v>
      </c>
      <c r="L2615" s="1">
        <v>103</v>
      </c>
      <c r="M2615" s="1">
        <v>41</v>
      </c>
      <c r="N2615" s="1">
        <v>1.5</v>
      </c>
      <c r="O2615" s="1">
        <v>3.5</v>
      </c>
      <c r="P2615" s="1">
        <v>2</v>
      </c>
      <c r="Q2615" s="2">
        <v>6.4000000000000001E-2</v>
      </c>
      <c r="R2615" s="1">
        <v>2</v>
      </c>
      <c r="S2615" s="1">
        <f>R2615/P2615</f>
        <v>1</v>
      </c>
      <c r="T2615" s="1">
        <v>5</v>
      </c>
      <c r="U2615" s="1">
        <v>12.5</v>
      </c>
      <c r="V2615" s="1">
        <v>234.24836601307192</v>
      </c>
      <c r="W2615" s="1">
        <v>5</v>
      </c>
    </row>
    <row r="2616" spans="1:23" x14ac:dyDescent="0.2">
      <c r="A2616">
        <v>2022</v>
      </c>
      <c r="B2616" t="s">
        <v>23</v>
      </c>
      <c r="C2616" t="s">
        <v>271</v>
      </c>
      <c r="D2616">
        <v>123</v>
      </c>
      <c r="E2616">
        <v>1</v>
      </c>
      <c r="F2616">
        <v>1</v>
      </c>
      <c r="G2616" t="s">
        <v>147</v>
      </c>
      <c r="H2616">
        <v>13</v>
      </c>
      <c r="I2616">
        <v>56</v>
      </c>
      <c r="J2616">
        <v>60</v>
      </c>
      <c r="K2616">
        <v>4</v>
      </c>
      <c r="L2616">
        <v>110</v>
      </c>
      <c r="M2616">
        <v>51</v>
      </c>
      <c r="N2616">
        <v>1.5</v>
      </c>
      <c r="O2616">
        <v>3</v>
      </c>
      <c r="P2616">
        <v>12</v>
      </c>
      <c r="Q2616">
        <v>0.6</v>
      </c>
      <c r="R2616">
        <v>12</v>
      </c>
      <c r="S2616">
        <v>1</v>
      </c>
      <c r="T2616">
        <v>2.5</v>
      </c>
      <c r="U2616">
        <v>12.5</v>
      </c>
      <c r="V2616">
        <v>2196.0784313725489</v>
      </c>
      <c r="W2616">
        <v>2</v>
      </c>
    </row>
    <row r="2617" spans="1:23" x14ac:dyDescent="0.2">
      <c r="A2617">
        <v>2022</v>
      </c>
      <c r="B2617" t="s">
        <v>23</v>
      </c>
      <c r="C2617" t="s">
        <v>271</v>
      </c>
      <c r="D2617">
        <v>123</v>
      </c>
      <c r="E2617">
        <v>2</v>
      </c>
      <c r="F2617">
        <v>6</v>
      </c>
      <c r="G2617" t="s">
        <v>147</v>
      </c>
      <c r="H2617" s="1">
        <v>11</v>
      </c>
      <c r="I2617" s="1">
        <v>71</v>
      </c>
      <c r="J2617" s="1">
        <v>75</v>
      </c>
      <c r="K2617" s="1">
        <f>J2617-I2617</f>
        <v>4</v>
      </c>
      <c r="L2617" s="1">
        <v>205</v>
      </c>
      <c r="M2617" s="1">
        <v>95</v>
      </c>
      <c r="N2617" s="1">
        <v>2</v>
      </c>
      <c r="O2617" s="1">
        <v>2</v>
      </c>
      <c r="P2617" s="1">
        <v>11</v>
      </c>
      <c r="Q2617" s="2">
        <v>1.1375999999999999</v>
      </c>
      <c r="R2617" s="1">
        <v>10</v>
      </c>
      <c r="S2617" s="1">
        <f>R2617/P2617</f>
        <v>0.90909090909090906</v>
      </c>
      <c r="T2617" s="1">
        <v>3</v>
      </c>
      <c r="U2617" s="1">
        <v>8</v>
      </c>
      <c r="V2617" s="1">
        <v>4377.9011764705892</v>
      </c>
      <c r="W2617" s="1">
        <v>4</v>
      </c>
    </row>
    <row r="2618" spans="1:23" x14ac:dyDescent="0.2">
      <c r="A2618">
        <v>2022</v>
      </c>
      <c r="B2618" t="s">
        <v>23</v>
      </c>
      <c r="C2618" t="s">
        <v>271</v>
      </c>
      <c r="D2618">
        <v>124</v>
      </c>
      <c r="E2618">
        <v>1</v>
      </c>
      <c r="F2618">
        <v>4</v>
      </c>
      <c r="G2618" t="s">
        <v>148</v>
      </c>
      <c r="H2618" s="1">
        <v>5</v>
      </c>
      <c r="I2618" s="1">
        <v>67</v>
      </c>
      <c r="J2618" s="1">
        <v>69</v>
      </c>
      <c r="K2618" s="1">
        <f>J2618-I2618</f>
        <v>2</v>
      </c>
      <c r="L2618" s="1">
        <v>117</v>
      </c>
      <c r="M2618" s="1">
        <v>45</v>
      </c>
      <c r="N2618" s="1">
        <v>2</v>
      </c>
      <c r="O2618" s="1">
        <v>4.5</v>
      </c>
      <c r="P2618" s="1">
        <v>4</v>
      </c>
      <c r="Q2618" s="2">
        <v>0.26120000000000004</v>
      </c>
      <c r="R2618" s="1">
        <v>4</v>
      </c>
      <c r="S2618" s="1">
        <f>R2618/P2618</f>
        <v>1</v>
      </c>
      <c r="T2618" s="1">
        <v>3.5</v>
      </c>
      <c r="U2618" s="1">
        <v>12.5</v>
      </c>
      <c r="V2618" s="1">
        <v>956.0261437908498</v>
      </c>
      <c r="W2618" s="1">
        <v>4</v>
      </c>
    </row>
    <row r="2619" spans="1:23" x14ac:dyDescent="0.2">
      <c r="A2619">
        <v>2022</v>
      </c>
      <c r="B2619" t="s">
        <v>23</v>
      </c>
      <c r="C2619" t="s">
        <v>271</v>
      </c>
      <c r="D2619">
        <v>124</v>
      </c>
      <c r="E2619">
        <v>2</v>
      </c>
      <c r="F2619">
        <v>6</v>
      </c>
      <c r="G2619" t="s">
        <v>148</v>
      </c>
      <c r="H2619" s="1">
        <v>8</v>
      </c>
      <c r="I2619" s="1">
        <v>61</v>
      </c>
      <c r="J2619" s="1">
        <v>65</v>
      </c>
      <c r="K2619" s="1">
        <f>J2619-I2619</f>
        <v>4</v>
      </c>
      <c r="L2619" s="1">
        <v>139</v>
      </c>
      <c r="M2619" s="1">
        <v>41</v>
      </c>
      <c r="N2619" s="1">
        <v>3</v>
      </c>
      <c r="O2619" s="1">
        <v>4.5</v>
      </c>
      <c r="P2619" s="1">
        <v>5</v>
      </c>
      <c r="Q2619" s="2">
        <v>7.9400000000000012E-2</v>
      </c>
      <c r="R2619" s="1">
        <v>3</v>
      </c>
      <c r="S2619" s="1">
        <f>R2619/P2619</f>
        <v>0.6</v>
      </c>
      <c r="T2619" s="1">
        <v>5</v>
      </c>
      <c r="U2619" s="1">
        <v>12.5</v>
      </c>
      <c r="V2619" s="1">
        <v>290.61437908496731</v>
      </c>
      <c r="W2619" s="1">
        <v>5</v>
      </c>
    </row>
    <row r="2620" spans="1:23" x14ac:dyDescent="0.2">
      <c r="A2620">
        <v>2022</v>
      </c>
      <c r="B2620" t="s">
        <v>23</v>
      </c>
      <c r="C2620" t="s">
        <v>271</v>
      </c>
      <c r="D2620">
        <v>125</v>
      </c>
      <c r="E2620">
        <v>1</v>
      </c>
      <c r="F2620">
        <v>11</v>
      </c>
      <c r="G2620" t="s">
        <v>149</v>
      </c>
      <c r="H2620">
        <v>14</v>
      </c>
      <c r="I2620">
        <v>50</v>
      </c>
      <c r="J2620">
        <v>52</v>
      </c>
      <c r="K2620">
        <v>2</v>
      </c>
      <c r="L2620">
        <v>168</v>
      </c>
      <c r="M2620">
        <v>75</v>
      </c>
      <c r="N2620">
        <v>2</v>
      </c>
      <c r="O2620">
        <v>2</v>
      </c>
      <c r="P2620">
        <v>10</v>
      </c>
      <c r="Q2620">
        <v>0.6</v>
      </c>
      <c r="R2620">
        <v>7</v>
      </c>
      <c r="S2620">
        <v>0.7</v>
      </c>
      <c r="T2620">
        <v>3</v>
      </c>
      <c r="U2620">
        <v>9.4</v>
      </c>
      <c r="V2620">
        <v>2273.8823529411761</v>
      </c>
      <c r="W2620">
        <v>2</v>
      </c>
    </row>
    <row r="2621" spans="1:23" x14ac:dyDescent="0.2">
      <c r="A2621">
        <v>2022</v>
      </c>
      <c r="B2621" t="s">
        <v>23</v>
      </c>
      <c r="C2621" t="s">
        <v>271</v>
      </c>
      <c r="D2621">
        <v>125</v>
      </c>
      <c r="E2621">
        <v>2</v>
      </c>
      <c r="F2621">
        <v>13</v>
      </c>
      <c r="G2621" t="s">
        <v>149</v>
      </c>
      <c r="H2621">
        <v>13</v>
      </c>
      <c r="I2621">
        <v>60</v>
      </c>
      <c r="J2621">
        <v>62</v>
      </c>
      <c r="K2621">
        <v>2</v>
      </c>
      <c r="L2621">
        <v>160</v>
      </c>
      <c r="M2621">
        <v>68</v>
      </c>
      <c r="N2621">
        <v>2.5</v>
      </c>
      <c r="O2621">
        <v>3</v>
      </c>
      <c r="P2621">
        <v>13</v>
      </c>
      <c r="Q2621">
        <v>1.4</v>
      </c>
      <c r="R2621">
        <v>14</v>
      </c>
      <c r="S2621">
        <v>1.0769230769230769</v>
      </c>
      <c r="T2621">
        <v>3</v>
      </c>
      <c r="U2621">
        <v>12.5</v>
      </c>
      <c r="V2621">
        <v>5124.1830065359472</v>
      </c>
      <c r="W2621">
        <v>2</v>
      </c>
    </row>
    <row r="2622" spans="1:23" x14ac:dyDescent="0.2">
      <c r="A2622">
        <v>2022</v>
      </c>
      <c r="B2622" t="s">
        <v>23</v>
      </c>
      <c r="C2622" t="s">
        <v>271</v>
      </c>
      <c r="D2622">
        <v>126</v>
      </c>
      <c r="E2622">
        <v>1</v>
      </c>
      <c r="F2622">
        <v>9</v>
      </c>
      <c r="G2622" t="s">
        <v>150</v>
      </c>
      <c r="H2622" s="1">
        <v>7</v>
      </c>
      <c r="I2622" s="1">
        <v>62</v>
      </c>
      <c r="J2622" s="1">
        <v>67</v>
      </c>
      <c r="K2622" s="1">
        <f>J2622-I2622</f>
        <v>5</v>
      </c>
      <c r="L2622" s="1">
        <v>123</v>
      </c>
      <c r="M2622" s="1">
        <v>68</v>
      </c>
      <c r="N2622" s="1">
        <v>2</v>
      </c>
      <c r="O2622" s="1">
        <v>4</v>
      </c>
      <c r="P2622" s="1">
        <v>4</v>
      </c>
      <c r="Q2622" s="2">
        <v>0.3362</v>
      </c>
      <c r="R2622" s="1">
        <v>6</v>
      </c>
      <c r="S2622" s="1">
        <f>R2622/P2622</f>
        <v>1.5</v>
      </c>
      <c r="T2622" s="1">
        <v>5</v>
      </c>
      <c r="U2622" s="1">
        <v>12.5</v>
      </c>
      <c r="V2622" s="1">
        <v>1230.5359477124182</v>
      </c>
      <c r="W2622" s="1">
        <v>4</v>
      </c>
    </row>
    <row r="2623" spans="1:23" x14ac:dyDescent="0.2">
      <c r="A2623">
        <v>2022</v>
      </c>
      <c r="B2623" t="s">
        <v>23</v>
      </c>
      <c r="C2623" t="s">
        <v>271</v>
      </c>
      <c r="D2623">
        <v>126</v>
      </c>
      <c r="E2623">
        <v>2</v>
      </c>
      <c r="F2623">
        <v>5</v>
      </c>
      <c r="G2623" t="s">
        <v>150</v>
      </c>
      <c r="H2623" s="1">
        <v>10</v>
      </c>
      <c r="I2623" s="1">
        <v>66</v>
      </c>
      <c r="J2623" s="1">
        <v>71</v>
      </c>
      <c r="K2623" s="1">
        <f>J2623-I2623</f>
        <v>5</v>
      </c>
      <c r="L2623" s="1">
        <v>123</v>
      </c>
      <c r="M2623" s="1">
        <v>41</v>
      </c>
      <c r="N2623" s="1">
        <v>2</v>
      </c>
      <c r="O2623" s="1">
        <v>4</v>
      </c>
      <c r="P2623" s="1">
        <v>8</v>
      </c>
      <c r="Q2623" s="2">
        <v>0.44400000000000001</v>
      </c>
      <c r="R2623" s="1">
        <v>8</v>
      </c>
      <c r="S2623" s="1">
        <f>R2623/P2623</f>
        <v>1</v>
      </c>
      <c r="T2623" s="1">
        <v>3.5</v>
      </c>
      <c r="U2623" s="1">
        <v>12.5</v>
      </c>
      <c r="V2623" s="1">
        <v>1625.0980392156862</v>
      </c>
      <c r="W2623" s="1">
        <v>3</v>
      </c>
    </row>
    <row r="2624" spans="1:23" x14ac:dyDescent="0.2">
      <c r="A2624">
        <v>2022</v>
      </c>
      <c r="B2624" t="s">
        <v>23</v>
      </c>
      <c r="C2624" t="s">
        <v>271</v>
      </c>
      <c r="D2624">
        <v>127</v>
      </c>
      <c r="E2624">
        <v>1</v>
      </c>
      <c r="F2624">
        <v>14</v>
      </c>
      <c r="G2624" t="s">
        <v>151</v>
      </c>
      <c r="H2624" s="1">
        <v>8</v>
      </c>
      <c r="I2624" s="1">
        <v>66</v>
      </c>
      <c r="J2624" s="1">
        <v>70</v>
      </c>
      <c r="K2624" s="1">
        <f>J2624-I2624</f>
        <v>4</v>
      </c>
      <c r="L2624" s="1">
        <v>79</v>
      </c>
      <c r="M2624" s="1">
        <v>26</v>
      </c>
      <c r="N2624" s="1">
        <v>2</v>
      </c>
      <c r="O2624" s="1">
        <v>5</v>
      </c>
      <c r="P2624" s="1">
        <v>1</v>
      </c>
      <c r="Q2624" s="2">
        <v>2.1000000000000001E-2</v>
      </c>
      <c r="R2624" s="1">
        <v>1</v>
      </c>
      <c r="S2624" s="1">
        <f>R2624/P2624</f>
        <v>1</v>
      </c>
      <c r="T2624" s="1">
        <v>5</v>
      </c>
      <c r="U2624" s="1">
        <v>12.5</v>
      </c>
      <c r="V2624" s="1">
        <v>76.862745098039213</v>
      </c>
      <c r="W2624" s="1">
        <v>5</v>
      </c>
    </row>
    <row r="2625" spans="1:23" x14ac:dyDescent="0.2">
      <c r="A2625">
        <v>2022</v>
      </c>
      <c r="B2625" t="s">
        <v>23</v>
      </c>
      <c r="C2625" t="s">
        <v>271</v>
      </c>
      <c r="D2625">
        <v>127</v>
      </c>
      <c r="E2625">
        <v>2</v>
      </c>
      <c r="F2625">
        <v>3</v>
      </c>
      <c r="G2625" t="s">
        <v>151</v>
      </c>
      <c r="H2625" s="1">
        <v>10</v>
      </c>
      <c r="I2625" s="1">
        <v>58</v>
      </c>
      <c r="J2625" s="1">
        <v>63</v>
      </c>
      <c r="K2625" s="1">
        <f>J2625-I2625</f>
        <v>5</v>
      </c>
      <c r="L2625" s="1">
        <v>115</v>
      </c>
      <c r="M2625" s="1">
        <v>57</v>
      </c>
      <c r="N2625" s="1">
        <v>2</v>
      </c>
      <c r="O2625" s="1">
        <v>4.5</v>
      </c>
      <c r="P2625" s="1">
        <v>6</v>
      </c>
      <c r="Q2625" s="2">
        <v>0.19</v>
      </c>
      <c r="R2625" s="1">
        <v>3</v>
      </c>
      <c r="S2625" s="1">
        <f>R2625/P2625</f>
        <v>0.5</v>
      </c>
      <c r="T2625" s="1">
        <v>3</v>
      </c>
      <c r="U2625" s="1">
        <v>12.5</v>
      </c>
      <c r="V2625" s="1">
        <v>695.42483660130722</v>
      </c>
      <c r="W2625" s="1">
        <v>5</v>
      </c>
    </row>
    <row r="2626" spans="1:23" x14ac:dyDescent="0.2">
      <c r="A2626">
        <v>2022</v>
      </c>
      <c r="B2626" t="s">
        <v>23</v>
      </c>
      <c r="C2626" t="s">
        <v>271</v>
      </c>
      <c r="D2626">
        <v>128</v>
      </c>
      <c r="E2626">
        <v>1</v>
      </c>
      <c r="F2626">
        <v>10</v>
      </c>
      <c r="G2626" t="s">
        <v>152</v>
      </c>
      <c r="H2626">
        <v>2</v>
      </c>
      <c r="I2626">
        <v>55</v>
      </c>
      <c r="J2626">
        <v>56</v>
      </c>
      <c r="K2626">
        <v>1</v>
      </c>
      <c r="L2626">
        <v>160</v>
      </c>
      <c r="M2626">
        <v>60</v>
      </c>
      <c r="N2626">
        <v>2</v>
      </c>
      <c r="O2626">
        <v>3</v>
      </c>
      <c r="P2626">
        <v>2</v>
      </c>
      <c r="Q2626">
        <v>0.15</v>
      </c>
      <c r="R2626">
        <v>2</v>
      </c>
      <c r="S2626">
        <v>1</v>
      </c>
      <c r="T2626">
        <v>2</v>
      </c>
      <c r="U2626">
        <v>12.5</v>
      </c>
      <c r="V2626">
        <v>549.01960784313724</v>
      </c>
      <c r="W2626">
        <v>1</v>
      </c>
    </row>
    <row r="2627" spans="1:23" x14ac:dyDescent="0.2">
      <c r="A2627">
        <v>2022</v>
      </c>
      <c r="B2627" t="s">
        <v>23</v>
      </c>
      <c r="C2627" t="s">
        <v>271</v>
      </c>
      <c r="D2627">
        <v>128</v>
      </c>
      <c r="E2627">
        <v>2</v>
      </c>
      <c r="F2627">
        <v>15</v>
      </c>
      <c r="G2627" t="s">
        <v>152</v>
      </c>
      <c r="H2627" s="1">
        <v>14</v>
      </c>
      <c r="I2627" s="1">
        <v>68</v>
      </c>
      <c r="J2627" s="1">
        <v>70</v>
      </c>
      <c r="K2627" s="1">
        <f>J2627-I2627</f>
        <v>2</v>
      </c>
      <c r="L2627" s="1">
        <v>127</v>
      </c>
      <c r="M2627" s="1">
        <v>70</v>
      </c>
      <c r="N2627" s="1">
        <v>2</v>
      </c>
      <c r="O2627" s="1">
        <v>3.5</v>
      </c>
      <c r="P2627" s="1">
        <f>H2627</f>
        <v>14</v>
      </c>
      <c r="Q2627" s="2">
        <v>0.47849999999999998</v>
      </c>
      <c r="R2627" s="1">
        <v>10</v>
      </c>
      <c r="S2627" s="1">
        <f>R2627/P2627</f>
        <v>0.7142857142857143</v>
      </c>
      <c r="T2627" s="1">
        <v>5</v>
      </c>
      <c r="U2627" s="1">
        <v>12.5</v>
      </c>
      <c r="V2627" s="1">
        <v>1751.3725490196077</v>
      </c>
      <c r="W2627" s="1">
        <v>4</v>
      </c>
    </row>
    <row r="2628" spans="1:23" x14ac:dyDescent="0.2">
      <c r="A2628">
        <v>2022</v>
      </c>
      <c r="B2628" t="s">
        <v>23</v>
      </c>
      <c r="C2628" t="s">
        <v>271</v>
      </c>
      <c r="D2628">
        <v>129</v>
      </c>
      <c r="E2628">
        <v>1</v>
      </c>
      <c r="F2628">
        <v>12</v>
      </c>
      <c r="G2628" t="s">
        <v>153</v>
      </c>
      <c r="H2628" s="1">
        <v>10</v>
      </c>
      <c r="I2628" s="1">
        <v>63</v>
      </c>
      <c r="J2628" s="1">
        <v>67</v>
      </c>
      <c r="K2628" s="1">
        <f>J2628-I2628</f>
        <v>4</v>
      </c>
      <c r="L2628" s="1">
        <v>180</v>
      </c>
      <c r="M2628" s="1">
        <v>83</v>
      </c>
      <c r="N2628" s="1">
        <v>2</v>
      </c>
      <c r="O2628" s="1">
        <v>2</v>
      </c>
      <c r="P2628" s="1">
        <v>9</v>
      </c>
      <c r="Q2628" s="2">
        <v>0.59060000000000001</v>
      </c>
      <c r="R2628" s="1">
        <v>7</v>
      </c>
      <c r="S2628" s="1">
        <f>R2628/P2628</f>
        <v>0.77777777777777779</v>
      </c>
      <c r="T2628" s="1">
        <v>3</v>
      </c>
      <c r="U2628" s="1">
        <v>12.1</v>
      </c>
      <c r="V2628" s="1">
        <v>2171.5551372549021</v>
      </c>
      <c r="W2628" s="1">
        <v>3</v>
      </c>
    </row>
    <row r="2629" spans="1:23" x14ac:dyDescent="0.2">
      <c r="A2629">
        <v>2022</v>
      </c>
      <c r="B2629" t="s">
        <v>23</v>
      </c>
      <c r="C2629" t="s">
        <v>271</v>
      </c>
      <c r="D2629">
        <v>129</v>
      </c>
      <c r="E2629">
        <v>2</v>
      </c>
      <c r="F2629">
        <v>5</v>
      </c>
      <c r="G2629" t="s">
        <v>153</v>
      </c>
      <c r="H2629" s="1">
        <v>7</v>
      </c>
      <c r="I2629" s="1">
        <v>63</v>
      </c>
      <c r="J2629" s="1">
        <v>68</v>
      </c>
      <c r="K2629" s="1">
        <f>J2629-I2629</f>
        <v>5</v>
      </c>
      <c r="L2629" s="1">
        <v>45</v>
      </c>
      <c r="M2629" s="1">
        <v>26</v>
      </c>
      <c r="N2629" s="1">
        <v>2.5</v>
      </c>
      <c r="O2629" s="1">
        <v>4</v>
      </c>
      <c r="P2629" s="1">
        <v>6</v>
      </c>
      <c r="Q2629" s="2">
        <v>0.22700000000000001</v>
      </c>
      <c r="R2629" s="1">
        <v>6</v>
      </c>
      <c r="S2629" s="1">
        <f>R2629/P2629</f>
        <v>1</v>
      </c>
      <c r="T2629" s="1">
        <v>5</v>
      </c>
      <c r="U2629" s="1">
        <v>12.5</v>
      </c>
      <c r="V2629" s="1">
        <v>830.84967320261444</v>
      </c>
      <c r="W2629" s="1">
        <v>6</v>
      </c>
    </row>
    <row r="2630" spans="1:23" x14ac:dyDescent="0.2">
      <c r="A2630">
        <v>2022</v>
      </c>
      <c r="B2630" t="s">
        <v>23</v>
      </c>
      <c r="C2630" t="s">
        <v>271</v>
      </c>
      <c r="D2630">
        <v>130</v>
      </c>
      <c r="E2630">
        <v>1</v>
      </c>
      <c r="F2630">
        <v>1</v>
      </c>
      <c r="G2630" t="s">
        <v>154</v>
      </c>
      <c r="H2630" s="1">
        <v>12</v>
      </c>
      <c r="I2630" s="1">
        <v>61</v>
      </c>
      <c r="J2630" s="1">
        <v>66</v>
      </c>
      <c r="K2630" s="1">
        <f>J2630-I2630</f>
        <v>5</v>
      </c>
      <c r="L2630" s="1">
        <v>117</v>
      </c>
      <c r="M2630" s="1">
        <v>45</v>
      </c>
      <c r="N2630" s="1">
        <v>3.5</v>
      </c>
      <c r="O2630" s="1">
        <v>4.5</v>
      </c>
      <c r="P2630" s="1">
        <v>8</v>
      </c>
      <c r="Q2630" s="2">
        <v>0.222</v>
      </c>
      <c r="R2630" s="1">
        <v>7</v>
      </c>
      <c r="S2630" s="1">
        <f>R2630/P2630</f>
        <v>0.875</v>
      </c>
      <c r="T2630" s="1">
        <v>5</v>
      </c>
      <c r="U2630" s="1">
        <v>12.5</v>
      </c>
      <c r="V2630" s="1">
        <v>812.54901960784309</v>
      </c>
      <c r="W2630" s="1">
        <v>5</v>
      </c>
    </row>
    <row r="2631" spans="1:23" x14ac:dyDescent="0.2">
      <c r="A2631">
        <v>2022</v>
      </c>
      <c r="B2631" t="s">
        <v>23</v>
      </c>
      <c r="C2631" t="s">
        <v>271</v>
      </c>
      <c r="D2631">
        <v>130</v>
      </c>
      <c r="E2631">
        <v>2</v>
      </c>
      <c r="F2631">
        <v>10</v>
      </c>
      <c r="G2631" t="s">
        <v>154</v>
      </c>
      <c r="H2631">
        <v>14</v>
      </c>
      <c r="I2631">
        <v>50</v>
      </c>
      <c r="J2631">
        <v>53</v>
      </c>
      <c r="K2631">
        <v>3</v>
      </c>
      <c r="L2631">
        <v>169</v>
      </c>
      <c r="M2631">
        <v>39</v>
      </c>
      <c r="N2631">
        <v>2</v>
      </c>
      <c r="O2631">
        <v>1.5</v>
      </c>
      <c r="P2631">
        <v>13</v>
      </c>
      <c r="Q2631">
        <v>1.3</v>
      </c>
      <c r="R2631">
        <v>12</v>
      </c>
      <c r="S2631">
        <v>0.92307692307692313</v>
      </c>
      <c r="T2631">
        <v>3</v>
      </c>
      <c r="U2631">
        <v>10</v>
      </c>
      <c r="V2631">
        <v>4894.1176470588234</v>
      </c>
      <c r="W2631">
        <v>2</v>
      </c>
    </row>
    <row r="2632" spans="1:23" x14ac:dyDescent="0.2">
      <c r="A2632">
        <v>2022</v>
      </c>
      <c r="B2632" t="s">
        <v>23</v>
      </c>
      <c r="C2632" t="s">
        <v>271</v>
      </c>
      <c r="D2632">
        <v>131</v>
      </c>
      <c r="E2632">
        <v>1</v>
      </c>
      <c r="F2632">
        <v>13</v>
      </c>
      <c r="G2632" t="s">
        <v>155</v>
      </c>
      <c r="H2632">
        <v>14</v>
      </c>
      <c r="I2632">
        <v>56</v>
      </c>
      <c r="J2632">
        <v>58</v>
      </c>
      <c r="K2632">
        <v>2</v>
      </c>
      <c r="L2632">
        <v>171</v>
      </c>
      <c r="M2632">
        <v>70</v>
      </c>
      <c r="N2632">
        <v>2</v>
      </c>
      <c r="O2632">
        <v>2</v>
      </c>
      <c r="P2632">
        <v>10</v>
      </c>
      <c r="Q2632">
        <v>1</v>
      </c>
      <c r="R2632">
        <v>10</v>
      </c>
      <c r="S2632">
        <v>1</v>
      </c>
      <c r="T2632">
        <v>2</v>
      </c>
      <c r="U2632">
        <v>10.4</v>
      </c>
      <c r="V2632">
        <v>3747.9738562091497</v>
      </c>
      <c r="W2632">
        <v>2</v>
      </c>
    </row>
    <row r="2633" spans="1:23" x14ac:dyDescent="0.2">
      <c r="A2633">
        <v>2022</v>
      </c>
      <c r="B2633" t="s">
        <v>23</v>
      </c>
      <c r="C2633" t="s">
        <v>271</v>
      </c>
      <c r="D2633">
        <v>131</v>
      </c>
      <c r="E2633">
        <v>2</v>
      </c>
      <c r="F2633">
        <v>4</v>
      </c>
      <c r="G2633" t="s">
        <v>155</v>
      </c>
      <c r="H2633" s="1">
        <v>1</v>
      </c>
      <c r="I2633" s="1">
        <v>65</v>
      </c>
      <c r="J2633" s="1">
        <v>68</v>
      </c>
      <c r="K2633" s="1">
        <f>J2633-I2633</f>
        <v>3</v>
      </c>
      <c r="L2633" s="1">
        <v>162</v>
      </c>
      <c r="M2633" s="1">
        <v>55</v>
      </c>
      <c r="N2633" s="1">
        <v>2</v>
      </c>
      <c r="O2633" s="1">
        <v>3.5</v>
      </c>
      <c r="P2633" s="1">
        <v>1</v>
      </c>
      <c r="Q2633" s="2">
        <v>7.3999999999999996E-2</v>
      </c>
      <c r="R2633" s="1">
        <v>1</v>
      </c>
      <c r="S2633" s="1">
        <f>R2633/P2633</f>
        <v>1</v>
      </c>
      <c r="T2633" s="1">
        <v>5</v>
      </c>
      <c r="U2633" s="1">
        <v>12.5</v>
      </c>
      <c r="V2633" s="1">
        <v>270.84967320261438</v>
      </c>
      <c r="W2633" s="1">
        <v>4</v>
      </c>
    </row>
    <row r="2634" spans="1:23" x14ac:dyDescent="0.2">
      <c r="A2634">
        <v>2022</v>
      </c>
      <c r="B2634" t="s">
        <v>23</v>
      </c>
      <c r="C2634" t="s">
        <v>271</v>
      </c>
      <c r="D2634">
        <v>132</v>
      </c>
      <c r="E2634">
        <v>1</v>
      </c>
      <c r="F2634">
        <v>8</v>
      </c>
      <c r="G2634" t="s">
        <v>156</v>
      </c>
      <c r="H2634" s="1">
        <v>1</v>
      </c>
      <c r="I2634" s="1">
        <v>60</v>
      </c>
      <c r="J2634" s="1">
        <v>63</v>
      </c>
      <c r="K2634" s="1">
        <f>J2634-I2634</f>
        <v>3</v>
      </c>
      <c r="L2634" s="1">
        <v>107</v>
      </c>
      <c r="M2634" s="1">
        <v>45</v>
      </c>
      <c r="N2634" s="1">
        <v>1.5</v>
      </c>
      <c r="O2634" s="1">
        <v>4.5</v>
      </c>
      <c r="P2634" s="1">
        <v>1</v>
      </c>
      <c r="Q2634" s="2">
        <v>2.2499999999999999E-2</v>
      </c>
      <c r="R2634" s="1">
        <v>1</v>
      </c>
      <c r="S2634" s="1">
        <f>R2634/P2634</f>
        <v>1</v>
      </c>
      <c r="T2634" s="1">
        <v>4</v>
      </c>
      <c r="U2634" s="1">
        <v>12.5</v>
      </c>
      <c r="V2634" s="1">
        <v>82.35294117647058</v>
      </c>
      <c r="W2634" s="1">
        <v>2</v>
      </c>
    </row>
    <row r="2635" spans="1:23" x14ac:dyDescent="0.2">
      <c r="A2635">
        <v>2022</v>
      </c>
      <c r="B2635" t="s">
        <v>23</v>
      </c>
      <c r="C2635" t="s">
        <v>271</v>
      </c>
      <c r="D2635">
        <v>132</v>
      </c>
      <c r="E2635">
        <v>2</v>
      </c>
      <c r="F2635">
        <v>14</v>
      </c>
      <c r="G2635" t="s">
        <v>156</v>
      </c>
      <c r="H2635" s="1">
        <v>6</v>
      </c>
      <c r="I2635" s="1">
        <v>63</v>
      </c>
      <c r="J2635" s="1">
        <v>68</v>
      </c>
      <c r="K2635" s="1">
        <f>J2635-I2635</f>
        <v>5</v>
      </c>
      <c r="L2635" s="1">
        <v>158</v>
      </c>
      <c r="M2635" s="1">
        <v>108</v>
      </c>
      <c r="N2635" s="1">
        <v>2</v>
      </c>
      <c r="O2635" s="1">
        <v>2.5</v>
      </c>
      <c r="P2635" s="1">
        <v>5</v>
      </c>
      <c r="Q2635" s="2">
        <v>0.25267499999999998</v>
      </c>
      <c r="R2635" s="1">
        <v>5</v>
      </c>
      <c r="S2635" s="1">
        <f>R2635/P2635</f>
        <v>1</v>
      </c>
      <c r="T2635" s="1">
        <v>5</v>
      </c>
      <c r="U2635" s="1">
        <v>12.5</v>
      </c>
      <c r="V2635" s="1">
        <v>924.82352941176475</v>
      </c>
      <c r="W2635" s="1">
        <v>4</v>
      </c>
    </row>
    <row r="2636" spans="1:23" x14ac:dyDescent="0.2">
      <c r="A2636">
        <v>2022</v>
      </c>
      <c r="B2636" t="s">
        <v>23</v>
      </c>
      <c r="C2636" t="s">
        <v>271</v>
      </c>
      <c r="D2636">
        <v>133</v>
      </c>
      <c r="E2636">
        <v>1</v>
      </c>
      <c r="F2636">
        <v>6</v>
      </c>
      <c r="G2636" t="s">
        <v>266</v>
      </c>
      <c r="H2636" s="1">
        <v>7</v>
      </c>
      <c r="I2636" s="1">
        <v>61</v>
      </c>
      <c r="J2636" s="1">
        <v>66</v>
      </c>
      <c r="K2636" s="1">
        <f>J2636-I2636</f>
        <v>5</v>
      </c>
      <c r="L2636" s="1">
        <v>116</v>
      </c>
      <c r="M2636" s="1">
        <v>60</v>
      </c>
      <c r="N2636" s="1">
        <v>1.5</v>
      </c>
      <c r="O2636" s="1">
        <v>2.5</v>
      </c>
      <c r="P2636" s="1">
        <v>5</v>
      </c>
      <c r="Q2636" s="2">
        <v>0.69199999999999995</v>
      </c>
      <c r="R2636" s="1">
        <v>5</v>
      </c>
      <c r="S2636" s="1">
        <f>R2636/P2636</f>
        <v>1</v>
      </c>
      <c r="T2636" s="1">
        <v>2.5</v>
      </c>
      <c r="U2636" s="1">
        <v>12.5</v>
      </c>
      <c r="V2636" s="1">
        <v>2532.8104575163397</v>
      </c>
      <c r="W2636" s="1">
        <v>4</v>
      </c>
    </row>
    <row r="2637" spans="1:23" x14ac:dyDescent="0.2">
      <c r="A2637">
        <v>2022</v>
      </c>
      <c r="B2637" t="s">
        <v>23</v>
      </c>
      <c r="C2637" t="s">
        <v>271</v>
      </c>
      <c r="D2637">
        <v>133</v>
      </c>
      <c r="E2637">
        <v>2</v>
      </c>
      <c r="F2637">
        <v>9</v>
      </c>
      <c r="G2637" t="s">
        <v>266</v>
      </c>
      <c r="H2637" s="1">
        <v>7</v>
      </c>
      <c r="I2637" s="1">
        <v>61</v>
      </c>
      <c r="J2637" s="1">
        <v>66</v>
      </c>
      <c r="K2637" s="1">
        <f>J2637-I2637</f>
        <v>5</v>
      </c>
      <c r="L2637" s="1">
        <v>70</v>
      </c>
      <c r="M2637" s="1">
        <v>25</v>
      </c>
      <c r="N2637" s="1">
        <v>2</v>
      </c>
      <c r="O2637" s="1">
        <v>4</v>
      </c>
      <c r="P2637" s="1">
        <v>5</v>
      </c>
      <c r="Q2637" s="2">
        <v>0.124</v>
      </c>
      <c r="R2637" s="1">
        <v>4</v>
      </c>
      <c r="S2637" s="1">
        <f>R2637/P2637</f>
        <v>0.8</v>
      </c>
      <c r="T2637" s="1">
        <v>5</v>
      </c>
      <c r="U2637" s="1">
        <v>12.5</v>
      </c>
      <c r="V2637" s="1">
        <v>453.85620915032678</v>
      </c>
      <c r="W2637" s="1">
        <v>6</v>
      </c>
    </row>
    <row r="2638" spans="1:23" x14ac:dyDescent="0.2">
      <c r="A2638">
        <v>2022</v>
      </c>
      <c r="B2638" t="s">
        <v>23</v>
      </c>
      <c r="C2638" t="s">
        <v>271</v>
      </c>
      <c r="D2638">
        <v>134</v>
      </c>
      <c r="E2638">
        <v>1</v>
      </c>
      <c r="F2638">
        <v>8</v>
      </c>
      <c r="G2638" t="s">
        <v>159</v>
      </c>
      <c r="H2638">
        <v>14</v>
      </c>
      <c r="I2638">
        <v>56</v>
      </c>
      <c r="J2638">
        <v>62</v>
      </c>
      <c r="K2638">
        <v>6</v>
      </c>
      <c r="L2638">
        <v>171</v>
      </c>
      <c r="M2638">
        <v>79</v>
      </c>
      <c r="N2638">
        <v>1</v>
      </c>
      <c r="O2638">
        <v>2</v>
      </c>
      <c r="P2638">
        <v>14</v>
      </c>
      <c r="Q2638">
        <v>1</v>
      </c>
      <c r="R2638">
        <v>13</v>
      </c>
      <c r="S2638">
        <v>0.9285714285714286</v>
      </c>
      <c r="T2638">
        <v>2</v>
      </c>
      <c r="U2638">
        <v>9.6</v>
      </c>
      <c r="V2638">
        <v>3781.4379084967318</v>
      </c>
      <c r="W2638">
        <v>1</v>
      </c>
    </row>
    <row r="2639" spans="1:23" x14ac:dyDescent="0.2">
      <c r="A2639">
        <v>2022</v>
      </c>
      <c r="B2639" t="s">
        <v>23</v>
      </c>
      <c r="C2639" t="s">
        <v>271</v>
      </c>
      <c r="D2639">
        <v>134</v>
      </c>
      <c r="E2639">
        <v>2</v>
      </c>
      <c r="F2639">
        <v>7</v>
      </c>
      <c r="G2639" t="s">
        <v>159</v>
      </c>
      <c r="H2639">
        <v>14</v>
      </c>
      <c r="I2639">
        <v>55</v>
      </c>
      <c r="J2639">
        <v>58</v>
      </c>
      <c r="K2639">
        <v>3</v>
      </c>
      <c r="L2639">
        <v>200</v>
      </c>
      <c r="M2639">
        <v>60</v>
      </c>
      <c r="N2639">
        <v>1</v>
      </c>
      <c r="O2639">
        <v>1.5</v>
      </c>
      <c r="P2639">
        <v>10</v>
      </c>
      <c r="Q2639">
        <v>1</v>
      </c>
      <c r="R2639">
        <v>9</v>
      </c>
      <c r="S2639">
        <v>0.9</v>
      </c>
      <c r="T2639">
        <v>2</v>
      </c>
      <c r="U2639">
        <v>10.6</v>
      </c>
      <c r="V2639">
        <v>3739.6078431372548</v>
      </c>
      <c r="W2639">
        <v>1</v>
      </c>
    </row>
    <row r="2640" spans="1:23" x14ac:dyDescent="0.2">
      <c r="A2640">
        <v>2022</v>
      </c>
      <c r="B2640" t="s">
        <v>23</v>
      </c>
      <c r="C2640" t="s">
        <v>271</v>
      </c>
      <c r="D2640">
        <v>135</v>
      </c>
      <c r="E2640">
        <v>1</v>
      </c>
      <c r="F2640">
        <v>7</v>
      </c>
      <c r="G2640" t="s">
        <v>267</v>
      </c>
      <c r="H2640" s="1">
        <v>11</v>
      </c>
      <c r="I2640" s="1">
        <v>67</v>
      </c>
      <c r="J2640" s="1">
        <v>70</v>
      </c>
      <c r="K2640" s="1">
        <f>J2640-I2640</f>
        <v>3</v>
      </c>
      <c r="L2640" s="1">
        <v>131</v>
      </c>
      <c r="M2640" s="1">
        <v>55</v>
      </c>
      <c r="N2640" s="1">
        <v>2</v>
      </c>
      <c r="O2640" s="1">
        <v>3.5</v>
      </c>
      <c r="P2640" s="1">
        <f>H2640</f>
        <v>11</v>
      </c>
      <c r="Q2640" s="2">
        <v>9.7500000000000003E-2</v>
      </c>
      <c r="R2640" s="1">
        <v>9</v>
      </c>
      <c r="S2640" s="1">
        <f>R2640/P2640</f>
        <v>0.81818181818181823</v>
      </c>
      <c r="T2640" s="1">
        <v>5</v>
      </c>
      <c r="U2640" s="1">
        <v>12.5</v>
      </c>
      <c r="V2640" s="1">
        <v>356.86274509803923</v>
      </c>
      <c r="W2640" s="1">
        <v>4</v>
      </c>
    </row>
    <row r="2641" spans="1:23" x14ac:dyDescent="0.2">
      <c r="A2641">
        <v>2022</v>
      </c>
      <c r="B2641" t="s">
        <v>23</v>
      </c>
      <c r="C2641" t="s">
        <v>271</v>
      </c>
      <c r="D2641">
        <v>135</v>
      </c>
      <c r="E2641">
        <v>2</v>
      </c>
      <c r="F2641">
        <v>15</v>
      </c>
      <c r="G2641" t="s">
        <v>267</v>
      </c>
      <c r="H2641" s="1">
        <v>11</v>
      </c>
      <c r="I2641" s="1">
        <v>57</v>
      </c>
      <c r="J2641" s="1">
        <v>61</v>
      </c>
      <c r="K2641" s="1">
        <f>J2641-I2641</f>
        <v>4</v>
      </c>
      <c r="L2641" s="1">
        <v>182</v>
      </c>
      <c r="M2641" s="1">
        <v>63</v>
      </c>
      <c r="N2641" s="1">
        <v>2</v>
      </c>
      <c r="O2641" s="1">
        <v>3.5</v>
      </c>
      <c r="P2641" s="1">
        <v>9</v>
      </c>
      <c r="Q2641" s="2">
        <v>0.13872000000000001</v>
      </c>
      <c r="R2641" s="1">
        <v>7</v>
      </c>
      <c r="S2641" s="1">
        <f>R2641/P2641</f>
        <v>0.77777777777777779</v>
      </c>
      <c r="T2641" s="1">
        <v>5</v>
      </c>
      <c r="U2641" s="1">
        <v>12.5</v>
      </c>
      <c r="V2641" s="1">
        <v>507.73333333333335</v>
      </c>
      <c r="W2641" s="1">
        <v>5</v>
      </c>
    </row>
    <row r="2642" spans="1:23" x14ac:dyDescent="0.2">
      <c r="A2642">
        <v>2022</v>
      </c>
      <c r="B2642" t="s">
        <v>23</v>
      </c>
      <c r="C2642" t="s">
        <v>271</v>
      </c>
      <c r="D2642">
        <v>136</v>
      </c>
      <c r="E2642">
        <v>1</v>
      </c>
      <c r="F2642">
        <v>4</v>
      </c>
      <c r="G2642" t="s">
        <v>161</v>
      </c>
      <c r="H2642">
        <v>15</v>
      </c>
      <c r="I2642">
        <v>50</v>
      </c>
      <c r="J2642">
        <v>53</v>
      </c>
      <c r="K2642">
        <v>3</v>
      </c>
      <c r="L2642">
        <v>133</v>
      </c>
      <c r="M2642">
        <v>45</v>
      </c>
      <c r="N2642">
        <v>2</v>
      </c>
      <c r="O2642">
        <v>2</v>
      </c>
      <c r="P2642">
        <v>11</v>
      </c>
      <c r="Q2642">
        <v>0.7</v>
      </c>
      <c r="R2642">
        <v>10</v>
      </c>
      <c r="S2642">
        <v>0.90909090909090906</v>
      </c>
      <c r="T2642">
        <v>3</v>
      </c>
      <c r="U2642">
        <v>13</v>
      </c>
      <c r="V2642">
        <v>2547.4509803921569</v>
      </c>
      <c r="W2642">
        <v>2</v>
      </c>
    </row>
    <row r="2643" spans="1:23" x14ac:dyDescent="0.2">
      <c r="A2643">
        <v>2022</v>
      </c>
      <c r="B2643" t="s">
        <v>23</v>
      </c>
      <c r="C2643" t="s">
        <v>271</v>
      </c>
      <c r="D2643">
        <v>136</v>
      </c>
      <c r="E2643">
        <v>2</v>
      </c>
      <c r="F2643">
        <v>12</v>
      </c>
      <c r="G2643" t="s">
        <v>161</v>
      </c>
      <c r="H2643">
        <v>4</v>
      </c>
      <c r="I2643">
        <v>56</v>
      </c>
      <c r="J2643">
        <v>62</v>
      </c>
      <c r="K2643">
        <v>6</v>
      </c>
      <c r="L2643">
        <v>101</v>
      </c>
      <c r="M2643">
        <v>21</v>
      </c>
      <c r="N2643">
        <v>4</v>
      </c>
      <c r="O2643">
        <v>3</v>
      </c>
      <c r="P2643">
        <v>4</v>
      </c>
      <c r="Q2643">
        <v>0.61099999999999999</v>
      </c>
      <c r="R2643">
        <v>5</v>
      </c>
      <c r="S2643">
        <v>1.25</v>
      </c>
      <c r="T2643">
        <v>3</v>
      </c>
      <c r="U2643">
        <v>12.5</v>
      </c>
      <c r="V2643">
        <v>2236.339869281046</v>
      </c>
      <c r="W2643">
        <v>2</v>
      </c>
    </row>
    <row r="2644" spans="1:23" x14ac:dyDescent="0.2">
      <c r="A2644">
        <v>2022</v>
      </c>
      <c r="B2644" t="s">
        <v>23</v>
      </c>
      <c r="C2644" t="s">
        <v>271</v>
      </c>
      <c r="D2644">
        <v>137</v>
      </c>
      <c r="E2644">
        <v>1</v>
      </c>
      <c r="F2644">
        <v>15</v>
      </c>
      <c r="G2644" t="s">
        <v>162</v>
      </c>
      <c r="H2644" s="1">
        <v>4</v>
      </c>
      <c r="I2644" s="1">
        <v>60</v>
      </c>
      <c r="J2644" s="1">
        <v>65</v>
      </c>
      <c r="K2644" s="1">
        <f>J2644-I2644</f>
        <v>5</v>
      </c>
      <c r="L2644" s="1">
        <v>162</v>
      </c>
      <c r="M2644" s="1">
        <v>88</v>
      </c>
      <c r="N2644" s="1">
        <v>2</v>
      </c>
      <c r="O2644" s="1">
        <v>2.5</v>
      </c>
      <c r="P2644" s="1">
        <v>4</v>
      </c>
      <c r="Q2644" s="2">
        <v>0.28079999999999994</v>
      </c>
      <c r="R2644" s="1">
        <v>3</v>
      </c>
      <c r="S2644" s="1">
        <f>R2644/P2644</f>
        <v>0.75</v>
      </c>
      <c r="T2644" s="1">
        <v>4</v>
      </c>
      <c r="U2644" s="1">
        <v>12.5</v>
      </c>
      <c r="V2644" s="1">
        <v>1027.7647058823527</v>
      </c>
      <c r="W2644" s="1">
        <v>3</v>
      </c>
    </row>
    <row r="2645" spans="1:23" x14ac:dyDescent="0.2">
      <c r="A2645">
        <v>2022</v>
      </c>
      <c r="B2645" t="s">
        <v>23</v>
      </c>
      <c r="C2645" t="s">
        <v>271</v>
      </c>
      <c r="D2645">
        <v>137</v>
      </c>
      <c r="E2645">
        <v>2</v>
      </c>
      <c r="F2645">
        <v>5</v>
      </c>
      <c r="G2645" t="s">
        <v>162</v>
      </c>
      <c r="H2645" s="1">
        <v>4</v>
      </c>
      <c r="I2645" s="1">
        <v>67</v>
      </c>
      <c r="J2645" s="1">
        <v>72</v>
      </c>
      <c r="K2645" s="1">
        <f>J2645-I2645</f>
        <v>5</v>
      </c>
      <c r="L2645" s="1">
        <v>183</v>
      </c>
      <c r="M2645" s="1">
        <v>85</v>
      </c>
      <c r="N2645" s="1">
        <v>2</v>
      </c>
      <c r="O2645" s="1">
        <v>3</v>
      </c>
      <c r="P2645" s="1">
        <v>4</v>
      </c>
      <c r="Q2645" s="2">
        <v>0.19600000000000001</v>
      </c>
      <c r="R2645" s="1">
        <v>5</v>
      </c>
      <c r="S2645" s="1">
        <f>R2645/P2645</f>
        <v>1.25</v>
      </c>
      <c r="T2645" s="1">
        <v>4</v>
      </c>
      <c r="U2645" s="1">
        <v>8.1999999999999993</v>
      </c>
      <c r="V2645" s="1">
        <v>752.63999999999987</v>
      </c>
      <c r="W2645" s="1">
        <v>5</v>
      </c>
    </row>
    <row r="2646" spans="1:23" x14ac:dyDescent="0.2">
      <c r="A2646">
        <v>2022</v>
      </c>
      <c r="B2646" t="s">
        <v>23</v>
      </c>
      <c r="C2646" t="s">
        <v>271</v>
      </c>
      <c r="D2646">
        <v>138</v>
      </c>
      <c r="E2646">
        <v>1</v>
      </c>
      <c r="F2646">
        <v>4</v>
      </c>
      <c r="G2646" t="s">
        <v>163</v>
      </c>
      <c r="H2646">
        <v>2</v>
      </c>
      <c r="I2646">
        <v>55</v>
      </c>
      <c r="J2646">
        <v>57</v>
      </c>
      <c r="K2646">
        <v>2</v>
      </c>
      <c r="L2646">
        <v>136</v>
      </c>
      <c r="M2646">
        <v>83</v>
      </c>
      <c r="N2646">
        <v>3</v>
      </c>
      <c r="O2646">
        <v>3</v>
      </c>
      <c r="P2646">
        <v>2</v>
      </c>
      <c r="Q2646">
        <v>0.373</v>
      </c>
      <c r="R2646">
        <v>3</v>
      </c>
      <c r="S2646">
        <v>1.5</v>
      </c>
      <c r="T2646">
        <v>2</v>
      </c>
      <c r="U2646">
        <v>12.5</v>
      </c>
      <c r="V2646">
        <v>1365.2287581699347</v>
      </c>
      <c r="W2646">
        <v>1</v>
      </c>
    </row>
    <row r="2647" spans="1:23" x14ac:dyDescent="0.2">
      <c r="A2647">
        <v>2022</v>
      </c>
      <c r="B2647" t="s">
        <v>23</v>
      </c>
      <c r="C2647" t="s">
        <v>271</v>
      </c>
      <c r="D2647">
        <v>138</v>
      </c>
      <c r="E2647">
        <v>2</v>
      </c>
      <c r="F2647">
        <v>7</v>
      </c>
      <c r="G2647" t="s">
        <v>163</v>
      </c>
      <c r="H2647" s="1">
        <v>3</v>
      </c>
      <c r="I2647" s="1">
        <v>66</v>
      </c>
      <c r="J2647" s="1">
        <v>70</v>
      </c>
      <c r="K2647" s="1">
        <f>J2647-I2647</f>
        <v>4</v>
      </c>
      <c r="L2647" s="1">
        <v>107</v>
      </c>
      <c r="M2647" s="1">
        <v>45</v>
      </c>
      <c r="N2647" s="1">
        <v>2</v>
      </c>
      <c r="O2647" s="1">
        <v>2.5</v>
      </c>
      <c r="P2647" s="1">
        <v>3</v>
      </c>
      <c r="Q2647" s="2">
        <v>0.24099999999999999</v>
      </c>
      <c r="R2647" s="1">
        <v>2</v>
      </c>
      <c r="S2647" s="1">
        <f>R2647/P2647</f>
        <v>0.66666666666666663</v>
      </c>
      <c r="T2647" s="1">
        <v>2</v>
      </c>
      <c r="U2647" s="1">
        <v>12.5</v>
      </c>
      <c r="V2647" s="1">
        <v>882.09150326797385</v>
      </c>
      <c r="W2647" s="1">
        <v>3</v>
      </c>
    </row>
    <row r="2648" spans="1:23" x14ac:dyDescent="0.2">
      <c r="A2648">
        <v>2022</v>
      </c>
      <c r="B2648" t="s">
        <v>23</v>
      </c>
      <c r="C2648" t="s">
        <v>271</v>
      </c>
      <c r="D2648">
        <v>139</v>
      </c>
      <c r="E2648">
        <v>1</v>
      </c>
      <c r="F2648">
        <v>13</v>
      </c>
      <c r="G2648" t="s">
        <v>164</v>
      </c>
      <c r="H2648">
        <v>5</v>
      </c>
      <c r="I2648">
        <v>51</v>
      </c>
      <c r="J2648">
        <v>53</v>
      </c>
      <c r="K2648">
        <v>2</v>
      </c>
      <c r="L2648">
        <v>110</v>
      </c>
      <c r="M2648">
        <v>40</v>
      </c>
      <c r="N2648">
        <v>1</v>
      </c>
      <c r="O2648">
        <v>1.5</v>
      </c>
      <c r="P2648">
        <v>5</v>
      </c>
      <c r="Q2648">
        <v>0.7</v>
      </c>
      <c r="R2648">
        <v>5</v>
      </c>
      <c r="S2648">
        <v>1</v>
      </c>
      <c r="T2648">
        <v>1</v>
      </c>
      <c r="U2648">
        <v>12.6</v>
      </c>
      <c r="V2648">
        <v>2559.1633986928105</v>
      </c>
      <c r="W2648">
        <v>2</v>
      </c>
    </row>
    <row r="2649" spans="1:23" x14ac:dyDescent="0.2">
      <c r="A2649">
        <v>2022</v>
      </c>
      <c r="B2649" t="s">
        <v>23</v>
      </c>
      <c r="C2649" t="s">
        <v>271</v>
      </c>
      <c r="D2649">
        <v>139</v>
      </c>
      <c r="E2649">
        <v>2</v>
      </c>
      <c r="F2649">
        <v>10</v>
      </c>
      <c r="G2649" t="s">
        <v>164</v>
      </c>
      <c r="H2649">
        <v>16</v>
      </c>
      <c r="I2649">
        <v>55</v>
      </c>
      <c r="J2649">
        <v>57</v>
      </c>
      <c r="K2649">
        <v>2</v>
      </c>
      <c r="L2649">
        <v>170</v>
      </c>
      <c r="M2649">
        <v>61</v>
      </c>
      <c r="N2649">
        <v>2</v>
      </c>
      <c r="O2649">
        <v>3</v>
      </c>
      <c r="P2649">
        <v>16</v>
      </c>
      <c r="Q2649">
        <v>1.6</v>
      </c>
      <c r="R2649">
        <v>16</v>
      </c>
      <c r="S2649">
        <v>1</v>
      </c>
      <c r="T2649">
        <v>3</v>
      </c>
      <c r="U2649">
        <v>12.5</v>
      </c>
      <c r="V2649">
        <v>5856.2091503267975</v>
      </c>
      <c r="W2649">
        <v>2</v>
      </c>
    </row>
    <row r="2650" spans="1:23" x14ac:dyDescent="0.2">
      <c r="A2650">
        <v>2022</v>
      </c>
      <c r="B2650" t="s">
        <v>23</v>
      </c>
      <c r="C2650" t="s">
        <v>271</v>
      </c>
      <c r="D2650">
        <v>140</v>
      </c>
      <c r="E2650">
        <v>1</v>
      </c>
      <c r="F2650">
        <v>14</v>
      </c>
      <c r="G2650" t="s">
        <v>165</v>
      </c>
      <c r="H2650" s="1">
        <v>13</v>
      </c>
      <c r="I2650" s="1">
        <v>62</v>
      </c>
      <c r="J2650" s="1">
        <v>65</v>
      </c>
      <c r="K2650" s="1">
        <f t="shared" ref="K2650:K2662" si="128">J2650-I2650</f>
        <v>3</v>
      </c>
      <c r="L2650" s="1">
        <v>153</v>
      </c>
      <c r="M2650" s="1">
        <v>61</v>
      </c>
      <c r="N2650" s="1">
        <v>3</v>
      </c>
      <c r="O2650" s="1">
        <v>4</v>
      </c>
      <c r="P2650" s="1">
        <v>10</v>
      </c>
      <c r="Q2650" s="2">
        <v>0.13275000000000001</v>
      </c>
      <c r="R2650" s="1">
        <v>10</v>
      </c>
      <c r="S2650" s="1">
        <f t="shared" ref="S2650:S2662" si="129">R2650/P2650</f>
        <v>1</v>
      </c>
      <c r="T2650" s="1">
        <v>5</v>
      </c>
      <c r="U2650" s="1">
        <v>12.5</v>
      </c>
      <c r="V2650" s="1">
        <v>485.88235294117658</v>
      </c>
      <c r="W2650" s="1">
        <v>5</v>
      </c>
    </row>
    <row r="2651" spans="1:23" x14ac:dyDescent="0.2">
      <c r="A2651">
        <v>2022</v>
      </c>
      <c r="B2651" t="s">
        <v>23</v>
      </c>
      <c r="C2651" t="s">
        <v>271</v>
      </c>
      <c r="D2651">
        <v>140</v>
      </c>
      <c r="E2651">
        <v>2</v>
      </c>
      <c r="F2651">
        <v>11</v>
      </c>
      <c r="G2651" t="s">
        <v>165</v>
      </c>
      <c r="H2651" s="1">
        <v>11</v>
      </c>
      <c r="I2651" s="1">
        <v>59</v>
      </c>
      <c r="J2651" s="1">
        <v>63</v>
      </c>
      <c r="K2651" s="1">
        <f t="shared" si="128"/>
        <v>4</v>
      </c>
      <c r="L2651" s="1">
        <v>176</v>
      </c>
      <c r="M2651" s="1">
        <v>92</v>
      </c>
      <c r="N2651" s="1">
        <v>2</v>
      </c>
      <c r="O2651" s="1">
        <v>3.5</v>
      </c>
      <c r="P2651" s="1">
        <v>9</v>
      </c>
      <c r="Q2651" s="2">
        <v>0.22725000000000001</v>
      </c>
      <c r="R2651" s="1">
        <v>5</v>
      </c>
      <c r="S2651" s="1">
        <f t="shared" si="129"/>
        <v>0.55555555555555558</v>
      </c>
      <c r="T2651" s="1">
        <v>3</v>
      </c>
      <c r="U2651" s="1">
        <v>12.5</v>
      </c>
      <c r="V2651" s="1">
        <v>831.76470588235304</v>
      </c>
      <c r="W2651" s="1">
        <v>6</v>
      </c>
    </row>
    <row r="2652" spans="1:23" x14ac:dyDescent="0.2">
      <c r="A2652">
        <v>2022</v>
      </c>
      <c r="B2652" t="s">
        <v>23</v>
      </c>
      <c r="C2652" t="s">
        <v>271</v>
      </c>
      <c r="D2652">
        <v>141</v>
      </c>
      <c r="E2652">
        <v>1</v>
      </c>
      <c r="F2652">
        <v>14</v>
      </c>
      <c r="G2652" t="s">
        <v>166</v>
      </c>
      <c r="H2652" s="1">
        <v>8</v>
      </c>
      <c r="I2652" s="1">
        <v>56</v>
      </c>
      <c r="J2652" s="1">
        <v>60</v>
      </c>
      <c r="K2652" s="1">
        <f t="shared" si="128"/>
        <v>4</v>
      </c>
      <c r="L2652" s="1">
        <v>139</v>
      </c>
      <c r="M2652" s="1">
        <v>72</v>
      </c>
      <c r="N2652" s="1">
        <v>2</v>
      </c>
      <c r="O2652" s="1">
        <v>3</v>
      </c>
      <c r="P2652" s="1">
        <v>8</v>
      </c>
      <c r="Q2652" s="2">
        <v>0.45700000000000002</v>
      </c>
      <c r="R2652" s="1">
        <v>7</v>
      </c>
      <c r="S2652" s="1">
        <f t="shared" si="129"/>
        <v>0.875</v>
      </c>
      <c r="T2652" s="1">
        <v>3</v>
      </c>
      <c r="U2652" s="1">
        <v>10.8</v>
      </c>
      <c r="V2652" s="1">
        <v>1705.1775163398695</v>
      </c>
      <c r="W2652" s="1">
        <v>5</v>
      </c>
    </row>
    <row r="2653" spans="1:23" x14ac:dyDescent="0.2">
      <c r="A2653">
        <v>2022</v>
      </c>
      <c r="B2653" t="s">
        <v>23</v>
      </c>
      <c r="C2653" t="s">
        <v>271</v>
      </c>
      <c r="D2653">
        <v>141</v>
      </c>
      <c r="E2653">
        <v>2</v>
      </c>
      <c r="F2653">
        <v>14</v>
      </c>
      <c r="G2653" t="s">
        <v>166</v>
      </c>
      <c r="H2653" s="1">
        <v>10</v>
      </c>
      <c r="I2653" s="1">
        <v>63</v>
      </c>
      <c r="J2653" s="1">
        <v>66</v>
      </c>
      <c r="K2653" s="1">
        <f t="shared" si="128"/>
        <v>3</v>
      </c>
      <c r="L2653" s="1">
        <v>138</v>
      </c>
      <c r="M2653" s="1">
        <v>62</v>
      </c>
      <c r="N2653" s="1">
        <v>1.5</v>
      </c>
      <c r="O2653" s="1">
        <v>4.5</v>
      </c>
      <c r="P2653" s="1">
        <v>8</v>
      </c>
      <c r="Q2653" s="2">
        <v>0.17199999999999999</v>
      </c>
      <c r="R2653" s="1">
        <v>7</v>
      </c>
      <c r="S2653" s="1">
        <f t="shared" si="129"/>
        <v>0.875</v>
      </c>
      <c r="T2653" s="1">
        <v>5</v>
      </c>
      <c r="U2653" s="1">
        <v>12.5</v>
      </c>
      <c r="V2653" s="1">
        <v>629.54248366013076</v>
      </c>
      <c r="W2653" s="1">
        <v>4</v>
      </c>
    </row>
    <row r="2654" spans="1:23" x14ac:dyDescent="0.2">
      <c r="A2654">
        <v>2022</v>
      </c>
      <c r="B2654" t="s">
        <v>23</v>
      </c>
      <c r="C2654" t="s">
        <v>271</v>
      </c>
      <c r="D2654">
        <v>142</v>
      </c>
      <c r="E2654">
        <v>1</v>
      </c>
      <c r="F2654">
        <v>8</v>
      </c>
      <c r="G2654" t="s">
        <v>167</v>
      </c>
      <c r="H2654" s="1">
        <v>5</v>
      </c>
      <c r="I2654" s="1">
        <v>60</v>
      </c>
      <c r="J2654" s="1">
        <v>65</v>
      </c>
      <c r="K2654" s="1">
        <f t="shared" si="128"/>
        <v>5</v>
      </c>
      <c r="L2654" s="1">
        <v>135</v>
      </c>
      <c r="M2654" s="1">
        <v>63</v>
      </c>
      <c r="N2654" s="1">
        <v>2</v>
      </c>
      <c r="O2654" s="1">
        <v>2.5</v>
      </c>
      <c r="P2654" s="1">
        <v>5</v>
      </c>
      <c r="Q2654" s="2">
        <v>0.7712</v>
      </c>
      <c r="R2654" s="1">
        <v>5</v>
      </c>
      <c r="S2654" s="1">
        <f t="shared" si="129"/>
        <v>1</v>
      </c>
      <c r="T2654" s="1">
        <v>5</v>
      </c>
      <c r="U2654" s="1">
        <v>8.9</v>
      </c>
      <c r="V2654" s="1">
        <v>2938.8264575163398</v>
      </c>
      <c r="W2654" s="1">
        <v>4</v>
      </c>
    </row>
    <row r="2655" spans="1:23" x14ac:dyDescent="0.2">
      <c r="A2655">
        <v>2022</v>
      </c>
      <c r="B2655" t="s">
        <v>23</v>
      </c>
      <c r="C2655" t="s">
        <v>271</v>
      </c>
      <c r="D2655">
        <v>142</v>
      </c>
      <c r="E2655">
        <v>2</v>
      </c>
      <c r="F2655">
        <v>1</v>
      </c>
      <c r="G2655" t="s">
        <v>167</v>
      </c>
      <c r="H2655" s="1">
        <v>11</v>
      </c>
      <c r="I2655" s="1">
        <v>62</v>
      </c>
      <c r="J2655" s="1">
        <v>65</v>
      </c>
      <c r="K2655" s="1">
        <f t="shared" si="128"/>
        <v>3</v>
      </c>
      <c r="L2655" s="1">
        <v>125</v>
      </c>
      <c r="M2655" s="1">
        <v>65</v>
      </c>
      <c r="N2655" s="1">
        <v>2</v>
      </c>
      <c r="O2655" s="1">
        <v>3.5</v>
      </c>
      <c r="P2655" s="1">
        <v>11</v>
      </c>
      <c r="Q2655" s="2">
        <v>1</v>
      </c>
      <c r="R2655" s="1">
        <v>11</v>
      </c>
      <c r="S2655" s="1">
        <f t="shared" si="129"/>
        <v>1</v>
      </c>
      <c r="T2655" s="1">
        <v>2</v>
      </c>
      <c r="U2655" s="1">
        <v>10</v>
      </c>
      <c r="V2655" s="1">
        <v>3764.705882352941</v>
      </c>
      <c r="W2655" s="1">
        <v>3</v>
      </c>
    </row>
    <row r="2656" spans="1:23" x14ac:dyDescent="0.2">
      <c r="A2656">
        <v>2022</v>
      </c>
      <c r="B2656" t="s">
        <v>23</v>
      </c>
      <c r="C2656" t="s">
        <v>271</v>
      </c>
      <c r="D2656">
        <v>143</v>
      </c>
      <c r="E2656">
        <v>1</v>
      </c>
      <c r="F2656">
        <v>5</v>
      </c>
      <c r="G2656" t="s">
        <v>168</v>
      </c>
      <c r="H2656" s="1">
        <v>9</v>
      </c>
      <c r="I2656" s="1">
        <v>59</v>
      </c>
      <c r="J2656" s="1">
        <v>62</v>
      </c>
      <c r="K2656" s="1">
        <f t="shared" si="128"/>
        <v>3</v>
      </c>
      <c r="L2656" s="1">
        <v>175</v>
      </c>
      <c r="M2656" s="1">
        <v>80</v>
      </c>
      <c r="N2656" s="1">
        <v>2</v>
      </c>
      <c r="O2656" s="1">
        <v>3.5</v>
      </c>
      <c r="P2656" s="1">
        <v>9</v>
      </c>
      <c r="Q2656" s="2">
        <v>0.42090000000000005</v>
      </c>
      <c r="R2656" s="1">
        <v>10</v>
      </c>
      <c r="S2656" s="1">
        <f t="shared" si="129"/>
        <v>1.1111111111111112</v>
      </c>
      <c r="T2656" s="1">
        <v>4</v>
      </c>
      <c r="U2656" s="1">
        <v>8.9</v>
      </c>
      <c r="V2656" s="1">
        <v>1603.9316078431375</v>
      </c>
      <c r="W2656" s="1">
        <v>4</v>
      </c>
    </row>
    <row r="2657" spans="1:23" x14ac:dyDescent="0.2">
      <c r="A2657">
        <v>2022</v>
      </c>
      <c r="B2657" t="s">
        <v>23</v>
      </c>
      <c r="C2657" t="s">
        <v>271</v>
      </c>
      <c r="D2657">
        <v>143</v>
      </c>
      <c r="E2657">
        <v>2</v>
      </c>
      <c r="F2657">
        <v>13</v>
      </c>
      <c r="G2657" t="s">
        <v>168</v>
      </c>
      <c r="H2657" s="1">
        <v>8</v>
      </c>
      <c r="I2657" s="1">
        <v>61</v>
      </c>
      <c r="J2657" s="1">
        <v>65</v>
      </c>
      <c r="K2657" s="1">
        <f t="shared" si="128"/>
        <v>4</v>
      </c>
      <c r="L2657" s="1">
        <v>120</v>
      </c>
      <c r="M2657" s="1">
        <v>36</v>
      </c>
      <c r="N2657" s="1">
        <v>3</v>
      </c>
      <c r="O2657" s="1">
        <v>4</v>
      </c>
      <c r="P2657" s="1">
        <v>7</v>
      </c>
      <c r="Q2657" s="2">
        <v>0.30279999999999996</v>
      </c>
      <c r="R2657" s="1">
        <v>5</v>
      </c>
      <c r="S2657" s="1">
        <f t="shared" si="129"/>
        <v>0.7142857142857143</v>
      </c>
      <c r="T2657" s="1">
        <v>4</v>
      </c>
      <c r="U2657" s="1">
        <v>12.5</v>
      </c>
      <c r="V2657" s="1">
        <v>1108.2875816993464</v>
      </c>
      <c r="W2657" s="1">
        <v>5</v>
      </c>
    </row>
    <row r="2658" spans="1:23" x14ac:dyDescent="0.2">
      <c r="A2658">
        <v>2022</v>
      </c>
      <c r="B2658" t="s">
        <v>23</v>
      </c>
      <c r="C2658" t="s">
        <v>271</v>
      </c>
      <c r="D2658">
        <v>144</v>
      </c>
      <c r="E2658">
        <v>1</v>
      </c>
      <c r="F2658">
        <v>8</v>
      </c>
      <c r="G2658" t="s">
        <v>169</v>
      </c>
      <c r="H2658" s="1">
        <v>5</v>
      </c>
      <c r="I2658" s="1">
        <v>58</v>
      </c>
      <c r="J2658" s="1">
        <v>61</v>
      </c>
      <c r="K2658" s="1">
        <f t="shared" si="128"/>
        <v>3</v>
      </c>
      <c r="L2658" s="1">
        <v>101</v>
      </c>
      <c r="M2658" s="1">
        <v>40</v>
      </c>
      <c r="N2658" s="1">
        <v>1.5</v>
      </c>
      <c r="O2658" s="1">
        <v>5</v>
      </c>
      <c r="P2658" s="1">
        <v>2</v>
      </c>
      <c r="Q2658" s="2">
        <v>1.35E-2</v>
      </c>
      <c r="R2658" s="1">
        <v>1</v>
      </c>
      <c r="S2658" s="1">
        <f t="shared" si="129"/>
        <v>0.5</v>
      </c>
      <c r="T2658" s="1">
        <v>5</v>
      </c>
      <c r="U2658" s="1">
        <v>12.5</v>
      </c>
      <c r="V2658" s="1">
        <v>49.411764705882348</v>
      </c>
      <c r="W2658" s="1">
        <v>6</v>
      </c>
    </row>
    <row r="2659" spans="1:23" x14ac:dyDescent="0.2">
      <c r="A2659">
        <v>2022</v>
      </c>
      <c r="B2659" t="s">
        <v>23</v>
      </c>
      <c r="C2659" t="s">
        <v>271</v>
      </c>
      <c r="D2659">
        <v>144</v>
      </c>
      <c r="E2659">
        <v>2</v>
      </c>
      <c r="F2659">
        <v>8</v>
      </c>
      <c r="G2659" t="s">
        <v>169</v>
      </c>
      <c r="H2659" s="1">
        <v>8</v>
      </c>
      <c r="I2659" s="1">
        <v>63</v>
      </c>
      <c r="J2659" s="1">
        <v>64</v>
      </c>
      <c r="K2659" s="1">
        <f t="shared" si="128"/>
        <v>1</v>
      </c>
      <c r="L2659" s="1">
        <v>109</v>
      </c>
      <c r="M2659" s="1">
        <v>50</v>
      </c>
      <c r="N2659" s="1">
        <v>2</v>
      </c>
      <c r="O2659" s="1">
        <v>3.5</v>
      </c>
      <c r="P2659" s="1">
        <v>7</v>
      </c>
      <c r="Q2659" s="2">
        <v>0.82499999999999996</v>
      </c>
      <c r="R2659" s="1">
        <v>6</v>
      </c>
      <c r="S2659" s="1">
        <f t="shared" si="129"/>
        <v>0.8571428571428571</v>
      </c>
      <c r="T2659" s="1">
        <v>3.5</v>
      </c>
      <c r="U2659" s="1">
        <v>12.5</v>
      </c>
      <c r="V2659" s="1">
        <v>3019.6078431372548</v>
      </c>
      <c r="W2659" s="1">
        <v>4</v>
      </c>
    </row>
    <row r="2660" spans="1:23" x14ac:dyDescent="0.2">
      <c r="A2660">
        <v>2022</v>
      </c>
      <c r="B2660" t="s">
        <v>23</v>
      </c>
      <c r="C2660" t="s">
        <v>271</v>
      </c>
      <c r="D2660">
        <v>145</v>
      </c>
      <c r="E2660">
        <v>1</v>
      </c>
      <c r="F2660">
        <v>3</v>
      </c>
      <c r="G2660" t="s">
        <v>170</v>
      </c>
      <c r="H2660" s="1">
        <v>14</v>
      </c>
      <c r="I2660" s="1">
        <v>68</v>
      </c>
      <c r="J2660" s="1">
        <v>71</v>
      </c>
      <c r="K2660" s="1">
        <f t="shared" si="128"/>
        <v>3</v>
      </c>
      <c r="L2660" s="1">
        <v>177</v>
      </c>
      <c r="M2660" s="1">
        <v>93</v>
      </c>
      <c r="N2660" s="1">
        <v>1</v>
      </c>
      <c r="O2660" s="1">
        <v>1.5</v>
      </c>
      <c r="P2660" s="1">
        <v>14</v>
      </c>
      <c r="Q2660" s="2">
        <v>0.26</v>
      </c>
      <c r="R2660" s="1">
        <v>13</v>
      </c>
      <c r="S2660" s="1">
        <f t="shared" si="129"/>
        <v>0.9285714285714286</v>
      </c>
      <c r="T2660" s="1">
        <v>3</v>
      </c>
      <c r="U2660" s="1">
        <v>12.1</v>
      </c>
      <c r="V2660" s="1">
        <v>955.98431372549044</v>
      </c>
      <c r="W2660" s="1">
        <v>4</v>
      </c>
    </row>
    <row r="2661" spans="1:23" x14ac:dyDescent="0.2">
      <c r="A2661">
        <v>2022</v>
      </c>
      <c r="B2661" t="s">
        <v>23</v>
      </c>
      <c r="C2661" t="s">
        <v>271</v>
      </c>
      <c r="D2661">
        <v>145</v>
      </c>
      <c r="E2661">
        <v>2</v>
      </c>
      <c r="F2661">
        <v>11</v>
      </c>
      <c r="G2661" t="s">
        <v>170</v>
      </c>
      <c r="H2661" s="1">
        <v>5</v>
      </c>
      <c r="I2661" s="1">
        <v>65</v>
      </c>
      <c r="J2661" s="1">
        <v>70</v>
      </c>
      <c r="K2661" s="1">
        <f t="shared" si="128"/>
        <v>5</v>
      </c>
      <c r="L2661" s="1">
        <v>141</v>
      </c>
      <c r="M2661" s="1">
        <v>59</v>
      </c>
      <c r="N2661" s="1">
        <v>2</v>
      </c>
      <c r="O2661" s="1">
        <v>3.5</v>
      </c>
      <c r="P2661" s="1">
        <f>H2661</f>
        <v>5</v>
      </c>
      <c r="Q2661" s="2">
        <v>3.7499999999999999E-2</v>
      </c>
      <c r="R2661" s="1">
        <v>5</v>
      </c>
      <c r="S2661" s="1">
        <f t="shared" si="129"/>
        <v>1</v>
      </c>
      <c r="T2661" s="1">
        <v>5</v>
      </c>
      <c r="U2661" s="1">
        <v>12.5</v>
      </c>
      <c r="V2661" s="1">
        <v>137.25490196078431</v>
      </c>
      <c r="W2661" s="1">
        <v>5</v>
      </c>
    </row>
    <row r="2662" spans="1:23" x14ac:dyDescent="0.2">
      <c r="A2662">
        <v>2022</v>
      </c>
      <c r="B2662" t="s">
        <v>23</v>
      </c>
      <c r="C2662" t="s">
        <v>271</v>
      </c>
      <c r="D2662">
        <v>146</v>
      </c>
      <c r="E2662">
        <v>1</v>
      </c>
      <c r="F2662">
        <v>5</v>
      </c>
      <c r="G2662" t="s">
        <v>171</v>
      </c>
      <c r="H2662" s="1">
        <v>16</v>
      </c>
      <c r="I2662" s="1">
        <v>61</v>
      </c>
      <c r="J2662" s="1">
        <v>66</v>
      </c>
      <c r="K2662" s="1">
        <f t="shared" si="128"/>
        <v>5</v>
      </c>
      <c r="L2662" s="1">
        <v>152</v>
      </c>
      <c r="M2662" s="1">
        <v>107</v>
      </c>
      <c r="N2662" s="1">
        <v>2</v>
      </c>
      <c r="O2662" s="1">
        <v>2</v>
      </c>
      <c r="P2662" s="1">
        <v>15</v>
      </c>
      <c r="Q2662" s="2">
        <v>0.55725000000000002</v>
      </c>
      <c r="R2662" s="1">
        <v>12</v>
      </c>
      <c r="S2662" s="1">
        <f t="shared" si="129"/>
        <v>0.8</v>
      </c>
      <c r="T2662" s="1">
        <v>5</v>
      </c>
      <c r="U2662" s="1">
        <v>12.5</v>
      </c>
      <c r="V2662" s="1">
        <v>2039.6078431372548</v>
      </c>
      <c r="W2662" s="1">
        <v>6</v>
      </c>
    </row>
    <row r="2663" spans="1:23" x14ac:dyDescent="0.2">
      <c r="A2663">
        <v>2022</v>
      </c>
      <c r="B2663" t="s">
        <v>23</v>
      </c>
      <c r="C2663" t="s">
        <v>271</v>
      </c>
      <c r="D2663">
        <v>146</v>
      </c>
      <c r="E2663">
        <v>2</v>
      </c>
      <c r="F2663">
        <v>5</v>
      </c>
      <c r="G2663" t="s">
        <v>171</v>
      </c>
      <c r="H2663">
        <v>8</v>
      </c>
      <c r="I2663">
        <v>60</v>
      </c>
      <c r="J2663">
        <v>66</v>
      </c>
      <c r="K2663">
        <v>6</v>
      </c>
      <c r="L2663">
        <v>119</v>
      </c>
      <c r="M2663">
        <v>41</v>
      </c>
      <c r="N2663">
        <v>2</v>
      </c>
      <c r="O2663">
        <v>4</v>
      </c>
      <c r="P2663">
        <v>3</v>
      </c>
      <c r="Q2663">
        <v>7.640000000000001E-2</v>
      </c>
      <c r="R2663">
        <v>3</v>
      </c>
      <c r="S2663">
        <v>1</v>
      </c>
      <c r="T2663">
        <v>2</v>
      </c>
      <c r="U2663">
        <v>12.5</v>
      </c>
      <c r="V2663">
        <v>279.63398692810455</v>
      </c>
      <c r="W2663">
        <v>1</v>
      </c>
    </row>
    <row r="2664" spans="1:23" x14ac:dyDescent="0.2">
      <c r="A2664">
        <v>2022</v>
      </c>
      <c r="B2664" t="s">
        <v>23</v>
      </c>
      <c r="C2664" t="s">
        <v>271</v>
      </c>
      <c r="D2664">
        <v>147</v>
      </c>
      <c r="E2664">
        <v>1</v>
      </c>
      <c r="F2664">
        <v>9</v>
      </c>
      <c r="G2664" t="s">
        <v>172</v>
      </c>
      <c r="H2664" s="1">
        <v>1</v>
      </c>
      <c r="I2664" s="1">
        <v>59</v>
      </c>
      <c r="J2664" s="1">
        <v>64</v>
      </c>
      <c r="K2664" s="1">
        <f>J2664-I2664</f>
        <v>5</v>
      </c>
      <c r="L2664" s="1">
        <v>45</v>
      </c>
      <c r="M2664" s="1">
        <v>21</v>
      </c>
      <c r="N2664" s="1">
        <v>4.5</v>
      </c>
      <c r="O2664" s="1">
        <v>5</v>
      </c>
      <c r="P2664" s="1">
        <v>1</v>
      </c>
      <c r="Q2664" s="2">
        <v>0.04</v>
      </c>
      <c r="R2664" s="1">
        <v>1</v>
      </c>
      <c r="S2664" s="1">
        <f>R2664/P2664</f>
        <v>1</v>
      </c>
      <c r="T2664" s="1">
        <v>5</v>
      </c>
      <c r="U2664" s="1">
        <v>12.5</v>
      </c>
      <c r="V2664" s="1">
        <v>146.40522875816995</v>
      </c>
      <c r="W2664" s="1">
        <v>5</v>
      </c>
    </row>
    <row r="2665" spans="1:23" x14ac:dyDescent="0.2">
      <c r="A2665">
        <v>2022</v>
      </c>
      <c r="B2665" t="s">
        <v>23</v>
      </c>
      <c r="C2665" t="s">
        <v>271</v>
      </c>
      <c r="D2665">
        <v>147</v>
      </c>
      <c r="E2665">
        <v>2</v>
      </c>
      <c r="F2665">
        <v>7</v>
      </c>
      <c r="G2665" t="s">
        <v>172</v>
      </c>
      <c r="H2665" s="1">
        <v>8</v>
      </c>
      <c r="I2665" s="1">
        <v>68</v>
      </c>
      <c r="J2665" s="1">
        <v>72</v>
      </c>
      <c r="K2665" s="1">
        <f>J2665-I2665</f>
        <v>4</v>
      </c>
      <c r="L2665" s="1">
        <v>135</v>
      </c>
      <c r="M2665" s="1">
        <v>60</v>
      </c>
      <c r="N2665" s="1">
        <v>2</v>
      </c>
      <c r="O2665" s="1">
        <v>4</v>
      </c>
      <c r="P2665" s="1">
        <v>4</v>
      </c>
      <c r="Q2665" s="2">
        <v>0.19600000000000001</v>
      </c>
      <c r="R2665" s="1">
        <v>2</v>
      </c>
      <c r="S2665" s="1">
        <f>R2665/P2665</f>
        <v>0.5</v>
      </c>
      <c r="T2665" s="1">
        <v>4</v>
      </c>
      <c r="U2665" s="1">
        <v>12.5</v>
      </c>
      <c r="V2665" s="1">
        <v>717.38562091503286</v>
      </c>
      <c r="W2665" s="1">
        <v>5</v>
      </c>
    </row>
    <row r="2666" spans="1:23" x14ac:dyDescent="0.2">
      <c r="A2666">
        <v>2022</v>
      </c>
      <c r="B2666" t="s">
        <v>23</v>
      </c>
      <c r="C2666" t="s">
        <v>271</v>
      </c>
      <c r="D2666">
        <v>148</v>
      </c>
      <c r="E2666">
        <v>1</v>
      </c>
      <c r="F2666">
        <v>12</v>
      </c>
      <c r="G2666" t="s">
        <v>173</v>
      </c>
      <c r="H2666">
        <v>13</v>
      </c>
      <c r="I2666">
        <v>57</v>
      </c>
      <c r="J2666">
        <v>60</v>
      </c>
      <c r="K2666">
        <v>3</v>
      </c>
      <c r="L2666">
        <v>155</v>
      </c>
      <c r="M2666">
        <v>90</v>
      </c>
      <c r="N2666">
        <v>2</v>
      </c>
      <c r="O2666">
        <v>2</v>
      </c>
      <c r="P2666">
        <v>12</v>
      </c>
      <c r="Q2666">
        <v>1.8</v>
      </c>
      <c r="R2666">
        <v>11</v>
      </c>
      <c r="S2666">
        <v>0.91666666666666663</v>
      </c>
      <c r="T2666">
        <v>2</v>
      </c>
      <c r="U2666">
        <v>9.6</v>
      </c>
      <c r="V2666">
        <v>6806.5882352941189</v>
      </c>
      <c r="W2666">
        <v>2</v>
      </c>
    </row>
    <row r="2667" spans="1:23" x14ac:dyDescent="0.2">
      <c r="A2667">
        <v>2022</v>
      </c>
      <c r="B2667" t="s">
        <v>23</v>
      </c>
      <c r="C2667" t="s">
        <v>271</v>
      </c>
      <c r="D2667">
        <v>148</v>
      </c>
      <c r="E2667">
        <v>2</v>
      </c>
      <c r="F2667">
        <v>10</v>
      </c>
      <c r="G2667" t="s">
        <v>173</v>
      </c>
      <c r="H2667" s="1">
        <v>5</v>
      </c>
      <c r="I2667" s="1">
        <v>59</v>
      </c>
      <c r="J2667" s="1">
        <v>65</v>
      </c>
      <c r="K2667" s="1">
        <f>J2667-I2667</f>
        <v>6</v>
      </c>
      <c r="L2667" s="1">
        <v>168</v>
      </c>
      <c r="M2667" s="1">
        <v>65</v>
      </c>
      <c r="N2667" s="1">
        <v>3</v>
      </c>
      <c r="O2667" s="1">
        <v>4</v>
      </c>
      <c r="P2667" s="1">
        <v>5</v>
      </c>
      <c r="Q2667" s="2">
        <v>5.1999999999999998E-2</v>
      </c>
      <c r="R2667" s="1">
        <v>1</v>
      </c>
      <c r="S2667" s="1">
        <f>R2667/P2667</f>
        <v>0.2</v>
      </c>
      <c r="T2667" s="1">
        <v>5</v>
      </c>
      <c r="U2667" s="1">
        <v>12.5</v>
      </c>
      <c r="V2667" s="1">
        <v>190.32679738562092</v>
      </c>
      <c r="W2667" s="1">
        <v>5</v>
      </c>
    </row>
    <row r="2668" spans="1:23" x14ac:dyDescent="0.2">
      <c r="A2668">
        <v>2022</v>
      </c>
      <c r="B2668" t="s">
        <v>23</v>
      </c>
      <c r="C2668" t="s">
        <v>271</v>
      </c>
      <c r="D2668">
        <v>149</v>
      </c>
      <c r="E2668">
        <v>1</v>
      </c>
      <c r="F2668">
        <v>6</v>
      </c>
      <c r="G2668" t="s">
        <v>174</v>
      </c>
      <c r="H2668" s="1">
        <v>11</v>
      </c>
      <c r="I2668" s="1">
        <v>63</v>
      </c>
      <c r="J2668" s="1">
        <v>66</v>
      </c>
      <c r="K2668" s="1">
        <f>J2668-I2668</f>
        <v>3</v>
      </c>
      <c r="L2668" s="1">
        <v>143</v>
      </c>
      <c r="M2668" s="1">
        <v>73</v>
      </c>
      <c r="N2668" s="1">
        <v>2</v>
      </c>
      <c r="O2668" s="1">
        <v>3</v>
      </c>
      <c r="P2668" s="1">
        <v>10</v>
      </c>
      <c r="Q2668" s="2">
        <v>0.37762499999999999</v>
      </c>
      <c r="R2668" s="1">
        <v>9</v>
      </c>
      <c r="S2668" s="1">
        <f>R2668/P2668</f>
        <v>0.9</v>
      </c>
      <c r="T2668" s="1">
        <v>5</v>
      </c>
      <c r="U2668" s="1">
        <v>12.5</v>
      </c>
      <c r="V2668" s="1">
        <v>1382.1568627450981</v>
      </c>
      <c r="W2668" s="1">
        <v>3</v>
      </c>
    </row>
    <row r="2669" spans="1:23" x14ac:dyDescent="0.2">
      <c r="A2669">
        <v>2022</v>
      </c>
      <c r="B2669" t="s">
        <v>23</v>
      </c>
      <c r="C2669" t="s">
        <v>271</v>
      </c>
      <c r="D2669">
        <v>149</v>
      </c>
      <c r="E2669">
        <v>2</v>
      </c>
      <c r="F2669">
        <v>6</v>
      </c>
      <c r="G2669" t="s">
        <v>174</v>
      </c>
      <c r="H2669">
        <v>12</v>
      </c>
      <c r="I2669">
        <v>66</v>
      </c>
      <c r="J2669">
        <v>69</v>
      </c>
      <c r="K2669">
        <v>3</v>
      </c>
      <c r="L2669">
        <v>145</v>
      </c>
      <c r="M2669">
        <v>80</v>
      </c>
      <c r="N2669">
        <v>1.5</v>
      </c>
      <c r="O2669">
        <v>2</v>
      </c>
      <c r="P2669">
        <v>12</v>
      </c>
      <c r="Q2669">
        <v>0.4</v>
      </c>
      <c r="R2669">
        <v>13</v>
      </c>
      <c r="S2669">
        <v>1.0833333333333333</v>
      </c>
      <c r="T2669">
        <v>2.5</v>
      </c>
      <c r="U2669">
        <v>12.5</v>
      </c>
      <c r="V2669">
        <v>1464.0522875816994</v>
      </c>
      <c r="W2669">
        <v>1</v>
      </c>
    </row>
    <row r="2670" spans="1:23" x14ac:dyDescent="0.2">
      <c r="A2670">
        <v>2022</v>
      </c>
      <c r="B2670" t="s">
        <v>23</v>
      </c>
      <c r="C2670" t="s">
        <v>271</v>
      </c>
      <c r="D2670">
        <v>150</v>
      </c>
      <c r="E2670">
        <v>1</v>
      </c>
      <c r="F2670">
        <v>2</v>
      </c>
      <c r="G2670" t="s">
        <v>175</v>
      </c>
      <c r="H2670">
        <v>10</v>
      </c>
      <c r="I2670">
        <v>55</v>
      </c>
      <c r="J2670">
        <v>57</v>
      </c>
      <c r="K2670">
        <v>2</v>
      </c>
      <c r="L2670">
        <v>162</v>
      </c>
      <c r="M2670">
        <v>49</v>
      </c>
      <c r="N2670">
        <v>1.5</v>
      </c>
      <c r="O2670">
        <v>2</v>
      </c>
      <c r="P2670">
        <v>10</v>
      </c>
      <c r="Q2670">
        <v>1</v>
      </c>
      <c r="R2670">
        <v>10</v>
      </c>
      <c r="S2670">
        <v>1</v>
      </c>
      <c r="T2670">
        <v>2</v>
      </c>
      <c r="U2670">
        <v>12.5</v>
      </c>
      <c r="V2670">
        <v>3660.1307189542486</v>
      </c>
      <c r="W2670">
        <v>1</v>
      </c>
    </row>
    <row r="2671" spans="1:23" x14ac:dyDescent="0.2">
      <c r="A2671">
        <v>2022</v>
      </c>
      <c r="B2671" t="s">
        <v>23</v>
      </c>
      <c r="C2671" t="s">
        <v>271</v>
      </c>
      <c r="D2671">
        <v>150</v>
      </c>
      <c r="E2671">
        <v>2</v>
      </c>
      <c r="F2671">
        <v>7</v>
      </c>
      <c r="G2671" t="s">
        <v>175</v>
      </c>
      <c r="H2671" s="3">
        <v>2</v>
      </c>
      <c r="I2671" s="3">
        <v>65</v>
      </c>
      <c r="J2671" s="3">
        <v>67</v>
      </c>
      <c r="K2671" s="3">
        <f>J2671-I2671</f>
        <v>2</v>
      </c>
      <c r="L2671" s="3">
        <v>53</v>
      </c>
      <c r="M2671" s="3">
        <v>30</v>
      </c>
      <c r="N2671" s="3">
        <v>4</v>
      </c>
      <c r="O2671" s="3">
        <v>5</v>
      </c>
      <c r="P2671" s="3">
        <v>1</v>
      </c>
      <c r="Q2671" s="4">
        <v>0.02</v>
      </c>
      <c r="R2671" s="3">
        <v>1</v>
      </c>
      <c r="S2671" s="3">
        <f>R2671/P2671</f>
        <v>1</v>
      </c>
      <c r="T2671" s="3">
        <v>5</v>
      </c>
      <c r="U2671" s="3">
        <v>12.5</v>
      </c>
      <c r="V2671" s="3">
        <v>73.202614379084977</v>
      </c>
      <c r="W2671" s="3">
        <v>8</v>
      </c>
    </row>
    <row r="2672" spans="1:23" x14ac:dyDescent="0.2">
      <c r="A2672">
        <v>2022</v>
      </c>
      <c r="B2672" t="s">
        <v>23</v>
      </c>
      <c r="C2672" t="s">
        <v>271</v>
      </c>
      <c r="D2672">
        <v>151</v>
      </c>
      <c r="E2672">
        <v>1</v>
      </c>
      <c r="F2672">
        <v>5</v>
      </c>
      <c r="G2672" t="s">
        <v>176</v>
      </c>
      <c r="H2672" s="1">
        <v>7</v>
      </c>
      <c r="I2672" s="1">
        <v>62</v>
      </c>
      <c r="J2672" s="1">
        <v>66</v>
      </c>
      <c r="K2672" s="1">
        <f>J2672-I2672</f>
        <v>4</v>
      </c>
      <c r="L2672" s="1">
        <v>208</v>
      </c>
      <c r="M2672" s="1">
        <v>98</v>
      </c>
      <c r="N2672" s="1">
        <v>2</v>
      </c>
      <c r="O2672" s="1">
        <v>3</v>
      </c>
      <c r="P2672" s="1">
        <v>6</v>
      </c>
      <c r="Q2672" s="2">
        <v>0.86860000000000004</v>
      </c>
      <c r="R2672" s="1">
        <v>6</v>
      </c>
      <c r="S2672" s="1">
        <f>R2672/P2672</f>
        <v>1</v>
      </c>
      <c r="T2672" s="1">
        <v>5</v>
      </c>
      <c r="U2672" s="1">
        <v>12.5</v>
      </c>
      <c r="V2672" s="1">
        <v>3179.1895424836603</v>
      </c>
      <c r="W2672" s="1">
        <v>3</v>
      </c>
    </row>
    <row r="2673" spans="1:23" x14ac:dyDescent="0.2">
      <c r="A2673">
        <v>2022</v>
      </c>
      <c r="B2673" t="s">
        <v>23</v>
      </c>
      <c r="C2673" t="s">
        <v>271</v>
      </c>
      <c r="D2673">
        <v>151</v>
      </c>
      <c r="E2673">
        <v>2</v>
      </c>
      <c r="F2673">
        <v>2</v>
      </c>
      <c r="G2673" t="s">
        <v>176</v>
      </c>
      <c r="H2673">
        <v>6</v>
      </c>
      <c r="I2673">
        <v>63</v>
      </c>
      <c r="J2673">
        <v>65</v>
      </c>
      <c r="K2673">
        <v>2</v>
      </c>
      <c r="L2673">
        <v>147</v>
      </c>
      <c r="M2673">
        <v>70</v>
      </c>
      <c r="N2673">
        <v>1.5</v>
      </c>
      <c r="O2673">
        <v>4</v>
      </c>
      <c r="P2673">
        <v>6</v>
      </c>
      <c r="Q2673">
        <v>0.6</v>
      </c>
      <c r="R2673">
        <v>7</v>
      </c>
      <c r="S2673">
        <v>1.1666666666666667</v>
      </c>
      <c r="T2673">
        <v>2.5</v>
      </c>
      <c r="U2673">
        <v>12.5</v>
      </c>
      <c r="V2673">
        <v>2196.0784313725489</v>
      </c>
      <c r="W2673">
        <v>1</v>
      </c>
    </row>
    <row r="2674" spans="1:23" x14ac:dyDescent="0.2">
      <c r="A2674">
        <v>2022</v>
      </c>
      <c r="B2674" t="s">
        <v>23</v>
      </c>
      <c r="C2674" t="s">
        <v>271</v>
      </c>
      <c r="D2674">
        <v>152</v>
      </c>
      <c r="E2674">
        <v>1</v>
      </c>
      <c r="F2674">
        <v>8</v>
      </c>
      <c r="G2674" t="s">
        <v>177</v>
      </c>
      <c r="H2674" s="1">
        <v>5</v>
      </c>
      <c r="I2674" s="1">
        <v>66</v>
      </c>
      <c r="J2674" s="1">
        <v>67</v>
      </c>
      <c r="K2674" s="1">
        <f t="shared" ref="K2674:K2684" si="130">J2674-I2674</f>
        <v>1</v>
      </c>
      <c r="L2674" s="1">
        <v>140</v>
      </c>
      <c r="M2674" s="1">
        <v>39</v>
      </c>
      <c r="N2674" s="1">
        <v>1.5</v>
      </c>
      <c r="O2674" s="1">
        <v>3.5</v>
      </c>
      <c r="P2674" s="1">
        <v>5</v>
      </c>
      <c r="Q2674" s="2">
        <v>0.36019999999999996</v>
      </c>
      <c r="R2674" s="1">
        <v>6</v>
      </c>
      <c r="S2674" s="1">
        <f t="shared" ref="S2674:S2684" si="131">R2674/P2674</f>
        <v>1.2</v>
      </c>
      <c r="T2674" s="1">
        <v>3</v>
      </c>
      <c r="U2674" s="1">
        <v>12.5</v>
      </c>
      <c r="V2674" s="1">
        <v>1318.3790849673203</v>
      </c>
      <c r="W2674" s="1">
        <v>3</v>
      </c>
    </row>
    <row r="2675" spans="1:23" x14ac:dyDescent="0.2">
      <c r="A2675">
        <v>2022</v>
      </c>
      <c r="B2675" t="s">
        <v>23</v>
      </c>
      <c r="C2675" t="s">
        <v>271</v>
      </c>
      <c r="D2675">
        <v>152</v>
      </c>
      <c r="E2675">
        <v>2</v>
      </c>
      <c r="F2675">
        <v>8</v>
      </c>
      <c r="G2675" t="s">
        <v>177</v>
      </c>
      <c r="H2675" s="1">
        <v>8</v>
      </c>
      <c r="I2675" s="1">
        <v>57</v>
      </c>
      <c r="J2675" s="1">
        <v>62</v>
      </c>
      <c r="K2675" s="1">
        <f t="shared" si="130"/>
        <v>5</v>
      </c>
      <c r="L2675" s="1">
        <v>177</v>
      </c>
      <c r="M2675" s="1">
        <v>87</v>
      </c>
      <c r="N2675" s="1">
        <v>1</v>
      </c>
      <c r="O2675" s="1">
        <v>2.5</v>
      </c>
      <c r="P2675" s="1">
        <v>8</v>
      </c>
      <c r="Q2675" s="2">
        <v>0.91979999999999995</v>
      </c>
      <c r="R2675" s="1">
        <v>6</v>
      </c>
      <c r="S2675" s="1">
        <f t="shared" si="131"/>
        <v>0.75</v>
      </c>
      <c r="T2675" s="1">
        <v>3</v>
      </c>
      <c r="U2675" s="1">
        <v>12.5</v>
      </c>
      <c r="V2675" s="1">
        <v>3366.5882352941176</v>
      </c>
      <c r="W2675" s="1">
        <v>4</v>
      </c>
    </row>
    <row r="2676" spans="1:23" x14ac:dyDescent="0.2">
      <c r="A2676">
        <v>2022</v>
      </c>
      <c r="B2676" t="s">
        <v>23</v>
      </c>
      <c r="C2676" t="s">
        <v>271</v>
      </c>
      <c r="D2676">
        <v>153</v>
      </c>
      <c r="E2676">
        <v>1</v>
      </c>
      <c r="F2676">
        <v>11</v>
      </c>
      <c r="G2676" t="s">
        <v>178</v>
      </c>
      <c r="H2676" s="1">
        <v>10</v>
      </c>
      <c r="I2676" s="1">
        <v>67</v>
      </c>
      <c r="J2676" s="1">
        <v>72</v>
      </c>
      <c r="K2676" s="1">
        <f t="shared" si="130"/>
        <v>5</v>
      </c>
      <c r="L2676" s="1">
        <v>95</v>
      </c>
      <c r="M2676" s="1">
        <v>35</v>
      </c>
      <c r="N2676" s="1">
        <v>1.5</v>
      </c>
      <c r="O2676" s="1">
        <v>5</v>
      </c>
      <c r="P2676" s="1">
        <v>3</v>
      </c>
      <c r="Q2676" s="2">
        <v>0.12</v>
      </c>
      <c r="R2676" s="1">
        <v>2</v>
      </c>
      <c r="S2676" s="1">
        <f t="shared" si="131"/>
        <v>0.66666666666666663</v>
      </c>
      <c r="T2676" s="1">
        <v>5</v>
      </c>
      <c r="U2676" s="1">
        <v>12.5</v>
      </c>
      <c r="V2676" s="1">
        <v>439.21568627450984</v>
      </c>
      <c r="W2676" s="1">
        <v>6</v>
      </c>
    </row>
    <row r="2677" spans="1:23" x14ac:dyDescent="0.2">
      <c r="A2677">
        <v>2022</v>
      </c>
      <c r="B2677" t="s">
        <v>23</v>
      </c>
      <c r="C2677" t="s">
        <v>271</v>
      </c>
      <c r="D2677">
        <v>153</v>
      </c>
      <c r="E2677">
        <v>2</v>
      </c>
      <c r="F2677">
        <v>5</v>
      </c>
      <c r="G2677" t="s">
        <v>178</v>
      </c>
      <c r="H2677" s="1">
        <v>12</v>
      </c>
      <c r="I2677" s="1">
        <v>64</v>
      </c>
      <c r="J2677" s="1">
        <v>69</v>
      </c>
      <c r="K2677" s="1">
        <f t="shared" si="130"/>
        <v>5</v>
      </c>
      <c r="L2677" s="1">
        <v>165</v>
      </c>
      <c r="M2677" s="1">
        <v>82</v>
      </c>
      <c r="N2677" s="1">
        <v>2</v>
      </c>
      <c r="O2677" s="1">
        <v>2</v>
      </c>
      <c r="P2677" s="1">
        <v>11</v>
      </c>
      <c r="Q2677" s="2">
        <v>1.365</v>
      </c>
      <c r="R2677" s="1">
        <v>11</v>
      </c>
      <c r="S2677" s="1">
        <f t="shared" si="131"/>
        <v>1</v>
      </c>
      <c r="T2677" s="1">
        <v>3</v>
      </c>
      <c r="U2677" s="1">
        <v>7.4</v>
      </c>
      <c r="V2677" s="1">
        <v>5287.2784313725479</v>
      </c>
      <c r="W2677" s="1">
        <v>4</v>
      </c>
    </row>
    <row r="2678" spans="1:23" x14ac:dyDescent="0.2">
      <c r="A2678">
        <v>2022</v>
      </c>
      <c r="B2678" t="s">
        <v>23</v>
      </c>
      <c r="C2678" t="s">
        <v>271</v>
      </c>
      <c r="D2678">
        <v>154</v>
      </c>
      <c r="E2678">
        <v>1</v>
      </c>
      <c r="F2678">
        <v>2</v>
      </c>
      <c r="G2678" t="s">
        <v>179</v>
      </c>
      <c r="H2678" s="1">
        <v>14</v>
      </c>
      <c r="I2678" s="1">
        <v>67</v>
      </c>
      <c r="J2678" s="1">
        <v>71</v>
      </c>
      <c r="K2678" s="1">
        <f t="shared" si="130"/>
        <v>4</v>
      </c>
      <c r="L2678" s="1">
        <v>181</v>
      </c>
      <c r="M2678" s="1">
        <v>80</v>
      </c>
      <c r="N2678" s="1">
        <v>3</v>
      </c>
      <c r="O2678" s="1">
        <v>3.5</v>
      </c>
      <c r="P2678" s="1">
        <f>H2678</f>
        <v>14</v>
      </c>
      <c r="Q2678" s="2">
        <v>0.29549999999999998</v>
      </c>
      <c r="R2678" s="1">
        <v>11</v>
      </c>
      <c r="S2678" s="1">
        <f t="shared" si="131"/>
        <v>0.7857142857142857</v>
      </c>
      <c r="T2678" s="1">
        <v>5</v>
      </c>
      <c r="U2678" s="1">
        <v>12.5</v>
      </c>
      <c r="V2678" s="1">
        <v>1081.5686274509803</v>
      </c>
      <c r="W2678" s="1">
        <v>4</v>
      </c>
    </row>
    <row r="2679" spans="1:23" x14ac:dyDescent="0.2">
      <c r="A2679">
        <v>2022</v>
      </c>
      <c r="B2679" t="s">
        <v>23</v>
      </c>
      <c r="C2679" t="s">
        <v>271</v>
      </c>
      <c r="D2679">
        <v>154</v>
      </c>
      <c r="E2679">
        <v>2</v>
      </c>
      <c r="F2679">
        <v>11</v>
      </c>
      <c r="G2679" t="s">
        <v>179</v>
      </c>
      <c r="H2679" s="1">
        <v>2</v>
      </c>
      <c r="I2679" s="1">
        <v>62</v>
      </c>
      <c r="J2679" s="1">
        <v>67</v>
      </c>
      <c r="K2679" s="1">
        <f t="shared" si="130"/>
        <v>5</v>
      </c>
      <c r="L2679" s="1">
        <v>57</v>
      </c>
      <c r="M2679" s="1">
        <v>58</v>
      </c>
      <c r="N2679" s="1">
        <v>2</v>
      </c>
      <c r="O2679" s="1">
        <v>2.5</v>
      </c>
      <c r="P2679" s="1">
        <v>2</v>
      </c>
      <c r="Q2679" s="2">
        <v>0.22237499999999999</v>
      </c>
      <c r="R2679" s="1">
        <v>2</v>
      </c>
      <c r="S2679" s="1">
        <f t="shared" si="131"/>
        <v>1</v>
      </c>
      <c r="T2679" s="1">
        <v>2</v>
      </c>
      <c r="U2679" s="1">
        <v>12.5</v>
      </c>
      <c r="V2679" s="1">
        <v>813.92156862745094</v>
      </c>
      <c r="W2679" s="1">
        <v>4</v>
      </c>
    </row>
    <row r="2680" spans="1:23" x14ac:dyDescent="0.2">
      <c r="A2680">
        <v>2022</v>
      </c>
      <c r="B2680" t="s">
        <v>23</v>
      </c>
      <c r="C2680" t="s">
        <v>271</v>
      </c>
      <c r="D2680">
        <v>155</v>
      </c>
      <c r="E2680">
        <v>1</v>
      </c>
      <c r="F2680">
        <v>2</v>
      </c>
      <c r="G2680" t="s">
        <v>180</v>
      </c>
      <c r="H2680" s="1">
        <v>8</v>
      </c>
      <c r="I2680" s="1">
        <v>61</v>
      </c>
      <c r="J2680" s="1">
        <v>66</v>
      </c>
      <c r="K2680" s="1">
        <f t="shared" si="130"/>
        <v>5</v>
      </c>
      <c r="L2680" s="1">
        <v>58</v>
      </c>
      <c r="M2680" s="1">
        <v>31</v>
      </c>
      <c r="N2680" s="1">
        <v>2.5</v>
      </c>
      <c r="O2680" s="1">
        <v>4.5</v>
      </c>
      <c r="P2680" s="1">
        <v>5</v>
      </c>
      <c r="Q2680" s="2">
        <v>9.5000000000000001E-2</v>
      </c>
      <c r="R2680" s="1">
        <v>4</v>
      </c>
      <c r="S2680" s="1">
        <f t="shared" si="131"/>
        <v>0.8</v>
      </c>
      <c r="T2680" s="1">
        <v>4</v>
      </c>
      <c r="U2680" s="1">
        <v>12.5</v>
      </c>
      <c r="V2680" s="1">
        <v>347.71241830065361</v>
      </c>
      <c r="W2680" s="1">
        <v>5</v>
      </c>
    </row>
    <row r="2681" spans="1:23" x14ac:dyDescent="0.2">
      <c r="A2681">
        <v>2022</v>
      </c>
      <c r="B2681" t="s">
        <v>23</v>
      </c>
      <c r="C2681" t="s">
        <v>271</v>
      </c>
      <c r="D2681">
        <v>155</v>
      </c>
      <c r="E2681">
        <v>2</v>
      </c>
      <c r="F2681">
        <v>5</v>
      </c>
      <c r="G2681" t="s">
        <v>180</v>
      </c>
      <c r="H2681" s="1">
        <v>7</v>
      </c>
      <c r="I2681" s="1">
        <v>65</v>
      </c>
      <c r="J2681" s="1">
        <v>67</v>
      </c>
      <c r="K2681" s="1">
        <f t="shared" si="130"/>
        <v>2</v>
      </c>
      <c r="L2681" s="1">
        <v>168</v>
      </c>
      <c r="M2681" s="1">
        <v>73</v>
      </c>
      <c r="N2681" s="1">
        <v>2</v>
      </c>
      <c r="O2681" s="1">
        <v>2.5</v>
      </c>
      <c r="P2681" s="1">
        <v>6</v>
      </c>
      <c r="Q2681" s="2">
        <v>0.53300000000000003</v>
      </c>
      <c r="R2681" s="1">
        <v>6</v>
      </c>
      <c r="S2681" s="1">
        <f t="shared" si="131"/>
        <v>1</v>
      </c>
      <c r="T2681" s="1">
        <v>3</v>
      </c>
      <c r="U2681" s="1">
        <v>12.5</v>
      </c>
      <c r="V2681" s="1">
        <v>1950.8496732026142</v>
      </c>
      <c r="W2681" s="1">
        <v>3</v>
      </c>
    </row>
    <row r="2682" spans="1:23" x14ac:dyDescent="0.2">
      <c r="A2682">
        <v>2022</v>
      </c>
      <c r="B2682" t="s">
        <v>23</v>
      </c>
      <c r="C2682" t="s">
        <v>271</v>
      </c>
      <c r="D2682">
        <v>156</v>
      </c>
      <c r="E2682">
        <v>1</v>
      </c>
      <c r="F2682">
        <v>8</v>
      </c>
      <c r="G2682" t="s">
        <v>181</v>
      </c>
      <c r="H2682" s="1">
        <v>11</v>
      </c>
      <c r="I2682" s="1">
        <v>57</v>
      </c>
      <c r="J2682" s="1">
        <v>61</v>
      </c>
      <c r="K2682" s="1">
        <f t="shared" si="130"/>
        <v>4</v>
      </c>
      <c r="L2682" s="1">
        <v>147</v>
      </c>
      <c r="M2682" s="1">
        <v>78</v>
      </c>
      <c r="N2682" s="1">
        <v>2</v>
      </c>
      <c r="O2682" s="1">
        <v>3.5</v>
      </c>
      <c r="P2682" s="1">
        <v>7</v>
      </c>
      <c r="Q2682" s="2">
        <v>5.9355000000000005E-2</v>
      </c>
      <c r="R2682" s="1">
        <v>8</v>
      </c>
      <c r="S2682" s="1">
        <f t="shared" si="131"/>
        <v>1.1428571428571428</v>
      </c>
      <c r="T2682" s="1">
        <v>5</v>
      </c>
      <c r="U2682" s="1">
        <v>12.5</v>
      </c>
      <c r="V2682" s="1">
        <v>217.24705882352944</v>
      </c>
      <c r="W2682" s="1">
        <v>6</v>
      </c>
    </row>
    <row r="2683" spans="1:23" x14ac:dyDescent="0.2">
      <c r="A2683">
        <v>2022</v>
      </c>
      <c r="B2683" t="s">
        <v>23</v>
      </c>
      <c r="C2683" t="s">
        <v>271</v>
      </c>
      <c r="D2683">
        <v>156</v>
      </c>
      <c r="E2683">
        <v>2</v>
      </c>
      <c r="F2683">
        <v>3</v>
      </c>
      <c r="G2683" t="s">
        <v>181</v>
      </c>
      <c r="H2683" s="1">
        <v>10</v>
      </c>
      <c r="I2683" s="1">
        <v>67</v>
      </c>
      <c r="J2683" s="1">
        <v>72</v>
      </c>
      <c r="K2683" s="1">
        <f t="shared" si="130"/>
        <v>5</v>
      </c>
      <c r="L2683" s="1">
        <v>95</v>
      </c>
      <c r="M2683" s="1">
        <v>35</v>
      </c>
      <c r="N2683" s="1">
        <v>1.5</v>
      </c>
      <c r="O2683" s="1">
        <v>5</v>
      </c>
      <c r="P2683" s="1">
        <v>3</v>
      </c>
      <c r="Q2683" s="2">
        <v>0.12</v>
      </c>
      <c r="R2683" s="1">
        <v>2</v>
      </c>
      <c r="S2683" s="1">
        <f t="shared" si="131"/>
        <v>0.66666666666666663</v>
      </c>
      <c r="T2683" s="1">
        <v>5</v>
      </c>
      <c r="U2683" s="1">
        <v>12.5</v>
      </c>
      <c r="V2683" s="1">
        <v>439.21568627450984</v>
      </c>
      <c r="W2683" s="1">
        <v>6</v>
      </c>
    </row>
    <row r="2684" spans="1:23" x14ac:dyDescent="0.2">
      <c r="A2684">
        <v>2022</v>
      </c>
      <c r="B2684" t="s">
        <v>23</v>
      </c>
      <c r="C2684" t="s">
        <v>271</v>
      </c>
      <c r="D2684">
        <v>157</v>
      </c>
      <c r="E2684">
        <v>1</v>
      </c>
      <c r="F2684">
        <v>9</v>
      </c>
      <c r="G2684" t="s">
        <v>182</v>
      </c>
      <c r="H2684" s="1">
        <v>13</v>
      </c>
      <c r="I2684" s="1">
        <v>65</v>
      </c>
      <c r="J2684" s="1">
        <v>70</v>
      </c>
      <c r="K2684" s="1">
        <f t="shared" si="130"/>
        <v>5</v>
      </c>
      <c r="L2684" s="1">
        <v>133</v>
      </c>
      <c r="M2684" s="1">
        <v>87</v>
      </c>
      <c r="N2684" s="1">
        <v>2</v>
      </c>
      <c r="O2684" s="1">
        <v>2.5</v>
      </c>
      <c r="P2684" s="1">
        <f>H2684</f>
        <v>13</v>
      </c>
      <c r="Q2684" s="2">
        <v>0.32324999999999998</v>
      </c>
      <c r="R2684" s="1">
        <v>10</v>
      </c>
      <c r="S2684" s="1">
        <f t="shared" si="131"/>
        <v>0.76923076923076927</v>
      </c>
      <c r="T2684" s="1">
        <v>2</v>
      </c>
      <c r="U2684" s="1">
        <v>12.5</v>
      </c>
      <c r="V2684" s="1">
        <v>1183.1372549019607</v>
      </c>
      <c r="W2684" s="1">
        <v>3</v>
      </c>
    </row>
    <row r="2685" spans="1:23" x14ac:dyDescent="0.2">
      <c r="A2685">
        <v>2022</v>
      </c>
      <c r="B2685" t="s">
        <v>23</v>
      </c>
      <c r="C2685" t="s">
        <v>271</v>
      </c>
      <c r="D2685">
        <v>157</v>
      </c>
      <c r="E2685">
        <v>2</v>
      </c>
      <c r="F2685">
        <v>13</v>
      </c>
      <c r="G2685" t="s">
        <v>182</v>
      </c>
      <c r="H2685">
        <v>3</v>
      </c>
      <c r="I2685">
        <v>53</v>
      </c>
      <c r="J2685">
        <v>59</v>
      </c>
      <c r="K2685">
        <v>6</v>
      </c>
      <c r="L2685">
        <v>67</v>
      </c>
      <c r="M2685">
        <v>20</v>
      </c>
      <c r="N2685">
        <v>4</v>
      </c>
      <c r="O2685">
        <v>5</v>
      </c>
      <c r="P2685">
        <v>3</v>
      </c>
      <c r="Q2685">
        <v>0.184</v>
      </c>
      <c r="R2685">
        <v>2</v>
      </c>
      <c r="S2685">
        <v>0.66666666666666663</v>
      </c>
      <c r="T2685">
        <v>3</v>
      </c>
      <c r="U2685">
        <v>12.5</v>
      </c>
      <c r="V2685">
        <v>673.46405228758169</v>
      </c>
      <c r="W2685">
        <v>1</v>
      </c>
    </row>
    <row r="2686" spans="1:23" x14ac:dyDescent="0.2">
      <c r="A2686">
        <v>2022</v>
      </c>
      <c r="B2686" t="s">
        <v>23</v>
      </c>
      <c r="C2686" t="s">
        <v>271</v>
      </c>
      <c r="D2686">
        <v>158</v>
      </c>
      <c r="E2686">
        <v>1</v>
      </c>
      <c r="F2686">
        <v>5</v>
      </c>
      <c r="G2686" t="s">
        <v>183</v>
      </c>
      <c r="H2686">
        <v>6</v>
      </c>
      <c r="I2686">
        <v>55</v>
      </c>
      <c r="J2686">
        <v>56</v>
      </c>
      <c r="K2686">
        <v>1</v>
      </c>
      <c r="L2686">
        <v>184</v>
      </c>
      <c r="M2686">
        <v>49</v>
      </c>
      <c r="N2686">
        <v>1</v>
      </c>
      <c r="O2686">
        <v>2</v>
      </c>
      <c r="P2686">
        <v>6</v>
      </c>
      <c r="Q2686">
        <v>0.222</v>
      </c>
      <c r="R2686">
        <v>6</v>
      </c>
      <c r="S2686">
        <v>1</v>
      </c>
      <c r="T2686">
        <v>3</v>
      </c>
      <c r="U2686">
        <v>12.5</v>
      </c>
      <c r="V2686">
        <v>812.54901960784309</v>
      </c>
      <c r="W2686">
        <v>1</v>
      </c>
    </row>
    <row r="2687" spans="1:23" x14ac:dyDescent="0.2">
      <c r="A2687">
        <v>2022</v>
      </c>
      <c r="B2687" t="s">
        <v>23</v>
      </c>
      <c r="C2687" t="s">
        <v>271</v>
      </c>
      <c r="D2687">
        <v>158</v>
      </c>
      <c r="E2687">
        <v>2</v>
      </c>
      <c r="F2687">
        <v>5</v>
      </c>
      <c r="G2687" t="s">
        <v>183</v>
      </c>
      <c r="H2687">
        <v>4</v>
      </c>
      <c r="I2687">
        <v>55</v>
      </c>
      <c r="J2687">
        <v>58</v>
      </c>
      <c r="K2687">
        <v>3</v>
      </c>
      <c r="L2687">
        <v>71</v>
      </c>
      <c r="M2687">
        <v>15</v>
      </c>
      <c r="N2687">
        <v>4</v>
      </c>
      <c r="O2687">
        <v>5</v>
      </c>
      <c r="P2687">
        <v>4</v>
      </c>
      <c r="Q2687">
        <v>0.5</v>
      </c>
      <c r="R2687">
        <v>4</v>
      </c>
      <c r="S2687">
        <v>1</v>
      </c>
      <c r="T2687">
        <v>4</v>
      </c>
      <c r="U2687">
        <v>12.5</v>
      </c>
      <c r="V2687">
        <v>1830.0653594771243</v>
      </c>
      <c r="W2687">
        <v>1</v>
      </c>
    </row>
    <row r="2688" spans="1:23" x14ac:dyDescent="0.2">
      <c r="A2688">
        <v>2022</v>
      </c>
      <c r="B2688" t="s">
        <v>23</v>
      </c>
      <c r="C2688" t="s">
        <v>271</v>
      </c>
      <c r="D2688">
        <v>159</v>
      </c>
      <c r="E2688">
        <v>1</v>
      </c>
      <c r="F2688">
        <v>9</v>
      </c>
      <c r="G2688" t="s">
        <v>184</v>
      </c>
      <c r="H2688" s="1">
        <v>12</v>
      </c>
      <c r="I2688" s="1">
        <v>60</v>
      </c>
      <c r="J2688" s="1">
        <v>63</v>
      </c>
      <c r="K2688" s="1">
        <f>J2688-I2688</f>
        <v>3</v>
      </c>
      <c r="L2688" s="1">
        <v>73</v>
      </c>
      <c r="M2688" s="1">
        <v>33</v>
      </c>
      <c r="N2688" s="1">
        <v>2</v>
      </c>
      <c r="O2688" s="1">
        <v>2.5</v>
      </c>
      <c r="P2688" s="1">
        <f>H2688</f>
        <v>12</v>
      </c>
      <c r="Q2688" s="2">
        <v>0.15375</v>
      </c>
      <c r="R2688" s="1">
        <v>8</v>
      </c>
      <c r="S2688" s="1">
        <f>R2688/P2688</f>
        <v>0.66666666666666663</v>
      </c>
      <c r="T2688" s="1">
        <v>2</v>
      </c>
      <c r="U2688" s="1">
        <v>12.5</v>
      </c>
      <c r="V2688" s="1">
        <v>562.74509803921569</v>
      </c>
      <c r="W2688" s="1">
        <v>4</v>
      </c>
    </row>
    <row r="2689" spans="1:23" x14ac:dyDescent="0.2">
      <c r="A2689">
        <v>2022</v>
      </c>
      <c r="B2689" t="s">
        <v>23</v>
      </c>
      <c r="C2689" t="s">
        <v>271</v>
      </c>
      <c r="D2689">
        <v>159</v>
      </c>
      <c r="E2689">
        <v>2</v>
      </c>
      <c r="F2689">
        <v>12</v>
      </c>
      <c r="G2689" t="s">
        <v>184</v>
      </c>
      <c r="H2689">
        <v>15</v>
      </c>
      <c r="I2689">
        <v>50</v>
      </c>
      <c r="J2689">
        <v>55</v>
      </c>
      <c r="K2689">
        <v>5</v>
      </c>
      <c r="L2689">
        <v>139</v>
      </c>
      <c r="M2689">
        <v>64</v>
      </c>
      <c r="N2689">
        <v>2</v>
      </c>
      <c r="O2689">
        <v>1.5</v>
      </c>
      <c r="P2689">
        <v>8</v>
      </c>
      <c r="Q2689">
        <v>0.5</v>
      </c>
      <c r="R2689">
        <v>6</v>
      </c>
      <c r="S2689">
        <v>0.75</v>
      </c>
      <c r="T2689">
        <v>3</v>
      </c>
      <c r="U2689">
        <v>8.6999999999999993</v>
      </c>
      <c r="V2689">
        <v>1909.5424836601305</v>
      </c>
      <c r="W2689">
        <v>2</v>
      </c>
    </row>
    <row r="2690" spans="1:23" x14ac:dyDescent="0.2">
      <c r="A2690">
        <v>2022</v>
      </c>
      <c r="B2690" t="s">
        <v>23</v>
      </c>
      <c r="C2690" t="s">
        <v>271</v>
      </c>
      <c r="D2690">
        <v>160</v>
      </c>
      <c r="E2690">
        <v>1</v>
      </c>
      <c r="F2690">
        <v>15</v>
      </c>
      <c r="G2690" t="s">
        <v>185</v>
      </c>
      <c r="H2690" s="1">
        <v>4</v>
      </c>
      <c r="I2690" s="1">
        <v>68</v>
      </c>
      <c r="J2690" s="1">
        <v>71</v>
      </c>
      <c r="K2690" s="1">
        <f>J2690-I2690</f>
        <v>3</v>
      </c>
      <c r="L2690" s="1">
        <v>125</v>
      </c>
      <c r="M2690" s="1">
        <v>47</v>
      </c>
      <c r="N2690" s="1">
        <v>4</v>
      </c>
      <c r="O2690" s="1">
        <v>5</v>
      </c>
      <c r="P2690" s="1">
        <v>1</v>
      </c>
      <c r="Q2690" s="2">
        <v>6.3E-2</v>
      </c>
      <c r="R2690" s="1">
        <v>1</v>
      </c>
      <c r="S2690" s="1">
        <f>R2690/P2690</f>
        <v>1</v>
      </c>
      <c r="T2690" s="1">
        <v>5</v>
      </c>
      <c r="U2690" s="1">
        <v>12.5</v>
      </c>
      <c r="V2690" s="1">
        <v>230.58823529411768</v>
      </c>
      <c r="W2690" s="1">
        <v>6</v>
      </c>
    </row>
    <row r="2691" spans="1:23" x14ac:dyDescent="0.2">
      <c r="A2691">
        <v>2022</v>
      </c>
      <c r="B2691" t="s">
        <v>23</v>
      </c>
      <c r="C2691" t="s">
        <v>271</v>
      </c>
      <c r="D2691">
        <v>160</v>
      </c>
      <c r="E2691">
        <v>2</v>
      </c>
      <c r="F2691">
        <v>4</v>
      </c>
      <c r="G2691" t="s">
        <v>185</v>
      </c>
      <c r="H2691" s="1">
        <v>10</v>
      </c>
      <c r="I2691" s="1">
        <v>64</v>
      </c>
      <c r="J2691" s="1">
        <v>69</v>
      </c>
      <c r="K2691" s="1">
        <f>J2691-I2691</f>
        <v>5</v>
      </c>
      <c r="L2691" s="1">
        <v>102</v>
      </c>
      <c r="M2691" s="1">
        <v>46</v>
      </c>
      <c r="N2691" s="1">
        <v>2</v>
      </c>
      <c r="O2691" s="1">
        <v>4</v>
      </c>
      <c r="P2691" s="1">
        <v>8</v>
      </c>
      <c r="Q2691" s="2">
        <v>0.38800000000000001</v>
      </c>
      <c r="R2691" s="1">
        <v>5</v>
      </c>
      <c r="S2691" s="1">
        <f>R2691/P2691</f>
        <v>0.625</v>
      </c>
      <c r="T2691" s="1">
        <v>4</v>
      </c>
      <c r="U2691" s="1">
        <v>12.5</v>
      </c>
      <c r="V2691" s="1">
        <v>1420.1307189542486</v>
      </c>
      <c r="W2691" s="1">
        <v>4</v>
      </c>
    </row>
    <row r="2692" spans="1:23" x14ac:dyDescent="0.2">
      <c r="A2692">
        <v>2022</v>
      </c>
      <c r="B2692" t="s">
        <v>23</v>
      </c>
      <c r="C2692" t="s">
        <v>271</v>
      </c>
      <c r="D2692">
        <v>161</v>
      </c>
      <c r="E2692">
        <v>1</v>
      </c>
      <c r="F2692">
        <v>3</v>
      </c>
      <c r="G2692" t="s">
        <v>186</v>
      </c>
      <c r="H2692">
        <v>4</v>
      </c>
      <c r="I2692">
        <v>59</v>
      </c>
      <c r="J2692">
        <v>62</v>
      </c>
      <c r="K2692">
        <v>3</v>
      </c>
      <c r="L2692">
        <v>175</v>
      </c>
      <c r="M2692">
        <v>90</v>
      </c>
      <c r="N2692">
        <v>1.5</v>
      </c>
      <c r="O2692">
        <v>2</v>
      </c>
      <c r="P2692">
        <v>4</v>
      </c>
      <c r="Q2692">
        <v>0.5</v>
      </c>
      <c r="R2692">
        <v>4</v>
      </c>
      <c r="S2692">
        <v>1</v>
      </c>
      <c r="T2692">
        <v>2.5</v>
      </c>
      <c r="U2692">
        <v>12.5</v>
      </c>
      <c r="V2692">
        <v>1830.0653594771243</v>
      </c>
      <c r="W2692">
        <v>1</v>
      </c>
    </row>
    <row r="2693" spans="1:23" x14ac:dyDescent="0.2">
      <c r="A2693">
        <v>2022</v>
      </c>
      <c r="B2693" t="s">
        <v>23</v>
      </c>
      <c r="C2693" t="s">
        <v>271</v>
      </c>
      <c r="D2693">
        <v>161</v>
      </c>
      <c r="E2693">
        <v>2</v>
      </c>
      <c r="F2693">
        <v>13</v>
      </c>
      <c r="G2693" t="s">
        <v>186</v>
      </c>
      <c r="H2693">
        <v>11</v>
      </c>
      <c r="I2693">
        <v>56</v>
      </c>
      <c r="J2693">
        <v>59</v>
      </c>
      <c r="K2693">
        <v>3</v>
      </c>
      <c r="L2693">
        <v>130</v>
      </c>
      <c r="M2693">
        <v>67</v>
      </c>
      <c r="N2693">
        <v>2</v>
      </c>
      <c r="O2693">
        <v>2</v>
      </c>
      <c r="P2693">
        <v>10</v>
      </c>
      <c r="Q2693">
        <v>2.5</v>
      </c>
      <c r="R2693">
        <v>13</v>
      </c>
      <c r="S2693">
        <v>1.3</v>
      </c>
      <c r="T2693">
        <v>2</v>
      </c>
      <c r="U2693">
        <v>12.5</v>
      </c>
      <c r="V2693">
        <v>9150.32679738562</v>
      </c>
      <c r="W2693">
        <v>2</v>
      </c>
    </row>
    <row r="2694" spans="1:23" x14ac:dyDescent="0.2">
      <c r="A2694">
        <v>2022</v>
      </c>
      <c r="B2694" t="s">
        <v>23</v>
      </c>
      <c r="C2694" t="s">
        <v>271</v>
      </c>
      <c r="D2694">
        <v>162</v>
      </c>
      <c r="E2694">
        <v>1</v>
      </c>
      <c r="F2694">
        <v>10</v>
      </c>
      <c r="G2694" t="s">
        <v>187</v>
      </c>
      <c r="H2694" s="1">
        <v>14</v>
      </c>
      <c r="I2694" s="1">
        <v>68</v>
      </c>
      <c r="J2694" s="1">
        <v>70</v>
      </c>
      <c r="K2694" s="1">
        <f>J2694-I2694</f>
        <v>2</v>
      </c>
      <c r="L2694" s="1">
        <v>127</v>
      </c>
      <c r="M2694" s="1">
        <v>70</v>
      </c>
      <c r="N2694" s="1">
        <v>2</v>
      </c>
      <c r="O2694" s="1">
        <v>3.5</v>
      </c>
      <c r="P2694" s="1">
        <f>H2694</f>
        <v>14</v>
      </c>
      <c r="Q2694" s="2">
        <v>0.47849999999999998</v>
      </c>
      <c r="R2694" s="1">
        <v>10</v>
      </c>
      <c r="S2694" s="1">
        <f>R2694/P2694</f>
        <v>0.7142857142857143</v>
      </c>
      <c r="T2694" s="1">
        <v>5</v>
      </c>
      <c r="U2694" s="1">
        <v>12.5</v>
      </c>
      <c r="V2694" s="1">
        <v>1751.3725490196077</v>
      </c>
      <c r="W2694" s="1">
        <v>4</v>
      </c>
    </row>
    <row r="2695" spans="1:23" x14ac:dyDescent="0.2">
      <c r="A2695">
        <v>2022</v>
      </c>
      <c r="B2695" t="s">
        <v>23</v>
      </c>
      <c r="C2695" t="s">
        <v>271</v>
      </c>
      <c r="D2695">
        <v>162</v>
      </c>
      <c r="E2695">
        <v>2</v>
      </c>
      <c r="F2695">
        <v>2</v>
      </c>
      <c r="G2695" t="s">
        <v>187</v>
      </c>
      <c r="H2695" s="1">
        <v>12</v>
      </c>
      <c r="I2695" s="1">
        <v>66</v>
      </c>
      <c r="J2695" s="1">
        <v>67</v>
      </c>
      <c r="K2695" s="1">
        <f>J2695-I2695</f>
        <v>1</v>
      </c>
      <c r="L2695" s="1">
        <v>110</v>
      </c>
      <c r="M2695" s="1">
        <v>65</v>
      </c>
      <c r="N2695" s="1">
        <v>3</v>
      </c>
      <c r="O2695" s="1">
        <v>3.5</v>
      </c>
      <c r="P2695" s="1">
        <f>H2695-2</f>
        <v>10</v>
      </c>
      <c r="Q2695" s="2">
        <v>0.24074999999999999</v>
      </c>
      <c r="R2695" s="1">
        <v>10</v>
      </c>
      <c r="S2695" s="1">
        <f>R2695/P2695</f>
        <v>1</v>
      </c>
      <c r="T2695" s="1">
        <v>5</v>
      </c>
      <c r="U2695" s="1">
        <v>12.5</v>
      </c>
      <c r="V2695" s="1">
        <v>881.17647058823536</v>
      </c>
      <c r="W2695" s="1">
        <v>5</v>
      </c>
    </row>
    <row r="2696" spans="1:23" x14ac:dyDescent="0.2">
      <c r="A2696">
        <v>2022</v>
      </c>
      <c r="B2696" t="s">
        <v>23</v>
      </c>
      <c r="C2696" t="s">
        <v>271</v>
      </c>
      <c r="D2696">
        <v>163</v>
      </c>
      <c r="E2696">
        <v>1</v>
      </c>
      <c r="F2696">
        <v>15</v>
      </c>
      <c r="G2696" t="s">
        <v>188</v>
      </c>
      <c r="H2696" s="1">
        <v>6</v>
      </c>
      <c r="I2696" s="1">
        <v>63</v>
      </c>
      <c r="J2696" s="1">
        <v>68</v>
      </c>
      <c r="K2696" s="1">
        <f>J2696-I2696</f>
        <v>5</v>
      </c>
      <c r="L2696" s="1">
        <v>147</v>
      </c>
      <c r="M2696" s="1">
        <v>41</v>
      </c>
      <c r="N2696" s="1">
        <v>2</v>
      </c>
      <c r="O2696" s="1">
        <v>4</v>
      </c>
      <c r="P2696" s="1">
        <v>6</v>
      </c>
      <c r="Q2696" s="2">
        <v>0.28599999999999998</v>
      </c>
      <c r="R2696" s="1">
        <v>6</v>
      </c>
      <c r="S2696" s="1">
        <f>R2696/P2696</f>
        <v>1</v>
      </c>
      <c r="T2696" s="1">
        <v>4</v>
      </c>
      <c r="U2696" s="1">
        <v>12.5</v>
      </c>
      <c r="V2696" s="1">
        <v>1046.7973856209151</v>
      </c>
      <c r="W2696" s="1">
        <v>2</v>
      </c>
    </row>
    <row r="2697" spans="1:23" x14ac:dyDescent="0.2">
      <c r="A2697">
        <v>2022</v>
      </c>
      <c r="B2697" t="s">
        <v>23</v>
      </c>
      <c r="C2697" t="s">
        <v>271</v>
      </c>
      <c r="D2697">
        <v>163</v>
      </c>
      <c r="E2697">
        <v>2</v>
      </c>
      <c r="F2697">
        <v>8</v>
      </c>
      <c r="G2697" t="s">
        <v>188</v>
      </c>
      <c r="H2697" s="1">
        <v>6</v>
      </c>
      <c r="I2697" s="1">
        <v>64</v>
      </c>
      <c r="J2697" s="1">
        <v>67</v>
      </c>
      <c r="K2697" s="1">
        <f>J2697-I2697</f>
        <v>3</v>
      </c>
      <c r="L2697" s="1">
        <v>202</v>
      </c>
      <c r="M2697" s="1">
        <v>100</v>
      </c>
      <c r="N2697" s="1">
        <v>2.5</v>
      </c>
      <c r="O2697" s="1">
        <v>3.5</v>
      </c>
      <c r="P2697" s="1">
        <v>4</v>
      </c>
      <c r="Q2697" s="2">
        <v>0.317</v>
      </c>
      <c r="R2697" s="1">
        <v>4</v>
      </c>
      <c r="S2697" s="1">
        <f>R2697/P2697</f>
        <v>1</v>
      </c>
      <c r="T2697" s="1">
        <v>2.5</v>
      </c>
      <c r="U2697" s="1">
        <v>12.5</v>
      </c>
      <c r="V2697" s="1">
        <v>1160.2614379084966</v>
      </c>
      <c r="W2697" s="1">
        <v>3</v>
      </c>
    </row>
    <row r="2698" spans="1:23" x14ac:dyDescent="0.2">
      <c r="A2698">
        <v>2022</v>
      </c>
      <c r="B2698" t="s">
        <v>23</v>
      </c>
      <c r="C2698" t="s">
        <v>271</v>
      </c>
      <c r="D2698">
        <v>164</v>
      </c>
      <c r="E2698">
        <v>1</v>
      </c>
      <c r="F2698">
        <v>10</v>
      </c>
      <c r="G2698" t="s">
        <v>189</v>
      </c>
      <c r="H2698" s="1">
        <v>12</v>
      </c>
      <c r="I2698" s="1">
        <v>66</v>
      </c>
      <c r="J2698" s="1">
        <v>71</v>
      </c>
      <c r="K2698" s="1">
        <f>J2698-I2698</f>
        <v>5</v>
      </c>
      <c r="L2698" s="1">
        <v>81</v>
      </c>
      <c r="M2698" s="1">
        <v>26</v>
      </c>
      <c r="N2698" s="1">
        <v>3</v>
      </c>
      <c r="O2698" s="1">
        <v>4.5</v>
      </c>
      <c r="P2698" s="1">
        <v>7</v>
      </c>
      <c r="Q2698" s="2">
        <v>0.108</v>
      </c>
      <c r="R2698" s="1">
        <v>5</v>
      </c>
      <c r="S2698" s="1">
        <f>R2698/P2698</f>
        <v>0.7142857142857143</v>
      </c>
      <c r="T2698" s="1">
        <v>5</v>
      </c>
      <c r="U2698" s="1">
        <v>12.5</v>
      </c>
      <c r="V2698" s="1">
        <v>395.29411764705878</v>
      </c>
      <c r="W2698" s="1">
        <v>6</v>
      </c>
    </row>
    <row r="2699" spans="1:23" x14ac:dyDescent="0.2">
      <c r="A2699">
        <v>2022</v>
      </c>
      <c r="B2699" t="s">
        <v>23</v>
      </c>
      <c r="C2699" t="s">
        <v>271</v>
      </c>
      <c r="D2699">
        <v>164</v>
      </c>
      <c r="E2699">
        <v>2</v>
      </c>
      <c r="F2699">
        <v>14</v>
      </c>
      <c r="G2699" t="s">
        <v>189</v>
      </c>
      <c r="H2699">
        <v>4</v>
      </c>
      <c r="I2699">
        <v>57</v>
      </c>
      <c r="J2699">
        <v>62</v>
      </c>
      <c r="K2699">
        <v>5</v>
      </c>
      <c r="L2699">
        <v>167</v>
      </c>
      <c r="M2699">
        <v>46</v>
      </c>
      <c r="N2699">
        <v>2</v>
      </c>
      <c r="O2699">
        <v>5</v>
      </c>
      <c r="P2699">
        <v>4</v>
      </c>
      <c r="Q2699">
        <v>6.2E-2</v>
      </c>
      <c r="R2699">
        <v>1</v>
      </c>
      <c r="S2699">
        <v>0.25</v>
      </c>
      <c r="T2699">
        <v>2</v>
      </c>
      <c r="U2699">
        <v>12.5</v>
      </c>
      <c r="V2699">
        <v>226.92810457516339</v>
      </c>
      <c r="W2699">
        <v>1</v>
      </c>
    </row>
    <row r="2700" spans="1:23" x14ac:dyDescent="0.2">
      <c r="A2700">
        <v>2022</v>
      </c>
      <c r="B2700" t="s">
        <v>23</v>
      </c>
      <c r="C2700" t="s">
        <v>271</v>
      </c>
      <c r="D2700">
        <v>165</v>
      </c>
      <c r="E2700">
        <v>1</v>
      </c>
      <c r="F2700">
        <v>10</v>
      </c>
      <c r="G2700" t="s">
        <v>190</v>
      </c>
      <c r="H2700">
        <v>6</v>
      </c>
      <c r="I2700">
        <v>64</v>
      </c>
      <c r="J2700">
        <v>67</v>
      </c>
      <c r="K2700">
        <v>3</v>
      </c>
      <c r="L2700">
        <v>134</v>
      </c>
      <c r="M2700">
        <v>55</v>
      </c>
      <c r="N2700">
        <v>2</v>
      </c>
      <c r="O2700">
        <v>3</v>
      </c>
      <c r="P2700">
        <v>6</v>
      </c>
      <c r="Q2700">
        <v>0.3</v>
      </c>
      <c r="R2700">
        <v>6</v>
      </c>
      <c r="S2700">
        <v>1</v>
      </c>
      <c r="T2700">
        <v>3</v>
      </c>
      <c r="U2700">
        <v>12.5</v>
      </c>
      <c r="V2700">
        <v>1098.0392156862745</v>
      </c>
      <c r="W2700">
        <v>2</v>
      </c>
    </row>
    <row r="2701" spans="1:23" x14ac:dyDescent="0.2">
      <c r="A2701">
        <v>2022</v>
      </c>
      <c r="B2701" t="s">
        <v>23</v>
      </c>
      <c r="C2701" t="s">
        <v>271</v>
      </c>
      <c r="D2701">
        <v>165</v>
      </c>
      <c r="E2701">
        <v>2</v>
      </c>
      <c r="F2701">
        <v>1</v>
      </c>
      <c r="G2701" t="s">
        <v>190</v>
      </c>
      <c r="H2701" s="1">
        <v>8</v>
      </c>
      <c r="I2701" s="1">
        <v>59</v>
      </c>
      <c r="J2701" s="1">
        <v>64</v>
      </c>
      <c r="K2701" s="1">
        <f>J2701-I2701</f>
        <v>5</v>
      </c>
      <c r="L2701" s="1">
        <v>177</v>
      </c>
      <c r="M2701" s="1">
        <v>102</v>
      </c>
      <c r="N2701" s="1">
        <v>2</v>
      </c>
      <c r="O2701" s="1">
        <v>2.5</v>
      </c>
      <c r="P2701" s="1">
        <v>8</v>
      </c>
      <c r="Q2701" s="2">
        <v>1.2002000000000002</v>
      </c>
      <c r="R2701" s="1">
        <v>8</v>
      </c>
      <c r="S2701" s="1">
        <f>R2701/P2701</f>
        <v>1</v>
      </c>
      <c r="T2701" s="1">
        <v>2</v>
      </c>
      <c r="U2701" s="1">
        <v>9.6</v>
      </c>
      <c r="V2701" s="1">
        <v>4538.481777777778</v>
      </c>
      <c r="W2701" s="1">
        <v>4</v>
      </c>
    </row>
    <row r="2702" spans="1:23" x14ac:dyDescent="0.2">
      <c r="A2702">
        <v>2022</v>
      </c>
      <c r="B2702" t="s">
        <v>23</v>
      </c>
      <c r="C2702" t="s">
        <v>271</v>
      </c>
      <c r="D2702">
        <v>166</v>
      </c>
      <c r="E2702">
        <v>1</v>
      </c>
      <c r="F2702">
        <v>2</v>
      </c>
      <c r="G2702" t="s">
        <v>191</v>
      </c>
      <c r="H2702" s="1">
        <v>8</v>
      </c>
      <c r="I2702" s="1">
        <v>62</v>
      </c>
      <c r="J2702" s="1">
        <v>68</v>
      </c>
      <c r="K2702" s="1">
        <f>J2702-I2702</f>
        <v>6</v>
      </c>
      <c r="L2702" s="1">
        <v>181</v>
      </c>
      <c r="M2702" s="1">
        <v>110</v>
      </c>
      <c r="N2702" s="1">
        <v>2</v>
      </c>
      <c r="O2702" s="1">
        <v>2.5</v>
      </c>
      <c r="P2702" s="1">
        <v>8</v>
      </c>
      <c r="Q2702" s="2">
        <v>0.26550000000000001</v>
      </c>
      <c r="R2702" s="1">
        <v>8</v>
      </c>
      <c r="S2702" s="1">
        <f>R2702/P2702</f>
        <v>1</v>
      </c>
      <c r="T2702" s="1">
        <v>3</v>
      </c>
      <c r="U2702" s="1">
        <v>12.5</v>
      </c>
      <c r="V2702" s="1">
        <v>971.76470588235316</v>
      </c>
      <c r="W2702" s="1">
        <v>4</v>
      </c>
    </row>
    <row r="2703" spans="1:23" x14ac:dyDescent="0.2">
      <c r="A2703">
        <v>2022</v>
      </c>
      <c r="B2703" t="s">
        <v>23</v>
      </c>
      <c r="C2703" t="s">
        <v>271</v>
      </c>
      <c r="D2703">
        <v>166</v>
      </c>
      <c r="E2703">
        <v>2</v>
      </c>
      <c r="F2703">
        <v>1</v>
      </c>
      <c r="G2703" t="s">
        <v>191</v>
      </c>
      <c r="H2703">
        <v>6</v>
      </c>
      <c r="I2703">
        <v>64</v>
      </c>
      <c r="J2703">
        <v>67</v>
      </c>
      <c r="K2703">
        <v>3</v>
      </c>
      <c r="L2703">
        <v>147</v>
      </c>
      <c r="M2703">
        <v>75</v>
      </c>
      <c r="N2703">
        <v>2</v>
      </c>
      <c r="O2703">
        <v>3</v>
      </c>
      <c r="P2703">
        <v>6</v>
      </c>
      <c r="Q2703">
        <v>0.5</v>
      </c>
      <c r="R2703">
        <v>6</v>
      </c>
      <c r="S2703">
        <v>1</v>
      </c>
      <c r="T2703">
        <v>3</v>
      </c>
      <c r="U2703">
        <v>12.5</v>
      </c>
      <c r="V2703">
        <v>1830.0653594771243</v>
      </c>
      <c r="W2703">
        <v>1</v>
      </c>
    </row>
    <row r="2704" spans="1:23" x14ac:dyDescent="0.2">
      <c r="A2704">
        <v>2022</v>
      </c>
      <c r="B2704" t="s">
        <v>23</v>
      </c>
      <c r="C2704" t="s">
        <v>271</v>
      </c>
      <c r="D2704">
        <v>167</v>
      </c>
      <c r="E2704">
        <v>1</v>
      </c>
      <c r="F2704">
        <v>15</v>
      </c>
      <c r="G2704" t="s">
        <v>192</v>
      </c>
      <c r="H2704" s="1">
        <v>4</v>
      </c>
      <c r="I2704" s="1">
        <v>67</v>
      </c>
      <c r="J2704" s="1">
        <v>68</v>
      </c>
      <c r="K2704" s="1">
        <f>J2704-I2704</f>
        <v>1</v>
      </c>
      <c r="L2704" s="1">
        <v>165</v>
      </c>
      <c r="M2704" s="1">
        <v>83</v>
      </c>
      <c r="N2704" s="1">
        <v>2</v>
      </c>
      <c r="O2704" s="1">
        <v>2</v>
      </c>
      <c r="P2704" s="1">
        <v>4</v>
      </c>
      <c r="Q2704" s="2">
        <v>0.39744000000000007</v>
      </c>
      <c r="R2704" s="1">
        <v>5</v>
      </c>
      <c r="S2704" s="1">
        <f>R2704/P2704</f>
        <v>1.25</v>
      </c>
      <c r="T2704" s="1">
        <v>3</v>
      </c>
      <c r="U2704" s="1">
        <v>12.5</v>
      </c>
      <c r="V2704" s="1">
        <v>1454.6823529411768</v>
      </c>
      <c r="W2704" s="1">
        <v>3</v>
      </c>
    </row>
    <row r="2705" spans="1:23" x14ac:dyDescent="0.2">
      <c r="A2705">
        <v>2022</v>
      </c>
      <c r="B2705" t="s">
        <v>23</v>
      </c>
      <c r="C2705" t="s">
        <v>271</v>
      </c>
      <c r="D2705">
        <v>167</v>
      </c>
      <c r="E2705">
        <v>2</v>
      </c>
      <c r="F2705">
        <v>3</v>
      </c>
      <c r="G2705" t="s">
        <v>192</v>
      </c>
      <c r="H2705" s="1">
        <v>15</v>
      </c>
      <c r="I2705" s="1">
        <v>69</v>
      </c>
      <c r="J2705" s="1">
        <v>72</v>
      </c>
      <c r="K2705" s="1">
        <f>J2705-I2705</f>
        <v>3</v>
      </c>
      <c r="L2705" s="1">
        <v>142</v>
      </c>
      <c r="M2705" s="1">
        <v>56</v>
      </c>
      <c r="N2705" s="1">
        <v>2</v>
      </c>
      <c r="O2705" s="1">
        <v>3.5</v>
      </c>
      <c r="P2705" s="1">
        <f>H2705</f>
        <v>15</v>
      </c>
      <c r="Q2705" s="2">
        <v>0.57150000000000001</v>
      </c>
      <c r="R2705" s="1">
        <v>11</v>
      </c>
      <c r="S2705" s="1">
        <f>R2705/P2705</f>
        <v>0.73333333333333328</v>
      </c>
      <c r="T2705" s="1">
        <v>5</v>
      </c>
      <c r="U2705" s="1">
        <v>12.5</v>
      </c>
      <c r="V2705" s="1">
        <v>2091.7647058823527</v>
      </c>
      <c r="W2705" s="1">
        <v>5</v>
      </c>
    </row>
    <row r="2706" spans="1:23" x14ac:dyDescent="0.2">
      <c r="A2706">
        <v>2022</v>
      </c>
      <c r="B2706" t="s">
        <v>23</v>
      </c>
      <c r="C2706" t="s">
        <v>271</v>
      </c>
      <c r="D2706">
        <v>168</v>
      </c>
      <c r="E2706">
        <v>1</v>
      </c>
      <c r="F2706">
        <v>3</v>
      </c>
      <c r="G2706" t="s">
        <v>193</v>
      </c>
      <c r="H2706">
        <v>15</v>
      </c>
      <c r="I2706">
        <v>55</v>
      </c>
      <c r="J2706">
        <v>57</v>
      </c>
      <c r="K2706">
        <v>2</v>
      </c>
      <c r="L2706">
        <v>148</v>
      </c>
      <c r="M2706">
        <v>73</v>
      </c>
      <c r="N2706">
        <v>2</v>
      </c>
      <c r="O2706">
        <v>2.5</v>
      </c>
      <c r="P2706">
        <v>15</v>
      </c>
      <c r="Q2706">
        <v>1.5</v>
      </c>
      <c r="R2706">
        <v>10</v>
      </c>
      <c r="S2706">
        <v>0.66666666666666663</v>
      </c>
      <c r="T2706">
        <v>2</v>
      </c>
      <c r="U2706">
        <v>8.6999999999999993</v>
      </c>
      <c r="V2706">
        <v>5728.6274509803925</v>
      </c>
      <c r="W2706">
        <v>2</v>
      </c>
    </row>
    <row r="2707" spans="1:23" x14ac:dyDescent="0.2">
      <c r="A2707">
        <v>2022</v>
      </c>
      <c r="B2707" t="s">
        <v>23</v>
      </c>
      <c r="C2707" t="s">
        <v>271</v>
      </c>
      <c r="D2707">
        <v>168</v>
      </c>
      <c r="E2707">
        <v>2</v>
      </c>
      <c r="F2707">
        <v>13</v>
      </c>
      <c r="G2707" t="s">
        <v>193</v>
      </c>
      <c r="H2707">
        <v>10</v>
      </c>
      <c r="I2707">
        <v>59</v>
      </c>
      <c r="J2707">
        <v>62</v>
      </c>
      <c r="K2707">
        <v>3</v>
      </c>
      <c r="L2707">
        <v>180</v>
      </c>
      <c r="M2707">
        <v>55</v>
      </c>
      <c r="N2707">
        <v>1.5</v>
      </c>
      <c r="O2707">
        <v>2</v>
      </c>
      <c r="P2707">
        <v>10</v>
      </c>
      <c r="Q2707">
        <v>0.2</v>
      </c>
      <c r="R2707">
        <v>10</v>
      </c>
      <c r="S2707">
        <v>1</v>
      </c>
      <c r="T2707">
        <v>2.5</v>
      </c>
      <c r="U2707">
        <v>12.5</v>
      </c>
      <c r="V2707">
        <v>732.02614379084969</v>
      </c>
      <c r="W2707">
        <v>1</v>
      </c>
    </row>
    <row r="2708" spans="1:23" x14ac:dyDescent="0.2">
      <c r="A2708">
        <v>2022</v>
      </c>
      <c r="B2708" t="s">
        <v>23</v>
      </c>
      <c r="C2708" t="s">
        <v>271</v>
      </c>
      <c r="D2708">
        <v>169</v>
      </c>
      <c r="E2708">
        <v>1</v>
      </c>
      <c r="F2708">
        <v>15</v>
      </c>
      <c r="G2708" t="s">
        <v>194</v>
      </c>
      <c r="H2708" s="1">
        <v>7</v>
      </c>
      <c r="I2708" s="1">
        <v>59</v>
      </c>
      <c r="J2708" s="1">
        <v>64</v>
      </c>
      <c r="K2708" s="1">
        <f>J2708-I2708</f>
        <v>5</v>
      </c>
      <c r="L2708" s="1">
        <v>156</v>
      </c>
      <c r="M2708" s="1">
        <v>61</v>
      </c>
      <c r="N2708" s="1">
        <v>3</v>
      </c>
      <c r="O2708" s="1">
        <v>4</v>
      </c>
      <c r="P2708" s="1">
        <v>6</v>
      </c>
      <c r="Q2708" s="2">
        <v>0.23400000000000001</v>
      </c>
      <c r="R2708" s="1">
        <v>5</v>
      </c>
      <c r="S2708" s="1">
        <f>R2708/P2708</f>
        <v>0.83333333333333337</v>
      </c>
      <c r="T2708" s="1">
        <v>4.5</v>
      </c>
      <c r="U2708" s="1">
        <v>12.5</v>
      </c>
      <c r="V2708" s="1">
        <v>856.47058823529414</v>
      </c>
      <c r="W2708" s="1">
        <v>5</v>
      </c>
    </row>
    <row r="2709" spans="1:23" x14ac:dyDescent="0.2">
      <c r="A2709">
        <v>2022</v>
      </c>
      <c r="B2709" t="s">
        <v>23</v>
      </c>
      <c r="C2709" t="s">
        <v>271</v>
      </c>
      <c r="D2709">
        <v>169</v>
      </c>
      <c r="E2709">
        <v>2</v>
      </c>
      <c r="F2709">
        <v>9</v>
      </c>
      <c r="G2709" t="s">
        <v>194</v>
      </c>
      <c r="H2709" s="1">
        <v>3</v>
      </c>
      <c r="I2709" s="1">
        <v>65</v>
      </c>
      <c r="J2709" s="1">
        <v>69</v>
      </c>
      <c r="K2709" s="1">
        <f>J2709-I2709</f>
        <v>4</v>
      </c>
      <c r="L2709" s="1">
        <v>131</v>
      </c>
      <c r="M2709" s="1">
        <v>77</v>
      </c>
      <c r="N2709" s="1">
        <v>2</v>
      </c>
      <c r="O2709" s="1">
        <v>3.5</v>
      </c>
      <c r="P2709" s="1">
        <f>H2709</f>
        <v>3</v>
      </c>
      <c r="Q2709" s="2">
        <v>0.126</v>
      </c>
      <c r="R2709" s="1">
        <v>2</v>
      </c>
      <c r="S2709" s="1">
        <f>R2709/P2709</f>
        <v>0.66666666666666663</v>
      </c>
      <c r="T2709" s="1">
        <v>5</v>
      </c>
      <c r="U2709" s="1">
        <v>12.5</v>
      </c>
      <c r="V2709" s="1">
        <v>461.17647058823536</v>
      </c>
      <c r="W2709" s="1">
        <v>3</v>
      </c>
    </row>
    <row r="2710" spans="1:23" x14ac:dyDescent="0.2">
      <c r="A2710">
        <v>2022</v>
      </c>
      <c r="B2710" t="s">
        <v>23</v>
      </c>
      <c r="C2710" t="s">
        <v>271</v>
      </c>
      <c r="D2710">
        <v>170</v>
      </c>
      <c r="E2710">
        <v>1</v>
      </c>
      <c r="F2710">
        <v>13</v>
      </c>
      <c r="G2710" t="s">
        <v>195</v>
      </c>
      <c r="H2710">
        <v>7</v>
      </c>
      <c r="I2710">
        <v>59</v>
      </c>
      <c r="J2710">
        <v>62</v>
      </c>
      <c r="K2710">
        <v>3</v>
      </c>
      <c r="L2710">
        <v>123</v>
      </c>
      <c r="M2710">
        <v>56</v>
      </c>
      <c r="N2710">
        <v>1.5</v>
      </c>
      <c r="O2710">
        <v>4</v>
      </c>
      <c r="P2710">
        <v>7</v>
      </c>
      <c r="Q2710">
        <v>0.6</v>
      </c>
      <c r="R2710">
        <v>8</v>
      </c>
      <c r="S2710">
        <v>1.1428571428571428</v>
      </c>
      <c r="T2710">
        <v>3</v>
      </c>
      <c r="U2710">
        <v>12.5</v>
      </c>
      <c r="V2710">
        <v>2196.0784313725489</v>
      </c>
      <c r="W2710">
        <v>1</v>
      </c>
    </row>
    <row r="2711" spans="1:23" x14ac:dyDescent="0.2">
      <c r="A2711">
        <v>2022</v>
      </c>
      <c r="B2711" t="s">
        <v>23</v>
      </c>
      <c r="C2711" t="s">
        <v>271</v>
      </c>
      <c r="D2711">
        <v>170</v>
      </c>
      <c r="E2711">
        <v>2</v>
      </c>
      <c r="F2711">
        <v>1</v>
      </c>
      <c r="G2711" t="s">
        <v>195</v>
      </c>
      <c r="H2711">
        <v>9</v>
      </c>
      <c r="I2711">
        <v>64</v>
      </c>
      <c r="J2711">
        <v>67</v>
      </c>
      <c r="K2711">
        <v>3</v>
      </c>
      <c r="L2711">
        <v>150</v>
      </c>
      <c r="M2711">
        <v>70</v>
      </c>
      <c r="N2711">
        <v>1.5</v>
      </c>
      <c r="O2711">
        <v>3.5</v>
      </c>
      <c r="P2711">
        <v>9</v>
      </c>
      <c r="Q2711">
        <v>0.6</v>
      </c>
      <c r="R2711">
        <v>7</v>
      </c>
      <c r="S2711">
        <v>0.77777777777777779</v>
      </c>
      <c r="T2711">
        <v>2.5</v>
      </c>
      <c r="U2711">
        <v>12.5</v>
      </c>
      <c r="V2711">
        <v>2196.0784313725489</v>
      </c>
      <c r="W2711">
        <v>2</v>
      </c>
    </row>
    <row r="2712" spans="1:23" x14ac:dyDescent="0.2">
      <c r="A2712">
        <v>2022</v>
      </c>
      <c r="B2712" t="s">
        <v>23</v>
      </c>
      <c r="C2712" t="s">
        <v>271</v>
      </c>
      <c r="D2712">
        <v>171</v>
      </c>
      <c r="E2712">
        <v>1</v>
      </c>
      <c r="F2712">
        <v>11</v>
      </c>
      <c r="G2712" t="s">
        <v>196</v>
      </c>
      <c r="H2712" s="3">
        <v>12</v>
      </c>
      <c r="I2712" s="3">
        <v>68</v>
      </c>
      <c r="J2712" s="3">
        <v>72</v>
      </c>
      <c r="K2712" s="3">
        <f t="shared" ref="K2712:K2724" si="132">J2712-I2712</f>
        <v>4</v>
      </c>
      <c r="L2712" s="3">
        <v>179</v>
      </c>
      <c r="M2712" s="3">
        <v>64</v>
      </c>
      <c r="N2712" s="3">
        <v>2</v>
      </c>
      <c r="O2712" s="3">
        <v>2.5</v>
      </c>
      <c r="P2712" s="3">
        <f>H2712</f>
        <v>12</v>
      </c>
      <c r="Q2712" s="4">
        <v>0.13350000000000001</v>
      </c>
      <c r="R2712" s="3">
        <v>9</v>
      </c>
      <c r="S2712" s="3">
        <f t="shared" ref="S2712:S2724" si="133">R2712/P2712</f>
        <v>0.75</v>
      </c>
      <c r="T2712" s="3">
        <v>5</v>
      </c>
      <c r="U2712" s="3">
        <v>12.5</v>
      </c>
      <c r="V2712" s="3">
        <v>488.62745098039221</v>
      </c>
      <c r="W2712" s="3">
        <v>4</v>
      </c>
    </row>
    <row r="2713" spans="1:23" x14ac:dyDescent="0.2">
      <c r="A2713">
        <v>2022</v>
      </c>
      <c r="B2713" t="s">
        <v>23</v>
      </c>
      <c r="C2713" t="s">
        <v>271</v>
      </c>
      <c r="D2713">
        <v>171</v>
      </c>
      <c r="E2713">
        <v>2</v>
      </c>
      <c r="F2713">
        <v>5</v>
      </c>
      <c r="G2713" t="s">
        <v>196</v>
      </c>
      <c r="H2713" s="1">
        <v>11</v>
      </c>
      <c r="I2713" s="1">
        <v>69</v>
      </c>
      <c r="J2713" s="1">
        <v>74</v>
      </c>
      <c r="K2713" s="1">
        <f t="shared" si="132"/>
        <v>5</v>
      </c>
      <c r="L2713" s="1">
        <v>143</v>
      </c>
      <c r="M2713" s="1">
        <v>83</v>
      </c>
      <c r="N2713" s="1">
        <v>3</v>
      </c>
      <c r="O2713" s="1">
        <v>3.5</v>
      </c>
      <c r="P2713" s="1">
        <v>8</v>
      </c>
      <c r="Q2713" s="2">
        <v>9.5400000000000013E-2</v>
      </c>
      <c r="R2713" s="1">
        <v>2</v>
      </c>
      <c r="S2713" s="1">
        <f t="shared" si="133"/>
        <v>0.25</v>
      </c>
      <c r="T2713" s="1">
        <v>5</v>
      </c>
      <c r="U2713" s="1">
        <v>12.5</v>
      </c>
      <c r="V2713" s="1">
        <v>349.17647058823536</v>
      </c>
      <c r="W2713" s="1">
        <v>6</v>
      </c>
    </row>
    <row r="2714" spans="1:23" x14ac:dyDescent="0.2">
      <c r="A2714">
        <v>2022</v>
      </c>
      <c r="B2714" t="s">
        <v>23</v>
      </c>
      <c r="C2714" t="s">
        <v>271</v>
      </c>
      <c r="D2714">
        <v>172</v>
      </c>
      <c r="E2714">
        <v>1</v>
      </c>
      <c r="F2714">
        <v>10</v>
      </c>
      <c r="G2714" t="s">
        <v>197</v>
      </c>
      <c r="H2714" s="1">
        <v>7</v>
      </c>
      <c r="I2714" s="1">
        <v>65</v>
      </c>
      <c r="J2714" s="1">
        <v>69</v>
      </c>
      <c r="K2714" s="1">
        <f t="shared" si="132"/>
        <v>4</v>
      </c>
      <c r="L2714" s="1">
        <v>165</v>
      </c>
      <c r="M2714" s="1">
        <v>77</v>
      </c>
      <c r="N2714" s="1">
        <v>3</v>
      </c>
      <c r="O2714" s="1">
        <v>3.5</v>
      </c>
      <c r="P2714" s="1">
        <v>6</v>
      </c>
      <c r="Q2714" s="2">
        <v>0.13656000000000001</v>
      </c>
      <c r="R2714" s="1">
        <v>4</v>
      </c>
      <c r="S2714" s="1">
        <f t="shared" si="133"/>
        <v>0.66666666666666663</v>
      </c>
      <c r="T2714" s="1">
        <v>5</v>
      </c>
      <c r="U2714" s="1">
        <v>12.5</v>
      </c>
      <c r="V2714" s="1">
        <v>499.8274509803922</v>
      </c>
      <c r="W2714" s="1">
        <v>5</v>
      </c>
    </row>
    <row r="2715" spans="1:23" x14ac:dyDescent="0.2">
      <c r="A2715">
        <v>2022</v>
      </c>
      <c r="B2715" t="s">
        <v>23</v>
      </c>
      <c r="C2715" t="s">
        <v>271</v>
      </c>
      <c r="D2715">
        <v>172</v>
      </c>
      <c r="E2715">
        <v>2</v>
      </c>
      <c r="F2715">
        <v>9</v>
      </c>
      <c r="G2715" t="s">
        <v>197</v>
      </c>
      <c r="H2715" s="1">
        <v>6</v>
      </c>
      <c r="I2715" s="1">
        <v>63</v>
      </c>
      <c r="J2715" s="1">
        <v>68</v>
      </c>
      <c r="K2715" s="1">
        <f t="shared" si="132"/>
        <v>5</v>
      </c>
      <c r="L2715" s="1">
        <v>147</v>
      </c>
      <c r="M2715" s="1">
        <v>41</v>
      </c>
      <c r="N2715" s="1">
        <v>2</v>
      </c>
      <c r="O2715" s="1">
        <v>4</v>
      </c>
      <c r="P2715" s="1">
        <v>6</v>
      </c>
      <c r="Q2715" s="2">
        <v>0.28599999999999998</v>
      </c>
      <c r="R2715" s="1">
        <v>6</v>
      </c>
      <c r="S2715" s="1">
        <f t="shared" si="133"/>
        <v>1</v>
      </c>
      <c r="T2715" s="1">
        <v>4</v>
      </c>
      <c r="U2715" s="1">
        <v>12.5</v>
      </c>
      <c r="V2715" s="1">
        <v>1046.7973856209151</v>
      </c>
      <c r="W2715" s="1">
        <v>2</v>
      </c>
    </row>
    <row r="2716" spans="1:23" x14ac:dyDescent="0.2">
      <c r="A2716">
        <v>2022</v>
      </c>
      <c r="B2716" t="s">
        <v>23</v>
      </c>
      <c r="C2716" t="s">
        <v>271</v>
      </c>
      <c r="D2716">
        <v>173</v>
      </c>
      <c r="E2716">
        <v>1</v>
      </c>
      <c r="F2716">
        <v>13</v>
      </c>
      <c r="G2716" t="s">
        <v>198</v>
      </c>
      <c r="H2716" s="1">
        <v>8</v>
      </c>
      <c r="I2716" s="1">
        <v>64</v>
      </c>
      <c r="J2716" s="1">
        <v>69</v>
      </c>
      <c r="K2716" s="1">
        <f t="shared" si="132"/>
        <v>5</v>
      </c>
      <c r="L2716" s="1">
        <v>114</v>
      </c>
      <c r="M2716" s="1">
        <v>50</v>
      </c>
      <c r="N2716" s="1">
        <v>2.5</v>
      </c>
      <c r="O2716" s="1">
        <v>4</v>
      </c>
      <c r="P2716" s="1">
        <v>5</v>
      </c>
      <c r="Q2716" s="2">
        <v>0.14599999999999999</v>
      </c>
      <c r="R2716" s="1">
        <v>3</v>
      </c>
      <c r="S2716" s="1">
        <f t="shared" si="133"/>
        <v>0.6</v>
      </c>
      <c r="T2716" s="1">
        <v>3</v>
      </c>
      <c r="U2716" s="1">
        <v>12.5</v>
      </c>
      <c r="V2716" s="1">
        <v>534.37908496732018</v>
      </c>
      <c r="W2716" s="1">
        <v>5</v>
      </c>
    </row>
    <row r="2717" spans="1:23" x14ac:dyDescent="0.2">
      <c r="A2717">
        <v>2022</v>
      </c>
      <c r="B2717" t="s">
        <v>23</v>
      </c>
      <c r="C2717" t="s">
        <v>271</v>
      </c>
      <c r="D2717">
        <v>173</v>
      </c>
      <c r="E2717">
        <v>2</v>
      </c>
      <c r="F2717">
        <v>10</v>
      </c>
      <c r="G2717" t="s">
        <v>198</v>
      </c>
      <c r="H2717" s="1">
        <v>12</v>
      </c>
      <c r="I2717" s="1">
        <v>62</v>
      </c>
      <c r="J2717" s="1">
        <v>66</v>
      </c>
      <c r="K2717" s="1">
        <f t="shared" si="132"/>
        <v>4</v>
      </c>
      <c r="L2717" s="1">
        <v>130</v>
      </c>
      <c r="M2717" s="1">
        <v>60</v>
      </c>
      <c r="N2717" s="1">
        <v>2.5</v>
      </c>
      <c r="O2717" s="1">
        <v>4.5</v>
      </c>
      <c r="P2717" s="1">
        <v>6</v>
      </c>
      <c r="Q2717" s="2">
        <v>8.3399999999999988E-2</v>
      </c>
      <c r="R2717" s="1">
        <v>4</v>
      </c>
      <c r="S2717" s="1">
        <f t="shared" si="133"/>
        <v>0.66666666666666663</v>
      </c>
      <c r="T2717" s="1">
        <v>3.5</v>
      </c>
      <c r="U2717" s="1">
        <v>12.5</v>
      </c>
      <c r="V2717" s="1">
        <v>305.25490196078431</v>
      </c>
      <c r="W2717" s="1">
        <v>4</v>
      </c>
    </row>
    <row r="2718" spans="1:23" x14ac:dyDescent="0.2">
      <c r="A2718">
        <v>2022</v>
      </c>
      <c r="B2718" t="s">
        <v>23</v>
      </c>
      <c r="C2718" t="s">
        <v>271</v>
      </c>
      <c r="D2718">
        <v>174</v>
      </c>
      <c r="E2718">
        <v>1</v>
      </c>
      <c r="F2718">
        <v>10</v>
      </c>
      <c r="G2718" t="s">
        <v>199</v>
      </c>
      <c r="H2718" s="1">
        <v>9</v>
      </c>
      <c r="I2718" s="1">
        <v>67</v>
      </c>
      <c r="J2718" s="1">
        <v>70</v>
      </c>
      <c r="K2718" s="1">
        <f t="shared" si="132"/>
        <v>3</v>
      </c>
      <c r="L2718" s="1">
        <v>158</v>
      </c>
      <c r="M2718" s="1">
        <v>72</v>
      </c>
      <c r="N2718" s="1">
        <v>2</v>
      </c>
      <c r="O2718" s="1">
        <v>3</v>
      </c>
      <c r="P2718" s="1">
        <v>5</v>
      </c>
      <c r="Q2718" s="2">
        <v>0.154</v>
      </c>
      <c r="R2718" s="1">
        <v>5</v>
      </c>
      <c r="S2718" s="1">
        <f t="shared" si="133"/>
        <v>1</v>
      </c>
      <c r="T2718" s="1">
        <v>3</v>
      </c>
      <c r="U2718" s="1">
        <v>12.5</v>
      </c>
      <c r="V2718" s="1">
        <v>563.66013071895429</v>
      </c>
      <c r="W2718" s="1">
        <v>7</v>
      </c>
    </row>
    <row r="2719" spans="1:23" x14ac:dyDescent="0.2">
      <c r="A2719">
        <v>2022</v>
      </c>
      <c r="B2719" t="s">
        <v>23</v>
      </c>
      <c r="C2719" t="s">
        <v>271</v>
      </c>
      <c r="D2719">
        <v>174</v>
      </c>
      <c r="E2719">
        <v>2</v>
      </c>
      <c r="F2719">
        <v>4</v>
      </c>
      <c r="G2719" t="s">
        <v>199</v>
      </c>
      <c r="H2719" s="1">
        <v>10</v>
      </c>
      <c r="I2719" s="1">
        <v>68</v>
      </c>
      <c r="J2719" s="1">
        <v>70</v>
      </c>
      <c r="K2719" s="1">
        <f t="shared" si="132"/>
        <v>2</v>
      </c>
      <c r="L2719" s="1">
        <v>101</v>
      </c>
      <c r="M2719" s="1">
        <v>33</v>
      </c>
      <c r="N2719" s="1">
        <v>1.5</v>
      </c>
      <c r="O2719" s="1">
        <v>4</v>
      </c>
      <c r="P2719" s="1">
        <v>8</v>
      </c>
      <c r="Q2719" s="2">
        <v>0.15</v>
      </c>
      <c r="R2719" s="1">
        <v>6</v>
      </c>
      <c r="S2719" s="1">
        <f t="shared" si="133"/>
        <v>0.75</v>
      </c>
      <c r="T2719" s="1">
        <v>3.5</v>
      </c>
      <c r="U2719" s="1">
        <v>12.5</v>
      </c>
      <c r="V2719" s="1">
        <v>549.01960784313724</v>
      </c>
      <c r="W2719" s="1">
        <v>5</v>
      </c>
    </row>
    <row r="2720" spans="1:23" x14ac:dyDescent="0.2">
      <c r="A2720">
        <v>2022</v>
      </c>
      <c r="B2720" t="s">
        <v>23</v>
      </c>
      <c r="C2720" t="s">
        <v>271</v>
      </c>
      <c r="D2720">
        <v>175</v>
      </c>
      <c r="E2720">
        <v>1</v>
      </c>
      <c r="F2720">
        <v>3</v>
      </c>
      <c r="G2720" t="s">
        <v>200</v>
      </c>
      <c r="H2720" s="1">
        <v>10</v>
      </c>
      <c r="I2720" s="1">
        <v>67</v>
      </c>
      <c r="J2720" s="1">
        <v>71</v>
      </c>
      <c r="K2720" s="1">
        <f t="shared" si="132"/>
        <v>4</v>
      </c>
      <c r="L2720" s="1">
        <v>106</v>
      </c>
      <c r="M2720" s="1">
        <v>40</v>
      </c>
      <c r="N2720" s="1">
        <v>3</v>
      </c>
      <c r="O2720" s="1">
        <v>4.5</v>
      </c>
      <c r="P2720" s="1">
        <v>8</v>
      </c>
      <c r="Q2720" s="2">
        <v>0.13900000000000001</v>
      </c>
      <c r="R2720" s="1">
        <v>7</v>
      </c>
      <c r="S2720" s="1">
        <f t="shared" si="133"/>
        <v>0.875</v>
      </c>
      <c r="T2720" s="1">
        <v>5</v>
      </c>
      <c r="U2720" s="1">
        <v>12.5</v>
      </c>
      <c r="V2720" s="1">
        <v>508.75816993464065</v>
      </c>
      <c r="W2720" s="1">
        <v>5</v>
      </c>
    </row>
    <row r="2721" spans="1:23" x14ac:dyDescent="0.2">
      <c r="A2721">
        <v>2022</v>
      </c>
      <c r="B2721" t="s">
        <v>23</v>
      </c>
      <c r="C2721" t="s">
        <v>271</v>
      </c>
      <c r="D2721">
        <v>175</v>
      </c>
      <c r="E2721">
        <v>2</v>
      </c>
      <c r="F2721">
        <v>2</v>
      </c>
      <c r="G2721" t="s">
        <v>200</v>
      </c>
      <c r="H2721" s="1">
        <v>7</v>
      </c>
      <c r="I2721" s="1">
        <v>66</v>
      </c>
      <c r="J2721" s="1">
        <v>69</v>
      </c>
      <c r="K2721" s="1">
        <f t="shared" si="132"/>
        <v>3</v>
      </c>
      <c r="L2721" s="1">
        <v>107</v>
      </c>
      <c r="M2721" s="1">
        <v>45</v>
      </c>
      <c r="N2721" s="1">
        <v>2</v>
      </c>
      <c r="O2721" s="1">
        <v>4</v>
      </c>
      <c r="P2721" s="1">
        <v>6</v>
      </c>
      <c r="Q2721" s="2">
        <v>0.28399999999999997</v>
      </c>
      <c r="R2721" s="1">
        <v>6</v>
      </c>
      <c r="S2721" s="1">
        <f t="shared" si="133"/>
        <v>1</v>
      </c>
      <c r="T2721" s="1">
        <v>3</v>
      </c>
      <c r="U2721" s="1">
        <v>12.5</v>
      </c>
      <c r="V2721" s="1">
        <v>1039.4771241830067</v>
      </c>
      <c r="W2721" s="1">
        <v>3</v>
      </c>
    </row>
    <row r="2722" spans="1:23" x14ac:dyDescent="0.2">
      <c r="A2722">
        <v>2022</v>
      </c>
      <c r="B2722" t="s">
        <v>23</v>
      </c>
      <c r="C2722" t="s">
        <v>271</v>
      </c>
      <c r="D2722">
        <v>176</v>
      </c>
      <c r="E2722">
        <v>1</v>
      </c>
      <c r="F2722">
        <v>9</v>
      </c>
      <c r="G2722" t="s">
        <v>201</v>
      </c>
      <c r="H2722" s="1">
        <v>12</v>
      </c>
      <c r="I2722" s="1">
        <v>63</v>
      </c>
      <c r="J2722" s="1">
        <v>68</v>
      </c>
      <c r="K2722" s="1">
        <f t="shared" si="132"/>
        <v>5</v>
      </c>
      <c r="L2722" s="1">
        <v>165</v>
      </c>
      <c r="M2722" s="1">
        <v>115</v>
      </c>
      <c r="N2722" s="1">
        <v>2</v>
      </c>
      <c r="O2722" s="1">
        <v>3.5</v>
      </c>
      <c r="P2722" s="1">
        <f>H2722</f>
        <v>12</v>
      </c>
      <c r="Q2722" s="2">
        <v>0.3795</v>
      </c>
      <c r="R2722" s="1">
        <v>12</v>
      </c>
      <c r="S2722" s="1">
        <f t="shared" si="133"/>
        <v>1</v>
      </c>
      <c r="T2722" s="1">
        <v>5</v>
      </c>
      <c r="U2722" s="1">
        <v>12.5</v>
      </c>
      <c r="V2722" s="1">
        <v>1389.0196078431372</v>
      </c>
      <c r="W2722" s="1">
        <v>3</v>
      </c>
    </row>
    <row r="2723" spans="1:23" x14ac:dyDescent="0.2">
      <c r="A2723">
        <v>2022</v>
      </c>
      <c r="B2723" t="s">
        <v>23</v>
      </c>
      <c r="C2723" t="s">
        <v>271</v>
      </c>
      <c r="D2723">
        <v>176</v>
      </c>
      <c r="E2723">
        <v>2</v>
      </c>
      <c r="F2723">
        <v>14</v>
      </c>
      <c r="G2723" t="s">
        <v>201</v>
      </c>
      <c r="H2723" s="1">
        <v>4</v>
      </c>
      <c r="I2723" s="1">
        <v>64</v>
      </c>
      <c r="J2723" s="1">
        <v>69</v>
      </c>
      <c r="K2723" s="1">
        <f t="shared" si="132"/>
        <v>5</v>
      </c>
      <c r="L2723" s="1">
        <v>98</v>
      </c>
      <c r="M2723" s="1">
        <v>26</v>
      </c>
      <c r="N2723" s="1">
        <v>1.5</v>
      </c>
      <c r="O2723" s="1">
        <v>5</v>
      </c>
      <c r="P2723" s="1">
        <v>4</v>
      </c>
      <c r="Q2723" s="2">
        <v>4.4999999999999998E-2</v>
      </c>
      <c r="R2723" s="1">
        <v>4</v>
      </c>
      <c r="S2723" s="1">
        <f t="shared" si="133"/>
        <v>1</v>
      </c>
      <c r="T2723" s="1">
        <v>5</v>
      </c>
      <c r="U2723" s="1">
        <v>12.5</v>
      </c>
      <c r="V2723" s="1">
        <v>164.70588235294116</v>
      </c>
      <c r="W2723" s="1">
        <v>4</v>
      </c>
    </row>
    <row r="2724" spans="1:23" x14ac:dyDescent="0.2">
      <c r="A2724">
        <v>2022</v>
      </c>
      <c r="B2724" t="s">
        <v>23</v>
      </c>
      <c r="C2724" t="s">
        <v>271</v>
      </c>
      <c r="D2724">
        <v>177</v>
      </c>
      <c r="E2724">
        <v>1</v>
      </c>
      <c r="F2724">
        <v>15</v>
      </c>
      <c r="G2724" t="s">
        <v>202</v>
      </c>
      <c r="H2724" s="1">
        <v>10</v>
      </c>
      <c r="I2724" s="1">
        <v>65</v>
      </c>
      <c r="J2724" s="1">
        <v>70</v>
      </c>
      <c r="K2724" s="1">
        <f t="shared" si="132"/>
        <v>5</v>
      </c>
      <c r="L2724" s="1">
        <v>187</v>
      </c>
      <c r="M2724" s="1">
        <v>107</v>
      </c>
      <c r="N2724" s="1">
        <v>2</v>
      </c>
      <c r="O2724" s="1">
        <v>3.5</v>
      </c>
      <c r="P2724" s="1">
        <v>9</v>
      </c>
      <c r="Q2724" s="2">
        <v>0.22700000000000001</v>
      </c>
      <c r="R2724" s="1">
        <v>3</v>
      </c>
      <c r="S2724" s="1">
        <f t="shared" si="133"/>
        <v>0.33333333333333331</v>
      </c>
      <c r="T2724" s="1">
        <v>5</v>
      </c>
      <c r="U2724" s="1">
        <v>12.5</v>
      </c>
      <c r="V2724" s="1">
        <v>830.84967320261444</v>
      </c>
      <c r="W2724" s="1">
        <v>6</v>
      </c>
    </row>
    <row r="2725" spans="1:23" x14ac:dyDescent="0.2">
      <c r="A2725">
        <v>2022</v>
      </c>
      <c r="B2725" t="s">
        <v>23</v>
      </c>
      <c r="C2725" t="s">
        <v>271</v>
      </c>
      <c r="D2725">
        <v>177</v>
      </c>
      <c r="E2725">
        <v>2</v>
      </c>
      <c r="F2725">
        <v>1</v>
      </c>
      <c r="G2725" t="s">
        <v>202</v>
      </c>
      <c r="H2725">
        <v>5</v>
      </c>
      <c r="I2725">
        <v>55</v>
      </c>
      <c r="J2725">
        <v>58</v>
      </c>
      <c r="K2725">
        <v>3</v>
      </c>
      <c r="L2725">
        <v>146</v>
      </c>
      <c r="M2725">
        <v>56</v>
      </c>
      <c r="N2725">
        <v>2</v>
      </c>
      <c r="O2725">
        <v>2</v>
      </c>
      <c r="P2725">
        <v>5</v>
      </c>
      <c r="Q2725">
        <v>0.3</v>
      </c>
      <c r="R2725">
        <v>6</v>
      </c>
      <c r="S2725">
        <v>1.2</v>
      </c>
      <c r="T2725">
        <v>3</v>
      </c>
      <c r="U2725">
        <v>12.5</v>
      </c>
      <c r="V2725">
        <v>1098.0392156862745</v>
      </c>
      <c r="W2725">
        <v>1</v>
      </c>
    </row>
    <row r="2726" spans="1:23" x14ac:dyDescent="0.2">
      <c r="A2726">
        <v>2022</v>
      </c>
      <c r="B2726" t="s">
        <v>23</v>
      </c>
      <c r="C2726" t="s">
        <v>271</v>
      </c>
      <c r="D2726">
        <v>178</v>
      </c>
      <c r="E2726">
        <v>1</v>
      </c>
      <c r="F2726">
        <v>1</v>
      </c>
      <c r="G2726" t="s">
        <v>203</v>
      </c>
      <c r="H2726" s="1">
        <v>8</v>
      </c>
      <c r="I2726" s="1">
        <v>64</v>
      </c>
      <c r="J2726" s="1">
        <v>70</v>
      </c>
      <c r="K2726" s="1">
        <f>J2726-I2726</f>
        <v>6</v>
      </c>
      <c r="L2726" s="1">
        <v>94</v>
      </c>
      <c r="M2726" s="1">
        <v>26</v>
      </c>
      <c r="N2726" s="1">
        <v>3.5</v>
      </c>
      <c r="O2726" s="1">
        <v>4.5</v>
      </c>
      <c r="P2726" s="1">
        <v>6</v>
      </c>
      <c r="Q2726" s="2">
        <v>0.16800000000000001</v>
      </c>
      <c r="R2726" s="1">
        <v>5</v>
      </c>
      <c r="S2726" s="1">
        <f>R2726/P2726</f>
        <v>0.83333333333333337</v>
      </c>
      <c r="T2726" s="1">
        <v>3.5</v>
      </c>
      <c r="U2726" s="1">
        <v>12.5</v>
      </c>
      <c r="V2726" s="1">
        <v>614.9019607843137</v>
      </c>
      <c r="W2726" s="1">
        <v>6</v>
      </c>
    </row>
    <row r="2727" spans="1:23" x14ac:dyDescent="0.2">
      <c r="A2727">
        <v>2022</v>
      </c>
      <c r="B2727" t="s">
        <v>23</v>
      </c>
      <c r="C2727" t="s">
        <v>271</v>
      </c>
      <c r="D2727">
        <v>178</v>
      </c>
      <c r="E2727">
        <v>2</v>
      </c>
      <c r="F2727">
        <v>2</v>
      </c>
      <c r="G2727" t="s">
        <v>203</v>
      </c>
      <c r="H2727">
        <v>1</v>
      </c>
      <c r="I2727">
        <v>55</v>
      </c>
      <c r="J2727">
        <v>57</v>
      </c>
      <c r="K2727">
        <v>2</v>
      </c>
      <c r="L2727">
        <v>41</v>
      </c>
      <c r="M2727">
        <v>11</v>
      </c>
      <c r="N2727">
        <v>3</v>
      </c>
      <c r="O2727">
        <v>4</v>
      </c>
      <c r="P2727">
        <v>1</v>
      </c>
      <c r="Q2727">
        <v>0.14199999999999999</v>
      </c>
      <c r="R2727">
        <v>1</v>
      </c>
      <c r="S2727">
        <v>1</v>
      </c>
      <c r="T2727">
        <v>3</v>
      </c>
      <c r="U2727">
        <v>12.5</v>
      </c>
      <c r="V2727">
        <v>519.73856209150335</v>
      </c>
      <c r="W2727">
        <v>2</v>
      </c>
    </row>
    <row r="2728" spans="1:23" x14ac:dyDescent="0.2">
      <c r="A2728">
        <v>2022</v>
      </c>
      <c r="B2728" t="s">
        <v>23</v>
      </c>
      <c r="C2728" t="s">
        <v>271</v>
      </c>
      <c r="D2728">
        <v>179</v>
      </c>
      <c r="E2728">
        <v>1</v>
      </c>
      <c r="F2728">
        <v>8</v>
      </c>
      <c r="G2728" t="s">
        <v>204</v>
      </c>
      <c r="H2728" s="1">
        <v>2</v>
      </c>
      <c r="I2728" s="1">
        <v>62</v>
      </c>
      <c r="J2728" s="1">
        <v>66</v>
      </c>
      <c r="K2728" s="1">
        <f>J2728-I2728</f>
        <v>4</v>
      </c>
      <c r="L2728" s="1">
        <v>169</v>
      </c>
      <c r="M2728" s="1">
        <v>93</v>
      </c>
      <c r="N2728" s="1">
        <v>2</v>
      </c>
      <c r="O2728" s="1">
        <v>3</v>
      </c>
      <c r="P2728" s="1">
        <f>H2728</f>
        <v>2</v>
      </c>
      <c r="Q2728" s="2">
        <v>9.375E-2</v>
      </c>
      <c r="R2728" s="1">
        <v>3</v>
      </c>
      <c r="S2728" s="1">
        <f>R2728/P2728</f>
        <v>1.5</v>
      </c>
      <c r="T2728" s="1">
        <v>3</v>
      </c>
      <c r="U2728" s="1">
        <v>12.5</v>
      </c>
      <c r="V2728" s="1">
        <v>343.13725490196077</v>
      </c>
      <c r="W2728" s="1">
        <v>3</v>
      </c>
    </row>
    <row r="2729" spans="1:23" x14ac:dyDescent="0.2">
      <c r="A2729">
        <v>2022</v>
      </c>
      <c r="B2729" t="s">
        <v>23</v>
      </c>
      <c r="C2729" t="s">
        <v>271</v>
      </c>
      <c r="D2729">
        <v>179</v>
      </c>
      <c r="E2729">
        <v>2</v>
      </c>
      <c r="F2729">
        <v>13</v>
      </c>
      <c r="G2729" t="s">
        <v>204</v>
      </c>
      <c r="H2729" s="1">
        <v>1</v>
      </c>
      <c r="I2729" s="1">
        <v>66</v>
      </c>
      <c r="J2729" s="1">
        <v>70</v>
      </c>
      <c r="K2729" s="1">
        <f>J2729-I2729</f>
        <v>4</v>
      </c>
      <c r="L2729" s="1">
        <v>162</v>
      </c>
      <c r="M2729" s="1">
        <v>103</v>
      </c>
      <c r="N2729" s="1">
        <v>2</v>
      </c>
      <c r="O2729" s="1">
        <v>2.5</v>
      </c>
      <c r="P2729" s="1">
        <v>1</v>
      </c>
      <c r="Q2729" s="2">
        <v>2.6099999999999998E-2</v>
      </c>
      <c r="R2729" s="1">
        <v>1</v>
      </c>
      <c r="S2729" s="1">
        <f>R2729/P2729</f>
        <v>1</v>
      </c>
      <c r="T2729" s="1">
        <v>5</v>
      </c>
      <c r="U2729" s="1">
        <v>12.5</v>
      </c>
      <c r="V2729" s="1">
        <v>95.529411764705884</v>
      </c>
      <c r="W2729" s="1">
        <v>5</v>
      </c>
    </row>
    <row r="2730" spans="1:23" x14ac:dyDescent="0.2">
      <c r="A2730">
        <v>2022</v>
      </c>
      <c r="B2730" t="s">
        <v>23</v>
      </c>
      <c r="C2730" t="s">
        <v>271</v>
      </c>
      <c r="D2730">
        <v>180</v>
      </c>
      <c r="E2730">
        <v>1</v>
      </c>
      <c r="F2730">
        <v>8</v>
      </c>
      <c r="G2730" t="s">
        <v>205</v>
      </c>
      <c r="H2730" s="1">
        <v>10</v>
      </c>
      <c r="I2730" s="1">
        <v>69</v>
      </c>
      <c r="J2730" s="1">
        <v>74</v>
      </c>
      <c r="K2730" s="1">
        <f>J2730-I2730</f>
        <v>5</v>
      </c>
      <c r="L2730" s="1">
        <v>77</v>
      </c>
      <c r="M2730" s="1">
        <v>40</v>
      </c>
      <c r="N2730" s="1">
        <v>2</v>
      </c>
      <c r="O2730" s="1">
        <v>3.5</v>
      </c>
      <c r="P2730" s="1">
        <v>8</v>
      </c>
      <c r="Q2730" s="2">
        <v>0.36799999999999999</v>
      </c>
      <c r="R2730" s="1">
        <v>7</v>
      </c>
      <c r="S2730" s="1">
        <f>R2730/P2730</f>
        <v>0.875</v>
      </c>
      <c r="T2730" s="1">
        <v>2.5</v>
      </c>
      <c r="U2730" s="1">
        <v>12.5</v>
      </c>
      <c r="V2730" s="1">
        <v>1346.9281045751634</v>
      </c>
      <c r="W2730" s="1">
        <v>6</v>
      </c>
    </row>
    <row r="2731" spans="1:23" x14ac:dyDescent="0.2">
      <c r="A2731">
        <v>2022</v>
      </c>
      <c r="B2731" t="s">
        <v>23</v>
      </c>
      <c r="C2731" t="s">
        <v>271</v>
      </c>
      <c r="D2731">
        <v>180</v>
      </c>
      <c r="E2731">
        <v>2</v>
      </c>
      <c r="F2731">
        <v>8</v>
      </c>
      <c r="G2731" t="s">
        <v>205</v>
      </c>
      <c r="H2731">
        <v>9</v>
      </c>
      <c r="I2731">
        <v>63</v>
      </c>
      <c r="J2731">
        <v>65</v>
      </c>
      <c r="K2731">
        <v>2</v>
      </c>
      <c r="L2731">
        <v>159</v>
      </c>
      <c r="M2731">
        <v>60</v>
      </c>
      <c r="N2731">
        <v>2</v>
      </c>
      <c r="O2731">
        <v>3</v>
      </c>
      <c r="P2731">
        <v>9</v>
      </c>
      <c r="Q2731">
        <v>1</v>
      </c>
      <c r="R2731">
        <v>9</v>
      </c>
      <c r="S2731">
        <v>1</v>
      </c>
      <c r="T2731">
        <v>2</v>
      </c>
      <c r="U2731">
        <v>12.5</v>
      </c>
      <c r="V2731">
        <v>3660.1307189542486</v>
      </c>
      <c r="W2731">
        <v>2</v>
      </c>
    </row>
    <row r="2732" spans="1:23" x14ac:dyDescent="0.2">
      <c r="A2732">
        <v>2022</v>
      </c>
      <c r="B2732" t="s">
        <v>23</v>
      </c>
      <c r="C2732" t="s">
        <v>271</v>
      </c>
      <c r="D2732">
        <v>181</v>
      </c>
      <c r="E2732">
        <v>1</v>
      </c>
      <c r="F2732">
        <v>12</v>
      </c>
      <c r="G2732" t="s">
        <v>206</v>
      </c>
      <c r="H2732" s="1">
        <v>14</v>
      </c>
      <c r="I2732" s="1">
        <v>64</v>
      </c>
      <c r="J2732" s="1">
        <v>68</v>
      </c>
      <c r="K2732" s="1">
        <f>J2732-I2732</f>
        <v>4</v>
      </c>
      <c r="L2732" s="1">
        <v>153</v>
      </c>
      <c r="M2732" s="1">
        <v>70</v>
      </c>
      <c r="N2732" s="1">
        <v>2</v>
      </c>
      <c r="O2732" s="1">
        <v>2.5</v>
      </c>
      <c r="P2732" s="1">
        <f>H2732</f>
        <v>14</v>
      </c>
      <c r="Q2732" s="2">
        <v>0.17474999999999999</v>
      </c>
      <c r="R2732" s="1">
        <v>10</v>
      </c>
      <c r="S2732" s="1">
        <f>R2732/P2732</f>
        <v>0.7142857142857143</v>
      </c>
      <c r="T2732" s="1">
        <v>5</v>
      </c>
      <c r="U2732" s="1">
        <v>12.5</v>
      </c>
      <c r="V2732" s="1">
        <v>639.6078431372548</v>
      </c>
      <c r="W2732" s="1">
        <v>4</v>
      </c>
    </row>
    <row r="2733" spans="1:23" x14ac:dyDescent="0.2">
      <c r="A2733">
        <v>2022</v>
      </c>
      <c r="B2733" t="s">
        <v>23</v>
      </c>
      <c r="C2733" t="s">
        <v>271</v>
      </c>
      <c r="D2733">
        <v>181</v>
      </c>
      <c r="E2733">
        <v>2</v>
      </c>
      <c r="F2733">
        <v>7</v>
      </c>
      <c r="G2733" t="s">
        <v>206</v>
      </c>
      <c r="H2733">
        <v>8</v>
      </c>
      <c r="I2733">
        <v>56</v>
      </c>
      <c r="J2733">
        <v>62</v>
      </c>
      <c r="K2733">
        <v>6</v>
      </c>
      <c r="L2733">
        <v>177</v>
      </c>
      <c r="M2733">
        <v>36</v>
      </c>
      <c r="N2733">
        <v>4</v>
      </c>
      <c r="O2733">
        <v>3</v>
      </c>
      <c r="P2733">
        <v>6</v>
      </c>
      <c r="Q2733">
        <v>0.221</v>
      </c>
      <c r="R2733">
        <v>5</v>
      </c>
      <c r="S2733">
        <v>0.83333333333333337</v>
      </c>
      <c r="T2733">
        <v>4</v>
      </c>
      <c r="U2733">
        <v>12.5</v>
      </c>
      <c r="V2733">
        <v>808.88888888888891</v>
      </c>
      <c r="W2733">
        <v>2</v>
      </c>
    </row>
    <row r="2734" spans="1:23" x14ac:dyDescent="0.2">
      <c r="A2734">
        <v>2022</v>
      </c>
      <c r="B2734" t="s">
        <v>23</v>
      </c>
      <c r="C2734" t="s">
        <v>271</v>
      </c>
      <c r="D2734">
        <v>182</v>
      </c>
      <c r="E2734">
        <v>1</v>
      </c>
      <c r="F2734">
        <v>6</v>
      </c>
      <c r="G2734" t="s">
        <v>207</v>
      </c>
      <c r="H2734">
        <v>1</v>
      </c>
      <c r="I2734">
        <v>58</v>
      </c>
      <c r="J2734">
        <v>63</v>
      </c>
      <c r="K2734">
        <v>5</v>
      </c>
      <c r="L2734">
        <v>86</v>
      </c>
      <c r="M2734">
        <v>49</v>
      </c>
      <c r="N2734">
        <v>4</v>
      </c>
      <c r="O2734">
        <v>3</v>
      </c>
      <c r="P2734">
        <v>1</v>
      </c>
      <c r="Q2734">
        <v>7.0999999999999994E-2</v>
      </c>
      <c r="R2734">
        <v>1</v>
      </c>
      <c r="S2734">
        <v>1</v>
      </c>
      <c r="T2734">
        <v>2</v>
      </c>
      <c r="U2734">
        <v>12.5</v>
      </c>
      <c r="V2734">
        <v>259.86928104575168</v>
      </c>
      <c r="W2734">
        <v>2</v>
      </c>
    </row>
    <row r="2735" spans="1:23" x14ac:dyDescent="0.2">
      <c r="A2735">
        <v>2022</v>
      </c>
      <c r="B2735" t="s">
        <v>23</v>
      </c>
      <c r="C2735" t="s">
        <v>271</v>
      </c>
      <c r="D2735">
        <v>182</v>
      </c>
      <c r="E2735">
        <v>2</v>
      </c>
      <c r="F2735">
        <v>8</v>
      </c>
      <c r="G2735" t="s">
        <v>207</v>
      </c>
      <c r="H2735" s="1">
        <v>15</v>
      </c>
      <c r="I2735" s="1">
        <v>60</v>
      </c>
      <c r="J2735" s="1">
        <v>63</v>
      </c>
      <c r="K2735" s="1">
        <f>J2735-I2735</f>
        <v>3</v>
      </c>
      <c r="L2735" s="1">
        <v>113</v>
      </c>
      <c r="M2735" s="1">
        <v>55</v>
      </c>
      <c r="N2735" s="1">
        <v>2</v>
      </c>
      <c r="O2735" s="1">
        <v>3.5</v>
      </c>
      <c r="P2735" s="1">
        <f>H2735</f>
        <v>15</v>
      </c>
      <c r="Q2735" s="2">
        <v>0.79500000000000004</v>
      </c>
      <c r="R2735" s="1">
        <v>13</v>
      </c>
      <c r="S2735" s="1">
        <f>R2735/P2735</f>
        <v>0.8666666666666667</v>
      </c>
      <c r="T2735" s="1">
        <v>5</v>
      </c>
      <c r="U2735" s="1">
        <v>12.5</v>
      </c>
      <c r="V2735" s="1">
        <v>2909.8039215686276</v>
      </c>
      <c r="W2735" s="1">
        <v>4</v>
      </c>
    </row>
    <row r="2736" spans="1:23" x14ac:dyDescent="0.2">
      <c r="A2736">
        <v>2022</v>
      </c>
      <c r="B2736" t="s">
        <v>23</v>
      </c>
      <c r="C2736" t="s">
        <v>271</v>
      </c>
      <c r="D2736">
        <v>183</v>
      </c>
      <c r="E2736">
        <v>1</v>
      </c>
      <c r="F2736">
        <v>5</v>
      </c>
      <c r="G2736" t="s">
        <v>208</v>
      </c>
      <c r="H2736" s="1">
        <v>11</v>
      </c>
      <c r="I2736" s="1">
        <v>67</v>
      </c>
      <c r="J2736" s="1">
        <v>70</v>
      </c>
      <c r="K2736" s="1">
        <f>J2736-I2736</f>
        <v>3</v>
      </c>
      <c r="L2736" s="1">
        <v>116</v>
      </c>
      <c r="M2736" s="1">
        <v>42</v>
      </c>
      <c r="N2736" s="1">
        <v>3</v>
      </c>
      <c r="O2736" s="1">
        <v>4</v>
      </c>
      <c r="P2736" s="1">
        <v>9</v>
      </c>
      <c r="Q2736" s="2">
        <v>9.0150000000000008E-2</v>
      </c>
      <c r="R2736" s="1">
        <v>5</v>
      </c>
      <c r="S2736" s="1">
        <f>R2736/P2736</f>
        <v>0.55555555555555558</v>
      </c>
      <c r="T2736" s="1">
        <v>5</v>
      </c>
      <c r="U2736" s="1">
        <v>12.5</v>
      </c>
      <c r="V2736" s="1">
        <v>329.96078431372547</v>
      </c>
      <c r="W2736" s="1">
        <v>5</v>
      </c>
    </row>
    <row r="2737" spans="1:23" x14ac:dyDescent="0.2">
      <c r="A2737">
        <v>2022</v>
      </c>
      <c r="B2737" t="s">
        <v>23</v>
      </c>
      <c r="C2737" t="s">
        <v>271</v>
      </c>
      <c r="D2737">
        <v>183</v>
      </c>
      <c r="E2737">
        <v>2</v>
      </c>
      <c r="F2737">
        <v>10</v>
      </c>
      <c r="G2737" t="s">
        <v>208</v>
      </c>
      <c r="H2737">
        <v>14</v>
      </c>
      <c r="I2737">
        <v>55</v>
      </c>
      <c r="J2737">
        <v>58</v>
      </c>
      <c r="K2737">
        <v>3</v>
      </c>
      <c r="L2737">
        <v>192</v>
      </c>
      <c r="M2737">
        <v>68</v>
      </c>
      <c r="N2737">
        <v>1</v>
      </c>
      <c r="O2737">
        <v>2</v>
      </c>
      <c r="P2737">
        <v>13</v>
      </c>
      <c r="Q2737">
        <v>0.8</v>
      </c>
      <c r="R2737">
        <v>13</v>
      </c>
      <c r="S2737">
        <v>1</v>
      </c>
      <c r="T2737">
        <v>3</v>
      </c>
      <c r="U2737">
        <v>10</v>
      </c>
      <c r="V2737">
        <v>3011.7647058823527</v>
      </c>
      <c r="W2737">
        <v>2</v>
      </c>
    </row>
    <row r="2738" spans="1:23" x14ac:dyDescent="0.2">
      <c r="A2738">
        <v>2022</v>
      </c>
      <c r="B2738" t="s">
        <v>23</v>
      </c>
      <c r="C2738" t="s">
        <v>271</v>
      </c>
      <c r="D2738">
        <v>184</v>
      </c>
      <c r="E2738">
        <v>1</v>
      </c>
      <c r="F2738">
        <v>9</v>
      </c>
      <c r="G2738" t="s">
        <v>209</v>
      </c>
      <c r="H2738" s="1">
        <v>10</v>
      </c>
      <c r="I2738" s="1">
        <v>62</v>
      </c>
      <c r="J2738" s="1">
        <v>67</v>
      </c>
      <c r="K2738" s="1">
        <f>J2738-I2738</f>
        <v>5</v>
      </c>
      <c r="L2738" s="1">
        <v>102</v>
      </c>
      <c r="M2738" s="1">
        <v>40</v>
      </c>
      <c r="N2738" s="1">
        <v>2.5</v>
      </c>
      <c r="O2738" s="1">
        <v>4.5</v>
      </c>
      <c r="P2738" s="1">
        <v>7</v>
      </c>
      <c r="Q2738" s="2">
        <v>0.188</v>
      </c>
      <c r="R2738" s="1">
        <v>5</v>
      </c>
      <c r="S2738" s="1">
        <f>R2738/P2738</f>
        <v>0.7142857142857143</v>
      </c>
      <c r="T2738" s="1">
        <v>5</v>
      </c>
      <c r="U2738" s="1">
        <v>12.5</v>
      </c>
      <c r="V2738" s="1">
        <v>688.10457516339875</v>
      </c>
      <c r="W2738" s="1">
        <v>5</v>
      </c>
    </row>
    <row r="2739" spans="1:23" x14ac:dyDescent="0.2">
      <c r="A2739">
        <v>2022</v>
      </c>
      <c r="B2739" t="s">
        <v>23</v>
      </c>
      <c r="C2739" t="s">
        <v>271</v>
      </c>
      <c r="D2739">
        <v>184</v>
      </c>
      <c r="E2739">
        <v>2</v>
      </c>
      <c r="F2739">
        <v>11</v>
      </c>
      <c r="G2739" t="s">
        <v>209</v>
      </c>
      <c r="H2739">
        <v>9</v>
      </c>
      <c r="I2739">
        <v>55</v>
      </c>
      <c r="J2739">
        <v>57</v>
      </c>
      <c r="K2739">
        <v>2</v>
      </c>
      <c r="L2739">
        <v>150</v>
      </c>
      <c r="M2739">
        <v>60</v>
      </c>
      <c r="N2739">
        <v>2</v>
      </c>
      <c r="O2739">
        <v>2</v>
      </c>
      <c r="P2739">
        <v>9</v>
      </c>
      <c r="Q2739">
        <v>0.14499999999999999</v>
      </c>
      <c r="R2739">
        <v>9</v>
      </c>
      <c r="S2739">
        <v>1</v>
      </c>
      <c r="T2739">
        <v>3</v>
      </c>
      <c r="U2739">
        <v>12.5</v>
      </c>
      <c r="V2739">
        <v>530.718954248366</v>
      </c>
      <c r="W2739">
        <v>2</v>
      </c>
    </row>
    <row r="2740" spans="1:23" x14ac:dyDescent="0.2">
      <c r="A2740">
        <v>2022</v>
      </c>
      <c r="B2740" t="s">
        <v>23</v>
      </c>
      <c r="C2740" t="s">
        <v>271</v>
      </c>
      <c r="D2740">
        <v>185</v>
      </c>
      <c r="E2740">
        <v>1</v>
      </c>
      <c r="F2740">
        <v>2</v>
      </c>
      <c r="G2740" t="s">
        <v>210</v>
      </c>
      <c r="H2740" s="1">
        <v>3</v>
      </c>
      <c r="I2740" s="1">
        <v>68</v>
      </c>
      <c r="J2740" s="1">
        <v>72</v>
      </c>
      <c r="K2740" s="1">
        <f>J2740-I2740</f>
        <v>4</v>
      </c>
      <c r="L2740" s="1">
        <v>117</v>
      </c>
      <c r="M2740" s="1">
        <v>60</v>
      </c>
      <c r="N2740" s="1">
        <v>2</v>
      </c>
      <c r="O2740" s="1">
        <v>2.5</v>
      </c>
      <c r="P2740" s="1">
        <v>3</v>
      </c>
      <c r="Q2740" s="2">
        <v>9.06E-2</v>
      </c>
      <c r="R2740" s="1">
        <v>2</v>
      </c>
      <c r="S2740" s="1">
        <f>R2740/P2740</f>
        <v>0.66666666666666663</v>
      </c>
      <c r="T2740" s="1">
        <v>5</v>
      </c>
      <c r="U2740" s="1">
        <v>12.5</v>
      </c>
      <c r="V2740" s="1">
        <v>331.60784313725492</v>
      </c>
      <c r="W2740" s="1">
        <v>6</v>
      </c>
    </row>
    <row r="2741" spans="1:23" x14ac:dyDescent="0.2">
      <c r="A2741">
        <v>2022</v>
      </c>
      <c r="B2741" t="s">
        <v>23</v>
      </c>
      <c r="C2741" t="s">
        <v>271</v>
      </c>
      <c r="D2741">
        <v>185</v>
      </c>
      <c r="E2741">
        <v>2</v>
      </c>
      <c r="F2741">
        <v>4</v>
      </c>
      <c r="G2741" t="s">
        <v>210</v>
      </c>
      <c r="H2741">
        <v>16</v>
      </c>
      <c r="I2741">
        <v>51</v>
      </c>
      <c r="J2741">
        <v>54</v>
      </c>
      <c r="K2741">
        <v>3</v>
      </c>
      <c r="L2741">
        <v>171</v>
      </c>
      <c r="M2741">
        <v>49</v>
      </c>
      <c r="N2741">
        <v>2</v>
      </c>
      <c r="O2741">
        <v>2</v>
      </c>
      <c r="P2741">
        <v>10</v>
      </c>
      <c r="Q2741">
        <v>0.8</v>
      </c>
      <c r="R2741">
        <v>10</v>
      </c>
      <c r="S2741">
        <v>1</v>
      </c>
      <c r="T2741">
        <v>3</v>
      </c>
      <c r="U2741">
        <v>12.5</v>
      </c>
      <c r="V2741">
        <v>2928.1045751633987</v>
      </c>
      <c r="W2741">
        <v>2</v>
      </c>
    </row>
    <row r="2742" spans="1:23" x14ac:dyDescent="0.2">
      <c r="A2742">
        <v>2022</v>
      </c>
      <c r="B2742" t="s">
        <v>23</v>
      </c>
      <c r="C2742" t="s">
        <v>271</v>
      </c>
      <c r="D2742">
        <v>186</v>
      </c>
      <c r="E2742">
        <v>1</v>
      </c>
      <c r="F2742">
        <v>3</v>
      </c>
      <c r="G2742" t="s">
        <v>211</v>
      </c>
      <c r="H2742" s="1">
        <v>2</v>
      </c>
      <c r="I2742" s="1">
        <v>68</v>
      </c>
      <c r="J2742" s="1">
        <v>72</v>
      </c>
      <c r="K2742" s="1">
        <f>J2742-I2742</f>
        <v>4</v>
      </c>
      <c r="L2742" s="1">
        <v>76</v>
      </c>
      <c r="M2742" s="1">
        <v>34</v>
      </c>
      <c r="N2742" s="1">
        <v>1.5</v>
      </c>
      <c r="O2742" s="1">
        <v>4.5</v>
      </c>
      <c r="P2742" s="1">
        <v>2</v>
      </c>
      <c r="Q2742" s="2">
        <v>0.06</v>
      </c>
      <c r="R2742" s="1">
        <v>1</v>
      </c>
      <c r="S2742" s="1">
        <f>R2742/P2742</f>
        <v>0.5</v>
      </c>
      <c r="T2742" s="1">
        <v>3.5</v>
      </c>
      <c r="U2742" s="1">
        <v>12.5</v>
      </c>
      <c r="V2742" s="1">
        <v>219.60784313725492</v>
      </c>
      <c r="W2742" s="1">
        <v>4</v>
      </c>
    </row>
    <row r="2743" spans="1:23" x14ac:dyDescent="0.2">
      <c r="A2743">
        <v>2022</v>
      </c>
      <c r="B2743" t="s">
        <v>23</v>
      </c>
      <c r="C2743" t="s">
        <v>271</v>
      </c>
      <c r="D2743">
        <v>186</v>
      </c>
      <c r="E2743">
        <v>2</v>
      </c>
      <c r="F2743">
        <v>2</v>
      </c>
      <c r="G2743" t="s">
        <v>211</v>
      </c>
      <c r="H2743">
        <v>7</v>
      </c>
      <c r="I2743">
        <v>60</v>
      </c>
      <c r="J2743">
        <v>62</v>
      </c>
      <c r="K2743">
        <v>2</v>
      </c>
      <c r="L2743">
        <v>180</v>
      </c>
      <c r="M2743">
        <v>51</v>
      </c>
      <c r="N2743">
        <v>2.5</v>
      </c>
      <c r="O2743">
        <v>3</v>
      </c>
      <c r="P2743">
        <v>7</v>
      </c>
      <c r="Q2743">
        <v>0.5</v>
      </c>
      <c r="R2743">
        <v>7</v>
      </c>
      <c r="S2743">
        <v>1</v>
      </c>
      <c r="T2743">
        <v>3</v>
      </c>
      <c r="U2743">
        <v>12.5</v>
      </c>
      <c r="V2743">
        <v>1830.0653594771243</v>
      </c>
      <c r="W2743">
        <v>1</v>
      </c>
    </row>
    <row r="2744" spans="1:23" x14ac:dyDescent="0.2">
      <c r="A2744">
        <v>2022</v>
      </c>
      <c r="B2744" t="s">
        <v>23</v>
      </c>
      <c r="C2744" t="s">
        <v>271</v>
      </c>
      <c r="D2744">
        <v>187</v>
      </c>
      <c r="E2744">
        <v>1</v>
      </c>
      <c r="F2744">
        <v>1</v>
      </c>
      <c r="G2744" t="s">
        <v>212</v>
      </c>
      <c r="H2744" s="1">
        <v>8</v>
      </c>
      <c r="I2744" s="1">
        <v>63</v>
      </c>
      <c r="J2744" s="1">
        <v>66</v>
      </c>
      <c r="K2744" s="1">
        <f>J2744-I2744</f>
        <v>3</v>
      </c>
      <c r="L2744" s="1">
        <v>112</v>
      </c>
      <c r="M2744" s="1">
        <v>25</v>
      </c>
      <c r="N2744" s="1">
        <v>2.5</v>
      </c>
      <c r="O2744" s="1">
        <v>4.5</v>
      </c>
      <c r="P2744" s="1">
        <v>4</v>
      </c>
      <c r="Q2744" s="2">
        <v>0.19700000000000001</v>
      </c>
      <c r="R2744" s="1">
        <v>4</v>
      </c>
      <c r="S2744" s="1">
        <f>R2744/P2744</f>
        <v>1</v>
      </c>
      <c r="T2744" s="1">
        <v>5</v>
      </c>
      <c r="U2744" s="1">
        <v>12.5</v>
      </c>
      <c r="V2744" s="1">
        <v>721.04575163398692</v>
      </c>
      <c r="W2744" s="1">
        <v>5</v>
      </c>
    </row>
    <row r="2745" spans="1:23" x14ac:dyDescent="0.2">
      <c r="A2745">
        <v>2022</v>
      </c>
      <c r="B2745" t="s">
        <v>23</v>
      </c>
      <c r="C2745" t="s">
        <v>271</v>
      </c>
      <c r="D2745">
        <v>187</v>
      </c>
      <c r="E2745">
        <v>2</v>
      </c>
      <c r="F2745">
        <v>4</v>
      </c>
      <c r="G2745" t="s">
        <v>212</v>
      </c>
      <c r="H2745" s="1">
        <v>16</v>
      </c>
      <c r="I2745" s="1">
        <v>66</v>
      </c>
      <c r="J2745" s="1">
        <v>71</v>
      </c>
      <c r="K2745" s="1">
        <f>J2745-I2745</f>
        <v>5</v>
      </c>
      <c r="L2745" s="1">
        <v>138</v>
      </c>
      <c r="M2745" s="1">
        <v>68</v>
      </c>
      <c r="N2745" s="1">
        <v>2</v>
      </c>
      <c r="O2745" s="1">
        <v>2.5</v>
      </c>
      <c r="P2745" s="1">
        <v>9</v>
      </c>
      <c r="Q2745" s="2">
        <v>0.42280000000000001</v>
      </c>
      <c r="R2745" s="1">
        <v>10</v>
      </c>
      <c r="S2745" s="1">
        <f>R2745/P2745</f>
        <v>1.1111111111111112</v>
      </c>
      <c r="T2745" s="1">
        <v>5</v>
      </c>
      <c r="U2745" s="1">
        <v>12.5</v>
      </c>
      <c r="V2745" s="1">
        <v>1547.5032679738563</v>
      </c>
      <c r="W2745" s="1">
        <v>6</v>
      </c>
    </row>
    <row r="2746" spans="1:23" x14ac:dyDescent="0.2">
      <c r="A2746">
        <v>2022</v>
      </c>
      <c r="B2746" t="s">
        <v>23</v>
      </c>
      <c r="C2746" t="s">
        <v>271</v>
      </c>
      <c r="D2746">
        <v>188</v>
      </c>
      <c r="E2746">
        <v>1</v>
      </c>
      <c r="F2746">
        <v>8</v>
      </c>
      <c r="G2746" t="s">
        <v>213</v>
      </c>
      <c r="H2746" s="1">
        <v>7</v>
      </c>
      <c r="I2746" s="1">
        <v>62</v>
      </c>
      <c r="J2746" s="1">
        <v>67</v>
      </c>
      <c r="K2746" s="1">
        <f>J2746-I2746</f>
        <v>5</v>
      </c>
      <c r="L2746" s="1">
        <v>100</v>
      </c>
      <c r="M2746" s="1">
        <v>65</v>
      </c>
      <c r="N2746" s="1">
        <v>2</v>
      </c>
      <c r="O2746" s="1">
        <v>4</v>
      </c>
      <c r="P2746" s="1">
        <v>7</v>
      </c>
      <c r="Q2746" s="2">
        <v>0.36254999999999993</v>
      </c>
      <c r="R2746" s="1">
        <v>5</v>
      </c>
      <c r="S2746" s="1">
        <f>R2746/P2746</f>
        <v>0.7142857142857143</v>
      </c>
      <c r="T2746" s="1">
        <v>5</v>
      </c>
      <c r="U2746" s="1">
        <v>12.5</v>
      </c>
      <c r="V2746" s="1">
        <v>1326.9803921568628</v>
      </c>
      <c r="W2746" s="1">
        <v>6</v>
      </c>
    </row>
    <row r="2747" spans="1:23" x14ac:dyDescent="0.2">
      <c r="A2747">
        <v>2022</v>
      </c>
      <c r="B2747" t="s">
        <v>23</v>
      </c>
      <c r="C2747" t="s">
        <v>271</v>
      </c>
      <c r="D2747">
        <v>188</v>
      </c>
      <c r="E2747">
        <v>2</v>
      </c>
      <c r="F2747">
        <v>6</v>
      </c>
      <c r="G2747" t="s">
        <v>213</v>
      </c>
      <c r="H2747">
        <v>2</v>
      </c>
      <c r="I2747">
        <v>63</v>
      </c>
      <c r="J2747">
        <v>65</v>
      </c>
      <c r="K2747">
        <v>2</v>
      </c>
      <c r="L2747">
        <v>164</v>
      </c>
      <c r="M2747">
        <v>50</v>
      </c>
      <c r="N2747">
        <v>1.5</v>
      </c>
      <c r="O2747">
        <v>2.5</v>
      </c>
      <c r="P2747">
        <v>2</v>
      </c>
      <c r="Q2747">
        <v>0.1</v>
      </c>
      <c r="R2747">
        <v>1</v>
      </c>
      <c r="S2747">
        <v>0.5</v>
      </c>
      <c r="T2747" t="s">
        <v>273</v>
      </c>
      <c r="U2747">
        <v>12.5</v>
      </c>
      <c r="V2747">
        <v>366.01307189542484</v>
      </c>
      <c r="W2747">
        <v>2</v>
      </c>
    </row>
    <row r="2748" spans="1:23" x14ac:dyDescent="0.2">
      <c r="A2748">
        <v>2022</v>
      </c>
      <c r="B2748" t="s">
        <v>23</v>
      </c>
      <c r="C2748" t="s">
        <v>271</v>
      </c>
      <c r="D2748">
        <v>189</v>
      </c>
      <c r="E2748">
        <v>1</v>
      </c>
      <c r="F2748">
        <v>1</v>
      </c>
      <c r="G2748" t="s">
        <v>214</v>
      </c>
      <c r="H2748" s="1">
        <v>14</v>
      </c>
      <c r="I2748" s="1">
        <v>66</v>
      </c>
      <c r="J2748" s="1">
        <v>70</v>
      </c>
      <c r="K2748" s="1">
        <f>J2748-I2748</f>
        <v>4</v>
      </c>
      <c r="L2748" s="1">
        <v>160</v>
      </c>
      <c r="M2748" s="1">
        <v>61</v>
      </c>
      <c r="N2748" s="1">
        <v>2</v>
      </c>
      <c r="O2748" s="1">
        <v>4</v>
      </c>
      <c r="P2748" s="1">
        <v>10</v>
      </c>
      <c r="Q2748" s="2">
        <v>0.34100000000000003</v>
      </c>
      <c r="R2748" s="1">
        <v>8</v>
      </c>
      <c r="S2748" s="1">
        <f>R2748/P2748</f>
        <v>0.8</v>
      </c>
      <c r="T2748" s="1">
        <v>3</v>
      </c>
      <c r="U2748" s="1">
        <v>12.5</v>
      </c>
      <c r="V2748" s="1">
        <v>1248.1045751633985</v>
      </c>
      <c r="W2748" s="1">
        <v>4</v>
      </c>
    </row>
    <row r="2749" spans="1:23" x14ac:dyDescent="0.2">
      <c r="A2749">
        <v>2022</v>
      </c>
      <c r="B2749" t="s">
        <v>23</v>
      </c>
      <c r="C2749" t="s">
        <v>271</v>
      </c>
      <c r="D2749">
        <v>189</v>
      </c>
      <c r="E2749">
        <v>2</v>
      </c>
      <c r="F2749">
        <v>8</v>
      </c>
      <c r="G2749" t="s">
        <v>214</v>
      </c>
      <c r="H2749" s="1">
        <v>12</v>
      </c>
      <c r="I2749" s="1">
        <v>67</v>
      </c>
      <c r="J2749" s="1">
        <v>69</v>
      </c>
      <c r="K2749" s="1">
        <f>J2749-I2749</f>
        <v>2</v>
      </c>
      <c r="L2749" s="1">
        <v>160</v>
      </c>
      <c r="M2749" s="1">
        <v>55</v>
      </c>
      <c r="N2749" s="1">
        <v>2.5</v>
      </c>
      <c r="O2749" s="1">
        <v>4</v>
      </c>
      <c r="P2749" s="1">
        <v>12</v>
      </c>
      <c r="Q2749" s="2">
        <v>1.1639999999999999</v>
      </c>
      <c r="R2749" s="1">
        <v>12</v>
      </c>
      <c r="S2749" s="1">
        <f>R2749/P2749</f>
        <v>1</v>
      </c>
      <c r="T2749" s="1">
        <v>2.5</v>
      </c>
      <c r="U2749" s="1">
        <v>12.5</v>
      </c>
      <c r="V2749" s="1">
        <v>4260.3921568627447</v>
      </c>
      <c r="W2749" s="1">
        <v>3</v>
      </c>
    </row>
    <row r="2750" spans="1:23" x14ac:dyDescent="0.2">
      <c r="A2750">
        <v>2022</v>
      </c>
      <c r="B2750" t="s">
        <v>23</v>
      </c>
      <c r="C2750" t="s">
        <v>271</v>
      </c>
      <c r="D2750">
        <v>190</v>
      </c>
      <c r="E2750">
        <v>1</v>
      </c>
      <c r="F2750">
        <v>9</v>
      </c>
      <c r="G2750" t="s">
        <v>215</v>
      </c>
      <c r="H2750" s="1">
        <v>12</v>
      </c>
      <c r="I2750" s="1">
        <v>64</v>
      </c>
      <c r="J2750" s="1">
        <v>68</v>
      </c>
      <c r="K2750" s="1">
        <f>J2750-I2750</f>
        <v>4</v>
      </c>
      <c r="L2750" s="1">
        <v>165</v>
      </c>
      <c r="M2750" s="1">
        <v>75</v>
      </c>
      <c r="N2750" s="1">
        <v>1.5</v>
      </c>
      <c r="O2750" s="1">
        <v>4</v>
      </c>
      <c r="P2750" s="1">
        <v>10</v>
      </c>
      <c r="Q2750" s="2">
        <v>0.19079999999999997</v>
      </c>
      <c r="R2750" s="1">
        <v>8</v>
      </c>
      <c r="S2750" s="1">
        <f>R2750/P2750</f>
        <v>0.8</v>
      </c>
      <c r="T2750" s="1">
        <v>3.5</v>
      </c>
      <c r="U2750" s="1">
        <v>12.5</v>
      </c>
      <c r="V2750" s="1">
        <v>698.35294117647049</v>
      </c>
      <c r="W2750" s="1">
        <v>2</v>
      </c>
    </row>
    <row r="2751" spans="1:23" x14ac:dyDescent="0.2">
      <c r="A2751">
        <v>2022</v>
      </c>
      <c r="B2751" t="s">
        <v>23</v>
      </c>
      <c r="C2751" t="s">
        <v>271</v>
      </c>
      <c r="D2751">
        <v>190</v>
      </c>
      <c r="E2751">
        <v>2</v>
      </c>
      <c r="F2751">
        <v>6</v>
      </c>
      <c r="G2751" t="s">
        <v>215</v>
      </c>
      <c r="H2751" s="1">
        <v>5</v>
      </c>
      <c r="I2751" s="1">
        <v>63</v>
      </c>
      <c r="J2751" s="1">
        <v>65</v>
      </c>
      <c r="K2751" s="1">
        <f>J2751-I2751</f>
        <v>2</v>
      </c>
      <c r="L2751" s="1">
        <v>172</v>
      </c>
      <c r="M2751" s="1">
        <v>92</v>
      </c>
      <c r="N2751" s="1">
        <v>2</v>
      </c>
      <c r="O2751" s="1">
        <v>2.5</v>
      </c>
      <c r="P2751" s="1">
        <v>4</v>
      </c>
      <c r="Q2751" s="2">
        <v>0.42975000000000002</v>
      </c>
      <c r="R2751" s="1">
        <v>4</v>
      </c>
      <c r="S2751" s="1">
        <f>R2751/P2751</f>
        <v>1</v>
      </c>
      <c r="T2751" s="1">
        <v>2</v>
      </c>
      <c r="U2751" s="1">
        <v>8.1</v>
      </c>
      <c r="V2751" s="1">
        <v>1652.0376470588239</v>
      </c>
      <c r="W2751" s="1">
        <v>5</v>
      </c>
    </row>
    <row r="2752" spans="1:23" x14ac:dyDescent="0.2">
      <c r="A2752">
        <v>2022</v>
      </c>
      <c r="B2752" t="s">
        <v>23</v>
      </c>
      <c r="C2752" t="s">
        <v>271</v>
      </c>
      <c r="D2752">
        <v>191</v>
      </c>
      <c r="E2752">
        <v>1</v>
      </c>
      <c r="F2752">
        <v>3</v>
      </c>
      <c r="G2752" t="s">
        <v>216</v>
      </c>
      <c r="H2752">
        <v>12</v>
      </c>
      <c r="I2752">
        <v>50</v>
      </c>
      <c r="J2752">
        <v>54</v>
      </c>
      <c r="K2752">
        <v>4</v>
      </c>
      <c r="L2752">
        <v>156</v>
      </c>
      <c r="M2752">
        <v>46</v>
      </c>
      <c r="N2752">
        <v>2</v>
      </c>
      <c r="O2752">
        <v>2.5</v>
      </c>
      <c r="P2752">
        <v>7</v>
      </c>
      <c r="Q2752">
        <v>0.1</v>
      </c>
      <c r="R2752">
        <v>4</v>
      </c>
      <c r="S2752">
        <v>0.5714285714285714</v>
      </c>
      <c r="T2752">
        <v>4</v>
      </c>
      <c r="U2752">
        <v>11.2</v>
      </c>
      <c r="V2752">
        <v>371.45098039215696</v>
      </c>
      <c r="W2752">
        <v>1</v>
      </c>
    </row>
    <row r="2753" spans="1:23" x14ac:dyDescent="0.2">
      <c r="A2753">
        <v>2022</v>
      </c>
      <c r="B2753" t="s">
        <v>23</v>
      </c>
      <c r="C2753" t="s">
        <v>271</v>
      </c>
      <c r="D2753">
        <v>191</v>
      </c>
      <c r="E2753">
        <v>2</v>
      </c>
      <c r="F2753">
        <v>10</v>
      </c>
      <c r="G2753" t="s">
        <v>216</v>
      </c>
      <c r="H2753" s="1">
        <v>5</v>
      </c>
      <c r="I2753" s="1">
        <v>59</v>
      </c>
      <c r="J2753" s="1">
        <v>64</v>
      </c>
      <c r="K2753" s="1">
        <f>J2753-I2753</f>
        <v>5</v>
      </c>
      <c r="L2753" s="1">
        <v>142</v>
      </c>
      <c r="M2753" s="1">
        <v>85</v>
      </c>
      <c r="N2753" s="1">
        <v>2</v>
      </c>
      <c r="O2753" s="1">
        <v>2.5</v>
      </c>
      <c r="P2753" s="1">
        <v>4</v>
      </c>
      <c r="Q2753" s="2">
        <v>0.229875</v>
      </c>
      <c r="R2753" s="1">
        <v>4</v>
      </c>
      <c r="S2753" s="1">
        <f>R2753/P2753</f>
        <v>1</v>
      </c>
      <c r="T2753" s="1">
        <v>2</v>
      </c>
      <c r="U2753" s="1">
        <v>12.5</v>
      </c>
      <c r="V2753" s="1">
        <v>841.37254901960785</v>
      </c>
      <c r="W2753" s="1">
        <v>5</v>
      </c>
    </row>
    <row r="2754" spans="1:23" x14ac:dyDescent="0.2">
      <c r="A2754">
        <v>2022</v>
      </c>
      <c r="B2754" t="s">
        <v>23</v>
      </c>
      <c r="C2754" t="s">
        <v>271</v>
      </c>
      <c r="D2754">
        <v>192</v>
      </c>
      <c r="E2754">
        <v>1</v>
      </c>
      <c r="F2754">
        <v>9</v>
      </c>
      <c r="G2754" t="s">
        <v>217</v>
      </c>
      <c r="H2754" s="1">
        <v>12</v>
      </c>
      <c r="I2754" s="1">
        <v>57</v>
      </c>
      <c r="J2754" s="1">
        <v>61</v>
      </c>
      <c r="K2754" s="1">
        <f>J2754-I2754</f>
        <v>4</v>
      </c>
      <c r="L2754" s="1">
        <v>148</v>
      </c>
      <c r="M2754" s="1">
        <v>78</v>
      </c>
      <c r="N2754" s="1">
        <v>2</v>
      </c>
      <c r="O2754" s="1">
        <v>3.5</v>
      </c>
      <c r="P2754" s="1">
        <f>H2754</f>
        <v>12</v>
      </c>
      <c r="Q2754" s="2">
        <v>5.2199999999999996E-2</v>
      </c>
      <c r="R2754" s="1">
        <v>9</v>
      </c>
      <c r="S2754" s="1">
        <f>R2754/P2754</f>
        <v>0.75</v>
      </c>
      <c r="T2754" s="1">
        <v>5</v>
      </c>
      <c r="U2754" s="1">
        <v>12.5</v>
      </c>
      <c r="V2754" s="1">
        <v>191.05882352941177</v>
      </c>
      <c r="W2754" s="1">
        <v>2</v>
      </c>
    </row>
    <row r="2755" spans="1:23" x14ac:dyDescent="0.2">
      <c r="A2755">
        <v>2022</v>
      </c>
      <c r="B2755" t="s">
        <v>23</v>
      </c>
      <c r="C2755" t="s">
        <v>271</v>
      </c>
      <c r="D2755">
        <v>192</v>
      </c>
      <c r="E2755">
        <v>2</v>
      </c>
      <c r="F2755">
        <v>14</v>
      </c>
      <c r="G2755" t="s">
        <v>217</v>
      </c>
      <c r="H2755" s="1">
        <v>8</v>
      </c>
      <c r="I2755" s="1">
        <v>70</v>
      </c>
      <c r="J2755" s="1">
        <v>74</v>
      </c>
      <c r="K2755" s="1">
        <f>J2755-I2755</f>
        <v>4</v>
      </c>
      <c r="L2755" s="1">
        <v>95</v>
      </c>
      <c r="M2755" s="1">
        <v>30</v>
      </c>
      <c r="N2755" s="1">
        <v>2.5</v>
      </c>
      <c r="O2755" s="1">
        <v>4.5</v>
      </c>
      <c r="P2755" s="1">
        <v>5</v>
      </c>
      <c r="Q2755" s="2">
        <v>0.1268</v>
      </c>
      <c r="R2755" s="1">
        <v>4</v>
      </c>
      <c r="S2755" s="1">
        <f>R2755/P2755</f>
        <v>0.8</v>
      </c>
      <c r="T2755" s="1">
        <v>5</v>
      </c>
      <c r="U2755" s="1">
        <v>12.5</v>
      </c>
      <c r="V2755" s="1">
        <v>464.10457516339869</v>
      </c>
      <c r="W2755" s="1">
        <v>6</v>
      </c>
    </row>
    <row r="2756" spans="1:23" x14ac:dyDescent="0.2">
      <c r="A2756">
        <v>2022</v>
      </c>
      <c r="B2756" t="s">
        <v>23</v>
      </c>
      <c r="C2756" t="s">
        <v>271</v>
      </c>
      <c r="D2756">
        <v>193</v>
      </c>
      <c r="E2756">
        <v>1</v>
      </c>
      <c r="F2756">
        <v>7</v>
      </c>
      <c r="G2756" t="s">
        <v>218</v>
      </c>
      <c r="H2756">
        <v>16</v>
      </c>
      <c r="I2756">
        <v>57</v>
      </c>
      <c r="J2756">
        <v>58</v>
      </c>
      <c r="K2756">
        <v>1</v>
      </c>
      <c r="L2756">
        <v>173</v>
      </c>
      <c r="M2756">
        <v>68</v>
      </c>
      <c r="N2756">
        <v>2</v>
      </c>
      <c r="O2756">
        <v>3</v>
      </c>
      <c r="P2756">
        <v>11</v>
      </c>
      <c r="Q2756">
        <v>0.6</v>
      </c>
      <c r="R2756">
        <v>10</v>
      </c>
      <c r="S2756">
        <v>0.90909090909090906</v>
      </c>
      <c r="T2756">
        <v>2</v>
      </c>
      <c r="U2756">
        <v>11.4</v>
      </c>
      <c r="V2756">
        <v>2223.6862745098038</v>
      </c>
      <c r="W2756">
        <v>1</v>
      </c>
    </row>
    <row r="2757" spans="1:23" x14ac:dyDescent="0.2">
      <c r="A2757">
        <v>2022</v>
      </c>
      <c r="B2757" t="s">
        <v>23</v>
      </c>
      <c r="C2757" t="s">
        <v>271</v>
      </c>
      <c r="D2757">
        <v>193</v>
      </c>
      <c r="E2757">
        <v>2</v>
      </c>
      <c r="F2757">
        <v>9</v>
      </c>
      <c r="G2757" t="s">
        <v>218</v>
      </c>
      <c r="H2757" s="1">
        <v>11</v>
      </c>
      <c r="I2757" s="1">
        <v>70</v>
      </c>
      <c r="J2757" s="1">
        <v>73</v>
      </c>
      <c r="K2757" s="1">
        <f t="shared" ref="K2757:K2763" si="134">J2757-I2757</f>
        <v>3</v>
      </c>
      <c r="L2757" s="1">
        <v>185</v>
      </c>
      <c r="M2757" s="1">
        <v>100</v>
      </c>
      <c r="N2757" s="1">
        <v>2</v>
      </c>
      <c r="O2757" s="1">
        <v>3</v>
      </c>
      <c r="P2757" s="1">
        <v>9</v>
      </c>
      <c r="Q2757" s="2">
        <v>0.25600000000000001</v>
      </c>
      <c r="R2757" s="1">
        <v>7</v>
      </c>
      <c r="S2757" s="1">
        <f t="shared" ref="S2757:S2763" si="135">R2757/P2757</f>
        <v>0.77777777777777779</v>
      </c>
      <c r="T2757" s="1">
        <v>5</v>
      </c>
      <c r="U2757" s="1">
        <v>8.6</v>
      </c>
      <c r="V2757" s="1">
        <v>978.75660130718961</v>
      </c>
      <c r="W2757" s="1">
        <v>6</v>
      </c>
    </row>
    <row r="2758" spans="1:23" x14ac:dyDescent="0.2">
      <c r="A2758">
        <v>2022</v>
      </c>
      <c r="B2758" t="s">
        <v>23</v>
      </c>
      <c r="C2758" t="s">
        <v>271</v>
      </c>
      <c r="D2758">
        <v>194</v>
      </c>
      <c r="E2758">
        <v>1</v>
      </c>
      <c r="F2758">
        <v>1</v>
      </c>
      <c r="G2758" t="s">
        <v>219</v>
      </c>
      <c r="H2758" s="1">
        <v>3</v>
      </c>
      <c r="I2758" s="1">
        <v>66</v>
      </c>
      <c r="J2758" s="1">
        <v>67</v>
      </c>
      <c r="K2758" s="1">
        <f t="shared" si="134"/>
        <v>1</v>
      </c>
      <c r="L2758" s="1">
        <v>47</v>
      </c>
      <c r="M2758" s="1">
        <v>43</v>
      </c>
      <c r="N2758" s="1">
        <v>2</v>
      </c>
      <c r="O2758" s="1">
        <v>3.5</v>
      </c>
      <c r="P2758" s="1">
        <v>3</v>
      </c>
      <c r="Q2758" s="2">
        <v>0.12</v>
      </c>
      <c r="R2758" s="1">
        <v>5</v>
      </c>
      <c r="S2758" s="1">
        <f t="shared" si="135"/>
        <v>1.6666666666666667</v>
      </c>
      <c r="T2758" s="1">
        <v>4</v>
      </c>
      <c r="U2758" s="1">
        <v>12.2</v>
      </c>
      <c r="V2758" s="1">
        <v>440.72156862745101</v>
      </c>
      <c r="W2758" s="1">
        <v>5</v>
      </c>
    </row>
    <row r="2759" spans="1:23" x14ac:dyDescent="0.2">
      <c r="A2759">
        <v>2022</v>
      </c>
      <c r="B2759" t="s">
        <v>23</v>
      </c>
      <c r="C2759" t="s">
        <v>271</v>
      </c>
      <c r="D2759">
        <v>194</v>
      </c>
      <c r="E2759">
        <v>2</v>
      </c>
      <c r="F2759">
        <v>11</v>
      </c>
      <c r="G2759" t="s">
        <v>219</v>
      </c>
      <c r="H2759" s="1">
        <v>8</v>
      </c>
      <c r="I2759" s="1">
        <v>68</v>
      </c>
      <c r="J2759" s="1">
        <v>71</v>
      </c>
      <c r="K2759" s="1">
        <f t="shared" si="134"/>
        <v>3</v>
      </c>
      <c r="L2759" s="1">
        <v>90</v>
      </c>
      <c r="M2759" s="1">
        <v>30</v>
      </c>
      <c r="N2759" s="1">
        <v>3</v>
      </c>
      <c r="O2759" s="1">
        <v>5</v>
      </c>
      <c r="P2759" s="1">
        <v>6</v>
      </c>
      <c r="Q2759" s="2">
        <v>0.14299999999999999</v>
      </c>
      <c r="R2759" s="1">
        <v>4</v>
      </c>
      <c r="S2759" s="1">
        <f t="shared" si="135"/>
        <v>0.66666666666666663</v>
      </c>
      <c r="T2759" s="1">
        <v>5</v>
      </c>
      <c r="U2759" s="1">
        <v>12.5</v>
      </c>
      <c r="V2759" s="1">
        <v>523.39869281045753</v>
      </c>
      <c r="W2759" s="1">
        <v>6</v>
      </c>
    </row>
    <row r="2760" spans="1:23" x14ac:dyDescent="0.2">
      <c r="A2760">
        <v>2022</v>
      </c>
      <c r="B2760" t="s">
        <v>23</v>
      </c>
      <c r="C2760" t="s">
        <v>271</v>
      </c>
      <c r="D2760">
        <v>195</v>
      </c>
      <c r="E2760">
        <v>1</v>
      </c>
      <c r="F2760">
        <v>2</v>
      </c>
      <c r="G2760" t="s">
        <v>220</v>
      </c>
      <c r="H2760" s="1">
        <v>7</v>
      </c>
      <c r="I2760" s="1">
        <v>68</v>
      </c>
      <c r="J2760" s="1">
        <v>72</v>
      </c>
      <c r="K2760" s="1">
        <f t="shared" si="134"/>
        <v>4</v>
      </c>
      <c r="L2760" s="1">
        <v>110</v>
      </c>
      <c r="M2760" s="1">
        <v>36</v>
      </c>
      <c r="N2760" s="1">
        <v>3</v>
      </c>
      <c r="O2760" s="1">
        <v>4.5</v>
      </c>
      <c r="P2760" s="1">
        <v>5</v>
      </c>
      <c r="Q2760" s="2">
        <v>0.122</v>
      </c>
      <c r="R2760" s="1">
        <v>5</v>
      </c>
      <c r="S2760" s="1">
        <f t="shared" si="135"/>
        <v>1</v>
      </c>
      <c r="T2760" s="1">
        <v>4.5</v>
      </c>
      <c r="U2760" s="1">
        <v>12.5</v>
      </c>
      <c r="V2760" s="1">
        <v>446.53594771241831</v>
      </c>
      <c r="W2760" s="1">
        <v>5</v>
      </c>
    </row>
    <row r="2761" spans="1:23" x14ac:dyDescent="0.2">
      <c r="A2761">
        <v>2022</v>
      </c>
      <c r="B2761" t="s">
        <v>23</v>
      </c>
      <c r="C2761" t="s">
        <v>271</v>
      </c>
      <c r="D2761">
        <v>195</v>
      </c>
      <c r="E2761">
        <v>2</v>
      </c>
      <c r="F2761">
        <v>14</v>
      </c>
      <c r="G2761" t="s">
        <v>220</v>
      </c>
      <c r="H2761" s="1">
        <v>4</v>
      </c>
      <c r="I2761" s="1">
        <v>66</v>
      </c>
      <c r="J2761" s="1">
        <v>71</v>
      </c>
      <c r="K2761" s="1">
        <f t="shared" si="134"/>
        <v>5</v>
      </c>
      <c r="L2761" s="1">
        <v>30</v>
      </c>
      <c r="M2761" s="1">
        <v>37</v>
      </c>
      <c r="N2761" s="1">
        <v>2</v>
      </c>
      <c r="O2761" s="1">
        <v>3.5</v>
      </c>
      <c r="P2761" s="1">
        <v>4</v>
      </c>
      <c r="Q2761" s="2">
        <v>0.1724</v>
      </c>
      <c r="R2761" s="1">
        <v>4</v>
      </c>
      <c r="S2761" s="1">
        <f t="shared" si="135"/>
        <v>1</v>
      </c>
      <c r="T2761" s="1">
        <v>5</v>
      </c>
      <c r="U2761" s="1">
        <v>12.5</v>
      </c>
      <c r="V2761" s="1">
        <v>631.00653594771245</v>
      </c>
      <c r="W2761" s="1">
        <v>3</v>
      </c>
    </row>
    <row r="2762" spans="1:23" x14ac:dyDescent="0.2">
      <c r="A2762">
        <v>2022</v>
      </c>
      <c r="B2762" t="s">
        <v>23</v>
      </c>
      <c r="C2762" t="s">
        <v>271</v>
      </c>
      <c r="D2762">
        <v>196</v>
      </c>
      <c r="E2762">
        <v>1</v>
      </c>
      <c r="F2762">
        <v>5</v>
      </c>
      <c r="G2762" t="s">
        <v>221</v>
      </c>
      <c r="H2762" s="1">
        <v>10</v>
      </c>
      <c r="I2762" s="1">
        <v>69</v>
      </c>
      <c r="J2762" s="1">
        <v>74</v>
      </c>
      <c r="K2762" s="1">
        <f t="shared" si="134"/>
        <v>5</v>
      </c>
      <c r="L2762" s="1">
        <v>154</v>
      </c>
      <c r="M2762" s="1">
        <v>56</v>
      </c>
      <c r="N2762" s="1">
        <v>2</v>
      </c>
      <c r="O2762" s="1">
        <v>4.5</v>
      </c>
      <c r="P2762" s="1">
        <v>8</v>
      </c>
      <c r="Q2762" s="2">
        <v>0.14799999999999999</v>
      </c>
      <c r="R2762" s="1">
        <v>6</v>
      </c>
      <c r="S2762" s="1">
        <f t="shared" si="135"/>
        <v>0.75</v>
      </c>
      <c r="T2762" s="1">
        <v>5</v>
      </c>
      <c r="U2762" s="1">
        <v>12.5</v>
      </c>
      <c r="V2762" s="1">
        <v>541.69934640522877</v>
      </c>
      <c r="W2762" s="1">
        <v>5</v>
      </c>
    </row>
    <row r="2763" spans="1:23" x14ac:dyDescent="0.2">
      <c r="A2763">
        <v>2022</v>
      </c>
      <c r="B2763" t="s">
        <v>23</v>
      </c>
      <c r="C2763" t="s">
        <v>271</v>
      </c>
      <c r="D2763">
        <v>196</v>
      </c>
      <c r="E2763">
        <v>2</v>
      </c>
      <c r="F2763">
        <v>4</v>
      </c>
      <c r="G2763" t="s">
        <v>221</v>
      </c>
      <c r="H2763" s="1">
        <v>8</v>
      </c>
      <c r="I2763" s="1">
        <v>62</v>
      </c>
      <c r="J2763" s="1">
        <v>66</v>
      </c>
      <c r="K2763" s="1">
        <f t="shared" si="134"/>
        <v>4</v>
      </c>
      <c r="L2763" s="1">
        <v>147</v>
      </c>
      <c r="M2763" s="1">
        <v>58</v>
      </c>
      <c r="N2763" s="1">
        <v>3</v>
      </c>
      <c r="O2763" s="1">
        <v>4</v>
      </c>
      <c r="P2763" s="1">
        <v>8</v>
      </c>
      <c r="Q2763" s="2">
        <v>1.9679999999999996E-2</v>
      </c>
      <c r="R2763" s="1">
        <v>4</v>
      </c>
      <c r="S2763" s="1">
        <f t="shared" si="135"/>
        <v>0.5</v>
      </c>
      <c r="T2763" s="1">
        <v>5</v>
      </c>
      <c r="U2763" s="1">
        <v>12.5</v>
      </c>
      <c r="V2763" s="1">
        <v>72.031372549019608</v>
      </c>
      <c r="W2763" s="1">
        <v>5</v>
      </c>
    </row>
    <row r="2764" spans="1:23" x14ac:dyDescent="0.2">
      <c r="A2764">
        <v>2022</v>
      </c>
      <c r="B2764" t="s">
        <v>23</v>
      </c>
      <c r="C2764" t="s">
        <v>271</v>
      </c>
      <c r="D2764">
        <v>197</v>
      </c>
      <c r="E2764">
        <v>1</v>
      </c>
      <c r="F2764">
        <v>3</v>
      </c>
      <c r="G2764" t="s">
        <v>222</v>
      </c>
      <c r="H2764">
        <v>8</v>
      </c>
      <c r="I2764">
        <v>59</v>
      </c>
      <c r="J2764">
        <v>62</v>
      </c>
      <c r="K2764">
        <v>3</v>
      </c>
      <c r="L2764">
        <v>145</v>
      </c>
      <c r="M2764">
        <v>55</v>
      </c>
      <c r="N2764">
        <v>1.5</v>
      </c>
      <c r="O2764">
        <v>3.5</v>
      </c>
      <c r="P2764">
        <v>8</v>
      </c>
      <c r="Q2764">
        <v>0.6</v>
      </c>
      <c r="R2764">
        <v>8</v>
      </c>
      <c r="S2764">
        <v>1</v>
      </c>
      <c r="T2764">
        <v>3.5</v>
      </c>
      <c r="U2764">
        <v>12.5</v>
      </c>
      <c r="V2764">
        <v>2196.0784313725489</v>
      </c>
      <c r="W2764">
        <v>1</v>
      </c>
    </row>
    <row r="2765" spans="1:23" x14ac:dyDescent="0.2">
      <c r="A2765">
        <v>2022</v>
      </c>
      <c r="B2765" t="s">
        <v>23</v>
      </c>
      <c r="C2765" t="s">
        <v>271</v>
      </c>
      <c r="D2765">
        <v>197</v>
      </c>
      <c r="E2765">
        <v>2</v>
      </c>
      <c r="F2765">
        <v>12</v>
      </c>
      <c r="G2765" t="s">
        <v>222</v>
      </c>
      <c r="H2765">
        <v>14</v>
      </c>
      <c r="I2765">
        <v>57</v>
      </c>
      <c r="J2765">
        <v>59</v>
      </c>
      <c r="K2765">
        <v>2</v>
      </c>
      <c r="L2765">
        <v>167</v>
      </c>
      <c r="M2765">
        <v>76</v>
      </c>
      <c r="N2765">
        <v>2</v>
      </c>
      <c r="O2765">
        <v>2.5</v>
      </c>
      <c r="P2765">
        <v>10</v>
      </c>
      <c r="Q2765">
        <v>0.4</v>
      </c>
      <c r="R2765">
        <v>14</v>
      </c>
      <c r="S2765">
        <v>1.4</v>
      </c>
      <c r="T2765">
        <v>4</v>
      </c>
      <c r="U2765">
        <v>10</v>
      </c>
      <c r="V2765">
        <v>1505.8823529411764</v>
      </c>
      <c r="W2765">
        <v>1</v>
      </c>
    </row>
    <row r="2766" spans="1:23" x14ac:dyDescent="0.2">
      <c r="A2766">
        <v>2022</v>
      </c>
      <c r="B2766" t="s">
        <v>23</v>
      </c>
      <c r="C2766" t="s">
        <v>271</v>
      </c>
      <c r="D2766">
        <v>198</v>
      </c>
      <c r="E2766">
        <v>1</v>
      </c>
      <c r="F2766">
        <v>7</v>
      </c>
      <c r="G2766" t="s">
        <v>223</v>
      </c>
      <c r="H2766" s="1">
        <v>7</v>
      </c>
      <c r="I2766" s="1">
        <v>68</v>
      </c>
      <c r="J2766" s="1">
        <v>71</v>
      </c>
      <c r="K2766" s="1">
        <f>J2766-I2766</f>
        <v>3</v>
      </c>
      <c r="L2766" s="1">
        <v>82</v>
      </c>
      <c r="M2766" s="1">
        <v>25</v>
      </c>
      <c r="N2766" s="1">
        <v>3</v>
      </c>
      <c r="O2766" s="1">
        <v>5</v>
      </c>
      <c r="P2766" s="1">
        <v>3</v>
      </c>
      <c r="Q2766" s="2">
        <v>5.2999999999999999E-2</v>
      </c>
      <c r="R2766" s="1">
        <v>2</v>
      </c>
      <c r="S2766" s="1">
        <f>R2766/P2766</f>
        <v>0.66666666666666663</v>
      </c>
      <c r="T2766" s="1">
        <v>5</v>
      </c>
      <c r="U2766" s="1">
        <v>12.5</v>
      </c>
      <c r="V2766" s="1">
        <v>193.98692810457518</v>
      </c>
      <c r="W2766" s="1">
        <v>5</v>
      </c>
    </row>
    <row r="2767" spans="1:23" x14ac:dyDescent="0.2">
      <c r="A2767">
        <v>2022</v>
      </c>
      <c r="B2767" t="s">
        <v>23</v>
      </c>
      <c r="C2767" t="s">
        <v>271</v>
      </c>
      <c r="D2767">
        <v>198</v>
      </c>
      <c r="E2767">
        <v>2</v>
      </c>
      <c r="F2767">
        <v>11</v>
      </c>
      <c r="G2767" t="s">
        <v>223</v>
      </c>
      <c r="H2767" s="1">
        <v>10</v>
      </c>
      <c r="I2767" s="1">
        <v>63</v>
      </c>
      <c r="J2767" s="1">
        <v>68</v>
      </c>
      <c r="K2767" s="1">
        <f>J2767-I2767</f>
        <v>5</v>
      </c>
      <c r="L2767" s="1">
        <v>174</v>
      </c>
      <c r="M2767" s="1">
        <v>69</v>
      </c>
      <c r="N2767" s="1">
        <v>2</v>
      </c>
      <c r="O2767" s="1">
        <v>3.5</v>
      </c>
      <c r="P2767" s="1">
        <v>5</v>
      </c>
      <c r="Q2767" s="2">
        <v>8.2000000000000003E-2</v>
      </c>
      <c r="R2767" s="1">
        <v>1</v>
      </c>
      <c r="S2767" s="1">
        <f>R2767/P2767</f>
        <v>0.2</v>
      </c>
      <c r="T2767" s="1">
        <v>2</v>
      </c>
      <c r="U2767" s="1">
        <v>12.5</v>
      </c>
      <c r="V2767" s="1">
        <v>300.13071895424832</v>
      </c>
      <c r="W2767" s="1">
        <v>4</v>
      </c>
    </row>
    <row r="2768" spans="1:23" x14ac:dyDescent="0.2">
      <c r="A2768">
        <v>2022</v>
      </c>
      <c r="B2768" t="s">
        <v>23</v>
      </c>
      <c r="C2768" t="s">
        <v>271</v>
      </c>
      <c r="D2768">
        <v>199</v>
      </c>
      <c r="E2768">
        <v>1</v>
      </c>
      <c r="F2768">
        <v>12</v>
      </c>
      <c r="G2768" t="s">
        <v>224</v>
      </c>
      <c r="H2768" s="1">
        <v>5</v>
      </c>
      <c r="I2768" s="1">
        <v>63</v>
      </c>
      <c r="J2768" s="1">
        <v>68</v>
      </c>
      <c r="K2768" s="1">
        <f>J2768-I2768</f>
        <v>5</v>
      </c>
      <c r="L2768" s="1">
        <v>119</v>
      </c>
      <c r="M2768" s="1">
        <v>42</v>
      </c>
      <c r="N2768" s="1">
        <v>2.5</v>
      </c>
      <c r="O2768" s="1">
        <v>4</v>
      </c>
      <c r="P2768" s="1">
        <v>4</v>
      </c>
      <c r="Q2768" s="2">
        <v>0.152</v>
      </c>
      <c r="R2768" s="1">
        <v>4</v>
      </c>
      <c r="S2768" s="1">
        <f>R2768/P2768</f>
        <v>1</v>
      </c>
      <c r="T2768" s="1">
        <v>3.5</v>
      </c>
      <c r="U2768" s="1">
        <v>12.5</v>
      </c>
      <c r="V2768" s="1">
        <v>556.33986928104571</v>
      </c>
      <c r="W2768" s="1">
        <v>5</v>
      </c>
    </row>
    <row r="2769" spans="1:23" x14ac:dyDescent="0.2">
      <c r="A2769">
        <v>2022</v>
      </c>
      <c r="B2769" t="s">
        <v>23</v>
      </c>
      <c r="C2769" t="s">
        <v>271</v>
      </c>
      <c r="D2769">
        <v>199</v>
      </c>
      <c r="E2769">
        <v>2</v>
      </c>
      <c r="F2769">
        <v>8</v>
      </c>
      <c r="G2769" t="s">
        <v>224</v>
      </c>
      <c r="H2769" s="1">
        <v>5</v>
      </c>
      <c r="I2769" s="1">
        <v>66</v>
      </c>
      <c r="J2769" s="1">
        <v>70</v>
      </c>
      <c r="K2769" s="1">
        <f>J2769-I2769</f>
        <v>4</v>
      </c>
      <c r="L2769" s="1">
        <v>126</v>
      </c>
      <c r="M2769" s="1">
        <v>42</v>
      </c>
      <c r="N2769" s="1">
        <v>2</v>
      </c>
      <c r="O2769" s="1">
        <v>4</v>
      </c>
      <c r="P2769" s="1">
        <v>4</v>
      </c>
      <c r="Q2769" s="2">
        <v>0.122</v>
      </c>
      <c r="R2769" s="1">
        <v>4</v>
      </c>
      <c r="S2769" s="1">
        <f>R2769/P2769</f>
        <v>1</v>
      </c>
      <c r="T2769" s="1">
        <v>3.5</v>
      </c>
      <c r="U2769" s="1">
        <v>12.5</v>
      </c>
      <c r="V2769" s="1">
        <v>446.53594771241831</v>
      </c>
      <c r="W2769" s="1">
        <v>5</v>
      </c>
    </row>
    <row r="2770" spans="1:23" x14ac:dyDescent="0.2">
      <c r="A2770">
        <v>2022</v>
      </c>
      <c r="B2770" t="s">
        <v>23</v>
      </c>
      <c r="C2770" t="s">
        <v>271</v>
      </c>
      <c r="D2770">
        <v>200</v>
      </c>
      <c r="E2770">
        <v>1</v>
      </c>
      <c r="F2770">
        <v>12</v>
      </c>
      <c r="G2770" t="s">
        <v>225</v>
      </c>
      <c r="H2770">
        <v>13</v>
      </c>
      <c r="I2770">
        <v>63</v>
      </c>
      <c r="J2770">
        <v>65</v>
      </c>
      <c r="K2770">
        <v>2</v>
      </c>
      <c r="L2770">
        <v>152</v>
      </c>
      <c r="M2770">
        <v>45</v>
      </c>
      <c r="N2770">
        <v>2</v>
      </c>
      <c r="O2770">
        <v>3</v>
      </c>
      <c r="P2770">
        <v>13</v>
      </c>
      <c r="Q2770">
        <v>1.5</v>
      </c>
      <c r="R2770">
        <v>13</v>
      </c>
      <c r="S2770">
        <v>1</v>
      </c>
      <c r="T2770">
        <v>3</v>
      </c>
      <c r="U2770">
        <v>12.5</v>
      </c>
      <c r="V2770">
        <v>5490.1960784313724</v>
      </c>
      <c r="W2770">
        <v>1</v>
      </c>
    </row>
    <row r="2771" spans="1:23" x14ac:dyDescent="0.2">
      <c r="A2771">
        <v>2022</v>
      </c>
      <c r="B2771" t="s">
        <v>23</v>
      </c>
      <c r="C2771" t="s">
        <v>271</v>
      </c>
      <c r="D2771">
        <v>200</v>
      </c>
      <c r="E2771">
        <v>2</v>
      </c>
      <c r="F2771">
        <v>6</v>
      </c>
      <c r="G2771" t="s">
        <v>225</v>
      </c>
      <c r="H2771" s="1">
        <v>8</v>
      </c>
      <c r="I2771" s="1">
        <v>58</v>
      </c>
      <c r="J2771" s="1">
        <v>63</v>
      </c>
      <c r="K2771" s="1">
        <f>J2771-I2771</f>
        <v>5</v>
      </c>
      <c r="L2771" s="1">
        <v>98</v>
      </c>
      <c r="M2771" s="1">
        <v>58</v>
      </c>
      <c r="N2771" s="1">
        <v>3</v>
      </c>
      <c r="O2771" s="1">
        <v>4</v>
      </c>
      <c r="P2771" s="1">
        <f>H2771-1</f>
        <v>7</v>
      </c>
      <c r="Q2771" s="2">
        <v>8.9249999999999996E-2</v>
      </c>
      <c r="R2771" s="1">
        <v>7</v>
      </c>
      <c r="S2771" s="1">
        <f>R2771/P2771</f>
        <v>1</v>
      </c>
      <c r="T2771" s="1">
        <v>5</v>
      </c>
      <c r="U2771" s="1">
        <v>12.5</v>
      </c>
      <c r="V2771" s="1">
        <v>326.66666666666669</v>
      </c>
      <c r="W2771" s="1">
        <v>5</v>
      </c>
    </row>
    <row r="2772" spans="1:23" x14ac:dyDescent="0.2">
      <c r="A2772">
        <v>2022</v>
      </c>
      <c r="B2772" t="s">
        <v>23</v>
      </c>
      <c r="C2772" t="s">
        <v>271</v>
      </c>
      <c r="D2772">
        <v>201</v>
      </c>
      <c r="E2772">
        <v>1</v>
      </c>
      <c r="F2772">
        <v>1</v>
      </c>
      <c r="G2772" t="s">
        <v>226</v>
      </c>
      <c r="H2772">
        <v>12</v>
      </c>
      <c r="I2772">
        <v>62</v>
      </c>
      <c r="J2772">
        <v>65</v>
      </c>
      <c r="K2772">
        <v>3</v>
      </c>
      <c r="L2772">
        <v>145</v>
      </c>
      <c r="M2772">
        <v>76</v>
      </c>
      <c r="N2772">
        <v>1.5</v>
      </c>
      <c r="O2772">
        <v>3.5</v>
      </c>
      <c r="P2772">
        <v>12</v>
      </c>
      <c r="Q2772">
        <v>1.1000000000000001</v>
      </c>
      <c r="R2772">
        <v>10</v>
      </c>
      <c r="S2772">
        <v>0.83333333333333337</v>
      </c>
      <c r="T2772">
        <v>2.5</v>
      </c>
      <c r="U2772">
        <v>12.5</v>
      </c>
      <c r="V2772">
        <v>4026.1437908496737</v>
      </c>
      <c r="W2772">
        <v>1</v>
      </c>
    </row>
    <row r="2773" spans="1:23" x14ac:dyDescent="0.2">
      <c r="A2773">
        <v>2022</v>
      </c>
      <c r="B2773" t="s">
        <v>23</v>
      </c>
      <c r="C2773" t="s">
        <v>271</v>
      </c>
      <c r="D2773">
        <v>201</v>
      </c>
      <c r="E2773">
        <v>2</v>
      </c>
      <c r="F2773">
        <v>2</v>
      </c>
      <c r="G2773" t="s">
        <v>226</v>
      </c>
      <c r="H2773" s="1">
        <v>2</v>
      </c>
      <c r="I2773" s="1">
        <v>66</v>
      </c>
      <c r="J2773" s="1">
        <v>70</v>
      </c>
      <c r="K2773" s="1">
        <f>J2773-I2773</f>
        <v>4</v>
      </c>
      <c r="L2773" s="1">
        <v>169</v>
      </c>
      <c r="M2773" s="1">
        <v>108</v>
      </c>
      <c r="N2773" s="1">
        <v>2</v>
      </c>
      <c r="O2773" s="1">
        <v>2.5</v>
      </c>
      <c r="P2773" s="1">
        <f>H2773</f>
        <v>2</v>
      </c>
      <c r="Q2773" s="2">
        <v>0.17249999999999999</v>
      </c>
      <c r="R2773" s="1">
        <v>3</v>
      </c>
      <c r="S2773" s="1">
        <f>R2773/P2773</f>
        <v>1.5</v>
      </c>
      <c r="T2773" s="1">
        <v>3</v>
      </c>
      <c r="U2773" s="1">
        <v>12.5</v>
      </c>
      <c r="V2773" s="1">
        <v>631.37254901960785</v>
      </c>
      <c r="W2773" s="1">
        <v>4</v>
      </c>
    </row>
    <row r="2774" spans="1:23" x14ac:dyDescent="0.2">
      <c r="A2774">
        <v>2022</v>
      </c>
      <c r="B2774" t="s">
        <v>23</v>
      </c>
      <c r="C2774" t="s">
        <v>271</v>
      </c>
      <c r="D2774">
        <v>202</v>
      </c>
      <c r="E2774">
        <v>1</v>
      </c>
      <c r="F2774">
        <v>2</v>
      </c>
      <c r="G2774" t="s">
        <v>227</v>
      </c>
      <c r="H2774" s="1">
        <v>4</v>
      </c>
      <c r="I2774" s="1">
        <v>64</v>
      </c>
      <c r="J2774" s="1">
        <v>69</v>
      </c>
      <c r="K2774" s="1">
        <f>J2774-I2774</f>
        <v>5</v>
      </c>
      <c r="L2774" s="1">
        <v>110</v>
      </c>
      <c r="M2774" s="1">
        <v>35</v>
      </c>
      <c r="N2774" s="1">
        <v>2</v>
      </c>
      <c r="O2774" s="1">
        <v>3</v>
      </c>
      <c r="P2774" s="1">
        <v>4</v>
      </c>
      <c r="Q2774" s="2">
        <v>0.3</v>
      </c>
      <c r="R2774" s="1">
        <v>4</v>
      </c>
      <c r="S2774" s="1">
        <f>R2774/P2774</f>
        <v>1</v>
      </c>
      <c r="T2774" s="1">
        <v>3.5</v>
      </c>
      <c r="U2774" s="1">
        <v>12.5</v>
      </c>
      <c r="V2774" s="1">
        <v>1098.0392156862745</v>
      </c>
      <c r="W2774" s="1">
        <v>2</v>
      </c>
    </row>
    <row r="2775" spans="1:23" x14ac:dyDescent="0.2">
      <c r="A2775">
        <v>2022</v>
      </c>
      <c r="B2775" t="s">
        <v>23</v>
      </c>
      <c r="C2775" t="s">
        <v>271</v>
      </c>
      <c r="D2775">
        <v>202</v>
      </c>
      <c r="E2775">
        <v>2</v>
      </c>
      <c r="F2775">
        <v>9</v>
      </c>
      <c r="G2775" t="s">
        <v>227</v>
      </c>
      <c r="H2775">
        <v>11</v>
      </c>
      <c r="I2775">
        <v>55</v>
      </c>
      <c r="J2775">
        <v>57</v>
      </c>
      <c r="K2775">
        <v>2</v>
      </c>
      <c r="L2775">
        <v>162</v>
      </c>
      <c r="M2775">
        <v>64</v>
      </c>
      <c r="N2775">
        <v>2.5</v>
      </c>
      <c r="O2775">
        <v>2</v>
      </c>
      <c r="P2775">
        <v>11</v>
      </c>
      <c r="Q2775">
        <v>0.9</v>
      </c>
      <c r="R2775">
        <v>11</v>
      </c>
      <c r="S2775">
        <v>1</v>
      </c>
      <c r="T2775">
        <v>3</v>
      </c>
      <c r="U2775">
        <v>12.5</v>
      </c>
      <c r="V2775">
        <v>3294.1176470588234</v>
      </c>
      <c r="W2775">
        <v>1</v>
      </c>
    </row>
    <row r="2776" spans="1:23" x14ac:dyDescent="0.2">
      <c r="A2776">
        <v>2022</v>
      </c>
      <c r="B2776" t="s">
        <v>23</v>
      </c>
      <c r="C2776" t="s">
        <v>271</v>
      </c>
      <c r="D2776">
        <v>203</v>
      </c>
      <c r="E2776">
        <v>1</v>
      </c>
      <c r="F2776">
        <v>1</v>
      </c>
      <c r="G2776" t="s">
        <v>228</v>
      </c>
      <c r="H2776">
        <v>16</v>
      </c>
      <c r="I2776">
        <v>50</v>
      </c>
      <c r="J2776">
        <v>54</v>
      </c>
      <c r="K2776">
        <v>4</v>
      </c>
      <c r="L2776">
        <v>153</v>
      </c>
      <c r="M2776">
        <v>53</v>
      </c>
      <c r="N2776">
        <v>2</v>
      </c>
      <c r="O2776">
        <v>2</v>
      </c>
      <c r="P2776">
        <v>14</v>
      </c>
      <c r="Q2776">
        <v>0.9</v>
      </c>
      <c r="R2776">
        <v>12</v>
      </c>
      <c r="S2776">
        <v>0.8571428571428571</v>
      </c>
      <c r="T2776">
        <v>3</v>
      </c>
      <c r="U2776">
        <v>12.4</v>
      </c>
      <c r="V2776">
        <v>3297.8823529411766</v>
      </c>
      <c r="W2776">
        <v>2</v>
      </c>
    </row>
    <row r="2777" spans="1:23" x14ac:dyDescent="0.2">
      <c r="A2777">
        <v>2022</v>
      </c>
      <c r="B2777" t="s">
        <v>23</v>
      </c>
      <c r="C2777" t="s">
        <v>271</v>
      </c>
      <c r="D2777">
        <v>203</v>
      </c>
      <c r="E2777">
        <v>2</v>
      </c>
      <c r="F2777">
        <v>7</v>
      </c>
      <c r="G2777" t="s">
        <v>228</v>
      </c>
      <c r="H2777" s="1">
        <v>9</v>
      </c>
      <c r="I2777" s="1">
        <v>66</v>
      </c>
      <c r="J2777" s="1">
        <v>71</v>
      </c>
      <c r="K2777" s="1">
        <f>J2777-I2777</f>
        <v>5</v>
      </c>
      <c r="L2777" s="1">
        <v>171</v>
      </c>
      <c r="M2777" s="1">
        <v>85</v>
      </c>
      <c r="N2777" s="1">
        <v>3</v>
      </c>
      <c r="O2777" s="1">
        <v>3</v>
      </c>
      <c r="P2777" s="1">
        <v>9</v>
      </c>
      <c r="Q2777" s="2">
        <v>0.24059999999999998</v>
      </c>
      <c r="R2777" s="1">
        <v>7</v>
      </c>
      <c r="S2777" s="1">
        <f>R2777/P2777</f>
        <v>0.77777777777777779</v>
      </c>
      <c r="T2777" s="1">
        <v>5</v>
      </c>
      <c r="U2777" s="1">
        <v>12.5</v>
      </c>
      <c r="V2777" s="1">
        <v>880.62745098039215</v>
      </c>
      <c r="W2777" s="1">
        <v>4</v>
      </c>
    </row>
    <row r="2778" spans="1:23" x14ac:dyDescent="0.2">
      <c r="A2778">
        <v>2022</v>
      </c>
      <c r="B2778" t="s">
        <v>23</v>
      </c>
      <c r="C2778" t="s">
        <v>271</v>
      </c>
      <c r="D2778">
        <v>204</v>
      </c>
      <c r="E2778">
        <v>1</v>
      </c>
      <c r="F2778">
        <v>11</v>
      </c>
      <c r="G2778" t="s">
        <v>229</v>
      </c>
      <c r="H2778" s="1">
        <v>11</v>
      </c>
      <c r="I2778" s="1">
        <v>69</v>
      </c>
      <c r="J2778" s="1">
        <v>74</v>
      </c>
      <c r="K2778" s="1">
        <f>J2778-I2778</f>
        <v>5</v>
      </c>
      <c r="L2778" s="1">
        <v>143</v>
      </c>
      <c r="M2778" s="1">
        <v>83</v>
      </c>
      <c r="N2778" s="1">
        <v>3</v>
      </c>
      <c r="O2778" s="1">
        <v>3.5</v>
      </c>
      <c r="P2778" s="1">
        <v>8</v>
      </c>
      <c r="Q2778" s="2">
        <v>9.5400000000000013E-2</v>
      </c>
      <c r="R2778" s="1">
        <v>2</v>
      </c>
      <c r="S2778" s="1">
        <f>R2778/P2778</f>
        <v>0.25</v>
      </c>
      <c r="T2778" s="1">
        <v>5</v>
      </c>
      <c r="U2778" s="1">
        <v>12.5</v>
      </c>
      <c r="V2778" s="1">
        <v>349.17647058823536</v>
      </c>
      <c r="W2778" s="1">
        <v>6</v>
      </c>
    </row>
    <row r="2779" spans="1:23" x14ac:dyDescent="0.2">
      <c r="A2779">
        <v>2022</v>
      </c>
      <c r="B2779" t="s">
        <v>23</v>
      </c>
      <c r="C2779" t="s">
        <v>271</v>
      </c>
      <c r="D2779">
        <v>204</v>
      </c>
      <c r="E2779">
        <v>2</v>
      </c>
      <c r="F2779">
        <v>6</v>
      </c>
      <c r="G2779" t="s">
        <v>229</v>
      </c>
      <c r="H2779" s="1">
        <v>6</v>
      </c>
      <c r="I2779" s="1">
        <v>67</v>
      </c>
      <c r="J2779" s="1">
        <v>70</v>
      </c>
      <c r="K2779" s="1">
        <f>J2779-I2779</f>
        <v>3</v>
      </c>
      <c r="L2779" s="1">
        <v>92</v>
      </c>
      <c r="M2779" s="1">
        <v>31</v>
      </c>
      <c r="N2779" s="1">
        <v>3</v>
      </c>
      <c r="O2779" s="1">
        <v>5</v>
      </c>
      <c r="P2779" s="1">
        <v>2</v>
      </c>
      <c r="Q2779" s="2">
        <v>8.7499999999999994E-2</v>
      </c>
      <c r="R2779" s="1">
        <v>2</v>
      </c>
      <c r="S2779" s="1">
        <f>R2779/P2779</f>
        <v>1</v>
      </c>
      <c r="T2779" s="1">
        <v>5</v>
      </c>
      <c r="U2779" s="1">
        <v>12.5</v>
      </c>
      <c r="V2779" s="1">
        <v>320.2614379084967</v>
      </c>
      <c r="W2779" s="1">
        <v>6</v>
      </c>
    </row>
    <row r="2780" spans="1:23" x14ac:dyDescent="0.2">
      <c r="A2780">
        <v>2022</v>
      </c>
      <c r="B2780" t="s">
        <v>23</v>
      </c>
      <c r="C2780" t="s">
        <v>271</v>
      </c>
      <c r="D2780">
        <v>205</v>
      </c>
      <c r="E2780">
        <v>1</v>
      </c>
      <c r="F2780">
        <v>11</v>
      </c>
      <c r="G2780" t="s">
        <v>230</v>
      </c>
      <c r="H2780" s="1">
        <v>10</v>
      </c>
      <c r="I2780" s="1">
        <v>63</v>
      </c>
      <c r="J2780" s="1">
        <v>68</v>
      </c>
      <c r="K2780" s="1">
        <f>J2780-I2780</f>
        <v>5</v>
      </c>
      <c r="L2780" s="1">
        <v>170</v>
      </c>
      <c r="M2780" s="1">
        <v>88</v>
      </c>
      <c r="N2780" s="1">
        <v>3</v>
      </c>
      <c r="O2780" s="1">
        <v>4</v>
      </c>
      <c r="P2780" s="1">
        <v>8</v>
      </c>
      <c r="Q2780" s="2">
        <v>0.37039999999999995</v>
      </c>
      <c r="R2780" s="1">
        <v>8</v>
      </c>
      <c r="S2780" s="1">
        <f>R2780/P2780</f>
        <v>1</v>
      </c>
      <c r="T2780" s="1">
        <v>5</v>
      </c>
      <c r="U2780" s="1">
        <v>8.8000000000000007</v>
      </c>
      <c r="V2780" s="1">
        <v>1413.0396862745101</v>
      </c>
      <c r="W2780" s="1">
        <v>4</v>
      </c>
    </row>
    <row r="2781" spans="1:23" x14ac:dyDescent="0.2">
      <c r="A2781">
        <v>2022</v>
      </c>
      <c r="B2781" t="s">
        <v>23</v>
      </c>
      <c r="C2781" t="s">
        <v>271</v>
      </c>
      <c r="D2781">
        <v>205</v>
      </c>
      <c r="E2781">
        <v>2</v>
      </c>
      <c r="F2781">
        <v>6</v>
      </c>
      <c r="G2781" t="s">
        <v>230</v>
      </c>
      <c r="H2781">
        <v>5</v>
      </c>
      <c r="I2781">
        <v>60</v>
      </c>
      <c r="J2781">
        <v>63</v>
      </c>
      <c r="K2781">
        <v>3</v>
      </c>
      <c r="L2781">
        <v>102</v>
      </c>
      <c r="M2781">
        <v>22</v>
      </c>
      <c r="N2781">
        <v>1.5</v>
      </c>
      <c r="O2781">
        <v>4</v>
      </c>
      <c r="P2781">
        <v>5</v>
      </c>
      <c r="Q2781">
        <v>0.4</v>
      </c>
      <c r="R2781">
        <v>4</v>
      </c>
      <c r="S2781">
        <v>0.8</v>
      </c>
      <c r="T2781">
        <v>3</v>
      </c>
      <c r="U2781">
        <v>12.5</v>
      </c>
      <c r="V2781">
        <v>1464.0522875816994</v>
      </c>
      <c r="W2781">
        <v>2</v>
      </c>
    </row>
    <row r="2782" spans="1:23" x14ac:dyDescent="0.2">
      <c r="A2782">
        <v>2022</v>
      </c>
      <c r="B2782" t="s">
        <v>23</v>
      </c>
      <c r="C2782" t="s">
        <v>271</v>
      </c>
      <c r="D2782">
        <v>206</v>
      </c>
      <c r="E2782">
        <v>1</v>
      </c>
      <c r="F2782">
        <v>15</v>
      </c>
      <c r="G2782" t="s">
        <v>231</v>
      </c>
      <c r="H2782" s="1">
        <v>10</v>
      </c>
      <c r="I2782" s="1">
        <v>61</v>
      </c>
      <c r="J2782" s="1">
        <v>66</v>
      </c>
      <c r="K2782" s="1">
        <f>J2782-I2782</f>
        <v>5</v>
      </c>
      <c r="L2782" s="1">
        <v>97</v>
      </c>
      <c r="M2782" s="1">
        <v>45</v>
      </c>
      <c r="N2782" s="1">
        <v>1.5</v>
      </c>
      <c r="O2782" s="1">
        <v>4.5</v>
      </c>
      <c r="P2782" s="1">
        <v>6</v>
      </c>
      <c r="Q2782" s="2">
        <v>0.19800000000000001</v>
      </c>
      <c r="R2782" s="1">
        <v>4</v>
      </c>
      <c r="S2782" s="1">
        <f>R2782/P2782</f>
        <v>0.66666666666666663</v>
      </c>
      <c r="T2782" s="1">
        <v>5</v>
      </c>
      <c r="U2782" s="1">
        <v>12.5</v>
      </c>
      <c r="V2782" s="1">
        <v>724.7058823529411</v>
      </c>
      <c r="W2782" s="1">
        <v>6</v>
      </c>
    </row>
    <row r="2783" spans="1:23" x14ac:dyDescent="0.2">
      <c r="A2783">
        <v>2022</v>
      </c>
      <c r="B2783" t="s">
        <v>23</v>
      </c>
      <c r="C2783" t="s">
        <v>271</v>
      </c>
      <c r="D2783">
        <v>206</v>
      </c>
      <c r="E2783">
        <v>2</v>
      </c>
      <c r="F2783">
        <v>15</v>
      </c>
      <c r="G2783" t="s">
        <v>231</v>
      </c>
      <c r="H2783" s="1">
        <v>10</v>
      </c>
      <c r="I2783" s="1">
        <v>67</v>
      </c>
      <c r="J2783" s="1">
        <v>72</v>
      </c>
      <c r="K2783" s="1">
        <f>J2783-I2783</f>
        <v>5</v>
      </c>
      <c r="L2783" s="1">
        <v>95</v>
      </c>
      <c r="M2783" s="1">
        <v>35</v>
      </c>
      <c r="N2783" s="1">
        <v>1.5</v>
      </c>
      <c r="O2783" s="1">
        <v>5</v>
      </c>
      <c r="P2783" s="1">
        <v>3</v>
      </c>
      <c r="Q2783" s="2">
        <v>0.12</v>
      </c>
      <c r="R2783" s="1">
        <v>2</v>
      </c>
      <c r="S2783" s="1">
        <f>R2783/P2783</f>
        <v>0.66666666666666663</v>
      </c>
      <c r="T2783" s="1">
        <v>5</v>
      </c>
      <c r="U2783" s="1">
        <v>12.5</v>
      </c>
      <c r="V2783" s="1">
        <v>439.21568627450984</v>
      </c>
      <c r="W2783" s="1">
        <v>6</v>
      </c>
    </row>
    <row r="2784" spans="1:23" x14ac:dyDescent="0.2">
      <c r="A2784">
        <v>2022</v>
      </c>
      <c r="B2784" t="s">
        <v>23</v>
      </c>
      <c r="C2784" t="s">
        <v>271</v>
      </c>
      <c r="D2784">
        <v>207</v>
      </c>
      <c r="E2784">
        <v>1</v>
      </c>
      <c r="F2784">
        <v>1</v>
      </c>
      <c r="G2784" t="s">
        <v>232</v>
      </c>
      <c r="H2784">
        <v>14</v>
      </c>
      <c r="I2784">
        <v>51</v>
      </c>
      <c r="J2784">
        <v>54</v>
      </c>
      <c r="K2784">
        <v>3</v>
      </c>
      <c r="L2784">
        <v>176</v>
      </c>
      <c r="M2784">
        <v>97</v>
      </c>
      <c r="N2784">
        <v>2</v>
      </c>
      <c r="O2784">
        <v>2</v>
      </c>
      <c r="P2784">
        <v>11</v>
      </c>
      <c r="Q2784">
        <v>1</v>
      </c>
      <c r="R2784">
        <v>8</v>
      </c>
      <c r="S2784">
        <v>0.72727272727272729</v>
      </c>
      <c r="T2784">
        <v>3</v>
      </c>
      <c r="U2784">
        <v>12.8</v>
      </c>
      <c r="V2784">
        <v>3647.5816993464055</v>
      </c>
      <c r="W2784">
        <v>1</v>
      </c>
    </row>
    <row r="2785" spans="1:23" x14ac:dyDescent="0.2">
      <c r="A2785">
        <v>2022</v>
      </c>
      <c r="B2785" t="s">
        <v>23</v>
      </c>
      <c r="C2785" t="s">
        <v>271</v>
      </c>
      <c r="D2785">
        <v>207</v>
      </c>
      <c r="E2785">
        <v>2</v>
      </c>
      <c r="F2785">
        <v>5</v>
      </c>
      <c r="G2785" t="s">
        <v>232</v>
      </c>
      <c r="H2785" s="1">
        <v>8</v>
      </c>
      <c r="I2785" s="1">
        <v>57</v>
      </c>
      <c r="J2785" s="1">
        <v>61</v>
      </c>
      <c r="K2785" s="1">
        <f>J2785-I2785</f>
        <v>4</v>
      </c>
      <c r="L2785" s="1">
        <v>132</v>
      </c>
      <c r="M2785" s="1">
        <v>42</v>
      </c>
      <c r="N2785" s="1">
        <v>2</v>
      </c>
      <c r="O2785" s="1">
        <v>2.5</v>
      </c>
      <c r="P2785" s="1">
        <v>6</v>
      </c>
      <c r="Q2785" s="2">
        <v>0.16579999999999998</v>
      </c>
      <c r="R2785" s="1">
        <v>6</v>
      </c>
      <c r="S2785" s="1">
        <f>R2785/P2785</f>
        <v>1</v>
      </c>
      <c r="T2785" s="1">
        <v>2</v>
      </c>
      <c r="U2785" s="1">
        <v>12.5</v>
      </c>
      <c r="V2785" s="1">
        <v>606.84967320261433</v>
      </c>
      <c r="W2785" s="1">
        <v>2</v>
      </c>
    </row>
    <row r="2786" spans="1:23" x14ac:dyDescent="0.2">
      <c r="A2786">
        <v>2022</v>
      </c>
      <c r="B2786" t="s">
        <v>23</v>
      </c>
      <c r="C2786" t="s">
        <v>271</v>
      </c>
      <c r="D2786">
        <v>208</v>
      </c>
      <c r="E2786">
        <v>1</v>
      </c>
      <c r="F2786">
        <v>3</v>
      </c>
      <c r="G2786" t="s">
        <v>233</v>
      </c>
      <c r="H2786">
        <v>1</v>
      </c>
      <c r="I2786">
        <v>55</v>
      </c>
      <c r="J2786">
        <v>57</v>
      </c>
      <c r="K2786">
        <v>2</v>
      </c>
      <c r="L2786">
        <v>158</v>
      </c>
      <c r="M2786">
        <v>56</v>
      </c>
      <c r="N2786">
        <v>2</v>
      </c>
      <c r="O2786">
        <v>2</v>
      </c>
      <c r="P2786">
        <v>1</v>
      </c>
      <c r="Q2786">
        <v>0.18</v>
      </c>
      <c r="R2786">
        <v>1</v>
      </c>
      <c r="S2786">
        <v>1</v>
      </c>
      <c r="T2786">
        <v>3</v>
      </c>
      <c r="U2786">
        <v>12.5</v>
      </c>
      <c r="V2786">
        <v>658.82352941176464</v>
      </c>
      <c r="W2786">
        <v>1</v>
      </c>
    </row>
    <row r="2787" spans="1:23" x14ac:dyDescent="0.2">
      <c r="A2787">
        <v>2022</v>
      </c>
      <c r="B2787" t="s">
        <v>23</v>
      </c>
      <c r="C2787" t="s">
        <v>271</v>
      </c>
      <c r="D2787">
        <v>208</v>
      </c>
      <c r="E2787">
        <v>2</v>
      </c>
      <c r="F2787">
        <v>12</v>
      </c>
      <c r="G2787" t="s">
        <v>233</v>
      </c>
      <c r="H2787">
        <v>4</v>
      </c>
      <c r="I2787">
        <v>58</v>
      </c>
      <c r="J2787">
        <v>60</v>
      </c>
      <c r="K2787">
        <v>2</v>
      </c>
      <c r="L2787">
        <v>102</v>
      </c>
      <c r="M2787">
        <v>32</v>
      </c>
      <c r="N2787">
        <v>1.5</v>
      </c>
      <c r="O2787">
        <v>2</v>
      </c>
      <c r="P2787">
        <v>4</v>
      </c>
      <c r="Q2787">
        <v>0.2</v>
      </c>
      <c r="R2787">
        <v>5</v>
      </c>
      <c r="S2787">
        <v>1.25</v>
      </c>
      <c r="T2787">
        <v>2</v>
      </c>
      <c r="U2787">
        <v>12.5</v>
      </c>
      <c r="V2787">
        <v>732.02614379084969</v>
      </c>
      <c r="W2787">
        <v>1</v>
      </c>
    </row>
    <row r="2788" spans="1:23" x14ac:dyDescent="0.2">
      <c r="A2788">
        <v>2022</v>
      </c>
      <c r="B2788" t="s">
        <v>23</v>
      </c>
      <c r="C2788" t="s">
        <v>271</v>
      </c>
      <c r="D2788">
        <v>209</v>
      </c>
      <c r="E2788">
        <v>1</v>
      </c>
      <c r="F2788">
        <v>11</v>
      </c>
      <c r="G2788" t="s">
        <v>234</v>
      </c>
      <c r="H2788">
        <v>3</v>
      </c>
      <c r="I2788">
        <v>62</v>
      </c>
      <c r="J2788">
        <v>65</v>
      </c>
      <c r="K2788">
        <v>3</v>
      </c>
      <c r="L2788">
        <v>145</v>
      </c>
      <c r="M2788">
        <v>76</v>
      </c>
      <c r="N2788">
        <v>2</v>
      </c>
      <c r="O2788">
        <v>3</v>
      </c>
      <c r="P2788">
        <v>3</v>
      </c>
      <c r="Q2788">
        <v>0.2</v>
      </c>
      <c r="R2788">
        <v>3</v>
      </c>
      <c r="S2788">
        <v>1</v>
      </c>
      <c r="T2788">
        <v>2.5</v>
      </c>
      <c r="U2788">
        <v>12.5</v>
      </c>
      <c r="V2788">
        <v>732.02614379084969</v>
      </c>
      <c r="W2788">
        <v>1</v>
      </c>
    </row>
    <row r="2789" spans="1:23" x14ac:dyDescent="0.2">
      <c r="A2789">
        <v>2022</v>
      </c>
      <c r="B2789" t="s">
        <v>23</v>
      </c>
      <c r="C2789" t="s">
        <v>271</v>
      </c>
      <c r="D2789">
        <v>209</v>
      </c>
      <c r="E2789">
        <v>2</v>
      </c>
      <c r="F2789">
        <v>8</v>
      </c>
      <c r="G2789" t="s">
        <v>234</v>
      </c>
      <c r="H2789">
        <v>16</v>
      </c>
      <c r="I2789">
        <v>50</v>
      </c>
      <c r="J2789">
        <v>53</v>
      </c>
      <c r="K2789">
        <v>3</v>
      </c>
      <c r="L2789">
        <v>161</v>
      </c>
      <c r="M2789">
        <v>54</v>
      </c>
      <c r="N2789">
        <v>2</v>
      </c>
      <c r="O2789">
        <v>2</v>
      </c>
      <c r="P2789">
        <v>13</v>
      </c>
      <c r="Q2789">
        <v>0.8</v>
      </c>
      <c r="R2789">
        <v>12</v>
      </c>
      <c r="S2789">
        <v>0.92307692307692313</v>
      </c>
      <c r="T2789">
        <v>3</v>
      </c>
      <c r="U2789">
        <v>9.6999999999999993</v>
      </c>
      <c r="V2789">
        <v>3021.8039215686276</v>
      </c>
      <c r="W2789">
        <v>2</v>
      </c>
    </row>
    <row r="2790" spans="1:23" x14ac:dyDescent="0.2">
      <c r="A2790">
        <v>2022</v>
      </c>
      <c r="B2790" t="s">
        <v>23</v>
      </c>
      <c r="C2790" t="s">
        <v>271</v>
      </c>
      <c r="D2790">
        <v>210</v>
      </c>
      <c r="E2790">
        <v>1</v>
      </c>
      <c r="F2790">
        <v>15</v>
      </c>
      <c r="G2790" t="s">
        <v>235</v>
      </c>
      <c r="H2790" s="1">
        <v>11</v>
      </c>
      <c r="I2790" s="1">
        <v>60</v>
      </c>
      <c r="J2790" s="1">
        <v>63</v>
      </c>
      <c r="K2790" s="1">
        <f>J2790-I2790</f>
        <v>3</v>
      </c>
      <c r="L2790" s="1">
        <v>141</v>
      </c>
      <c r="M2790" s="1">
        <v>63</v>
      </c>
      <c r="N2790" s="1">
        <v>2</v>
      </c>
      <c r="O2790" s="1">
        <v>2.5</v>
      </c>
      <c r="P2790" s="1">
        <v>10</v>
      </c>
      <c r="Q2790" s="2">
        <v>0.320025</v>
      </c>
      <c r="R2790" s="1">
        <v>7</v>
      </c>
      <c r="S2790" s="1">
        <f>R2790/P2790</f>
        <v>0.7</v>
      </c>
      <c r="T2790" s="1">
        <v>5</v>
      </c>
      <c r="U2790" s="1">
        <v>12.5</v>
      </c>
      <c r="V2790" s="1">
        <v>1171.3333333333333</v>
      </c>
      <c r="W2790" s="1">
        <v>3</v>
      </c>
    </row>
    <row r="2791" spans="1:23" x14ac:dyDescent="0.2">
      <c r="A2791">
        <v>2022</v>
      </c>
      <c r="B2791" t="s">
        <v>23</v>
      </c>
      <c r="C2791" t="s">
        <v>271</v>
      </c>
      <c r="D2791">
        <v>210</v>
      </c>
      <c r="E2791">
        <v>2</v>
      </c>
      <c r="F2791">
        <v>10</v>
      </c>
      <c r="G2791" t="s">
        <v>235</v>
      </c>
      <c r="H2791">
        <v>14</v>
      </c>
      <c r="I2791">
        <v>50</v>
      </c>
      <c r="J2791">
        <v>55</v>
      </c>
      <c r="K2791">
        <v>5</v>
      </c>
      <c r="L2791">
        <v>182</v>
      </c>
      <c r="M2791">
        <v>72</v>
      </c>
      <c r="N2791">
        <v>2</v>
      </c>
      <c r="O2791">
        <v>2</v>
      </c>
      <c r="P2791">
        <v>14</v>
      </c>
      <c r="Q2791">
        <v>1.4</v>
      </c>
      <c r="R2791">
        <v>13</v>
      </c>
      <c r="S2791">
        <v>0.9285714285714286</v>
      </c>
      <c r="T2791">
        <v>3</v>
      </c>
      <c r="U2791">
        <v>8</v>
      </c>
      <c r="V2791">
        <v>5387.7124183006526</v>
      </c>
      <c r="W2791">
        <v>2</v>
      </c>
    </row>
    <row r="2792" spans="1:23" x14ac:dyDescent="0.2">
      <c r="A2792">
        <v>2022</v>
      </c>
      <c r="B2792" t="s">
        <v>23</v>
      </c>
      <c r="C2792" t="s">
        <v>271</v>
      </c>
      <c r="D2792">
        <v>211</v>
      </c>
      <c r="E2792">
        <v>1</v>
      </c>
      <c r="F2792">
        <v>1</v>
      </c>
      <c r="G2792" t="s">
        <v>236</v>
      </c>
      <c r="H2792">
        <v>6</v>
      </c>
      <c r="I2792">
        <v>63</v>
      </c>
      <c r="J2792">
        <v>65</v>
      </c>
      <c r="K2792">
        <v>2</v>
      </c>
      <c r="L2792">
        <v>159</v>
      </c>
      <c r="M2792">
        <v>55</v>
      </c>
      <c r="N2792">
        <v>1.5</v>
      </c>
      <c r="O2792">
        <v>2</v>
      </c>
      <c r="P2792">
        <v>6</v>
      </c>
      <c r="Q2792">
        <v>1.1000000000000001</v>
      </c>
      <c r="R2792">
        <v>7</v>
      </c>
      <c r="S2792">
        <v>1.1666666666666667</v>
      </c>
      <c r="T2792">
        <v>2.5</v>
      </c>
      <c r="U2792">
        <v>12.5</v>
      </c>
      <c r="V2792">
        <v>4026.1437908496737</v>
      </c>
      <c r="W2792">
        <v>1</v>
      </c>
    </row>
    <row r="2793" spans="1:23" x14ac:dyDescent="0.2">
      <c r="A2793">
        <v>2022</v>
      </c>
      <c r="B2793" t="s">
        <v>23</v>
      </c>
      <c r="C2793" t="s">
        <v>271</v>
      </c>
      <c r="D2793">
        <v>211</v>
      </c>
      <c r="E2793">
        <v>2</v>
      </c>
      <c r="F2793">
        <v>14</v>
      </c>
      <c r="G2793" t="s">
        <v>236</v>
      </c>
      <c r="H2793">
        <v>4</v>
      </c>
      <c r="I2793">
        <v>55</v>
      </c>
      <c r="J2793">
        <v>57</v>
      </c>
      <c r="K2793">
        <v>2</v>
      </c>
      <c r="L2793">
        <v>108</v>
      </c>
      <c r="M2793">
        <v>45</v>
      </c>
      <c r="N2793">
        <v>4</v>
      </c>
      <c r="O2793">
        <v>4</v>
      </c>
      <c r="P2793">
        <v>4</v>
      </c>
      <c r="Q2793">
        <v>0.35599999999999998</v>
      </c>
      <c r="R2793">
        <v>4</v>
      </c>
      <c r="S2793">
        <v>1</v>
      </c>
      <c r="T2793">
        <v>3</v>
      </c>
      <c r="U2793">
        <v>12.5</v>
      </c>
      <c r="V2793">
        <v>1303.0065359477126</v>
      </c>
      <c r="W2793">
        <v>2</v>
      </c>
    </row>
    <row r="2794" spans="1:23" x14ac:dyDescent="0.2">
      <c r="A2794">
        <v>2022</v>
      </c>
      <c r="B2794" t="s">
        <v>23</v>
      </c>
      <c r="C2794" t="s">
        <v>271</v>
      </c>
      <c r="D2794">
        <v>212</v>
      </c>
      <c r="E2794">
        <v>1</v>
      </c>
      <c r="F2794">
        <v>13</v>
      </c>
      <c r="G2794" t="s">
        <v>237</v>
      </c>
      <c r="H2794" s="1">
        <v>1</v>
      </c>
      <c r="I2794" s="1">
        <v>68</v>
      </c>
      <c r="J2794" s="1">
        <v>70</v>
      </c>
      <c r="K2794" s="1">
        <f>J2794-I2794</f>
        <v>2</v>
      </c>
      <c r="L2794" s="1">
        <v>135</v>
      </c>
      <c r="M2794" s="1">
        <v>77</v>
      </c>
      <c r="N2794" s="1">
        <v>2</v>
      </c>
      <c r="O2794" s="1">
        <v>3.5</v>
      </c>
      <c r="P2794" s="1">
        <f>H2794</f>
        <v>1</v>
      </c>
      <c r="Q2794" s="2">
        <v>3.3000000000000002E-2</v>
      </c>
      <c r="R2794" s="1">
        <v>1</v>
      </c>
      <c r="S2794" s="1">
        <f>R2794/P2794</f>
        <v>1</v>
      </c>
      <c r="T2794" s="1">
        <v>5</v>
      </c>
      <c r="U2794" s="1">
        <v>12.5</v>
      </c>
      <c r="V2794" s="1">
        <v>120.78431372549019</v>
      </c>
      <c r="W2794" s="1">
        <v>5</v>
      </c>
    </row>
    <row r="2795" spans="1:23" x14ac:dyDescent="0.2">
      <c r="A2795">
        <v>2022</v>
      </c>
      <c r="B2795" t="s">
        <v>23</v>
      </c>
      <c r="C2795" t="s">
        <v>271</v>
      </c>
      <c r="D2795">
        <v>212</v>
      </c>
      <c r="E2795">
        <v>2</v>
      </c>
      <c r="F2795">
        <v>5</v>
      </c>
      <c r="G2795" t="s">
        <v>237</v>
      </c>
      <c r="H2795" s="1">
        <v>11</v>
      </c>
      <c r="I2795" s="1">
        <v>62</v>
      </c>
      <c r="J2795" s="1">
        <v>67</v>
      </c>
      <c r="K2795" s="1">
        <f>J2795-I2795</f>
        <v>5</v>
      </c>
      <c r="L2795" s="1">
        <v>135</v>
      </c>
      <c r="M2795" s="1">
        <v>88</v>
      </c>
      <c r="N2795" s="1">
        <v>2</v>
      </c>
      <c r="O2795" s="1">
        <v>2</v>
      </c>
      <c r="P2795" s="1">
        <v>7</v>
      </c>
      <c r="Q2795" s="2">
        <v>0.24817499999999998</v>
      </c>
      <c r="R2795" s="1">
        <v>8</v>
      </c>
      <c r="S2795" s="1">
        <f>R2795/P2795</f>
        <v>1.1428571428571428</v>
      </c>
      <c r="T2795" s="1">
        <v>5</v>
      </c>
      <c r="U2795" s="1">
        <v>12.5</v>
      </c>
      <c r="V2795" s="1">
        <v>908.35294117647061</v>
      </c>
      <c r="W2795" s="1">
        <v>7</v>
      </c>
    </row>
    <row r="2796" spans="1:23" x14ac:dyDescent="0.2">
      <c r="A2796">
        <v>2022</v>
      </c>
      <c r="B2796" t="s">
        <v>23</v>
      </c>
      <c r="C2796" t="s">
        <v>271</v>
      </c>
      <c r="D2796">
        <v>213</v>
      </c>
      <c r="E2796">
        <v>1</v>
      </c>
      <c r="F2796">
        <v>9</v>
      </c>
      <c r="G2796" t="s">
        <v>238</v>
      </c>
      <c r="H2796" s="1">
        <v>10</v>
      </c>
      <c r="I2796" s="1">
        <v>65</v>
      </c>
      <c r="J2796" s="1">
        <v>69</v>
      </c>
      <c r="K2796" s="1">
        <f>J2796-I2796</f>
        <v>4</v>
      </c>
      <c r="L2796" s="1">
        <v>137</v>
      </c>
      <c r="M2796" s="1">
        <v>87</v>
      </c>
      <c r="N2796" s="1">
        <v>2</v>
      </c>
      <c r="O2796" s="1">
        <v>3.5</v>
      </c>
      <c r="P2796" s="1">
        <f>H2796</f>
        <v>10</v>
      </c>
      <c r="Q2796" s="2">
        <v>0.35279999999999995</v>
      </c>
      <c r="R2796" s="1">
        <v>8</v>
      </c>
      <c r="S2796" s="1">
        <f>R2796/P2796</f>
        <v>0.8</v>
      </c>
      <c r="T2796" s="1">
        <v>4</v>
      </c>
      <c r="U2796" s="1">
        <v>12.5</v>
      </c>
      <c r="V2796" s="1">
        <v>1291.2941176470586</v>
      </c>
      <c r="W2796" s="1">
        <v>3</v>
      </c>
    </row>
    <row r="2797" spans="1:23" x14ac:dyDescent="0.2">
      <c r="A2797">
        <v>2022</v>
      </c>
      <c r="B2797" t="s">
        <v>23</v>
      </c>
      <c r="C2797" t="s">
        <v>271</v>
      </c>
      <c r="D2797">
        <v>213</v>
      </c>
      <c r="E2797">
        <v>2</v>
      </c>
      <c r="F2797">
        <v>6</v>
      </c>
      <c r="G2797" t="s">
        <v>238</v>
      </c>
      <c r="H2797">
        <v>10</v>
      </c>
      <c r="I2797">
        <v>60</v>
      </c>
      <c r="J2797">
        <v>63</v>
      </c>
      <c r="K2797">
        <v>3</v>
      </c>
      <c r="L2797">
        <v>90</v>
      </c>
      <c r="M2797">
        <v>22</v>
      </c>
      <c r="N2797">
        <v>2</v>
      </c>
      <c r="O2797">
        <v>3</v>
      </c>
      <c r="P2797">
        <v>10</v>
      </c>
      <c r="Q2797">
        <v>1.2</v>
      </c>
      <c r="R2797">
        <v>11</v>
      </c>
      <c r="S2797">
        <v>1.1000000000000001</v>
      </c>
      <c r="T2797">
        <v>3</v>
      </c>
      <c r="U2797">
        <v>12.5</v>
      </c>
      <c r="V2797">
        <v>4392.1568627450979</v>
      </c>
      <c r="W2797">
        <v>1</v>
      </c>
    </row>
    <row r="2798" spans="1:23" x14ac:dyDescent="0.2">
      <c r="A2798">
        <v>2022</v>
      </c>
      <c r="B2798" t="s">
        <v>23</v>
      </c>
      <c r="C2798" t="s">
        <v>271</v>
      </c>
      <c r="D2798">
        <v>214</v>
      </c>
      <c r="E2798">
        <v>1</v>
      </c>
      <c r="F2798">
        <v>11</v>
      </c>
      <c r="G2798" t="s">
        <v>239</v>
      </c>
      <c r="H2798" s="1">
        <v>13</v>
      </c>
      <c r="I2798" s="1">
        <v>67</v>
      </c>
      <c r="J2798" s="1">
        <v>72</v>
      </c>
      <c r="K2798" s="1">
        <f>J2798-I2798</f>
        <v>5</v>
      </c>
      <c r="L2798" s="1">
        <v>125</v>
      </c>
      <c r="M2798" s="1">
        <v>77</v>
      </c>
      <c r="N2798" s="1">
        <v>2</v>
      </c>
      <c r="O2798" s="1">
        <v>4</v>
      </c>
      <c r="P2798" s="1">
        <f>H2798</f>
        <v>13</v>
      </c>
      <c r="Q2798" s="2">
        <v>9.9000000000000005E-2</v>
      </c>
      <c r="R2798" s="1">
        <v>9</v>
      </c>
      <c r="S2798" s="1">
        <f>R2798/P2798</f>
        <v>0.69230769230769229</v>
      </c>
      <c r="T2798" s="1">
        <v>5</v>
      </c>
      <c r="U2798" s="1">
        <v>12.5</v>
      </c>
      <c r="V2798" s="1">
        <v>362.35294117647055</v>
      </c>
      <c r="W2798" s="1">
        <v>6</v>
      </c>
    </row>
    <row r="2799" spans="1:23" x14ac:dyDescent="0.2">
      <c r="A2799">
        <v>2022</v>
      </c>
      <c r="B2799" t="s">
        <v>23</v>
      </c>
      <c r="C2799" t="s">
        <v>271</v>
      </c>
      <c r="D2799">
        <v>214</v>
      </c>
      <c r="E2799">
        <v>2</v>
      </c>
      <c r="F2799">
        <v>11</v>
      </c>
      <c r="G2799" t="s">
        <v>239</v>
      </c>
      <c r="H2799" s="1">
        <v>5</v>
      </c>
      <c r="I2799" s="1">
        <v>67</v>
      </c>
      <c r="J2799" s="1">
        <v>72</v>
      </c>
      <c r="K2799" s="1">
        <f>J2799-I2799</f>
        <v>5</v>
      </c>
      <c r="L2799" s="1">
        <v>125</v>
      </c>
      <c r="M2799" s="1">
        <v>87</v>
      </c>
      <c r="N2799" s="1">
        <v>2</v>
      </c>
      <c r="O2799" s="1">
        <v>2.5</v>
      </c>
      <c r="P2799" s="1">
        <v>4</v>
      </c>
      <c r="Q2799" s="2">
        <v>0.21299999999999999</v>
      </c>
      <c r="R2799" s="1">
        <v>3</v>
      </c>
      <c r="S2799" s="1">
        <f>R2799/P2799</f>
        <v>0.75</v>
      </c>
      <c r="T2799" s="1">
        <v>3</v>
      </c>
      <c r="U2799" s="1">
        <v>12.5</v>
      </c>
      <c r="V2799" s="1">
        <v>779.6078431372548</v>
      </c>
      <c r="W2799" s="1">
        <v>4</v>
      </c>
    </row>
    <row r="2800" spans="1:23" x14ac:dyDescent="0.2">
      <c r="A2800">
        <v>2022</v>
      </c>
      <c r="B2800" t="s">
        <v>23</v>
      </c>
      <c r="C2800" t="s">
        <v>271</v>
      </c>
      <c r="D2800">
        <v>215</v>
      </c>
      <c r="E2800">
        <v>1</v>
      </c>
      <c r="F2800">
        <v>10</v>
      </c>
      <c r="G2800" t="s">
        <v>240</v>
      </c>
      <c r="H2800" s="1">
        <v>8</v>
      </c>
      <c r="I2800" s="1">
        <v>61</v>
      </c>
      <c r="J2800" s="1">
        <v>65</v>
      </c>
      <c r="K2800" s="1">
        <f>J2800-I2800</f>
        <v>4</v>
      </c>
      <c r="L2800" s="1">
        <v>144</v>
      </c>
      <c r="M2800" s="1">
        <v>77</v>
      </c>
      <c r="N2800" s="1">
        <v>2</v>
      </c>
      <c r="O2800" s="1">
        <v>3.5</v>
      </c>
      <c r="P2800" s="1">
        <v>7</v>
      </c>
      <c r="Q2800" s="2">
        <v>1.2749999999999999E-2</v>
      </c>
      <c r="R2800" s="1">
        <v>5</v>
      </c>
      <c r="S2800" s="1">
        <f>R2800/P2800</f>
        <v>0.7142857142857143</v>
      </c>
      <c r="T2800" s="1">
        <v>5</v>
      </c>
      <c r="U2800" s="1">
        <v>12.5</v>
      </c>
      <c r="V2800" s="1">
        <v>46.666666666666657</v>
      </c>
      <c r="W2800" s="1">
        <v>4</v>
      </c>
    </row>
    <row r="2801" spans="1:23" x14ac:dyDescent="0.2">
      <c r="A2801">
        <v>2022</v>
      </c>
      <c r="B2801" t="s">
        <v>23</v>
      </c>
      <c r="C2801" t="s">
        <v>271</v>
      </c>
      <c r="D2801">
        <v>215</v>
      </c>
      <c r="E2801">
        <v>2</v>
      </c>
      <c r="F2801">
        <v>4</v>
      </c>
      <c r="G2801" t="s">
        <v>240</v>
      </c>
      <c r="H2801" s="1">
        <v>4</v>
      </c>
      <c r="I2801" s="1">
        <v>70</v>
      </c>
      <c r="J2801" s="1">
        <v>73</v>
      </c>
      <c r="K2801" s="1">
        <f>J2801-I2801</f>
        <v>3</v>
      </c>
      <c r="L2801" s="1">
        <v>145</v>
      </c>
      <c r="M2801" s="1">
        <v>97</v>
      </c>
      <c r="N2801" s="1">
        <v>1</v>
      </c>
      <c r="O2801" s="1">
        <v>2</v>
      </c>
      <c r="P2801" s="1">
        <v>3</v>
      </c>
      <c r="Q2801" s="2">
        <v>0.09</v>
      </c>
      <c r="R2801" s="1">
        <v>3</v>
      </c>
      <c r="S2801" s="1">
        <f>R2801/P2801</f>
        <v>1</v>
      </c>
      <c r="T2801" s="1">
        <v>4</v>
      </c>
      <c r="U2801" s="1">
        <v>6.8</v>
      </c>
      <c r="V2801" s="1">
        <v>350.87058823529412</v>
      </c>
      <c r="W2801" s="1">
        <v>5</v>
      </c>
    </row>
    <row r="2802" spans="1:23" x14ac:dyDescent="0.2">
      <c r="A2802">
        <v>2022</v>
      </c>
      <c r="B2802" t="s">
        <v>23</v>
      </c>
      <c r="C2802" t="s">
        <v>271</v>
      </c>
      <c r="D2802">
        <v>216</v>
      </c>
      <c r="E2802">
        <v>1</v>
      </c>
      <c r="F2802">
        <v>6</v>
      </c>
      <c r="G2802" t="s">
        <v>241</v>
      </c>
      <c r="H2802">
        <v>5</v>
      </c>
      <c r="I2802">
        <v>55</v>
      </c>
      <c r="J2802">
        <v>57</v>
      </c>
      <c r="K2802">
        <v>2</v>
      </c>
      <c r="L2802">
        <v>36</v>
      </c>
      <c r="M2802">
        <v>11</v>
      </c>
      <c r="N2802">
        <v>2</v>
      </c>
      <c r="O2802">
        <v>3</v>
      </c>
      <c r="P2802">
        <v>5</v>
      </c>
      <c r="Q2802">
        <v>0.161</v>
      </c>
      <c r="R2802">
        <v>5</v>
      </c>
      <c r="S2802">
        <v>1</v>
      </c>
      <c r="T2802">
        <v>4</v>
      </c>
      <c r="U2802">
        <v>12.5</v>
      </c>
      <c r="V2802">
        <v>589.281045751634</v>
      </c>
      <c r="W2802">
        <v>2</v>
      </c>
    </row>
    <row r="2803" spans="1:23" x14ac:dyDescent="0.2">
      <c r="A2803">
        <v>2022</v>
      </c>
      <c r="B2803" t="s">
        <v>23</v>
      </c>
      <c r="C2803" t="s">
        <v>271</v>
      </c>
      <c r="D2803">
        <v>216</v>
      </c>
      <c r="E2803">
        <v>2</v>
      </c>
      <c r="F2803">
        <v>10</v>
      </c>
      <c r="G2803" t="s">
        <v>241</v>
      </c>
      <c r="H2803" s="1">
        <v>11</v>
      </c>
      <c r="I2803" s="1">
        <v>70</v>
      </c>
      <c r="J2803" s="1">
        <v>74</v>
      </c>
      <c r="K2803" s="1">
        <f>J2803-I2803</f>
        <v>4</v>
      </c>
      <c r="L2803" s="1">
        <v>145</v>
      </c>
      <c r="M2803" s="1">
        <v>77</v>
      </c>
      <c r="N2803" s="1">
        <v>2</v>
      </c>
      <c r="O2803" s="1">
        <v>2.5</v>
      </c>
      <c r="P2803" s="1">
        <f>H2803</f>
        <v>11</v>
      </c>
      <c r="Q2803" s="2">
        <v>0.72629999999999995</v>
      </c>
      <c r="R2803" s="1">
        <v>8</v>
      </c>
      <c r="S2803" s="1">
        <f>R2803/P2803</f>
        <v>0.72727272727272729</v>
      </c>
      <c r="T2803" s="1">
        <v>5</v>
      </c>
      <c r="U2803" s="1">
        <v>12.5</v>
      </c>
      <c r="V2803" s="1">
        <v>2658.3529411764703</v>
      </c>
      <c r="W2803" s="1">
        <v>5</v>
      </c>
    </row>
    <row r="2804" spans="1:23" x14ac:dyDescent="0.2">
      <c r="A2804">
        <v>2022</v>
      </c>
      <c r="B2804" t="s">
        <v>23</v>
      </c>
      <c r="C2804" t="s">
        <v>271</v>
      </c>
      <c r="D2804">
        <v>217</v>
      </c>
      <c r="E2804">
        <v>1</v>
      </c>
      <c r="F2804">
        <v>14</v>
      </c>
      <c r="G2804" t="s">
        <v>242</v>
      </c>
      <c r="H2804" s="1">
        <v>5</v>
      </c>
      <c r="I2804" s="1">
        <v>64</v>
      </c>
      <c r="J2804" s="1">
        <v>68</v>
      </c>
      <c r="K2804" s="1">
        <f>J2804-I2804</f>
        <v>4</v>
      </c>
      <c r="L2804" s="1">
        <v>136</v>
      </c>
      <c r="M2804" s="1">
        <v>82</v>
      </c>
      <c r="N2804" s="1">
        <v>1.5</v>
      </c>
      <c r="O2804" s="1">
        <v>4</v>
      </c>
      <c r="P2804" s="1">
        <v>3</v>
      </c>
      <c r="Q2804" s="2">
        <v>0.105</v>
      </c>
      <c r="R2804" s="1">
        <v>2</v>
      </c>
      <c r="S2804" s="1">
        <f>R2804/P2804</f>
        <v>0.66666666666666663</v>
      </c>
      <c r="T2804" s="1">
        <v>3</v>
      </c>
      <c r="U2804" s="1">
        <v>12.5</v>
      </c>
      <c r="V2804" s="1">
        <v>384.31372549019608</v>
      </c>
      <c r="W2804" s="1">
        <v>5</v>
      </c>
    </row>
    <row r="2805" spans="1:23" x14ac:dyDescent="0.2">
      <c r="A2805">
        <v>2022</v>
      </c>
      <c r="B2805" t="s">
        <v>23</v>
      </c>
      <c r="C2805" t="s">
        <v>271</v>
      </c>
      <c r="D2805">
        <v>217</v>
      </c>
      <c r="E2805">
        <v>2</v>
      </c>
      <c r="F2805">
        <v>12</v>
      </c>
      <c r="G2805" t="s">
        <v>242</v>
      </c>
      <c r="H2805">
        <v>9</v>
      </c>
      <c r="I2805">
        <v>56</v>
      </c>
      <c r="J2805">
        <v>59</v>
      </c>
      <c r="K2805">
        <v>3</v>
      </c>
      <c r="L2805">
        <v>174</v>
      </c>
      <c r="M2805">
        <v>77</v>
      </c>
      <c r="N2805">
        <v>1.5</v>
      </c>
      <c r="O2805">
        <v>2</v>
      </c>
      <c r="P2805">
        <v>9</v>
      </c>
      <c r="Q2805">
        <v>0.4</v>
      </c>
      <c r="R2805">
        <v>9</v>
      </c>
      <c r="S2805">
        <v>1</v>
      </c>
      <c r="T2805">
        <v>2.5</v>
      </c>
      <c r="U2805">
        <v>12.5</v>
      </c>
      <c r="V2805">
        <v>1464.0522875816994</v>
      </c>
      <c r="W2805">
        <v>1</v>
      </c>
    </row>
    <row r="2806" spans="1:23" x14ac:dyDescent="0.2">
      <c r="A2806">
        <v>2022</v>
      </c>
      <c r="B2806" t="s">
        <v>23</v>
      </c>
      <c r="C2806" t="s">
        <v>271</v>
      </c>
      <c r="D2806">
        <v>218</v>
      </c>
      <c r="E2806">
        <v>1</v>
      </c>
      <c r="F2806">
        <v>2</v>
      </c>
      <c r="G2806" t="s">
        <v>243</v>
      </c>
      <c r="H2806" s="1">
        <v>5</v>
      </c>
      <c r="I2806" s="1">
        <v>62</v>
      </c>
      <c r="J2806" s="1">
        <v>67</v>
      </c>
      <c r="K2806" s="1">
        <f>J2806-I2806</f>
        <v>5</v>
      </c>
      <c r="L2806" s="1">
        <v>138</v>
      </c>
      <c r="M2806" s="1">
        <v>68</v>
      </c>
      <c r="N2806" s="1">
        <v>2</v>
      </c>
      <c r="O2806" s="1">
        <v>3</v>
      </c>
      <c r="P2806" s="1">
        <v>4</v>
      </c>
      <c r="Q2806" s="2">
        <v>0.24</v>
      </c>
      <c r="R2806" s="1">
        <v>6</v>
      </c>
      <c r="S2806" s="1">
        <f>R2806/P2806</f>
        <v>1.5</v>
      </c>
      <c r="T2806" s="1">
        <v>5</v>
      </c>
      <c r="U2806" s="1">
        <v>12.5</v>
      </c>
      <c r="V2806" s="1">
        <v>878.43137254901967</v>
      </c>
      <c r="W2806" s="1">
        <v>4</v>
      </c>
    </row>
    <row r="2807" spans="1:23" x14ac:dyDescent="0.2">
      <c r="A2807">
        <v>2022</v>
      </c>
      <c r="B2807" t="s">
        <v>23</v>
      </c>
      <c r="C2807" t="s">
        <v>271</v>
      </c>
      <c r="D2807">
        <v>218</v>
      </c>
      <c r="E2807">
        <v>2</v>
      </c>
      <c r="F2807">
        <v>15</v>
      </c>
      <c r="G2807" t="s">
        <v>243</v>
      </c>
      <c r="H2807" s="1">
        <v>4</v>
      </c>
      <c r="I2807" s="1">
        <v>56</v>
      </c>
      <c r="J2807" s="1">
        <v>61</v>
      </c>
      <c r="K2807" s="1">
        <f>J2807-I2807</f>
        <v>5</v>
      </c>
      <c r="L2807" s="1">
        <v>74</v>
      </c>
      <c r="M2807" s="1">
        <v>30</v>
      </c>
      <c r="N2807" s="1">
        <v>1.5</v>
      </c>
      <c r="O2807" s="1">
        <v>4</v>
      </c>
      <c r="P2807" s="1">
        <v>4</v>
      </c>
      <c r="Q2807" s="2">
        <v>5.5E-2</v>
      </c>
      <c r="R2807" s="1">
        <v>3</v>
      </c>
      <c r="S2807" s="1">
        <f>R2807/P2807</f>
        <v>0.75</v>
      </c>
      <c r="T2807" s="1">
        <v>5</v>
      </c>
      <c r="U2807" s="1">
        <v>12.5</v>
      </c>
      <c r="V2807" s="1">
        <v>201.30718954248366</v>
      </c>
      <c r="W2807" s="1">
        <v>4</v>
      </c>
    </row>
    <row r="2808" spans="1:23" x14ac:dyDescent="0.2">
      <c r="A2808">
        <v>2022</v>
      </c>
      <c r="B2808" t="s">
        <v>23</v>
      </c>
      <c r="C2808" t="s">
        <v>271</v>
      </c>
      <c r="D2808">
        <v>219</v>
      </c>
      <c r="E2808">
        <v>1</v>
      </c>
      <c r="F2808">
        <v>13</v>
      </c>
      <c r="G2808" t="s">
        <v>244</v>
      </c>
      <c r="H2808">
        <v>10</v>
      </c>
      <c r="I2808">
        <v>63</v>
      </c>
      <c r="J2808">
        <v>65</v>
      </c>
      <c r="K2808">
        <v>2</v>
      </c>
      <c r="L2808">
        <v>149</v>
      </c>
      <c r="M2808">
        <v>60</v>
      </c>
      <c r="N2808">
        <v>1.5</v>
      </c>
      <c r="O2808">
        <v>3.5</v>
      </c>
      <c r="P2808">
        <v>10</v>
      </c>
      <c r="Q2808">
        <v>1.4</v>
      </c>
      <c r="R2808">
        <v>12</v>
      </c>
      <c r="S2808">
        <v>1.2</v>
      </c>
      <c r="T2808">
        <v>2.5</v>
      </c>
      <c r="U2808">
        <v>12.5</v>
      </c>
      <c r="V2808">
        <v>5124.1830065359472</v>
      </c>
      <c r="W2808">
        <v>1</v>
      </c>
    </row>
    <row r="2809" spans="1:23" x14ac:dyDescent="0.2">
      <c r="A2809">
        <v>2022</v>
      </c>
      <c r="B2809" t="s">
        <v>23</v>
      </c>
      <c r="C2809" t="s">
        <v>271</v>
      </c>
      <c r="D2809">
        <v>219</v>
      </c>
      <c r="E2809">
        <v>2</v>
      </c>
      <c r="F2809">
        <v>2</v>
      </c>
      <c r="G2809" t="s">
        <v>244</v>
      </c>
      <c r="H2809" s="3">
        <v>9</v>
      </c>
      <c r="I2809" s="3">
        <v>67</v>
      </c>
      <c r="J2809" s="3">
        <v>69</v>
      </c>
      <c r="K2809" s="3">
        <f>J2809-I2809</f>
        <v>2</v>
      </c>
      <c r="L2809" s="3">
        <v>187</v>
      </c>
      <c r="M2809" s="3">
        <v>105</v>
      </c>
      <c r="N2809" s="3">
        <v>2</v>
      </c>
      <c r="O2809" s="3">
        <v>2.5</v>
      </c>
      <c r="P2809" s="3">
        <v>8</v>
      </c>
      <c r="Q2809" s="4">
        <v>0.85260000000000002</v>
      </c>
      <c r="R2809" s="3">
        <v>8</v>
      </c>
      <c r="S2809" s="3">
        <f>R2809/P2809</f>
        <v>1</v>
      </c>
      <c r="T2809" s="3">
        <v>3</v>
      </c>
      <c r="U2809" s="3">
        <v>10.4</v>
      </c>
      <c r="V2809" s="3">
        <v>3195.5225098039218</v>
      </c>
      <c r="W2809" s="3">
        <v>5</v>
      </c>
    </row>
    <row r="2810" spans="1:23" x14ac:dyDescent="0.2">
      <c r="A2810">
        <v>2022</v>
      </c>
      <c r="B2810" t="s">
        <v>23</v>
      </c>
      <c r="C2810" t="s">
        <v>271</v>
      </c>
      <c r="D2810">
        <v>220</v>
      </c>
      <c r="E2810">
        <v>1</v>
      </c>
      <c r="F2810">
        <v>11</v>
      </c>
      <c r="G2810" t="s">
        <v>245</v>
      </c>
      <c r="H2810" s="1">
        <v>8</v>
      </c>
      <c r="I2810" s="1">
        <v>57</v>
      </c>
      <c r="J2810" s="1">
        <v>61</v>
      </c>
      <c r="K2810" s="1">
        <f>J2810-I2810</f>
        <v>4</v>
      </c>
      <c r="L2810" s="1">
        <v>102</v>
      </c>
      <c r="M2810" s="1">
        <v>51</v>
      </c>
      <c r="N2810" s="1">
        <v>2</v>
      </c>
      <c r="O2810" s="1">
        <v>3.5</v>
      </c>
      <c r="P2810" s="1">
        <v>5</v>
      </c>
      <c r="Q2810" s="2">
        <v>4.3049999999999998E-2</v>
      </c>
      <c r="R2810" s="1">
        <v>1</v>
      </c>
      <c r="S2810" s="1">
        <f>R2810/P2810</f>
        <v>0.2</v>
      </c>
      <c r="T2810" s="1">
        <v>5</v>
      </c>
      <c r="U2810" s="1">
        <v>12.5</v>
      </c>
      <c r="V2810" s="1">
        <v>157.56862745098039</v>
      </c>
      <c r="W2810" s="1">
        <v>6</v>
      </c>
    </row>
    <row r="2811" spans="1:23" x14ac:dyDescent="0.2">
      <c r="A2811">
        <v>2022</v>
      </c>
      <c r="B2811" t="s">
        <v>23</v>
      </c>
      <c r="C2811" t="s">
        <v>271</v>
      </c>
      <c r="D2811">
        <v>220</v>
      </c>
      <c r="E2811">
        <v>2</v>
      </c>
      <c r="F2811">
        <v>14</v>
      </c>
      <c r="G2811" t="s">
        <v>245</v>
      </c>
      <c r="H2811" s="1">
        <v>6</v>
      </c>
      <c r="I2811" s="1">
        <v>59</v>
      </c>
      <c r="J2811" s="1">
        <v>63</v>
      </c>
      <c r="K2811" s="1">
        <f>J2811-I2811</f>
        <v>4</v>
      </c>
      <c r="L2811" s="1">
        <v>128</v>
      </c>
      <c r="M2811" s="1">
        <v>45</v>
      </c>
      <c r="N2811" s="1">
        <v>3</v>
      </c>
      <c r="O2811" s="1">
        <v>2.5</v>
      </c>
      <c r="P2811" s="1">
        <v>6</v>
      </c>
      <c r="Q2811" s="2">
        <v>0.442</v>
      </c>
      <c r="R2811" s="1">
        <v>6</v>
      </c>
      <c r="S2811" s="1">
        <f>R2811/P2811</f>
        <v>1</v>
      </c>
      <c r="T2811" s="1">
        <v>2</v>
      </c>
      <c r="U2811" s="1">
        <v>12.5</v>
      </c>
      <c r="V2811" s="1">
        <v>1617.7777777777778</v>
      </c>
      <c r="W2811" s="1">
        <v>3</v>
      </c>
    </row>
    <row r="2812" spans="1:23" x14ac:dyDescent="0.2">
      <c r="A2812">
        <v>2022</v>
      </c>
      <c r="B2812" t="s">
        <v>23</v>
      </c>
      <c r="C2812" t="s">
        <v>271</v>
      </c>
      <c r="D2812">
        <v>221</v>
      </c>
      <c r="E2812">
        <v>1</v>
      </c>
      <c r="F2812">
        <v>11</v>
      </c>
      <c r="G2812" t="s">
        <v>246</v>
      </c>
      <c r="H2812" s="1">
        <v>14</v>
      </c>
      <c r="I2812" s="1">
        <v>61</v>
      </c>
      <c r="J2812" s="1">
        <v>65</v>
      </c>
      <c r="K2812" s="1">
        <f>J2812-I2812</f>
        <v>4</v>
      </c>
      <c r="L2812" s="1">
        <v>157</v>
      </c>
      <c r="M2812" s="1">
        <v>85</v>
      </c>
      <c r="N2812" s="1">
        <v>2</v>
      </c>
      <c r="O2812" s="1">
        <v>2</v>
      </c>
      <c r="P2812" s="1">
        <v>14</v>
      </c>
      <c r="Q2812" s="2">
        <v>0.81200000000000006</v>
      </c>
      <c r="R2812" s="1">
        <v>11</v>
      </c>
      <c r="S2812" s="1">
        <f>R2812/P2812</f>
        <v>0.7857142857142857</v>
      </c>
      <c r="T2812" s="1">
        <v>5</v>
      </c>
      <c r="U2812" s="1">
        <v>9.1</v>
      </c>
      <c r="V2812" s="1">
        <v>3087.510588235295</v>
      </c>
      <c r="W2812" s="1">
        <v>4</v>
      </c>
    </row>
    <row r="2813" spans="1:23" x14ac:dyDescent="0.2">
      <c r="A2813">
        <v>2022</v>
      </c>
      <c r="B2813" t="s">
        <v>23</v>
      </c>
      <c r="C2813" t="s">
        <v>271</v>
      </c>
      <c r="D2813">
        <v>221</v>
      </c>
      <c r="E2813">
        <v>2</v>
      </c>
      <c r="F2813">
        <v>12</v>
      </c>
      <c r="G2813" t="s">
        <v>246</v>
      </c>
      <c r="H2813" s="1">
        <v>7</v>
      </c>
      <c r="I2813" s="1">
        <v>67</v>
      </c>
      <c r="J2813" s="1">
        <v>72</v>
      </c>
      <c r="K2813" s="1">
        <f>J2813-I2813</f>
        <v>5</v>
      </c>
      <c r="L2813" s="1">
        <v>128</v>
      </c>
      <c r="M2813" s="1">
        <v>65</v>
      </c>
      <c r="N2813" s="1">
        <v>2</v>
      </c>
      <c r="O2813" s="1">
        <v>3.5</v>
      </c>
      <c r="P2813" s="1">
        <v>2</v>
      </c>
      <c r="Q2813" s="2">
        <v>0.1016</v>
      </c>
      <c r="R2813" s="1">
        <v>3</v>
      </c>
      <c r="S2813" s="1">
        <f>R2813/P2813</f>
        <v>1.5</v>
      </c>
      <c r="T2813" s="1">
        <v>5</v>
      </c>
      <c r="U2813" s="1">
        <v>12.5</v>
      </c>
      <c r="V2813" s="1">
        <v>371.86928104575156</v>
      </c>
      <c r="W2813" s="1">
        <v>5</v>
      </c>
    </row>
    <row r="2814" spans="1:23" x14ac:dyDescent="0.2">
      <c r="A2814">
        <v>2022</v>
      </c>
      <c r="B2814" t="s">
        <v>23</v>
      </c>
      <c r="C2814" t="s">
        <v>271</v>
      </c>
      <c r="D2814">
        <v>222</v>
      </c>
      <c r="E2814">
        <v>1</v>
      </c>
      <c r="F2814">
        <v>13</v>
      </c>
      <c r="G2814" t="s">
        <v>247</v>
      </c>
      <c r="H2814">
        <v>14</v>
      </c>
      <c r="I2814">
        <v>54</v>
      </c>
      <c r="J2814">
        <v>56</v>
      </c>
      <c r="K2814">
        <v>2</v>
      </c>
      <c r="L2814">
        <v>152</v>
      </c>
      <c r="M2814">
        <v>95</v>
      </c>
      <c r="N2814">
        <v>2</v>
      </c>
      <c r="O2814">
        <v>2</v>
      </c>
      <c r="P2814">
        <v>10</v>
      </c>
      <c r="Q2814">
        <v>0.4</v>
      </c>
      <c r="R2814">
        <v>9</v>
      </c>
      <c r="S2814">
        <v>0.9</v>
      </c>
      <c r="T2814">
        <v>4</v>
      </c>
      <c r="U2814">
        <v>10.7</v>
      </c>
      <c r="V2814">
        <v>1494.169934640523</v>
      </c>
      <c r="W2814">
        <v>1</v>
      </c>
    </row>
    <row r="2815" spans="1:23" x14ac:dyDescent="0.2">
      <c r="A2815">
        <v>2022</v>
      </c>
      <c r="B2815" t="s">
        <v>23</v>
      </c>
      <c r="C2815" t="s">
        <v>271</v>
      </c>
      <c r="D2815">
        <v>222</v>
      </c>
      <c r="E2815">
        <v>2</v>
      </c>
      <c r="F2815">
        <v>1</v>
      </c>
      <c r="G2815" t="s">
        <v>247</v>
      </c>
      <c r="H2815">
        <v>9</v>
      </c>
      <c r="I2815">
        <v>64</v>
      </c>
      <c r="J2815">
        <v>67</v>
      </c>
      <c r="K2815">
        <v>3</v>
      </c>
      <c r="L2815">
        <v>115</v>
      </c>
      <c r="M2815">
        <v>65</v>
      </c>
      <c r="N2815">
        <v>1.5</v>
      </c>
      <c r="O2815">
        <v>3.5</v>
      </c>
      <c r="P2815">
        <v>9</v>
      </c>
      <c r="Q2815">
        <v>1.2</v>
      </c>
      <c r="R2815">
        <v>9</v>
      </c>
      <c r="S2815">
        <v>1</v>
      </c>
      <c r="T2815">
        <v>2.5</v>
      </c>
      <c r="U2815">
        <v>12.5</v>
      </c>
      <c r="V2815">
        <v>4392.1568627450979</v>
      </c>
      <c r="W2815">
        <v>1</v>
      </c>
    </row>
    <row r="2816" spans="1:23" x14ac:dyDescent="0.2">
      <c r="A2816">
        <v>2022</v>
      </c>
      <c r="B2816" t="s">
        <v>23</v>
      </c>
      <c r="C2816" t="s">
        <v>271</v>
      </c>
      <c r="D2816">
        <v>223</v>
      </c>
      <c r="E2816">
        <v>1</v>
      </c>
      <c r="F2816">
        <v>8</v>
      </c>
      <c r="G2816" t="s">
        <v>248</v>
      </c>
      <c r="H2816" s="1">
        <v>5</v>
      </c>
      <c r="I2816" s="1">
        <v>60</v>
      </c>
      <c r="J2816" s="1">
        <v>65</v>
      </c>
      <c r="K2816" s="1">
        <f>J2816-I2816</f>
        <v>5</v>
      </c>
      <c r="L2816" s="1">
        <v>135</v>
      </c>
      <c r="M2816" s="1">
        <v>63</v>
      </c>
      <c r="N2816" s="1">
        <v>2</v>
      </c>
      <c r="O2816" s="1">
        <v>2.5</v>
      </c>
      <c r="P2816" s="1">
        <v>5</v>
      </c>
      <c r="Q2816" s="2">
        <v>0.7712</v>
      </c>
      <c r="R2816" s="1">
        <v>5</v>
      </c>
      <c r="S2816" s="1">
        <f>R2816/P2816</f>
        <v>1</v>
      </c>
      <c r="T2816" s="1">
        <v>5</v>
      </c>
      <c r="U2816" s="1">
        <v>8.9</v>
      </c>
      <c r="V2816" s="1">
        <v>2938.8264575163398</v>
      </c>
      <c r="W2816" s="1">
        <v>4</v>
      </c>
    </row>
    <row r="2817" spans="1:23" x14ac:dyDescent="0.2">
      <c r="A2817">
        <v>2022</v>
      </c>
      <c r="B2817" t="s">
        <v>23</v>
      </c>
      <c r="C2817" t="s">
        <v>271</v>
      </c>
      <c r="D2817">
        <v>223</v>
      </c>
      <c r="E2817">
        <v>2</v>
      </c>
      <c r="F2817">
        <v>9</v>
      </c>
      <c r="G2817" t="s">
        <v>248</v>
      </c>
      <c r="H2817">
        <v>13</v>
      </c>
      <c r="I2817">
        <v>50</v>
      </c>
      <c r="J2817">
        <v>53</v>
      </c>
      <c r="K2817">
        <v>3</v>
      </c>
      <c r="L2817">
        <v>177</v>
      </c>
      <c r="M2817">
        <v>44</v>
      </c>
      <c r="N2817">
        <v>2</v>
      </c>
      <c r="O2817">
        <v>2</v>
      </c>
      <c r="P2817">
        <v>13</v>
      </c>
      <c r="Q2817">
        <v>0.7</v>
      </c>
      <c r="R2817">
        <v>11</v>
      </c>
      <c r="S2817">
        <v>0.84615384615384615</v>
      </c>
      <c r="T2817">
        <v>4</v>
      </c>
      <c r="U2817">
        <v>9.4</v>
      </c>
      <c r="V2817">
        <v>2652.8627450980393</v>
      </c>
      <c r="W2817">
        <v>2</v>
      </c>
    </row>
    <row r="2818" spans="1:23" x14ac:dyDescent="0.2">
      <c r="A2818">
        <v>2022</v>
      </c>
      <c r="B2818" t="s">
        <v>23</v>
      </c>
      <c r="C2818" t="s">
        <v>271</v>
      </c>
      <c r="D2818">
        <v>224</v>
      </c>
      <c r="E2818">
        <v>1</v>
      </c>
      <c r="F2818">
        <v>4</v>
      </c>
      <c r="G2818" t="s">
        <v>249</v>
      </c>
      <c r="H2818" s="1">
        <v>15</v>
      </c>
      <c r="I2818" s="1">
        <v>61</v>
      </c>
      <c r="J2818" s="1">
        <v>66</v>
      </c>
      <c r="K2818" s="1">
        <f t="shared" ref="K2818:K2825" si="136">J2818-I2818</f>
        <v>5</v>
      </c>
      <c r="L2818" s="1">
        <v>142</v>
      </c>
      <c r="M2818" s="1">
        <v>85</v>
      </c>
      <c r="N2818" s="1">
        <v>2</v>
      </c>
      <c r="O2818" s="1">
        <v>2.5</v>
      </c>
      <c r="P2818" s="1">
        <f>H2818-2</f>
        <v>13</v>
      </c>
      <c r="Q2818" s="2">
        <v>0.14399999999999999</v>
      </c>
      <c r="R2818" s="1">
        <v>11</v>
      </c>
      <c r="S2818" s="1">
        <f t="shared" ref="S2818:S2825" si="137">R2818/P2818</f>
        <v>0.84615384615384615</v>
      </c>
      <c r="T2818" s="1">
        <v>2</v>
      </c>
      <c r="U2818" s="1">
        <v>12.5</v>
      </c>
      <c r="V2818" s="1">
        <v>527.05882352941182</v>
      </c>
      <c r="W2818" s="1">
        <v>5</v>
      </c>
    </row>
    <row r="2819" spans="1:23" x14ac:dyDescent="0.2">
      <c r="A2819">
        <v>2022</v>
      </c>
      <c r="B2819" t="s">
        <v>23</v>
      </c>
      <c r="C2819" t="s">
        <v>271</v>
      </c>
      <c r="D2819">
        <v>224</v>
      </c>
      <c r="E2819">
        <v>2</v>
      </c>
      <c r="F2819">
        <v>3</v>
      </c>
      <c r="G2819" t="s">
        <v>249</v>
      </c>
      <c r="H2819" s="1">
        <v>6</v>
      </c>
      <c r="I2819" s="1">
        <v>58</v>
      </c>
      <c r="J2819" s="1">
        <v>63</v>
      </c>
      <c r="K2819" s="1">
        <f t="shared" si="136"/>
        <v>5</v>
      </c>
      <c r="L2819" s="1">
        <v>170</v>
      </c>
      <c r="M2819" s="1">
        <v>108</v>
      </c>
      <c r="N2819" s="1">
        <v>2</v>
      </c>
      <c r="O2819" s="1">
        <v>2.5</v>
      </c>
      <c r="P2819" s="1">
        <v>6</v>
      </c>
      <c r="Q2819" s="2">
        <v>7.4999999999999997E-2</v>
      </c>
      <c r="R2819" s="1">
        <v>6</v>
      </c>
      <c r="S2819" s="1">
        <f t="shared" si="137"/>
        <v>1</v>
      </c>
      <c r="T2819" s="1">
        <v>3</v>
      </c>
      <c r="U2819" s="1">
        <v>12.5</v>
      </c>
      <c r="V2819" s="1">
        <v>274.50980392156862</v>
      </c>
      <c r="W2819" s="1">
        <v>3</v>
      </c>
    </row>
    <row r="2820" spans="1:23" x14ac:dyDescent="0.2">
      <c r="A2820">
        <v>2022</v>
      </c>
      <c r="B2820" t="s">
        <v>23</v>
      </c>
      <c r="C2820" t="s">
        <v>271</v>
      </c>
      <c r="D2820">
        <v>225</v>
      </c>
      <c r="E2820">
        <v>1</v>
      </c>
      <c r="F2820">
        <v>13</v>
      </c>
      <c r="G2820" t="s">
        <v>250</v>
      </c>
      <c r="H2820" s="1">
        <v>14</v>
      </c>
      <c r="I2820" s="1">
        <v>60</v>
      </c>
      <c r="J2820" s="1">
        <v>63</v>
      </c>
      <c r="K2820" s="1">
        <f t="shared" si="136"/>
        <v>3</v>
      </c>
      <c r="L2820" s="1">
        <v>145</v>
      </c>
      <c r="M2820" s="1">
        <v>91</v>
      </c>
      <c r="N2820" s="1">
        <v>2</v>
      </c>
      <c r="O2820" s="1">
        <v>2.5</v>
      </c>
      <c r="P2820" s="1">
        <f>H2820-2</f>
        <v>12</v>
      </c>
      <c r="Q2820" s="2">
        <v>0.48825000000000002</v>
      </c>
      <c r="R2820" s="1">
        <v>9</v>
      </c>
      <c r="S2820" s="1">
        <f t="shared" si="137"/>
        <v>0.75</v>
      </c>
      <c r="T2820" s="1">
        <v>5</v>
      </c>
      <c r="U2820" s="1">
        <v>12.5</v>
      </c>
      <c r="V2820" s="1">
        <v>1787.0588235294119</v>
      </c>
      <c r="W2820" s="1">
        <v>5</v>
      </c>
    </row>
    <row r="2821" spans="1:23" x14ac:dyDescent="0.2">
      <c r="A2821">
        <v>2022</v>
      </c>
      <c r="B2821" t="s">
        <v>23</v>
      </c>
      <c r="C2821" t="s">
        <v>271</v>
      </c>
      <c r="D2821">
        <v>225</v>
      </c>
      <c r="E2821">
        <v>2</v>
      </c>
      <c r="F2821">
        <v>2</v>
      </c>
      <c r="G2821" t="s">
        <v>250</v>
      </c>
      <c r="H2821" s="1">
        <v>6</v>
      </c>
      <c r="I2821" s="1">
        <v>65</v>
      </c>
      <c r="J2821" s="1">
        <v>68</v>
      </c>
      <c r="K2821" s="1">
        <f t="shared" si="136"/>
        <v>3</v>
      </c>
      <c r="L2821" s="1">
        <v>107</v>
      </c>
      <c r="M2821" s="1">
        <v>30</v>
      </c>
      <c r="N2821" s="1">
        <v>2</v>
      </c>
      <c r="O2821" s="1">
        <v>4.5</v>
      </c>
      <c r="P2821" s="1">
        <v>6</v>
      </c>
      <c r="Q2821" s="2">
        <v>8.4000000000000005E-2</v>
      </c>
      <c r="R2821" s="1">
        <v>3</v>
      </c>
      <c r="S2821" s="1">
        <f t="shared" si="137"/>
        <v>0.5</v>
      </c>
      <c r="T2821" s="1">
        <v>5</v>
      </c>
      <c r="U2821" s="1">
        <v>12.5</v>
      </c>
      <c r="V2821" s="1">
        <v>307.45098039215685</v>
      </c>
      <c r="W2821" s="1">
        <v>5</v>
      </c>
    </row>
    <row r="2822" spans="1:23" x14ac:dyDescent="0.2">
      <c r="A2822">
        <v>2022</v>
      </c>
      <c r="B2822" t="s">
        <v>23</v>
      </c>
      <c r="C2822" t="s">
        <v>271</v>
      </c>
      <c r="D2822">
        <v>226</v>
      </c>
      <c r="E2822">
        <v>1</v>
      </c>
      <c r="F2822">
        <v>2</v>
      </c>
      <c r="G2822" t="s">
        <v>251</v>
      </c>
      <c r="H2822" s="1">
        <v>12</v>
      </c>
      <c r="I2822" s="1">
        <v>67</v>
      </c>
      <c r="J2822" s="1">
        <v>69</v>
      </c>
      <c r="K2822" s="1">
        <f t="shared" si="136"/>
        <v>2</v>
      </c>
      <c r="L2822" s="1">
        <v>160</v>
      </c>
      <c r="M2822" s="1">
        <v>55</v>
      </c>
      <c r="N2822" s="1">
        <v>2.5</v>
      </c>
      <c r="O2822" s="1">
        <v>4</v>
      </c>
      <c r="P2822" s="1">
        <v>12</v>
      </c>
      <c r="Q2822" s="2">
        <v>1.1639999999999999</v>
      </c>
      <c r="R2822" s="1">
        <v>12</v>
      </c>
      <c r="S2822" s="1">
        <f t="shared" si="137"/>
        <v>1</v>
      </c>
      <c r="T2822" s="1">
        <v>2.5</v>
      </c>
      <c r="U2822" s="1">
        <v>12.5</v>
      </c>
      <c r="V2822" s="1">
        <v>4260.3921568627447</v>
      </c>
      <c r="W2822" s="1">
        <v>3</v>
      </c>
    </row>
    <row r="2823" spans="1:23" x14ac:dyDescent="0.2">
      <c r="A2823">
        <v>2022</v>
      </c>
      <c r="B2823" t="s">
        <v>23</v>
      </c>
      <c r="C2823" t="s">
        <v>271</v>
      </c>
      <c r="D2823">
        <v>226</v>
      </c>
      <c r="E2823">
        <v>2</v>
      </c>
      <c r="F2823">
        <v>7</v>
      </c>
      <c r="G2823" t="s">
        <v>251</v>
      </c>
      <c r="H2823" s="1">
        <v>13</v>
      </c>
      <c r="I2823" s="1">
        <v>69</v>
      </c>
      <c r="J2823" s="1">
        <v>72</v>
      </c>
      <c r="K2823" s="1">
        <f t="shared" si="136"/>
        <v>3</v>
      </c>
      <c r="L2823" s="1">
        <v>186</v>
      </c>
      <c r="M2823" s="1">
        <v>71</v>
      </c>
      <c r="N2823" s="1">
        <v>2</v>
      </c>
      <c r="O2823" s="1">
        <v>2.5</v>
      </c>
      <c r="P2823" s="1">
        <v>11</v>
      </c>
      <c r="Q2823" s="2">
        <v>0.6853499999999999</v>
      </c>
      <c r="R2823" s="1">
        <v>10</v>
      </c>
      <c r="S2823" s="1">
        <f t="shared" si="137"/>
        <v>0.90909090909090906</v>
      </c>
      <c r="T2823" s="1">
        <v>3</v>
      </c>
      <c r="U2823" s="1">
        <v>12.5</v>
      </c>
      <c r="V2823" s="1">
        <v>2508.4705882352937</v>
      </c>
      <c r="W2823" s="1">
        <v>5</v>
      </c>
    </row>
    <row r="2824" spans="1:23" x14ac:dyDescent="0.2">
      <c r="A2824">
        <v>2022</v>
      </c>
      <c r="B2824" t="s">
        <v>23</v>
      </c>
      <c r="C2824" t="s">
        <v>271</v>
      </c>
      <c r="D2824">
        <v>227</v>
      </c>
      <c r="E2824">
        <v>1</v>
      </c>
      <c r="F2824">
        <v>11</v>
      </c>
      <c r="G2824" t="s">
        <v>252</v>
      </c>
      <c r="H2824" s="1">
        <v>7</v>
      </c>
      <c r="I2824" s="1">
        <v>66</v>
      </c>
      <c r="J2824" s="1">
        <v>71</v>
      </c>
      <c r="K2824" s="1">
        <f t="shared" si="136"/>
        <v>5</v>
      </c>
      <c r="L2824" s="1">
        <v>155</v>
      </c>
      <c r="M2824" s="1">
        <v>79</v>
      </c>
      <c r="N2824" s="1">
        <v>2</v>
      </c>
      <c r="O2824" s="1">
        <v>3.5</v>
      </c>
      <c r="P2824" s="1">
        <v>6</v>
      </c>
      <c r="Q2824" s="2">
        <v>8.2949999999999982E-2</v>
      </c>
      <c r="R2824" s="1">
        <v>4</v>
      </c>
      <c r="S2824" s="1">
        <f t="shared" si="137"/>
        <v>0.66666666666666663</v>
      </c>
      <c r="T2824" s="1">
        <v>5</v>
      </c>
      <c r="U2824" s="1">
        <v>12.5</v>
      </c>
      <c r="V2824" s="1">
        <v>303.60784313725486</v>
      </c>
      <c r="W2824" s="1">
        <v>5</v>
      </c>
    </row>
    <row r="2825" spans="1:23" x14ac:dyDescent="0.2">
      <c r="A2825">
        <v>2022</v>
      </c>
      <c r="B2825" t="s">
        <v>23</v>
      </c>
      <c r="C2825" t="s">
        <v>271</v>
      </c>
      <c r="D2825">
        <v>227</v>
      </c>
      <c r="E2825">
        <v>2</v>
      </c>
      <c r="F2825">
        <v>2</v>
      </c>
      <c r="G2825" t="s">
        <v>252</v>
      </c>
      <c r="H2825" s="1">
        <v>8</v>
      </c>
      <c r="I2825" s="1">
        <v>63</v>
      </c>
      <c r="J2825" s="1">
        <v>68</v>
      </c>
      <c r="K2825" s="1">
        <f t="shared" si="136"/>
        <v>5</v>
      </c>
      <c r="L2825" s="1">
        <v>80</v>
      </c>
      <c r="M2825" s="1">
        <v>35</v>
      </c>
      <c r="N2825" s="1">
        <v>2.5</v>
      </c>
      <c r="O2825" s="1">
        <v>4.5</v>
      </c>
      <c r="P2825" s="1">
        <v>6</v>
      </c>
      <c r="Q2825" s="2">
        <v>0.18</v>
      </c>
      <c r="R2825" s="1">
        <v>5</v>
      </c>
      <c r="S2825" s="1">
        <f t="shared" si="137"/>
        <v>0.83333333333333337</v>
      </c>
      <c r="T2825" s="1">
        <v>3.5</v>
      </c>
      <c r="U2825" s="1">
        <v>12.5</v>
      </c>
      <c r="V2825" s="1">
        <v>658.82352941176464</v>
      </c>
      <c r="W2825" s="1">
        <v>5</v>
      </c>
    </row>
    <row r="2826" spans="1:23" x14ac:dyDescent="0.2">
      <c r="A2826">
        <v>2022</v>
      </c>
      <c r="B2826" t="s">
        <v>23</v>
      </c>
      <c r="C2826" t="s">
        <v>271</v>
      </c>
      <c r="D2826">
        <v>228</v>
      </c>
      <c r="E2826">
        <v>1</v>
      </c>
      <c r="F2826">
        <v>3</v>
      </c>
      <c r="G2826" t="s">
        <v>253</v>
      </c>
      <c r="H2826">
        <v>15</v>
      </c>
      <c r="I2826">
        <v>58</v>
      </c>
      <c r="J2826">
        <v>60</v>
      </c>
      <c r="K2826">
        <v>2</v>
      </c>
      <c r="L2826">
        <v>135</v>
      </c>
      <c r="M2826">
        <v>53</v>
      </c>
      <c r="N2826">
        <v>2</v>
      </c>
      <c r="O2826">
        <v>2</v>
      </c>
      <c r="P2826">
        <v>14</v>
      </c>
      <c r="Q2826">
        <v>0.8</v>
      </c>
      <c r="R2826">
        <v>10</v>
      </c>
      <c r="S2826">
        <v>0.7142857142857143</v>
      </c>
      <c r="T2826">
        <v>3</v>
      </c>
      <c r="U2826">
        <v>9.5</v>
      </c>
      <c r="V2826">
        <v>3028.4967320261439</v>
      </c>
      <c r="W2826">
        <v>2</v>
      </c>
    </row>
    <row r="2827" spans="1:23" x14ac:dyDescent="0.2">
      <c r="A2827">
        <v>2022</v>
      </c>
      <c r="B2827" t="s">
        <v>23</v>
      </c>
      <c r="C2827" t="s">
        <v>271</v>
      </c>
      <c r="D2827">
        <v>228</v>
      </c>
      <c r="E2827">
        <v>2</v>
      </c>
      <c r="F2827">
        <v>9</v>
      </c>
      <c r="G2827" t="s">
        <v>253</v>
      </c>
      <c r="H2827">
        <v>3</v>
      </c>
      <c r="I2827">
        <v>56</v>
      </c>
      <c r="J2827">
        <v>60</v>
      </c>
      <c r="K2827">
        <v>4</v>
      </c>
      <c r="L2827">
        <v>78</v>
      </c>
      <c r="M2827">
        <v>28</v>
      </c>
      <c r="N2827">
        <v>2</v>
      </c>
      <c r="O2827">
        <v>3</v>
      </c>
      <c r="P2827">
        <v>3</v>
      </c>
      <c r="Q2827">
        <v>0.3</v>
      </c>
      <c r="R2827">
        <v>4</v>
      </c>
      <c r="S2827">
        <v>1.3333333333333333</v>
      </c>
      <c r="T2827">
        <v>3</v>
      </c>
      <c r="U2827">
        <v>12.5</v>
      </c>
      <c r="V2827">
        <v>1098.0392156862745</v>
      </c>
      <c r="W2827">
        <v>1</v>
      </c>
    </row>
    <row r="2828" spans="1:23" x14ac:dyDescent="0.2">
      <c r="A2828">
        <v>2022</v>
      </c>
      <c r="B2828" t="s">
        <v>23</v>
      </c>
      <c r="C2828" t="s">
        <v>271</v>
      </c>
      <c r="D2828">
        <v>229</v>
      </c>
      <c r="E2828">
        <v>1</v>
      </c>
      <c r="F2828">
        <v>10</v>
      </c>
      <c r="G2828" t="s">
        <v>254</v>
      </c>
      <c r="H2828" s="1">
        <v>12</v>
      </c>
      <c r="I2828" s="1">
        <v>62</v>
      </c>
      <c r="J2828" s="1">
        <v>63</v>
      </c>
      <c r="K2828" s="1">
        <f t="shared" ref="K2828:K2834" si="138">J2828-I2828</f>
        <v>1</v>
      </c>
      <c r="L2828" s="1">
        <v>82</v>
      </c>
      <c r="M2828" s="1">
        <v>58</v>
      </c>
      <c r="N2828" s="1">
        <v>2</v>
      </c>
      <c r="O2828" s="1">
        <v>2.5</v>
      </c>
      <c r="P2828" s="1">
        <f>H2828</f>
        <v>12</v>
      </c>
      <c r="Q2828" s="2">
        <v>0.13125000000000001</v>
      </c>
      <c r="R2828" s="1">
        <v>8</v>
      </c>
      <c r="S2828" s="1">
        <f t="shared" ref="S2828:S2834" si="139">R2828/P2828</f>
        <v>0.66666666666666663</v>
      </c>
      <c r="T2828" s="1">
        <v>2</v>
      </c>
      <c r="U2828" s="1">
        <v>12.5</v>
      </c>
      <c r="V2828" s="1">
        <v>480.39215686274514</v>
      </c>
      <c r="W2828" s="1">
        <v>4</v>
      </c>
    </row>
    <row r="2829" spans="1:23" x14ac:dyDescent="0.2">
      <c r="A2829">
        <v>2022</v>
      </c>
      <c r="B2829" t="s">
        <v>23</v>
      </c>
      <c r="C2829" t="s">
        <v>271</v>
      </c>
      <c r="D2829">
        <v>229</v>
      </c>
      <c r="E2829">
        <v>2</v>
      </c>
      <c r="F2829">
        <v>8</v>
      </c>
      <c r="G2829" t="s">
        <v>254</v>
      </c>
      <c r="H2829" s="1">
        <v>12</v>
      </c>
      <c r="I2829" s="1">
        <v>66</v>
      </c>
      <c r="J2829" s="1">
        <v>69</v>
      </c>
      <c r="K2829" s="1">
        <f t="shared" si="138"/>
        <v>3</v>
      </c>
      <c r="L2829" s="1">
        <v>170</v>
      </c>
      <c r="M2829" s="1">
        <v>78</v>
      </c>
      <c r="N2829" s="1">
        <v>2</v>
      </c>
      <c r="O2829" s="1">
        <v>1</v>
      </c>
      <c r="P2829" s="1">
        <v>10</v>
      </c>
      <c r="Q2829" s="2">
        <v>0.69179999999999997</v>
      </c>
      <c r="R2829" s="1">
        <v>8</v>
      </c>
      <c r="S2829" s="1">
        <f t="shared" si="139"/>
        <v>0.8</v>
      </c>
      <c r="T2829" s="1">
        <v>5</v>
      </c>
      <c r="U2829" s="1">
        <v>12.5</v>
      </c>
      <c r="V2829" s="1">
        <v>2532.0784313725489</v>
      </c>
      <c r="W2829" s="1">
        <v>4</v>
      </c>
    </row>
    <row r="2830" spans="1:23" x14ac:dyDescent="0.2">
      <c r="A2830">
        <v>2022</v>
      </c>
      <c r="B2830" t="s">
        <v>23</v>
      </c>
      <c r="C2830" t="s">
        <v>271</v>
      </c>
      <c r="D2830">
        <v>230</v>
      </c>
      <c r="E2830">
        <v>1</v>
      </c>
      <c r="F2830">
        <v>13</v>
      </c>
      <c r="G2830" t="s">
        <v>255</v>
      </c>
      <c r="H2830" s="1">
        <v>12</v>
      </c>
      <c r="I2830" s="1">
        <v>60</v>
      </c>
      <c r="J2830" s="1">
        <v>63</v>
      </c>
      <c r="K2830" s="1">
        <f t="shared" si="138"/>
        <v>3</v>
      </c>
      <c r="L2830" s="1">
        <v>193</v>
      </c>
      <c r="M2830" s="1">
        <v>95</v>
      </c>
      <c r="N2830" s="1">
        <v>2</v>
      </c>
      <c r="O2830" s="1">
        <v>2.5</v>
      </c>
      <c r="P2830" s="1">
        <v>12</v>
      </c>
      <c r="Q2830" s="2">
        <v>0.74579999999999991</v>
      </c>
      <c r="R2830" s="1">
        <v>8</v>
      </c>
      <c r="S2830" s="1">
        <f t="shared" si="139"/>
        <v>0.66666666666666663</v>
      </c>
      <c r="T2830" s="1">
        <v>5</v>
      </c>
      <c r="U2830" s="1">
        <v>8</v>
      </c>
      <c r="V2830" s="1">
        <v>2870.1113725490195</v>
      </c>
      <c r="W2830" s="1">
        <v>5</v>
      </c>
    </row>
    <row r="2831" spans="1:23" x14ac:dyDescent="0.2">
      <c r="A2831">
        <v>2022</v>
      </c>
      <c r="B2831" t="s">
        <v>23</v>
      </c>
      <c r="C2831" t="s">
        <v>271</v>
      </c>
      <c r="D2831">
        <v>230</v>
      </c>
      <c r="E2831">
        <v>2</v>
      </c>
      <c r="F2831">
        <v>9</v>
      </c>
      <c r="G2831" t="s">
        <v>255</v>
      </c>
      <c r="H2831" s="1">
        <v>13</v>
      </c>
      <c r="I2831" s="1">
        <v>61</v>
      </c>
      <c r="J2831" s="1">
        <v>66</v>
      </c>
      <c r="K2831" s="1">
        <f t="shared" si="138"/>
        <v>5</v>
      </c>
      <c r="L2831" s="1">
        <v>148</v>
      </c>
      <c r="M2831" s="1">
        <v>70</v>
      </c>
      <c r="N2831" s="1">
        <v>3</v>
      </c>
      <c r="O2831" s="1">
        <v>4</v>
      </c>
      <c r="P2831" s="1">
        <f>H2831-2</f>
        <v>11</v>
      </c>
      <c r="Q2831" s="2">
        <v>0.19500000000000001</v>
      </c>
      <c r="R2831" s="1">
        <v>8</v>
      </c>
      <c r="S2831" s="1">
        <f t="shared" si="139"/>
        <v>0.72727272727272729</v>
      </c>
      <c r="T2831" s="1">
        <v>5</v>
      </c>
      <c r="U2831" s="1">
        <v>12.5</v>
      </c>
      <c r="V2831" s="1">
        <v>713.72549019607845</v>
      </c>
      <c r="W2831" s="1">
        <v>5</v>
      </c>
    </row>
    <row r="2832" spans="1:23" x14ac:dyDescent="0.2">
      <c r="A2832">
        <v>2022</v>
      </c>
      <c r="B2832" t="s">
        <v>23</v>
      </c>
      <c r="C2832" t="s">
        <v>271</v>
      </c>
      <c r="D2832">
        <v>231</v>
      </c>
      <c r="E2832">
        <v>1</v>
      </c>
      <c r="F2832">
        <v>3</v>
      </c>
      <c r="G2832" t="s">
        <v>256</v>
      </c>
      <c r="H2832" s="1">
        <v>6</v>
      </c>
      <c r="I2832" s="1">
        <v>64</v>
      </c>
      <c r="J2832" s="1">
        <v>68</v>
      </c>
      <c r="K2832" s="1">
        <f t="shared" si="138"/>
        <v>4</v>
      </c>
      <c r="L2832" s="1">
        <v>113</v>
      </c>
      <c r="M2832" s="1">
        <v>30</v>
      </c>
      <c r="N2832" s="1">
        <v>2</v>
      </c>
      <c r="O2832" s="1">
        <v>5</v>
      </c>
      <c r="P2832" s="1">
        <v>1</v>
      </c>
      <c r="Q2832" s="2">
        <v>4.3400000000000001E-2</v>
      </c>
      <c r="R2832" s="1">
        <v>1</v>
      </c>
      <c r="S2832" s="1">
        <f t="shared" si="139"/>
        <v>1</v>
      </c>
      <c r="T2832" s="1">
        <v>5</v>
      </c>
      <c r="U2832" s="1">
        <v>12.5</v>
      </c>
      <c r="V2832" s="1">
        <v>158.84967320261438</v>
      </c>
      <c r="W2832" s="1">
        <v>7</v>
      </c>
    </row>
    <row r="2833" spans="1:23" x14ac:dyDescent="0.2">
      <c r="A2833">
        <v>2022</v>
      </c>
      <c r="B2833" t="s">
        <v>23</v>
      </c>
      <c r="C2833" t="s">
        <v>271</v>
      </c>
      <c r="D2833">
        <v>231</v>
      </c>
      <c r="E2833">
        <v>2</v>
      </c>
      <c r="F2833">
        <v>7</v>
      </c>
      <c r="G2833" t="s">
        <v>256</v>
      </c>
      <c r="H2833" s="1">
        <v>1</v>
      </c>
      <c r="I2833" s="1">
        <v>59</v>
      </c>
      <c r="J2833" s="1">
        <v>63</v>
      </c>
      <c r="K2833" s="1">
        <f t="shared" si="138"/>
        <v>4</v>
      </c>
      <c r="L2833" s="1">
        <v>121</v>
      </c>
      <c r="M2833" s="1">
        <v>31</v>
      </c>
      <c r="N2833" s="1">
        <v>2</v>
      </c>
      <c r="O2833" s="1">
        <v>3</v>
      </c>
      <c r="P2833" s="1">
        <v>1</v>
      </c>
      <c r="Q2833" s="2">
        <v>0.19500000000000001</v>
      </c>
      <c r="R2833" s="1">
        <v>1</v>
      </c>
      <c r="S2833" s="1">
        <f t="shared" si="139"/>
        <v>1</v>
      </c>
      <c r="T2833" s="1">
        <v>3</v>
      </c>
      <c r="U2833" s="1">
        <v>12.5</v>
      </c>
      <c r="V2833" s="1">
        <v>713.72549019607845</v>
      </c>
      <c r="W2833" s="1">
        <v>2</v>
      </c>
    </row>
    <row r="2834" spans="1:23" x14ac:dyDescent="0.2">
      <c r="A2834">
        <v>2022</v>
      </c>
      <c r="B2834" t="s">
        <v>23</v>
      </c>
      <c r="C2834" t="s">
        <v>271</v>
      </c>
      <c r="D2834">
        <v>232</v>
      </c>
      <c r="E2834">
        <v>1</v>
      </c>
      <c r="F2834">
        <v>2</v>
      </c>
      <c r="G2834" t="s">
        <v>257</v>
      </c>
      <c r="H2834" s="1">
        <v>12</v>
      </c>
      <c r="I2834" s="1">
        <v>61</v>
      </c>
      <c r="J2834" s="1">
        <v>66</v>
      </c>
      <c r="K2834" s="1">
        <f t="shared" si="138"/>
        <v>5</v>
      </c>
      <c r="L2834" s="1">
        <v>144</v>
      </c>
      <c r="M2834" s="1">
        <v>51</v>
      </c>
      <c r="N2834" s="1">
        <v>1.5</v>
      </c>
      <c r="O2834" s="1">
        <v>4</v>
      </c>
      <c r="P2834" s="1">
        <v>6</v>
      </c>
      <c r="Q2834" s="2">
        <v>0.41</v>
      </c>
      <c r="R2834" s="1">
        <v>5</v>
      </c>
      <c r="S2834" s="1">
        <f t="shared" si="139"/>
        <v>0.83333333333333337</v>
      </c>
      <c r="T2834" s="1">
        <v>3.5</v>
      </c>
      <c r="U2834" s="1">
        <v>12.5</v>
      </c>
      <c r="V2834" s="1">
        <v>1500.6535947712418</v>
      </c>
      <c r="W2834" s="1">
        <v>4</v>
      </c>
    </row>
    <row r="2835" spans="1:23" x14ac:dyDescent="0.2">
      <c r="A2835">
        <v>2022</v>
      </c>
      <c r="B2835" t="s">
        <v>23</v>
      </c>
      <c r="C2835" t="s">
        <v>271</v>
      </c>
      <c r="D2835">
        <v>232</v>
      </c>
      <c r="E2835">
        <v>2</v>
      </c>
      <c r="F2835">
        <v>14</v>
      </c>
      <c r="G2835" t="s">
        <v>257</v>
      </c>
      <c r="H2835">
        <v>16</v>
      </c>
      <c r="I2835">
        <v>50</v>
      </c>
      <c r="J2835">
        <v>53</v>
      </c>
      <c r="K2835">
        <v>3</v>
      </c>
      <c r="L2835">
        <v>187</v>
      </c>
      <c r="M2835">
        <v>63</v>
      </c>
      <c r="N2835">
        <v>2</v>
      </c>
      <c r="O2835">
        <v>2</v>
      </c>
      <c r="P2835">
        <v>15</v>
      </c>
      <c r="Q2835">
        <v>1</v>
      </c>
      <c r="R2835">
        <v>14</v>
      </c>
      <c r="S2835">
        <v>0.93333333333333335</v>
      </c>
      <c r="T2835">
        <v>3</v>
      </c>
      <c r="U2835">
        <v>11.4</v>
      </c>
      <c r="V2835">
        <v>3706.1437908496728</v>
      </c>
      <c r="W2835">
        <v>1</v>
      </c>
    </row>
    <row r="2836" spans="1:23" x14ac:dyDescent="0.2">
      <c r="A2836">
        <v>2022</v>
      </c>
      <c r="B2836" t="s">
        <v>23</v>
      </c>
      <c r="C2836" t="s">
        <v>271</v>
      </c>
      <c r="D2836">
        <v>233</v>
      </c>
      <c r="E2836">
        <v>1</v>
      </c>
      <c r="F2836">
        <v>12</v>
      </c>
      <c r="G2836" t="s">
        <v>258</v>
      </c>
      <c r="H2836" s="1">
        <v>5</v>
      </c>
      <c r="I2836" s="1">
        <v>63</v>
      </c>
      <c r="J2836" s="1">
        <v>65</v>
      </c>
      <c r="K2836" s="1">
        <f>J2836-I2836</f>
        <v>2</v>
      </c>
      <c r="L2836" s="1">
        <v>178</v>
      </c>
      <c r="M2836" s="1">
        <v>107</v>
      </c>
      <c r="N2836" s="1">
        <v>2</v>
      </c>
      <c r="O2836" s="1">
        <v>2</v>
      </c>
      <c r="P2836" s="1">
        <v>4</v>
      </c>
      <c r="Q2836" s="2">
        <v>0.24299999999999999</v>
      </c>
      <c r="R2836" s="1">
        <v>4</v>
      </c>
      <c r="S2836" s="1">
        <f>R2836/P2836</f>
        <v>1</v>
      </c>
      <c r="T2836" s="1">
        <v>3</v>
      </c>
      <c r="U2836" s="1">
        <v>11.7</v>
      </c>
      <c r="V2836" s="1">
        <v>897.54352941176467</v>
      </c>
      <c r="W2836" s="1">
        <v>2</v>
      </c>
    </row>
    <row r="2837" spans="1:23" x14ac:dyDescent="0.2">
      <c r="A2837">
        <v>2022</v>
      </c>
      <c r="B2837" t="s">
        <v>23</v>
      </c>
      <c r="C2837" t="s">
        <v>271</v>
      </c>
      <c r="D2837">
        <v>233</v>
      </c>
      <c r="E2837">
        <v>2</v>
      </c>
      <c r="F2837">
        <v>4</v>
      </c>
      <c r="G2837" t="s">
        <v>258</v>
      </c>
      <c r="H2837" s="1">
        <v>8</v>
      </c>
      <c r="I2837" s="1">
        <v>60</v>
      </c>
      <c r="J2837" s="1">
        <v>63</v>
      </c>
      <c r="K2837" s="1">
        <f>J2837-I2837</f>
        <v>3</v>
      </c>
      <c r="L2837" s="1">
        <v>122</v>
      </c>
      <c r="M2837" s="1">
        <v>32</v>
      </c>
      <c r="N2837" s="1">
        <v>2</v>
      </c>
      <c r="O2837" s="1">
        <v>4</v>
      </c>
      <c r="P2837" s="1">
        <v>4</v>
      </c>
      <c r="Q2837" s="2">
        <v>0.19700000000000001</v>
      </c>
      <c r="R2837" s="1">
        <v>4</v>
      </c>
      <c r="S2837" s="1">
        <f>R2837/P2837</f>
        <v>1</v>
      </c>
      <c r="T2837" s="1">
        <v>4</v>
      </c>
      <c r="U2837" s="1">
        <v>12.5</v>
      </c>
      <c r="V2837" s="1">
        <v>721.04575163398692</v>
      </c>
      <c r="W2837" s="1">
        <v>5</v>
      </c>
    </row>
    <row r="2838" spans="1:23" x14ac:dyDescent="0.2">
      <c r="A2838">
        <v>2022</v>
      </c>
      <c r="B2838" t="s">
        <v>23</v>
      </c>
      <c r="C2838" t="s">
        <v>271</v>
      </c>
      <c r="D2838">
        <v>234</v>
      </c>
      <c r="E2838">
        <v>1</v>
      </c>
      <c r="F2838">
        <v>11</v>
      </c>
      <c r="G2838" t="s">
        <v>259</v>
      </c>
      <c r="H2838" s="1">
        <v>8</v>
      </c>
      <c r="I2838" s="1">
        <v>58</v>
      </c>
      <c r="J2838" s="1">
        <v>63</v>
      </c>
      <c r="K2838" s="1">
        <f>J2838-I2838</f>
        <v>5</v>
      </c>
      <c r="L2838" s="1">
        <v>82</v>
      </c>
      <c r="M2838" s="1">
        <v>50</v>
      </c>
      <c r="N2838" s="1">
        <v>2</v>
      </c>
      <c r="O2838" s="1">
        <v>3.5</v>
      </c>
      <c r="P2838" s="1">
        <v>7</v>
      </c>
      <c r="Q2838" s="2">
        <v>0.27900000000000003</v>
      </c>
      <c r="R2838" s="1">
        <v>7</v>
      </c>
      <c r="S2838" s="1">
        <f>R2838/P2838</f>
        <v>1</v>
      </c>
      <c r="T2838" s="1">
        <v>2</v>
      </c>
      <c r="U2838" s="1">
        <v>12.5</v>
      </c>
      <c r="V2838" s="1">
        <v>1021.1764705882352</v>
      </c>
      <c r="W2838" s="1">
        <v>2</v>
      </c>
    </row>
    <row r="2839" spans="1:23" x14ac:dyDescent="0.2">
      <c r="A2839">
        <v>2022</v>
      </c>
      <c r="B2839" t="s">
        <v>23</v>
      </c>
      <c r="C2839" t="s">
        <v>271</v>
      </c>
      <c r="D2839">
        <v>234</v>
      </c>
      <c r="E2839">
        <v>2</v>
      </c>
      <c r="F2839">
        <v>1</v>
      </c>
      <c r="G2839" t="s">
        <v>259</v>
      </c>
      <c r="H2839">
        <v>14</v>
      </c>
      <c r="I2839">
        <v>54</v>
      </c>
      <c r="J2839">
        <v>58</v>
      </c>
      <c r="K2839">
        <v>4</v>
      </c>
      <c r="L2839">
        <v>139</v>
      </c>
      <c r="M2839">
        <v>95</v>
      </c>
      <c r="N2839">
        <v>1</v>
      </c>
      <c r="O2839">
        <v>1.5</v>
      </c>
      <c r="P2839">
        <v>15</v>
      </c>
      <c r="Q2839">
        <v>1.5</v>
      </c>
      <c r="R2839">
        <v>14</v>
      </c>
      <c r="S2839">
        <v>0.93333333333333335</v>
      </c>
      <c r="T2839">
        <v>3</v>
      </c>
      <c r="U2839">
        <v>11.2</v>
      </c>
      <c r="V2839">
        <v>5571.7647058823532</v>
      </c>
      <c r="W2839">
        <v>1</v>
      </c>
    </row>
    <row r="2840" spans="1:23" x14ac:dyDescent="0.2">
      <c r="A2840">
        <v>2022</v>
      </c>
      <c r="B2840" t="s">
        <v>23</v>
      </c>
      <c r="C2840" t="s">
        <v>271</v>
      </c>
      <c r="D2840">
        <v>235</v>
      </c>
      <c r="E2840">
        <v>1</v>
      </c>
      <c r="F2840">
        <v>11</v>
      </c>
      <c r="G2840" t="s">
        <v>268</v>
      </c>
      <c r="H2840" s="1">
        <v>7</v>
      </c>
      <c r="I2840" s="1">
        <v>66</v>
      </c>
      <c r="J2840" s="1">
        <v>70</v>
      </c>
      <c r="K2840" s="1">
        <f>J2840-I2840</f>
        <v>4</v>
      </c>
      <c r="L2840" s="1">
        <v>131</v>
      </c>
      <c r="M2840" s="1">
        <v>26</v>
      </c>
      <c r="N2840" s="1">
        <v>3</v>
      </c>
      <c r="O2840" s="1">
        <v>5</v>
      </c>
      <c r="P2840" s="1">
        <v>3</v>
      </c>
      <c r="Q2840" s="2">
        <v>6.7000000000000004E-2</v>
      </c>
      <c r="R2840" s="1">
        <v>3</v>
      </c>
      <c r="S2840" s="1">
        <f>R2840/P2840</f>
        <v>1</v>
      </c>
      <c r="T2840" s="1">
        <v>5</v>
      </c>
      <c r="U2840" s="1">
        <v>12.5</v>
      </c>
      <c r="V2840" s="1">
        <v>245.22875816993468</v>
      </c>
      <c r="W2840" s="1">
        <v>5</v>
      </c>
    </row>
    <row r="2841" spans="1:23" x14ac:dyDescent="0.2">
      <c r="A2841">
        <v>2022</v>
      </c>
      <c r="B2841" t="s">
        <v>23</v>
      </c>
      <c r="C2841" t="s">
        <v>271</v>
      </c>
      <c r="D2841">
        <v>235</v>
      </c>
      <c r="E2841">
        <v>2</v>
      </c>
      <c r="F2841">
        <v>11</v>
      </c>
      <c r="G2841" t="s">
        <v>268</v>
      </c>
      <c r="H2841" s="1">
        <v>14</v>
      </c>
      <c r="I2841" s="1">
        <v>66</v>
      </c>
      <c r="J2841" s="1">
        <v>69</v>
      </c>
      <c r="K2841" s="1">
        <f>J2841-I2841</f>
        <v>3</v>
      </c>
      <c r="L2841" s="1">
        <v>138</v>
      </c>
      <c r="M2841" s="1">
        <v>76</v>
      </c>
      <c r="N2841" s="1">
        <v>2</v>
      </c>
      <c r="O2841" s="1">
        <v>2</v>
      </c>
      <c r="P2841" s="1">
        <f>H2841</f>
        <v>14</v>
      </c>
      <c r="Q2841" s="2">
        <v>0.54225000000000001</v>
      </c>
      <c r="R2841" s="1">
        <v>11</v>
      </c>
      <c r="S2841" s="1">
        <f>R2841/P2841</f>
        <v>0.7857142857142857</v>
      </c>
      <c r="T2841" s="1">
        <v>3</v>
      </c>
      <c r="U2841" s="1">
        <v>12.5</v>
      </c>
      <c r="V2841" s="1">
        <v>1984.7058823529414</v>
      </c>
      <c r="W2841" s="1">
        <v>4</v>
      </c>
    </row>
    <row r="2842" spans="1:23" x14ac:dyDescent="0.2">
      <c r="A2842">
        <v>2022</v>
      </c>
      <c r="B2842" t="s">
        <v>23</v>
      </c>
      <c r="C2842" t="s">
        <v>271</v>
      </c>
      <c r="D2842">
        <v>236</v>
      </c>
      <c r="E2842">
        <v>1</v>
      </c>
      <c r="F2842">
        <v>6</v>
      </c>
      <c r="G2842" t="s">
        <v>269</v>
      </c>
      <c r="H2842">
        <v>9</v>
      </c>
      <c r="I2842">
        <v>55</v>
      </c>
      <c r="J2842">
        <v>56</v>
      </c>
      <c r="K2842">
        <v>1</v>
      </c>
      <c r="L2842">
        <v>180</v>
      </c>
      <c r="M2842">
        <v>64</v>
      </c>
      <c r="N2842">
        <v>2</v>
      </c>
      <c r="O2842">
        <v>2</v>
      </c>
      <c r="P2842">
        <v>9</v>
      </c>
      <c r="Q2842">
        <v>0.34</v>
      </c>
      <c r="R2842">
        <v>9</v>
      </c>
      <c r="S2842">
        <v>1</v>
      </c>
      <c r="T2842">
        <v>3</v>
      </c>
      <c r="U2842">
        <v>12.5</v>
      </c>
      <c r="V2842">
        <v>1244.4444444444448</v>
      </c>
      <c r="W2842">
        <v>2</v>
      </c>
    </row>
    <row r="2843" spans="1:23" x14ac:dyDescent="0.2">
      <c r="A2843">
        <v>2022</v>
      </c>
      <c r="B2843" t="s">
        <v>23</v>
      </c>
      <c r="C2843" t="s">
        <v>271</v>
      </c>
      <c r="D2843">
        <v>236</v>
      </c>
      <c r="E2843">
        <v>2</v>
      </c>
      <c r="F2843">
        <v>15</v>
      </c>
      <c r="G2843" t="s">
        <v>269</v>
      </c>
      <c r="H2843">
        <v>1</v>
      </c>
      <c r="I2843">
        <v>54</v>
      </c>
      <c r="J2843">
        <v>60</v>
      </c>
      <c r="K2843">
        <v>6</v>
      </c>
      <c r="L2843">
        <v>62</v>
      </c>
      <c r="M2843">
        <v>16</v>
      </c>
      <c r="N2843">
        <v>3</v>
      </c>
      <c r="O2843">
        <v>3</v>
      </c>
      <c r="P2843">
        <v>1</v>
      </c>
      <c r="Q2843">
        <v>0.152</v>
      </c>
      <c r="R2843">
        <v>1</v>
      </c>
      <c r="S2843">
        <v>1</v>
      </c>
      <c r="T2843">
        <v>2</v>
      </c>
      <c r="U2843">
        <v>12.5</v>
      </c>
      <c r="V2843">
        <v>556.33986928104571</v>
      </c>
      <c r="W2843">
        <v>2</v>
      </c>
    </row>
    <row r="2844" spans="1:23" x14ac:dyDescent="0.2">
      <c r="A2844">
        <v>2022</v>
      </c>
      <c r="B2844" t="s">
        <v>23</v>
      </c>
      <c r="C2844" t="s">
        <v>271</v>
      </c>
      <c r="D2844">
        <v>237</v>
      </c>
      <c r="E2844">
        <v>1</v>
      </c>
      <c r="F2844">
        <v>8</v>
      </c>
      <c r="G2844" t="s">
        <v>270</v>
      </c>
      <c r="H2844" s="1">
        <v>12</v>
      </c>
      <c r="I2844" s="1">
        <v>63</v>
      </c>
      <c r="J2844" s="1">
        <v>66</v>
      </c>
      <c r="K2844" s="1">
        <f>J2844-I2844</f>
        <v>3</v>
      </c>
      <c r="L2844" s="1">
        <v>123</v>
      </c>
      <c r="M2844" s="1">
        <v>40</v>
      </c>
      <c r="N2844" s="1">
        <v>3</v>
      </c>
      <c r="O2844" s="1">
        <v>5</v>
      </c>
      <c r="P2844" s="1">
        <v>8</v>
      </c>
      <c r="Q2844" s="2">
        <v>7.85E-2</v>
      </c>
      <c r="R2844" s="1">
        <v>4</v>
      </c>
      <c r="S2844" s="1">
        <f>R2844/P2844</f>
        <v>0.5</v>
      </c>
      <c r="T2844" s="1">
        <v>5</v>
      </c>
      <c r="U2844" s="1">
        <v>12.5</v>
      </c>
      <c r="V2844" s="1">
        <v>287.32026143790853</v>
      </c>
      <c r="W2844" s="1">
        <v>5</v>
      </c>
    </row>
    <row r="2845" spans="1:23" x14ac:dyDescent="0.2">
      <c r="A2845">
        <v>2022</v>
      </c>
      <c r="B2845" t="s">
        <v>23</v>
      </c>
      <c r="C2845" t="s">
        <v>271</v>
      </c>
      <c r="D2845">
        <v>237</v>
      </c>
      <c r="E2845">
        <v>2</v>
      </c>
      <c r="F2845">
        <v>9</v>
      </c>
      <c r="G2845" t="s">
        <v>270</v>
      </c>
      <c r="H2845" s="1">
        <v>8</v>
      </c>
      <c r="I2845" s="1">
        <v>68</v>
      </c>
      <c r="J2845" s="1">
        <v>72</v>
      </c>
      <c r="K2845" s="1">
        <f>J2845-I2845</f>
        <v>4</v>
      </c>
      <c r="L2845" s="1">
        <v>133</v>
      </c>
      <c r="M2845" s="1">
        <v>65</v>
      </c>
      <c r="N2845" s="1">
        <v>2</v>
      </c>
      <c r="O2845" s="1">
        <v>3.5</v>
      </c>
      <c r="P2845" s="1">
        <v>7</v>
      </c>
      <c r="Q2845" s="2">
        <v>0.21743999999999997</v>
      </c>
      <c r="R2845" s="1">
        <v>5</v>
      </c>
      <c r="S2845" s="1">
        <f>R2845/P2845</f>
        <v>0.7142857142857143</v>
      </c>
      <c r="T2845" s="1">
        <v>5</v>
      </c>
      <c r="U2845" s="1">
        <v>12.5</v>
      </c>
      <c r="V2845" s="1">
        <v>795.85882352941155</v>
      </c>
      <c r="W2845" s="1">
        <v>4</v>
      </c>
    </row>
    <row r="2846" spans="1:23" x14ac:dyDescent="0.2">
      <c r="A2846">
        <v>2020</v>
      </c>
      <c r="B2846" t="s">
        <v>23</v>
      </c>
      <c r="C2846" t="s">
        <v>272</v>
      </c>
      <c r="D2846">
        <v>1</v>
      </c>
      <c r="E2846">
        <v>1</v>
      </c>
      <c r="F2846">
        <v>3</v>
      </c>
      <c r="G2846" t="s">
        <v>25</v>
      </c>
      <c r="H2846">
        <v>10</v>
      </c>
      <c r="I2846">
        <v>55</v>
      </c>
      <c r="J2846">
        <v>57</v>
      </c>
      <c r="K2846">
        <v>2</v>
      </c>
      <c r="L2846">
        <v>169</v>
      </c>
      <c r="M2846">
        <v>71</v>
      </c>
      <c r="N2846">
        <v>3</v>
      </c>
      <c r="O2846">
        <v>3</v>
      </c>
      <c r="P2846">
        <v>10</v>
      </c>
      <c r="Q2846">
        <v>1.4159999999999999</v>
      </c>
      <c r="R2846">
        <v>13</v>
      </c>
      <c r="S2846">
        <v>1.3</v>
      </c>
      <c r="T2846">
        <v>2</v>
      </c>
      <c r="U2846">
        <v>12.5</v>
      </c>
      <c r="V2846">
        <v>5182.7450980392159</v>
      </c>
      <c r="W2846">
        <v>2</v>
      </c>
    </row>
    <row r="2847" spans="1:23" x14ac:dyDescent="0.2">
      <c r="A2847">
        <v>2020</v>
      </c>
      <c r="B2847" t="s">
        <v>23</v>
      </c>
      <c r="C2847" t="s">
        <v>272</v>
      </c>
      <c r="D2847">
        <v>1</v>
      </c>
      <c r="E2847">
        <v>2</v>
      </c>
      <c r="F2847">
        <v>5</v>
      </c>
      <c r="G2847" t="s">
        <v>25</v>
      </c>
      <c r="H2847">
        <v>8</v>
      </c>
      <c r="I2847">
        <v>58</v>
      </c>
      <c r="J2847">
        <v>60</v>
      </c>
      <c r="K2847">
        <v>2</v>
      </c>
      <c r="L2847">
        <v>116</v>
      </c>
      <c r="M2847">
        <v>22</v>
      </c>
      <c r="N2847">
        <v>2.5</v>
      </c>
      <c r="O2847">
        <v>2</v>
      </c>
      <c r="P2847">
        <v>8</v>
      </c>
      <c r="Q2847">
        <v>0.8</v>
      </c>
      <c r="R2847">
        <v>8</v>
      </c>
      <c r="S2847">
        <v>1</v>
      </c>
      <c r="T2847">
        <v>3</v>
      </c>
      <c r="U2847">
        <v>12.5</v>
      </c>
      <c r="V2847">
        <v>2928.1045751633987</v>
      </c>
      <c r="W2847">
        <v>2</v>
      </c>
    </row>
    <row r="2848" spans="1:23" x14ac:dyDescent="0.2">
      <c r="A2848">
        <v>2020</v>
      </c>
      <c r="B2848" t="s">
        <v>23</v>
      </c>
      <c r="C2848" t="s">
        <v>272</v>
      </c>
      <c r="D2848">
        <v>2</v>
      </c>
      <c r="E2848">
        <v>1</v>
      </c>
      <c r="F2848">
        <v>8</v>
      </c>
      <c r="G2848" t="s">
        <v>26</v>
      </c>
      <c r="H2848">
        <v>14</v>
      </c>
      <c r="I2848">
        <v>50</v>
      </c>
      <c r="J2848">
        <v>55</v>
      </c>
      <c r="K2848">
        <v>5</v>
      </c>
      <c r="L2848">
        <v>155</v>
      </c>
      <c r="M2848">
        <v>80</v>
      </c>
      <c r="N2848">
        <v>1</v>
      </c>
      <c r="O2848">
        <v>2.5</v>
      </c>
      <c r="P2848">
        <v>11</v>
      </c>
      <c r="Q2848">
        <v>1</v>
      </c>
      <c r="R2848">
        <v>12</v>
      </c>
      <c r="S2848">
        <v>1.0909090909090908</v>
      </c>
      <c r="T2848">
        <v>3</v>
      </c>
      <c r="U2848">
        <v>10.1</v>
      </c>
      <c r="V2848">
        <v>3760.5228758169937</v>
      </c>
      <c r="W2848">
        <v>1</v>
      </c>
    </row>
    <row r="2849" spans="1:23" x14ac:dyDescent="0.2">
      <c r="A2849">
        <v>2020</v>
      </c>
      <c r="B2849" t="s">
        <v>23</v>
      </c>
      <c r="C2849" t="s">
        <v>272</v>
      </c>
      <c r="D2849">
        <v>2</v>
      </c>
      <c r="E2849">
        <v>2</v>
      </c>
      <c r="F2849">
        <v>9</v>
      </c>
      <c r="G2849" t="s">
        <v>26</v>
      </c>
      <c r="H2849" s="1">
        <v>7</v>
      </c>
      <c r="I2849" s="1">
        <v>62</v>
      </c>
      <c r="J2849" s="1">
        <v>67</v>
      </c>
      <c r="K2849" s="1">
        <f>J2849-I2849</f>
        <v>5</v>
      </c>
      <c r="L2849" s="1">
        <v>165</v>
      </c>
      <c r="M2849" s="1">
        <v>73</v>
      </c>
      <c r="N2849" s="1">
        <v>1</v>
      </c>
      <c r="O2849" s="1">
        <v>3.5</v>
      </c>
      <c r="P2849" s="1">
        <v>6</v>
      </c>
      <c r="Q2849" s="2">
        <v>0.6008</v>
      </c>
      <c r="R2849" s="1">
        <v>6</v>
      </c>
      <c r="S2849" s="1">
        <f>R2849/P2849</f>
        <v>1</v>
      </c>
      <c r="T2849" s="1">
        <v>5</v>
      </c>
      <c r="U2849" s="1">
        <v>12.5</v>
      </c>
      <c r="V2849" s="1">
        <v>2199.0065359477126</v>
      </c>
      <c r="W2849" s="1">
        <v>4</v>
      </c>
    </row>
    <row r="2850" spans="1:23" x14ac:dyDescent="0.2">
      <c r="A2850">
        <v>2020</v>
      </c>
      <c r="B2850" t="s">
        <v>23</v>
      </c>
      <c r="C2850" t="s">
        <v>272</v>
      </c>
      <c r="D2850">
        <v>3</v>
      </c>
      <c r="E2850">
        <v>1</v>
      </c>
      <c r="F2850">
        <v>14</v>
      </c>
      <c r="G2850" t="s">
        <v>27</v>
      </c>
      <c r="H2850" s="1">
        <v>12</v>
      </c>
      <c r="I2850" s="1">
        <v>62</v>
      </c>
      <c r="J2850" s="1">
        <v>66</v>
      </c>
      <c r="K2850" s="1">
        <f>J2850-I2850</f>
        <v>4</v>
      </c>
      <c r="L2850" s="1">
        <v>153</v>
      </c>
      <c r="M2850" s="1">
        <v>76</v>
      </c>
      <c r="N2850" s="1">
        <v>2</v>
      </c>
      <c r="O2850" s="1">
        <v>4</v>
      </c>
      <c r="P2850" s="1">
        <v>6</v>
      </c>
      <c r="Q2850" s="2">
        <v>6.2324999999999998E-2</v>
      </c>
      <c r="R2850" s="1">
        <v>7</v>
      </c>
      <c r="S2850" s="1">
        <f>R2850/P2850</f>
        <v>1.1666666666666667</v>
      </c>
      <c r="T2850" s="1">
        <v>5</v>
      </c>
      <c r="U2850" s="1">
        <v>12.5</v>
      </c>
      <c r="V2850" s="1">
        <v>228.11764705882354</v>
      </c>
      <c r="W2850" s="1">
        <v>6</v>
      </c>
    </row>
    <row r="2851" spans="1:23" x14ac:dyDescent="0.2">
      <c r="A2851">
        <v>2020</v>
      </c>
      <c r="B2851" t="s">
        <v>23</v>
      </c>
      <c r="C2851" t="s">
        <v>272</v>
      </c>
      <c r="D2851">
        <v>3</v>
      </c>
      <c r="E2851">
        <v>2</v>
      </c>
      <c r="F2851">
        <v>8</v>
      </c>
      <c r="G2851" t="s">
        <v>27</v>
      </c>
      <c r="H2851" s="1">
        <v>5</v>
      </c>
      <c r="I2851" s="1">
        <v>61</v>
      </c>
      <c r="J2851" s="1">
        <v>66</v>
      </c>
      <c r="K2851" s="1">
        <f>J2851-I2851</f>
        <v>5</v>
      </c>
      <c r="L2851" s="1">
        <v>157</v>
      </c>
      <c r="M2851" s="1">
        <v>90</v>
      </c>
      <c r="N2851" s="1">
        <v>2</v>
      </c>
      <c r="O2851" s="1">
        <v>3</v>
      </c>
      <c r="P2851" s="1">
        <v>5</v>
      </c>
      <c r="Q2851" s="2">
        <v>0.65200000000000002</v>
      </c>
      <c r="R2851" s="1">
        <v>3</v>
      </c>
      <c r="S2851" s="1">
        <f>R2851/P2851</f>
        <v>0.6</v>
      </c>
      <c r="T2851" s="1">
        <v>4</v>
      </c>
      <c r="U2851" s="1">
        <v>8</v>
      </c>
      <c r="V2851" s="1">
        <v>2509.134640522876</v>
      </c>
      <c r="W2851" s="1">
        <v>4</v>
      </c>
    </row>
    <row r="2852" spans="1:23" x14ac:dyDescent="0.2">
      <c r="A2852">
        <v>2020</v>
      </c>
      <c r="B2852" t="s">
        <v>23</v>
      </c>
      <c r="C2852" t="s">
        <v>272</v>
      </c>
      <c r="D2852">
        <v>4</v>
      </c>
      <c r="E2852">
        <v>1</v>
      </c>
      <c r="F2852">
        <v>7</v>
      </c>
      <c r="G2852" t="s">
        <v>28</v>
      </c>
      <c r="H2852" s="1">
        <v>7</v>
      </c>
      <c r="I2852" s="1">
        <v>63</v>
      </c>
      <c r="J2852" s="1">
        <v>66</v>
      </c>
      <c r="K2852" s="1">
        <f>J2852-I2852</f>
        <v>3</v>
      </c>
      <c r="L2852" s="1">
        <v>116</v>
      </c>
      <c r="M2852" s="1">
        <v>40</v>
      </c>
      <c r="N2852" s="1">
        <v>1.5</v>
      </c>
      <c r="O2852" s="1">
        <v>4.5</v>
      </c>
      <c r="P2852" s="1">
        <v>5</v>
      </c>
      <c r="Q2852" s="2">
        <v>0.123</v>
      </c>
      <c r="R2852" s="1">
        <v>4</v>
      </c>
      <c r="S2852" s="1">
        <f>R2852/P2852</f>
        <v>0.8</v>
      </c>
      <c r="T2852" s="1">
        <v>5</v>
      </c>
      <c r="U2852" s="1">
        <v>12.5</v>
      </c>
      <c r="V2852" s="1">
        <v>450.1960784313726</v>
      </c>
      <c r="W2852" s="1">
        <v>5</v>
      </c>
    </row>
    <row r="2853" spans="1:23" x14ac:dyDescent="0.2">
      <c r="A2853">
        <v>2020</v>
      </c>
      <c r="B2853" t="s">
        <v>23</v>
      </c>
      <c r="C2853" t="s">
        <v>272</v>
      </c>
      <c r="D2853">
        <v>4</v>
      </c>
      <c r="E2853">
        <v>2</v>
      </c>
      <c r="F2853">
        <v>12</v>
      </c>
      <c r="G2853" t="s">
        <v>28</v>
      </c>
      <c r="H2853">
        <v>8</v>
      </c>
      <c r="I2853">
        <v>53</v>
      </c>
      <c r="J2853">
        <v>57</v>
      </c>
      <c r="K2853">
        <v>4</v>
      </c>
      <c r="L2853">
        <v>108</v>
      </c>
      <c r="M2853">
        <v>28</v>
      </c>
      <c r="N2853">
        <v>3</v>
      </c>
      <c r="O2853">
        <v>4</v>
      </c>
      <c r="P2853">
        <v>7</v>
      </c>
      <c r="Q2853">
        <v>1.5109999999999999</v>
      </c>
      <c r="R2853">
        <v>8</v>
      </c>
      <c r="S2853">
        <v>1.1428571428571428</v>
      </c>
      <c r="T2853">
        <v>2</v>
      </c>
      <c r="U2853">
        <v>12.5</v>
      </c>
      <c r="V2853">
        <v>5530.4575163398677</v>
      </c>
      <c r="W2853">
        <v>1</v>
      </c>
    </row>
    <row r="2854" spans="1:23" x14ac:dyDescent="0.2">
      <c r="A2854">
        <v>2020</v>
      </c>
      <c r="B2854" t="s">
        <v>23</v>
      </c>
      <c r="C2854" t="s">
        <v>272</v>
      </c>
      <c r="D2854">
        <v>5</v>
      </c>
      <c r="E2854">
        <v>1</v>
      </c>
      <c r="F2854">
        <v>8</v>
      </c>
      <c r="G2854" t="s">
        <v>29</v>
      </c>
      <c r="H2854" s="1">
        <v>2</v>
      </c>
      <c r="I2854" s="1">
        <v>65</v>
      </c>
      <c r="J2854" s="1">
        <v>66</v>
      </c>
      <c r="K2854" s="1">
        <f>J2854-I2854</f>
        <v>1</v>
      </c>
      <c r="L2854" s="1">
        <v>57</v>
      </c>
      <c r="M2854" s="1">
        <v>10</v>
      </c>
      <c r="N2854" s="1">
        <v>2</v>
      </c>
      <c r="O2854" s="1">
        <v>5</v>
      </c>
      <c r="P2854" s="1">
        <v>1</v>
      </c>
      <c r="Q2854" s="2">
        <v>5.7800000000000004E-2</v>
      </c>
      <c r="R2854" s="1">
        <v>1</v>
      </c>
      <c r="S2854" s="1">
        <f>R2854/P2854</f>
        <v>1</v>
      </c>
      <c r="T2854" s="1">
        <v>5</v>
      </c>
      <c r="U2854" s="1">
        <v>12.5</v>
      </c>
      <c r="V2854" s="1">
        <v>211.55555555555554</v>
      </c>
      <c r="W2854" s="1">
        <v>6</v>
      </c>
    </row>
    <row r="2855" spans="1:23" x14ac:dyDescent="0.2">
      <c r="A2855">
        <v>2020</v>
      </c>
      <c r="B2855" t="s">
        <v>23</v>
      </c>
      <c r="C2855" t="s">
        <v>272</v>
      </c>
      <c r="D2855">
        <v>5</v>
      </c>
      <c r="E2855">
        <v>2</v>
      </c>
      <c r="F2855">
        <v>9</v>
      </c>
      <c r="G2855" t="s">
        <v>29</v>
      </c>
      <c r="H2855" s="1">
        <v>10</v>
      </c>
      <c r="I2855" s="1">
        <v>64</v>
      </c>
      <c r="J2855" s="1">
        <v>69</v>
      </c>
      <c r="K2855" s="1">
        <f>J2855-I2855</f>
        <v>5</v>
      </c>
      <c r="L2855" s="1">
        <v>102</v>
      </c>
      <c r="M2855" s="1">
        <v>46</v>
      </c>
      <c r="N2855" s="1">
        <v>2</v>
      </c>
      <c r="O2855" s="1">
        <v>4</v>
      </c>
      <c r="P2855" s="1">
        <v>8</v>
      </c>
      <c r="Q2855" s="2">
        <v>0.38800000000000001</v>
      </c>
      <c r="R2855" s="1">
        <v>5</v>
      </c>
      <c r="S2855" s="1">
        <f>R2855/P2855</f>
        <v>0.625</v>
      </c>
      <c r="T2855" s="1">
        <v>4</v>
      </c>
      <c r="U2855" s="1">
        <v>12.5</v>
      </c>
      <c r="V2855" s="1">
        <v>1420.1307189542486</v>
      </c>
      <c r="W2855" s="1">
        <v>4</v>
      </c>
    </row>
    <row r="2856" spans="1:23" x14ac:dyDescent="0.2">
      <c r="A2856">
        <v>2020</v>
      </c>
      <c r="B2856" t="s">
        <v>23</v>
      </c>
      <c r="C2856" t="s">
        <v>272</v>
      </c>
      <c r="D2856">
        <v>6</v>
      </c>
      <c r="E2856">
        <v>1</v>
      </c>
      <c r="F2856">
        <v>7</v>
      </c>
      <c r="G2856" t="s">
        <v>30</v>
      </c>
      <c r="H2856">
        <v>10</v>
      </c>
      <c r="I2856">
        <v>58</v>
      </c>
      <c r="J2856">
        <v>60</v>
      </c>
      <c r="K2856">
        <v>2</v>
      </c>
      <c r="L2856">
        <v>110</v>
      </c>
      <c r="M2856">
        <v>51</v>
      </c>
      <c r="N2856">
        <v>2.5</v>
      </c>
      <c r="O2856">
        <v>2</v>
      </c>
      <c r="P2856">
        <v>9</v>
      </c>
      <c r="Q2856">
        <v>0.8</v>
      </c>
      <c r="R2856">
        <v>9</v>
      </c>
      <c r="S2856">
        <v>1</v>
      </c>
      <c r="T2856">
        <v>2.5</v>
      </c>
      <c r="U2856">
        <v>12.5</v>
      </c>
      <c r="V2856">
        <v>2928.1045751633987</v>
      </c>
      <c r="W2856">
        <v>2</v>
      </c>
    </row>
    <row r="2857" spans="1:23" x14ac:dyDescent="0.2">
      <c r="A2857">
        <v>2020</v>
      </c>
      <c r="B2857" t="s">
        <v>23</v>
      </c>
      <c r="C2857" t="s">
        <v>272</v>
      </c>
      <c r="D2857">
        <v>6</v>
      </c>
      <c r="E2857">
        <v>2</v>
      </c>
      <c r="F2857">
        <v>12</v>
      </c>
      <c r="G2857" t="s">
        <v>30</v>
      </c>
      <c r="H2857" s="1">
        <v>4</v>
      </c>
      <c r="I2857" s="1">
        <v>65</v>
      </c>
      <c r="J2857" s="1">
        <v>69</v>
      </c>
      <c r="K2857" s="1">
        <f>J2857-I2857</f>
        <v>4</v>
      </c>
      <c r="L2857" s="1">
        <v>122</v>
      </c>
      <c r="M2857" s="1">
        <v>80</v>
      </c>
      <c r="N2857" s="1">
        <v>2</v>
      </c>
      <c r="O2857" s="1">
        <v>3.5</v>
      </c>
      <c r="P2857" s="1">
        <v>3</v>
      </c>
      <c r="Q2857" s="2">
        <v>3.2490000000000005E-2</v>
      </c>
      <c r="R2857" s="1">
        <v>3</v>
      </c>
      <c r="S2857" s="1">
        <f>R2857/P2857</f>
        <v>1</v>
      </c>
      <c r="T2857" s="1">
        <v>5</v>
      </c>
      <c r="U2857" s="1">
        <v>12.5</v>
      </c>
      <c r="V2857" s="1">
        <v>118.91764705882355</v>
      </c>
      <c r="W2857" s="1">
        <v>4</v>
      </c>
    </row>
    <row r="2858" spans="1:23" x14ac:dyDescent="0.2">
      <c r="A2858">
        <v>2020</v>
      </c>
      <c r="B2858" t="s">
        <v>23</v>
      </c>
      <c r="C2858" t="s">
        <v>272</v>
      </c>
      <c r="D2858">
        <v>7</v>
      </c>
      <c r="E2858">
        <v>1</v>
      </c>
      <c r="F2858">
        <v>4</v>
      </c>
      <c r="G2858" t="s">
        <v>31</v>
      </c>
      <c r="H2858">
        <v>13</v>
      </c>
      <c r="I2858">
        <v>53</v>
      </c>
      <c r="J2858">
        <v>58</v>
      </c>
      <c r="K2858">
        <v>5</v>
      </c>
      <c r="L2858">
        <v>115</v>
      </c>
      <c r="M2858">
        <v>46</v>
      </c>
      <c r="N2858">
        <v>2</v>
      </c>
      <c r="O2858">
        <v>2</v>
      </c>
      <c r="P2858">
        <v>11</v>
      </c>
      <c r="Q2858">
        <v>0.4</v>
      </c>
      <c r="R2858">
        <v>10</v>
      </c>
      <c r="S2858">
        <v>0.90909090909090906</v>
      </c>
      <c r="T2858">
        <v>3</v>
      </c>
      <c r="U2858">
        <v>11.8</v>
      </c>
      <c r="V2858">
        <v>1475.7647058823529</v>
      </c>
      <c r="W2858">
        <v>1</v>
      </c>
    </row>
    <row r="2859" spans="1:23" x14ac:dyDescent="0.2">
      <c r="A2859">
        <v>2020</v>
      </c>
      <c r="B2859" t="s">
        <v>23</v>
      </c>
      <c r="C2859" t="s">
        <v>272</v>
      </c>
      <c r="D2859">
        <v>7</v>
      </c>
      <c r="E2859">
        <v>2</v>
      </c>
      <c r="F2859">
        <v>14</v>
      </c>
      <c r="G2859" t="s">
        <v>31</v>
      </c>
      <c r="H2859" s="1">
        <v>8</v>
      </c>
      <c r="I2859" s="1">
        <v>56</v>
      </c>
      <c r="J2859" s="1">
        <v>60</v>
      </c>
      <c r="K2859" s="1">
        <f t="shared" ref="K2859:K2868" si="140">J2859-I2859</f>
        <v>4</v>
      </c>
      <c r="L2859" s="1">
        <v>157</v>
      </c>
      <c r="M2859" s="1">
        <v>87</v>
      </c>
      <c r="N2859" s="1">
        <v>2</v>
      </c>
      <c r="O2859" s="1">
        <v>3.5</v>
      </c>
      <c r="P2859" s="1">
        <v>8</v>
      </c>
      <c r="Q2859" s="2">
        <v>0.39767999999999992</v>
      </c>
      <c r="R2859" s="1">
        <v>7</v>
      </c>
      <c r="S2859" s="1">
        <f t="shared" ref="S2859:S2868" si="141">R2859/P2859</f>
        <v>0.875</v>
      </c>
      <c r="T2859" s="1">
        <v>5</v>
      </c>
      <c r="U2859" s="1">
        <v>7.8</v>
      </c>
      <c r="V2859" s="1">
        <v>1533.7451921568627</v>
      </c>
      <c r="W2859" s="1">
        <v>4</v>
      </c>
    </row>
    <row r="2860" spans="1:23" x14ac:dyDescent="0.2">
      <c r="A2860">
        <v>2020</v>
      </c>
      <c r="B2860" t="s">
        <v>23</v>
      </c>
      <c r="C2860" t="s">
        <v>272</v>
      </c>
      <c r="D2860">
        <v>8</v>
      </c>
      <c r="E2860">
        <v>1</v>
      </c>
      <c r="F2860">
        <v>2</v>
      </c>
      <c r="G2860" t="s">
        <v>32</v>
      </c>
      <c r="H2860" s="1">
        <v>14</v>
      </c>
      <c r="I2860" s="1">
        <v>67</v>
      </c>
      <c r="J2860" s="1">
        <v>72</v>
      </c>
      <c r="K2860" s="1">
        <f t="shared" si="140"/>
        <v>5</v>
      </c>
      <c r="L2860" s="1">
        <v>142</v>
      </c>
      <c r="M2860" s="1">
        <v>54</v>
      </c>
      <c r="N2860" s="1">
        <v>3</v>
      </c>
      <c r="O2860" s="1">
        <v>4.5</v>
      </c>
      <c r="P2860" s="1">
        <v>8</v>
      </c>
      <c r="Q2860" s="2">
        <v>0.151</v>
      </c>
      <c r="R2860" s="1">
        <v>5</v>
      </c>
      <c r="S2860" s="1">
        <f t="shared" si="141"/>
        <v>0.625</v>
      </c>
      <c r="T2860" s="1">
        <v>5</v>
      </c>
      <c r="U2860" s="1">
        <v>12.5</v>
      </c>
      <c r="V2860" s="1">
        <v>552.67973856209153</v>
      </c>
      <c r="W2860" s="1">
        <v>6</v>
      </c>
    </row>
    <row r="2861" spans="1:23" x14ac:dyDescent="0.2">
      <c r="A2861">
        <v>2020</v>
      </c>
      <c r="B2861" t="s">
        <v>23</v>
      </c>
      <c r="C2861" t="s">
        <v>272</v>
      </c>
      <c r="D2861">
        <v>8</v>
      </c>
      <c r="E2861">
        <v>2</v>
      </c>
      <c r="F2861">
        <v>11</v>
      </c>
      <c r="G2861" t="s">
        <v>32</v>
      </c>
      <c r="H2861" s="1">
        <v>13</v>
      </c>
      <c r="I2861" s="1">
        <v>67</v>
      </c>
      <c r="J2861" s="1">
        <v>72</v>
      </c>
      <c r="K2861" s="1">
        <f t="shared" si="140"/>
        <v>5</v>
      </c>
      <c r="L2861" s="1">
        <v>137</v>
      </c>
      <c r="M2861" s="1">
        <v>90</v>
      </c>
      <c r="N2861" s="1">
        <v>2</v>
      </c>
      <c r="O2861" s="1">
        <v>3.5</v>
      </c>
      <c r="P2861" s="1">
        <f>H2861</f>
        <v>13</v>
      </c>
      <c r="Q2861" s="2">
        <v>0.44700000000000001</v>
      </c>
      <c r="R2861" s="1">
        <v>10</v>
      </c>
      <c r="S2861" s="1">
        <f t="shared" si="141"/>
        <v>0.76923076923076927</v>
      </c>
      <c r="T2861" s="1">
        <v>5</v>
      </c>
      <c r="U2861" s="1">
        <v>12.5</v>
      </c>
      <c r="V2861" s="1">
        <v>1636.0784313725494</v>
      </c>
      <c r="W2861" s="1">
        <v>5</v>
      </c>
    </row>
    <row r="2862" spans="1:23" x14ac:dyDescent="0.2">
      <c r="A2862">
        <v>2020</v>
      </c>
      <c r="B2862" t="s">
        <v>23</v>
      </c>
      <c r="C2862" t="s">
        <v>272</v>
      </c>
      <c r="D2862">
        <v>9</v>
      </c>
      <c r="E2862">
        <v>1</v>
      </c>
      <c r="F2862">
        <v>5</v>
      </c>
      <c r="G2862" t="s">
        <v>33</v>
      </c>
      <c r="H2862" s="1">
        <v>10</v>
      </c>
      <c r="I2862" s="1">
        <v>63</v>
      </c>
      <c r="J2862" s="1">
        <v>67</v>
      </c>
      <c r="K2862" s="1">
        <f t="shared" si="140"/>
        <v>4</v>
      </c>
      <c r="L2862" s="1">
        <v>137</v>
      </c>
      <c r="M2862" s="1">
        <v>30</v>
      </c>
      <c r="N2862" s="1">
        <v>3</v>
      </c>
      <c r="O2862" s="1">
        <v>4</v>
      </c>
      <c r="P2862" s="1">
        <v>8</v>
      </c>
      <c r="Q2862" s="2">
        <v>0.22</v>
      </c>
      <c r="R2862" s="1">
        <v>8</v>
      </c>
      <c r="S2862" s="1">
        <f t="shared" si="141"/>
        <v>1</v>
      </c>
      <c r="T2862" s="1">
        <v>3.5</v>
      </c>
      <c r="U2862" s="1">
        <v>12.5</v>
      </c>
      <c r="V2862" s="1">
        <v>805.22875816993462</v>
      </c>
      <c r="W2862" s="1">
        <v>4</v>
      </c>
    </row>
    <row r="2863" spans="1:23" x14ac:dyDescent="0.2">
      <c r="A2863">
        <v>2020</v>
      </c>
      <c r="B2863" t="s">
        <v>23</v>
      </c>
      <c r="C2863" t="s">
        <v>272</v>
      </c>
      <c r="D2863">
        <v>9</v>
      </c>
      <c r="E2863">
        <v>2</v>
      </c>
      <c r="F2863">
        <v>9</v>
      </c>
      <c r="G2863" t="s">
        <v>33</v>
      </c>
      <c r="H2863" s="1">
        <v>10</v>
      </c>
      <c r="I2863" s="1">
        <v>62</v>
      </c>
      <c r="J2863" s="1">
        <v>66</v>
      </c>
      <c r="K2863" s="1">
        <f t="shared" si="140"/>
        <v>4</v>
      </c>
      <c r="L2863" s="1">
        <v>193</v>
      </c>
      <c r="M2863" s="1">
        <v>100</v>
      </c>
      <c r="N2863" s="1">
        <v>2</v>
      </c>
      <c r="O2863" s="1">
        <v>2</v>
      </c>
      <c r="P2863" s="1">
        <v>10</v>
      </c>
      <c r="Q2863" s="2">
        <v>0.78552</v>
      </c>
      <c r="R2863" s="1">
        <v>10</v>
      </c>
      <c r="S2863" s="1">
        <f t="shared" si="141"/>
        <v>1</v>
      </c>
      <c r="T2863" s="1">
        <v>2</v>
      </c>
      <c r="U2863" s="1">
        <v>9.6</v>
      </c>
      <c r="V2863" s="1">
        <v>2970.3951058823536</v>
      </c>
      <c r="W2863" s="1">
        <v>3</v>
      </c>
    </row>
    <row r="2864" spans="1:23" x14ac:dyDescent="0.2">
      <c r="A2864">
        <v>2020</v>
      </c>
      <c r="B2864" t="s">
        <v>23</v>
      </c>
      <c r="C2864" t="s">
        <v>272</v>
      </c>
      <c r="D2864">
        <v>10</v>
      </c>
      <c r="E2864">
        <v>1</v>
      </c>
      <c r="F2864">
        <v>5</v>
      </c>
      <c r="G2864" t="s">
        <v>34</v>
      </c>
      <c r="H2864" s="1">
        <v>12</v>
      </c>
      <c r="I2864" s="1">
        <v>62</v>
      </c>
      <c r="J2864" s="1">
        <v>65</v>
      </c>
      <c r="K2864" s="1">
        <f t="shared" si="140"/>
        <v>3</v>
      </c>
      <c r="L2864" s="1">
        <v>190</v>
      </c>
      <c r="M2864" s="1">
        <v>82</v>
      </c>
      <c r="N2864" s="1">
        <v>2</v>
      </c>
      <c r="O2864" s="1">
        <v>2</v>
      </c>
      <c r="P2864" s="1">
        <v>10</v>
      </c>
      <c r="Q2864" s="2">
        <v>0.60750000000000004</v>
      </c>
      <c r="R2864" s="1">
        <v>5</v>
      </c>
      <c r="S2864" s="1">
        <f t="shared" si="141"/>
        <v>0.5</v>
      </c>
      <c r="T2864" s="1">
        <v>5</v>
      </c>
      <c r="U2864" s="1">
        <v>8.6999999999999993</v>
      </c>
      <c r="V2864" s="1">
        <v>2320.0941176470587</v>
      </c>
      <c r="W2864" s="1">
        <v>3</v>
      </c>
    </row>
    <row r="2865" spans="1:23" x14ac:dyDescent="0.2">
      <c r="A2865">
        <v>2020</v>
      </c>
      <c r="B2865" t="s">
        <v>23</v>
      </c>
      <c r="C2865" t="s">
        <v>272</v>
      </c>
      <c r="D2865">
        <v>10</v>
      </c>
      <c r="E2865">
        <v>2</v>
      </c>
      <c r="F2865">
        <v>9</v>
      </c>
      <c r="G2865" t="s">
        <v>34</v>
      </c>
      <c r="H2865" s="1">
        <v>10</v>
      </c>
      <c r="I2865" s="1">
        <v>68</v>
      </c>
      <c r="J2865" s="1">
        <v>72</v>
      </c>
      <c r="K2865" s="1">
        <f t="shared" si="140"/>
        <v>4</v>
      </c>
      <c r="L2865" s="1">
        <v>60</v>
      </c>
      <c r="M2865" s="1">
        <v>25</v>
      </c>
      <c r="N2865" s="1">
        <v>3</v>
      </c>
      <c r="O2865" s="1">
        <v>5</v>
      </c>
      <c r="P2865" s="1">
        <v>2</v>
      </c>
      <c r="Q2865" s="2">
        <v>0.04</v>
      </c>
      <c r="R2865" s="1">
        <v>2</v>
      </c>
      <c r="S2865" s="1">
        <f t="shared" si="141"/>
        <v>1</v>
      </c>
      <c r="T2865" s="1">
        <v>5</v>
      </c>
      <c r="U2865" s="1">
        <v>12.5</v>
      </c>
      <c r="V2865" s="1">
        <v>146.40522875816995</v>
      </c>
      <c r="W2865" s="1">
        <v>6</v>
      </c>
    </row>
    <row r="2866" spans="1:23" x14ac:dyDescent="0.2">
      <c r="A2866">
        <v>2020</v>
      </c>
      <c r="B2866" t="s">
        <v>23</v>
      </c>
      <c r="C2866" t="s">
        <v>272</v>
      </c>
      <c r="D2866">
        <v>11</v>
      </c>
      <c r="E2866">
        <v>1</v>
      </c>
      <c r="F2866">
        <v>2</v>
      </c>
      <c r="G2866" t="s">
        <v>35</v>
      </c>
      <c r="H2866" s="1">
        <v>5</v>
      </c>
      <c r="I2866" s="1">
        <v>68</v>
      </c>
      <c r="J2866" s="1">
        <v>72</v>
      </c>
      <c r="K2866" s="1">
        <f t="shared" si="140"/>
        <v>4</v>
      </c>
      <c r="L2866" s="1">
        <v>154</v>
      </c>
      <c r="M2866" s="1">
        <v>62</v>
      </c>
      <c r="N2866" s="1">
        <v>2</v>
      </c>
      <c r="O2866" s="1">
        <v>3</v>
      </c>
      <c r="P2866" s="1">
        <v>5</v>
      </c>
      <c r="Q2866" s="2">
        <v>0.53520000000000001</v>
      </c>
      <c r="R2866" s="1">
        <v>5</v>
      </c>
      <c r="S2866" s="1">
        <f t="shared" si="141"/>
        <v>1</v>
      </c>
      <c r="T2866" s="1">
        <v>4</v>
      </c>
      <c r="U2866" s="1">
        <v>12.5</v>
      </c>
      <c r="V2866" s="1">
        <v>1958.9019607843138</v>
      </c>
      <c r="W2866" s="1">
        <v>4</v>
      </c>
    </row>
    <row r="2867" spans="1:23" x14ac:dyDescent="0.2">
      <c r="A2867">
        <v>2020</v>
      </c>
      <c r="B2867" t="s">
        <v>23</v>
      </c>
      <c r="C2867" t="s">
        <v>272</v>
      </c>
      <c r="D2867">
        <v>11</v>
      </c>
      <c r="E2867">
        <v>2</v>
      </c>
      <c r="F2867">
        <v>12</v>
      </c>
      <c r="G2867" t="s">
        <v>35</v>
      </c>
      <c r="H2867" s="1">
        <v>8</v>
      </c>
      <c r="I2867" s="1">
        <v>68</v>
      </c>
      <c r="J2867" s="1">
        <v>70</v>
      </c>
      <c r="K2867" s="1">
        <f t="shared" si="140"/>
        <v>2</v>
      </c>
      <c r="L2867" s="1">
        <v>158</v>
      </c>
      <c r="M2867" s="1">
        <v>79</v>
      </c>
      <c r="N2867" s="1">
        <v>2</v>
      </c>
      <c r="O2867" s="1">
        <v>3.5</v>
      </c>
      <c r="P2867" s="1">
        <v>8</v>
      </c>
      <c r="Q2867" s="2">
        <v>0.13950000000000001</v>
      </c>
      <c r="R2867" s="1">
        <v>5</v>
      </c>
      <c r="S2867" s="1">
        <f t="shared" si="141"/>
        <v>0.625</v>
      </c>
      <c r="T2867" s="1">
        <v>4</v>
      </c>
      <c r="U2867" s="1">
        <v>7.9</v>
      </c>
      <c r="V2867" s="1">
        <v>537.43058823529418</v>
      </c>
      <c r="W2867" s="1">
        <v>3</v>
      </c>
    </row>
    <row r="2868" spans="1:23" x14ac:dyDescent="0.2">
      <c r="A2868">
        <v>2020</v>
      </c>
      <c r="B2868" t="s">
        <v>23</v>
      </c>
      <c r="C2868" t="s">
        <v>272</v>
      </c>
      <c r="D2868">
        <v>12</v>
      </c>
      <c r="E2868">
        <v>1</v>
      </c>
      <c r="F2868">
        <v>14</v>
      </c>
      <c r="G2868" t="s">
        <v>36</v>
      </c>
      <c r="H2868" s="1">
        <v>11</v>
      </c>
      <c r="I2868" s="1">
        <v>65</v>
      </c>
      <c r="J2868" s="1">
        <v>70</v>
      </c>
      <c r="K2868" s="1">
        <f t="shared" si="140"/>
        <v>5</v>
      </c>
      <c r="L2868" s="1">
        <v>103</v>
      </c>
      <c r="M2868" s="1">
        <v>62</v>
      </c>
      <c r="N2868" s="1">
        <v>3</v>
      </c>
      <c r="O2868" s="1">
        <v>4</v>
      </c>
      <c r="P2868" s="1">
        <v>11</v>
      </c>
      <c r="Q2868" s="2">
        <v>4.5224999999999994E-2</v>
      </c>
      <c r="R2868" s="1">
        <v>4</v>
      </c>
      <c r="S2868" s="1">
        <f t="shared" si="141"/>
        <v>0.36363636363636365</v>
      </c>
      <c r="T2868" s="1">
        <v>5</v>
      </c>
      <c r="U2868" s="1">
        <v>12.5</v>
      </c>
      <c r="V2868" s="1">
        <v>165.52941176470586</v>
      </c>
      <c r="W2868" s="1">
        <v>6</v>
      </c>
    </row>
    <row r="2869" spans="1:23" x14ac:dyDescent="0.2">
      <c r="A2869">
        <v>2020</v>
      </c>
      <c r="B2869" t="s">
        <v>23</v>
      </c>
      <c r="C2869" t="s">
        <v>272</v>
      </c>
      <c r="D2869">
        <v>12</v>
      </c>
      <c r="E2869">
        <v>2</v>
      </c>
      <c r="F2869">
        <v>5</v>
      </c>
      <c r="G2869" t="s">
        <v>36</v>
      </c>
      <c r="H2869">
        <v>8</v>
      </c>
      <c r="I2869">
        <v>60</v>
      </c>
      <c r="J2869">
        <v>66</v>
      </c>
      <c r="K2869">
        <v>6</v>
      </c>
      <c r="L2869">
        <v>115</v>
      </c>
      <c r="M2869">
        <v>56</v>
      </c>
      <c r="N2869">
        <v>2</v>
      </c>
      <c r="O2869">
        <v>4</v>
      </c>
      <c r="P2869">
        <v>3</v>
      </c>
      <c r="Q2869">
        <v>7.640000000000001E-2</v>
      </c>
      <c r="R2869">
        <v>1</v>
      </c>
      <c r="S2869">
        <v>0.33333333333333331</v>
      </c>
      <c r="T2869">
        <v>2</v>
      </c>
      <c r="U2869">
        <v>12.5</v>
      </c>
      <c r="V2869">
        <v>279.63398692810455</v>
      </c>
      <c r="W2869">
        <v>1</v>
      </c>
    </row>
    <row r="2870" spans="1:23" x14ac:dyDescent="0.2">
      <c r="A2870">
        <v>2020</v>
      </c>
      <c r="B2870" t="s">
        <v>23</v>
      </c>
      <c r="C2870" t="s">
        <v>272</v>
      </c>
      <c r="D2870">
        <v>13</v>
      </c>
      <c r="E2870">
        <v>1</v>
      </c>
      <c r="F2870">
        <v>11</v>
      </c>
      <c r="G2870" t="s">
        <v>37</v>
      </c>
      <c r="H2870" s="1">
        <v>10</v>
      </c>
      <c r="I2870" s="1">
        <v>63</v>
      </c>
      <c r="J2870" s="1">
        <v>68</v>
      </c>
      <c r="K2870" s="1">
        <f>J2870-I2870</f>
        <v>5</v>
      </c>
      <c r="L2870" s="1">
        <v>114</v>
      </c>
      <c r="M2870" s="1">
        <v>55</v>
      </c>
      <c r="N2870" s="1">
        <v>2</v>
      </c>
      <c r="O2870" s="1">
        <v>4</v>
      </c>
      <c r="P2870" s="1">
        <v>8</v>
      </c>
      <c r="Q2870" s="2">
        <v>0.52600000000000002</v>
      </c>
      <c r="R2870" s="1">
        <v>8</v>
      </c>
      <c r="S2870" s="1">
        <f>R2870/P2870</f>
        <v>1</v>
      </c>
      <c r="T2870" s="1">
        <v>2</v>
      </c>
      <c r="U2870" s="1">
        <v>12.5</v>
      </c>
      <c r="V2870" s="1">
        <v>1925.2287581699347</v>
      </c>
      <c r="W2870" s="1">
        <v>4</v>
      </c>
    </row>
    <row r="2871" spans="1:23" x14ac:dyDescent="0.2">
      <c r="A2871">
        <v>2020</v>
      </c>
      <c r="B2871" t="s">
        <v>23</v>
      </c>
      <c r="C2871" t="s">
        <v>272</v>
      </c>
      <c r="D2871">
        <v>13</v>
      </c>
      <c r="E2871">
        <v>2</v>
      </c>
      <c r="F2871">
        <v>14</v>
      </c>
      <c r="G2871" t="s">
        <v>37</v>
      </c>
      <c r="H2871">
        <v>13</v>
      </c>
      <c r="I2871">
        <v>55</v>
      </c>
      <c r="J2871">
        <v>59</v>
      </c>
      <c r="K2871">
        <v>4</v>
      </c>
      <c r="L2871">
        <v>142</v>
      </c>
      <c r="M2871">
        <v>70</v>
      </c>
      <c r="N2871">
        <v>2</v>
      </c>
      <c r="O2871">
        <v>2</v>
      </c>
      <c r="P2871">
        <v>5</v>
      </c>
      <c r="Q2871">
        <v>0.3</v>
      </c>
      <c r="R2871">
        <v>5</v>
      </c>
      <c r="S2871">
        <v>1</v>
      </c>
      <c r="T2871">
        <v>3</v>
      </c>
      <c r="U2871">
        <v>9.8000000000000007</v>
      </c>
      <c r="V2871">
        <v>1131.9215686274511</v>
      </c>
      <c r="W2871">
        <v>1</v>
      </c>
    </row>
    <row r="2872" spans="1:23" x14ac:dyDescent="0.2">
      <c r="A2872">
        <v>2020</v>
      </c>
      <c r="B2872" t="s">
        <v>23</v>
      </c>
      <c r="C2872" t="s">
        <v>272</v>
      </c>
      <c r="D2872">
        <v>14</v>
      </c>
      <c r="E2872">
        <v>1</v>
      </c>
      <c r="F2872">
        <v>3</v>
      </c>
      <c r="G2872" t="s">
        <v>38</v>
      </c>
      <c r="H2872">
        <v>10</v>
      </c>
      <c r="I2872">
        <v>63</v>
      </c>
      <c r="J2872">
        <v>67</v>
      </c>
      <c r="K2872">
        <v>4</v>
      </c>
      <c r="L2872">
        <v>127</v>
      </c>
      <c r="M2872">
        <v>57</v>
      </c>
      <c r="N2872">
        <v>2</v>
      </c>
      <c r="O2872">
        <v>3</v>
      </c>
      <c r="P2872">
        <v>10</v>
      </c>
      <c r="Q2872">
        <v>1</v>
      </c>
      <c r="R2872">
        <v>8</v>
      </c>
      <c r="S2872">
        <v>0.8</v>
      </c>
      <c r="T2872">
        <v>3</v>
      </c>
      <c r="U2872">
        <v>12.5</v>
      </c>
      <c r="V2872">
        <v>3660.1307189542486</v>
      </c>
      <c r="W2872">
        <v>1</v>
      </c>
    </row>
    <row r="2873" spans="1:23" x14ac:dyDescent="0.2">
      <c r="A2873">
        <v>2020</v>
      </c>
      <c r="B2873" t="s">
        <v>23</v>
      </c>
      <c r="C2873" t="s">
        <v>272</v>
      </c>
      <c r="D2873">
        <v>14</v>
      </c>
      <c r="E2873">
        <v>2</v>
      </c>
      <c r="F2873">
        <v>2</v>
      </c>
      <c r="G2873" t="s">
        <v>38</v>
      </c>
      <c r="H2873" s="1">
        <v>10</v>
      </c>
      <c r="I2873" s="1">
        <v>68</v>
      </c>
      <c r="J2873" s="1">
        <v>72</v>
      </c>
      <c r="K2873" s="1">
        <f>J2873-I2873</f>
        <v>4</v>
      </c>
      <c r="L2873" s="1">
        <v>60</v>
      </c>
      <c r="M2873" s="1">
        <v>25</v>
      </c>
      <c r="N2873" s="1">
        <v>3</v>
      </c>
      <c r="O2873" s="1">
        <v>5</v>
      </c>
      <c r="P2873" s="1">
        <v>2</v>
      </c>
      <c r="Q2873" s="2">
        <v>0.04</v>
      </c>
      <c r="R2873" s="1">
        <v>2</v>
      </c>
      <c r="S2873" s="1">
        <f>R2873/P2873</f>
        <v>1</v>
      </c>
      <c r="T2873" s="1">
        <v>5</v>
      </c>
      <c r="U2873" s="1">
        <v>12.5</v>
      </c>
      <c r="V2873" s="1">
        <v>146.40522875816995</v>
      </c>
      <c r="W2873" s="1">
        <v>6</v>
      </c>
    </row>
    <row r="2874" spans="1:23" x14ac:dyDescent="0.2">
      <c r="A2874">
        <v>2020</v>
      </c>
      <c r="B2874" t="s">
        <v>23</v>
      </c>
      <c r="C2874" t="s">
        <v>272</v>
      </c>
      <c r="D2874">
        <v>15</v>
      </c>
      <c r="E2874">
        <v>1</v>
      </c>
      <c r="F2874">
        <v>2</v>
      </c>
      <c r="G2874" t="s">
        <v>39</v>
      </c>
      <c r="H2874" s="1">
        <v>5</v>
      </c>
      <c r="I2874" s="1">
        <v>60</v>
      </c>
      <c r="J2874" s="1">
        <v>63</v>
      </c>
      <c r="K2874" s="1">
        <f>J2874-I2874</f>
        <v>3</v>
      </c>
      <c r="L2874" s="1">
        <v>113</v>
      </c>
      <c r="M2874" s="1">
        <v>95</v>
      </c>
      <c r="N2874" s="1">
        <v>2</v>
      </c>
      <c r="O2874" s="1">
        <v>3</v>
      </c>
      <c r="P2874" s="1">
        <f>H2874</f>
        <v>5</v>
      </c>
      <c r="Q2874" s="2">
        <v>8.2687499999999997E-2</v>
      </c>
      <c r="R2874" s="1">
        <v>5</v>
      </c>
      <c r="S2874" s="1">
        <f>R2874/P2874</f>
        <v>1</v>
      </c>
      <c r="T2874" s="1">
        <v>2</v>
      </c>
      <c r="U2874" s="1">
        <v>12.5</v>
      </c>
      <c r="V2874" s="1">
        <v>302.64705882352945</v>
      </c>
      <c r="W2874" s="1">
        <v>2</v>
      </c>
    </row>
    <row r="2875" spans="1:23" x14ac:dyDescent="0.2">
      <c r="A2875">
        <v>2020</v>
      </c>
      <c r="B2875" t="s">
        <v>23</v>
      </c>
      <c r="C2875" t="s">
        <v>272</v>
      </c>
      <c r="D2875">
        <v>15</v>
      </c>
      <c r="E2875">
        <v>2</v>
      </c>
      <c r="F2875">
        <v>1</v>
      </c>
      <c r="G2875" t="s">
        <v>39</v>
      </c>
      <c r="H2875">
        <v>5</v>
      </c>
      <c r="I2875">
        <v>59</v>
      </c>
      <c r="J2875">
        <v>62</v>
      </c>
      <c r="K2875">
        <v>3</v>
      </c>
      <c r="L2875">
        <v>137</v>
      </c>
      <c r="M2875">
        <v>40</v>
      </c>
      <c r="N2875">
        <v>1.5</v>
      </c>
      <c r="O2875">
        <v>2.5</v>
      </c>
      <c r="P2875">
        <v>5</v>
      </c>
      <c r="Q2875">
        <v>0.6</v>
      </c>
      <c r="R2875">
        <v>4</v>
      </c>
      <c r="S2875">
        <v>0.8</v>
      </c>
      <c r="T2875" t="s">
        <v>273</v>
      </c>
      <c r="U2875">
        <v>12.5</v>
      </c>
      <c r="V2875">
        <v>2196.0784313725489</v>
      </c>
      <c r="W2875">
        <v>2</v>
      </c>
    </row>
    <row r="2876" spans="1:23" x14ac:dyDescent="0.2">
      <c r="A2876">
        <v>2020</v>
      </c>
      <c r="B2876" t="s">
        <v>23</v>
      </c>
      <c r="C2876" t="s">
        <v>272</v>
      </c>
      <c r="D2876">
        <v>16</v>
      </c>
      <c r="E2876">
        <v>1</v>
      </c>
      <c r="F2876">
        <v>11</v>
      </c>
      <c r="G2876" t="s">
        <v>40</v>
      </c>
      <c r="H2876" s="1">
        <v>2</v>
      </c>
      <c r="I2876" s="1">
        <v>59</v>
      </c>
      <c r="J2876" s="1">
        <v>63</v>
      </c>
      <c r="K2876" s="1">
        <f>J2876-I2876</f>
        <v>4</v>
      </c>
      <c r="L2876" s="1">
        <v>97</v>
      </c>
      <c r="M2876" s="1">
        <v>63</v>
      </c>
      <c r="N2876" s="1">
        <v>3</v>
      </c>
      <c r="O2876" s="1">
        <v>3</v>
      </c>
      <c r="P2876" s="1">
        <v>2</v>
      </c>
      <c r="Q2876" s="2">
        <v>8.8800000000000004E-2</v>
      </c>
      <c r="R2876" s="1">
        <v>3</v>
      </c>
      <c r="S2876" s="1">
        <f>R2876/P2876</f>
        <v>1.5</v>
      </c>
      <c r="T2876" s="1">
        <v>4</v>
      </c>
      <c r="U2876" s="1">
        <v>12.5</v>
      </c>
      <c r="V2876" s="1">
        <v>325.01960784313724</v>
      </c>
      <c r="W2876" s="1">
        <v>4</v>
      </c>
    </row>
    <row r="2877" spans="1:23" x14ac:dyDescent="0.2">
      <c r="A2877">
        <v>2020</v>
      </c>
      <c r="B2877" t="s">
        <v>23</v>
      </c>
      <c r="C2877" t="s">
        <v>272</v>
      </c>
      <c r="D2877">
        <v>16</v>
      </c>
      <c r="E2877">
        <v>2</v>
      </c>
      <c r="F2877">
        <v>3</v>
      </c>
      <c r="G2877" t="s">
        <v>40</v>
      </c>
      <c r="H2877">
        <v>12</v>
      </c>
      <c r="I2877">
        <v>57</v>
      </c>
      <c r="J2877">
        <v>60</v>
      </c>
      <c r="K2877">
        <v>3</v>
      </c>
      <c r="L2877">
        <v>188</v>
      </c>
      <c r="M2877">
        <v>73</v>
      </c>
      <c r="N2877">
        <v>2</v>
      </c>
      <c r="O2877">
        <v>2</v>
      </c>
      <c r="P2877">
        <v>10</v>
      </c>
      <c r="Q2877">
        <v>0.8</v>
      </c>
      <c r="R2877">
        <v>10</v>
      </c>
      <c r="S2877">
        <v>1</v>
      </c>
      <c r="T2877">
        <v>3</v>
      </c>
      <c r="U2877">
        <v>13.2</v>
      </c>
      <c r="V2877">
        <v>2904.6797385620916</v>
      </c>
      <c r="W2877">
        <v>1</v>
      </c>
    </row>
    <row r="2878" spans="1:23" x14ac:dyDescent="0.2">
      <c r="A2878">
        <v>2020</v>
      </c>
      <c r="B2878" t="s">
        <v>23</v>
      </c>
      <c r="C2878" t="s">
        <v>272</v>
      </c>
      <c r="D2878">
        <v>17</v>
      </c>
      <c r="E2878">
        <v>1</v>
      </c>
      <c r="F2878">
        <v>10</v>
      </c>
      <c r="G2878" t="s">
        <v>41</v>
      </c>
      <c r="H2878">
        <v>12</v>
      </c>
      <c r="I2878">
        <v>62</v>
      </c>
      <c r="J2878">
        <v>66</v>
      </c>
      <c r="K2878">
        <v>4</v>
      </c>
      <c r="L2878">
        <v>170</v>
      </c>
      <c r="M2878">
        <v>60</v>
      </c>
      <c r="N2878">
        <v>2</v>
      </c>
      <c r="O2878">
        <v>3</v>
      </c>
      <c r="P2878">
        <v>12</v>
      </c>
      <c r="Q2878">
        <v>1.2</v>
      </c>
      <c r="R2878">
        <v>12</v>
      </c>
      <c r="S2878">
        <v>1</v>
      </c>
      <c r="T2878">
        <v>2.5</v>
      </c>
      <c r="U2878">
        <v>12.5</v>
      </c>
      <c r="V2878">
        <v>4392.1568627450979</v>
      </c>
      <c r="W2878">
        <v>2</v>
      </c>
    </row>
    <row r="2879" spans="1:23" x14ac:dyDescent="0.2">
      <c r="A2879">
        <v>2020</v>
      </c>
      <c r="B2879" t="s">
        <v>23</v>
      </c>
      <c r="C2879" t="s">
        <v>272</v>
      </c>
      <c r="D2879">
        <v>17</v>
      </c>
      <c r="E2879">
        <v>2</v>
      </c>
      <c r="F2879">
        <v>2</v>
      </c>
      <c r="G2879" t="s">
        <v>41</v>
      </c>
      <c r="H2879" s="1">
        <v>10</v>
      </c>
      <c r="I2879" s="1">
        <v>57</v>
      </c>
      <c r="J2879" s="1">
        <v>61</v>
      </c>
      <c r="K2879" s="1">
        <f>J2879-I2879</f>
        <v>4</v>
      </c>
      <c r="L2879" s="1">
        <v>145</v>
      </c>
      <c r="M2879" s="1">
        <v>70</v>
      </c>
      <c r="N2879" s="1">
        <v>2</v>
      </c>
      <c r="O2879" s="1">
        <v>4</v>
      </c>
      <c r="P2879" s="1">
        <v>5</v>
      </c>
      <c r="Q2879" s="2">
        <v>0.84335999999999989</v>
      </c>
      <c r="R2879" s="1">
        <v>5</v>
      </c>
      <c r="S2879" s="1">
        <f>R2879/P2879</f>
        <v>1</v>
      </c>
      <c r="T2879" s="1">
        <v>5</v>
      </c>
      <c r="U2879" s="1">
        <v>8.6</v>
      </c>
      <c r="V2879" s="1">
        <v>3224.391278431372</v>
      </c>
      <c r="W2879" s="1">
        <v>7</v>
      </c>
    </row>
    <row r="2880" spans="1:23" x14ac:dyDescent="0.2">
      <c r="A2880">
        <v>2020</v>
      </c>
      <c r="B2880" t="s">
        <v>23</v>
      </c>
      <c r="C2880" t="s">
        <v>272</v>
      </c>
      <c r="D2880">
        <v>18</v>
      </c>
      <c r="E2880">
        <v>1</v>
      </c>
      <c r="F2880">
        <v>13</v>
      </c>
      <c r="G2880" t="s">
        <v>42</v>
      </c>
      <c r="H2880" s="1">
        <v>5</v>
      </c>
      <c r="I2880" s="1">
        <v>66</v>
      </c>
      <c r="J2880" s="1">
        <v>71</v>
      </c>
      <c r="K2880" s="1">
        <f>J2880-I2880</f>
        <v>5</v>
      </c>
      <c r="L2880" s="1">
        <v>124</v>
      </c>
      <c r="M2880" s="1">
        <v>46</v>
      </c>
      <c r="N2880" s="1">
        <v>2</v>
      </c>
      <c r="O2880" s="1">
        <v>4</v>
      </c>
      <c r="P2880" s="1">
        <v>3</v>
      </c>
      <c r="Q2880" s="2">
        <v>6.5000000000000002E-2</v>
      </c>
      <c r="R2880" s="1">
        <v>2</v>
      </c>
      <c r="S2880" s="1">
        <f>R2880/P2880</f>
        <v>0.66666666666666663</v>
      </c>
      <c r="T2880" s="1">
        <v>4.5</v>
      </c>
      <c r="U2880" s="1">
        <v>12.5</v>
      </c>
      <c r="V2880" s="1">
        <v>237.90849673202612</v>
      </c>
      <c r="W2880" s="1">
        <v>4</v>
      </c>
    </row>
    <row r="2881" spans="1:23" x14ac:dyDescent="0.2">
      <c r="A2881">
        <v>2020</v>
      </c>
      <c r="B2881" t="s">
        <v>23</v>
      </c>
      <c r="C2881" t="s">
        <v>272</v>
      </c>
      <c r="D2881">
        <v>18</v>
      </c>
      <c r="E2881">
        <v>2</v>
      </c>
      <c r="F2881">
        <v>15</v>
      </c>
      <c r="G2881" t="s">
        <v>42</v>
      </c>
      <c r="H2881">
        <v>9</v>
      </c>
      <c r="I2881">
        <v>55</v>
      </c>
      <c r="J2881">
        <v>58</v>
      </c>
      <c r="K2881">
        <v>3</v>
      </c>
      <c r="L2881">
        <v>172</v>
      </c>
      <c r="M2881">
        <v>45</v>
      </c>
      <c r="N2881">
        <v>3</v>
      </c>
      <c r="O2881">
        <v>3</v>
      </c>
      <c r="P2881">
        <v>8</v>
      </c>
      <c r="Q2881">
        <v>1.1160000000000001</v>
      </c>
      <c r="R2881">
        <v>13</v>
      </c>
      <c r="S2881">
        <v>1.625</v>
      </c>
      <c r="T2881">
        <v>2</v>
      </c>
      <c r="U2881">
        <v>12.5</v>
      </c>
      <c r="V2881">
        <v>4084.705882352941</v>
      </c>
      <c r="W2881">
        <v>2</v>
      </c>
    </row>
    <row r="2882" spans="1:23" x14ac:dyDescent="0.2">
      <c r="A2882">
        <v>2020</v>
      </c>
      <c r="B2882" t="s">
        <v>23</v>
      </c>
      <c r="C2882" t="s">
        <v>272</v>
      </c>
      <c r="D2882">
        <v>19</v>
      </c>
      <c r="E2882">
        <v>1</v>
      </c>
      <c r="F2882">
        <v>13</v>
      </c>
      <c r="G2882" t="s">
        <v>43</v>
      </c>
      <c r="H2882">
        <v>6</v>
      </c>
      <c r="I2882">
        <v>55</v>
      </c>
      <c r="J2882">
        <v>59</v>
      </c>
      <c r="K2882">
        <v>4</v>
      </c>
      <c r="L2882">
        <v>72</v>
      </c>
      <c r="M2882">
        <v>38</v>
      </c>
      <c r="N2882">
        <v>2</v>
      </c>
      <c r="O2882">
        <v>3</v>
      </c>
      <c r="P2882">
        <v>6</v>
      </c>
      <c r="Q2882">
        <v>0.3</v>
      </c>
      <c r="R2882">
        <v>7</v>
      </c>
      <c r="S2882">
        <v>1.1666666666666667</v>
      </c>
      <c r="T2882">
        <v>2</v>
      </c>
      <c r="U2882">
        <v>12.5</v>
      </c>
      <c r="V2882">
        <v>1098.0392156862745</v>
      </c>
      <c r="W2882">
        <v>2</v>
      </c>
    </row>
    <row r="2883" spans="1:23" x14ac:dyDescent="0.2">
      <c r="A2883">
        <v>2020</v>
      </c>
      <c r="B2883" t="s">
        <v>23</v>
      </c>
      <c r="C2883" t="s">
        <v>272</v>
      </c>
      <c r="D2883">
        <v>19</v>
      </c>
      <c r="E2883">
        <v>2</v>
      </c>
      <c r="F2883">
        <v>6</v>
      </c>
      <c r="G2883" t="s">
        <v>43</v>
      </c>
      <c r="H2883" s="1">
        <v>10</v>
      </c>
      <c r="I2883" s="1">
        <v>64</v>
      </c>
      <c r="J2883" s="1">
        <v>68</v>
      </c>
      <c r="K2883" s="1">
        <f>J2883-I2883</f>
        <v>4</v>
      </c>
      <c r="L2883" s="1">
        <v>103</v>
      </c>
      <c r="M2883" s="1">
        <v>50</v>
      </c>
      <c r="N2883" s="1">
        <v>1.5</v>
      </c>
      <c r="O2883" s="1">
        <v>4.5</v>
      </c>
      <c r="P2883" s="1">
        <v>6</v>
      </c>
      <c r="Q2883" s="2">
        <v>0.14199999999999999</v>
      </c>
      <c r="R2883" s="1">
        <v>4</v>
      </c>
      <c r="S2883" s="1">
        <f>R2883/P2883</f>
        <v>0.66666666666666663</v>
      </c>
      <c r="T2883" s="1">
        <v>4.5</v>
      </c>
      <c r="U2883" s="1">
        <v>12.5</v>
      </c>
      <c r="V2883" s="1">
        <v>519.73856209150335</v>
      </c>
      <c r="W2883" s="1">
        <v>4</v>
      </c>
    </row>
    <row r="2884" spans="1:23" x14ac:dyDescent="0.2">
      <c r="A2884">
        <v>2020</v>
      </c>
      <c r="B2884" t="s">
        <v>23</v>
      </c>
      <c r="C2884" t="s">
        <v>272</v>
      </c>
      <c r="D2884">
        <v>20</v>
      </c>
      <c r="E2884">
        <v>1</v>
      </c>
      <c r="F2884">
        <v>6</v>
      </c>
      <c r="G2884" t="s">
        <v>44</v>
      </c>
      <c r="H2884" s="1">
        <v>2</v>
      </c>
      <c r="I2884" s="1">
        <v>64</v>
      </c>
      <c r="J2884" s="1">
        <v>69</v>
      </c>
      <c r="K2884" s="1">
        <f>J2884-I2884</f>
        <v>5</v>
      </c>
      <c r="L2884" s="1">
        <v>129</v>
      </c>
      <c r="M2884" s="1">
        <v>36</v>
      </c>
      <c r="N2884" s="1">
        <v>1.5</v>
      </c>
      <c r="O2884" s="1">
        <v>2.5</v>
      </c>
      <c r="P2884" s="1">
        <v>2</v>
      </c>
      <c r="Q2884" s="2">
        <v>0.23</v>
      </c>
      <c r="R2884" s="1">
        <v>2</v>
      </c>
      <c r="S2884" s="1">
        <f>R2884/P2884</f>
        <v>1</v>
      </c>
      <c r="T2884" s="1">
        <v>2</v>
      </c>
      <c r="U2884" s="1">
        <v>12.5</v>
      </c>
      <c r="V2884" s="1">
        <v>841.83006535947709</v>
      </c>
      <c r="W2884" s="1">
        <v>4</v>
      </c>
    </row>
    <row r="2885" spans="1:23" x14ac:dyDescent="0.2">
      <c r="A2885">
        <v>2020</v>
      </c>
      <c r="B2885" t="s">
        <v>23</v>
      </c>
      <c r="C2885" t="s">
        <v>272</v>
      </c>
      <c r="D2885">
        <v>20</v>
      </c>
      <c r="E2885">
        <v>2</v>
      </c>
      <c r="F2885">
        <v>4</v>
      </c>
      <c r="G2885" t="s">
        <v>44</v>
      </c>
      <c r="H2885" s="1">
        <v>6</v>
      </c>
      <c r="I2885" s="1">
        <v>66</v>
      </c>
      <c r="J2885" s="1">
        <v>68</v>
      </c>
      <c r="K2885" s="1">
        <f>J2885-I2885</f>
        <v>2</v>
      </c>
      <c r="L2885" s="1">
        <v>141</v>
      </c>
      <c r="M2885" s="1">
        <v>46</v>
      </c>
      <c r="N2885" s="1">
        <v>3</v>
      </c>
      <c r="O2885" s="1">
        <v>2.5</v>
      </c>
      <c r="P2885" s="1">
        <v>6</v>
      </c>
      <c r="Q2885" s="2">
        <v>0.50639999999999996</v>
      </c>
      <c r="R2885" s="1">
        <v>6</v>
      </c>
      <c r="S2885" s="1">
        <f>R2885/P2885</f>
        <v>1</v>
      </c>
      <c r="T2885" s="1">
        <v>2</v>
      </c>
      <c r="U2885" s="1">
        <v>12.5</v>
      </c>
      <c r="V2885" s="1">
        <v>1853.4901960784312</v>
      </c>
      <c r="W2885" s="1">
        <v>3</v>
      </c>
    </row>
    <row r="2886" spans="1:23" x14ac:dyDescent="0.2">
      <c r="A2886">
        <v>2020</v>
      </c>
      <c r="B2886" t="s">
        <v>23</v>
      </c>
      <c r="C2886" t="s">
        <v>272</v>
      </c>
      <c r="D2886">
        <v>21</v>
      </c>
      <c r="E2886">
        <v>1</v>
      </c>
      <c r="F2886">
        <v>6</v>
      </c>
      <c r="G2886" t="s">
        <v>45</v>
      </c>
      <c r="H2886" s="1">
        <v>10</v>
      </c>
      <c r="I2886" s="1">
        <v>63</v>
      </c>
      <c r="J2886" s="1">
        <v>68</v>
      </c>
      <c r="K2886" s="1">
        <f>J2886-I2886</f>
        <v>5</v>
      </c>
      <c r="L2886" s="1">
        <v>136</v>
      </c>
      <c r="M2886" s="1">
        <v>63</v>
      </c>
      <c r="N2886" s="1">
        <v>2</v>
      </c>
      <c r="O2886" s="1">
        <v>4</v>
      </c>
      <c r="P2886" s="1">
        <v>7</v>
      </c>
      <c r="Q2886" s="2">
        <v>0.16200000000000001</v>
      </c>
      <c r="R2886" s="1">
        <v>7</v>
      </c>
      <c r="S2886" s="1">
        <f>R2886/P2886</f>
        <v>1</v>
      </c>
      <c r="T2886" s="1">
        <v>3.5</v>
      </c>
      <c r="U2886" s="1">
        <v>12.5</v>
      </c>
      <c r="V2886" s="1">
        <v>592.94117647058818</v>
      </c>
      <c r="W2886" s="1">
        <v>6</v>
      </c>
    </row>
    <row r="2887" spans="1:23" x14ac:dyDescent="0.2">
      <c r="A2887">
        <v>2020</v>
      </c>
      <c r="B2887" t="s">
        <v>23</v>
      </c>
      <c r="C2887" t="s">
        <v>272</v>
      </c>
      <c r="D2887">
        <v>21</v>
      </c>
      <c r="E2887">
        <v>2</v>
      </c>
      <c r="F2887">
        <v>5</v>
      </c>
      <c r="G2887" t="s">
        <v>45</v>
      </c>
      <c r="H2887">
        <v>16</v>
      </c>
      <c r="I2887">
        <v>55</v>
      </c>
      <c r="J2887">
        <v>58</v>
      </c>
      <c r="K2887">
        <v>3</v>
      </c>
      <c r="L2887">
        <v>175</v>
      </c>
      <c r="M2887">
        <v>69</v>
      </c>
      <c r="N2887">
        <v>1</v>
      </c>
      <c r="O2887">
        <v>1.5</v>
      </c>
      <c r="P2887">
        <v>10</v>
      </c>
      <c r="Q2887">
        <v>1</v>
      </c>
      <c r="R2887">
        <v>9</v>
      </c>
      <c r="S2887">
        <v>0.9</v>
      </c>
      <c r="T2887">
        <v>1</v>
      </c>
      <c r="U2887">
        <v>9.4</v>
      </c>
      <c r="V2887">
        <v>3789.8039215686276</v>
      </c>
      <c r="W2887">
        <v>2</v>
      </c>
    </row>
    <row r="2888" spans="1:23" x14ac:dyDescent="0.2">
      <c r="A2888">
        <v>2020</v>
      </c>
      <c r="B2888" t="s">
        <v>23</v>
      </c>
      <c r="C2888" t="s">
        <v>272</v>
      </c>
      <c r="D2888">
        <v>22</v>
      </c>
      <c r="E2888">
        <v>1</v>
      </c>
      <c r="F2888">
        <v>7</v>
      </c>
      <c r="G2888" t="s">
        <v>46</v>
      </c>
      <c r="H2888">
        <v>15</v>
      </c>
      <c r="I2888">
        <v>57</v>
      </c>
      <c r="J2888">
        <v>60</v>
      </c>
      <c r="K2888">
        <v>3</v>
      </c>
      <c r="L2888">
        <v>123</v>
      </c>
      <c r="M2888">
        <v>65</v>
      </c>
      <c r="N2888">
        <v>2</v>
      </c>
      <c r="O2888">
        <v>2.5</v>
      </c>
      <c r="P2888">
        <v>14</v>
      </c>
      <c r="Q2888">
        <v>0.8</v>
      </c>
      <c r="R2888">
        <v>10</v>
      </c>
      <c r="S2888">
        <v>0.7142857142857143</v>
      </c>
      <c r="T2888">
        <v>2</v>
      </c>
      <c r="U2888">
        <v>9.6</v>
      </c>
      <c r="V2888">
        <v>3025.1503267973862</v>
      </c>
      <c r="W2888">
        <v>2</v>
      </c>
    </row>
    <row r="2889" spans="1:23" x14ac:dyDescent="0.2">
      <c r="A2889">
        <v>2020</v>
      </c>
      <c r="B2889" t="s">
        <v>23</v>
      </c>
      <c r="C2889" t="s">
        <v>272</v>
      </c>
      <c r="D2889">
        <v>22</v>
      </c>
      <c r="E2889">
        <v>2</v>
      </c>
      <c r="F2889">
        <v>6</v>
      </c>
      <c r="G2889" t="s">
        <v>46</v>
      </c>
      <c r="H2889" s="1">
        <v>9</v>
      </c>
      <c r="I2889" s="1">
        <v>61</v>
      </c>
      <c r="J2889" s="1">
        <v>65</v>
      </c>
      <c r="K2889" s="1">
        <f>J2889-I2889</f>
        <v>4</v>
      </c>
      <c r="L2889" s="1">
        <v>115</v>
      </c>
      <c r="M2889" s="1">
        <v>55</v>
      </c>
      <c r="N2889" s="1">
        <v>3.5</v>
      </c>
      <c r="O2889" s="1">
        <v>4</v>
      </c>
      <c r="P2889" s="1">
        <v>8</v>
      </c>
      <c r="Q2889" s="2">
        <v>0.19079999999999997</v>
      </c>
      <c r="R2889" s="1">
        <v>5</v>
      </c>
      <c r="S2889" s="1">
        <f>R2889/P2889</f>
        <v>0.625</v>
      </c>
      <c r="T2889" s="1">
        <v>2</v>
      </c>
      <c r="U2889" s="1">
        <v>12.5</v>
      </c>
      <c r="V2889" s="1">
        <v>698.35294117647049</v>
      </c>
      <c r="W2889" s="1">
        <v>5</v>
      </c>
    </row>
    <row r="2890" spans="1:23" x14ac:dyDescent="0.2">
      <c r="A2890">
        <v>2020</v>
      </c>
      <c r="B2890" t="s">
        <v>23</v>
      </c>
      <c r="C2890" t="s">
        <v>272</v>
      </c>
      <c r="D2890">
        <v>23</v>
      </c>
      <c r="E2890">
        <v>1</v>
      </c>
      <c r="F2890">
        <v>14</v>
      </c>
      <c r="G2890" t="s">
        <v>47</v>
      </c>
      <c r="H2890" s="1">
        <v>11</v>
      </c>
      <c r="I2890" s="1">
        <v>63</v>
      </c>
      <c r="J2890" s="1">
        <v>68</v>
      </c>
      <c r="K2890" s="1">
        <f>J2890-I2890</f>
        <v>5</v>
      </c>
      <c r="L2890" s="1">
        <v>185</v>
      </c>
      <c r="M2890" s="1">
        <v>87</v>
      </c>
      <c r="N2890" s="1">
        <v>2</v>
      </c>
      <c r="O2890" s="1">
        <v>2.5</v>
      </c>
      <c r="P2890" s="1">
        <v>11</v>
      </c>
      <c r="Q2890" s="2">
        <v>0.95199999999999996</v>
      </c>
      <c r="R2890" s="1">
        <v>11</v>
      </c>
      <c r="S2890" s="1">
        <f>R2890/P2890</f>
        <v>1</v>
      </c>
      <c r="T2890" s="1">
        <v>4</v>
      </c>
      <c r="U2890" s="1">
        <v>9.1</v>
      </c>
      <c r="V2890" s="1">
        <v>3619.84</v>
      </c>
      <c r="W2890" s="1">
        <v>4</v>
      </c>
    </row>
    <row r="2891" spans="1:23" x14ac:dyDescent="0.2">
      <c r="A2891">
        <v>2020</v>
      </c>
      <c r="B2891" t="s">
        <v>23</v>
      </c>
      <c r="C2891" t="s">
        <v>272</v>
      </c>
      <c r="D2891">
        <v>23</v>
      </c>
      <c r="E2891">
        <v>2</v>
      </c>
      <c r="F2891">
        <v>7</v>
      </c>
      <c r="G2891" t="s">
        <v>47</v>
      </c>
      <c r="H2891">
        <v>15</v>
      </c>
      <c r="I2891">
        <v>52</v>
      </c>
      <c r="J2891">
        <v>54</v>
      </c>
      <c r="K2891">
        <v>2</v>
      </c>
      <c r="L2891">
        <v>186</v>
      </c>
      <c r="M2891">
        <v>74</v>
      </c>
      <c r="N2891">
        <v>2</v>
      </c>
      <c r="O2891">
        <v>2</v>
      </c>
      <c r="P2891">
        <v>13</v>
      </c>
      <c r="Q2891">
        <v>1</v>
      </c>
      <c r="R2891">
        <v>11</v>
      </c>
      <c r="S2891">
        <v>0.84615384615384615</v>
      </c>
      <c r="T2891">
        <v>2</v>
      </c>
      <c r="U2891">
        <v>14.1</v>
      </c>
      <c r="V2891">
        <v>3593.2026143790849</v>
      </c>
      <c r="W2891">
        <v>2</v>
      </c>
    </row>
    <row r="2892" spans="1:23" x14ac:dyDescent="0.2">
      <c r="A2892">
        <v>2020</v>
      </c>
      <c r="B2892" t="s">
        <v>23</v>
      </c>
      <c r="C2892" t="s">
        <v>272</v>
      </c>
      <c r="D2892">
        <v>24</v>
      </c>
      <c r="E2892">
        <v>1</v>
      </c>
      <c r="F2892">
        <v>2</v>
      </c>
      <c r="G2892" t="s">
        <v>48</v>
      </c>
      <c r="H2892" s="1">
        <v>8</v>
      </c>
      <c r="I2892" s="1">
        <v>70</v>
      </c>
      <c r="J2892" s="1">
        <v>74</v>
      </c>
      <c r="K2892" s="1">
        <f>J2892-I2892</f>
        <v>4</v>
      </c>
      <c r="L2892" s="1">
        <v>85</v>
      </c>
      <c r="M2892" s="1">
        <v>25</v>
      </c>
      <c r="N2892" s="1">
        <v>1.5</v>
      </c>
      <c r="O2892" s="1">
        <v>5</v>
      </c>
      <c r="P2892" s="1">
        <v>7</v>
      </c>
      <c r="Q2892" s="2">
        <v>0.24079999999999999</v>
      </c>
      <c r="R2892" s="1">
        <v>6</v>
      </c>
      <c r="S2892" s="1">
        <f>R2892/P2892</f>
        <v>0.8571428571428571</v>
      </c>
      <c r="T2892" s="1">
        <v>4.5</v>
      </c>
      <c r="U2892" s="1">
        <v>12.5</v>
      </c>
      <c r="V2892" s="1">
        <v>881.35947712418294</v>
      </c>
      <c r="W2892" s="1">
        <v>5</v>
      </c>
    </row>
    <row r="2893" spans="1:23" x14ac:dyDescent="0.2">
      <c r="A2893">
        <v>2020</v>
      </c>
      <c r="B2893" t="s">
        <v>23</v>
      </c>
      <c r="C2893" t="s">
        <v>272</v>
      </c>
      <c r="D2893">
        <v>24</v>
      </c>
      <c r="E2893">
        <v>2</v>
      </c>
      <c r="F2893">
        <v>3</v>
      </c>
      <c r="G2893" t="s">
        <v>48</v>
      </c>
      <c r="H2893" s="1">
        <v>8</v>
      </c>
      <c r="I2893" s="1">
        <v>68</v>
      </c>
      <c r="J2893" s="1">
        <v>69</v>
      </c>
      <c r="K2893" s="1">
        <f>J2893-I2893</f>
        <v>1</v>
      </c>
      <c r="L2893" s="1">
        <v>113</v>
      </c>
      <c r="M2893" s="1">
        <v>70</v>
      </c>
      <c r="N2893" s="1">
        <v>2</v>
      </c>
      <c r="O2893" s="1">
        <v>3.5</v>
      </c>
      <c r="P2893" s="1">
        <v>7</v>
      </c>
      <c r="Q2893" s="2">
        <v>8.1539999999999987E-2</v>
      </c>
      <c r="R2893" s="1">
        <v>5</v>
      </c>
      <c r="S2893" s="1">
        <f>R2893/P2893</f>
        <v>0.7142857142857143</v>
      </c>
      <c r="T2893" s="1">
        <v>5</v>
      </c>
      <c r="U2893" s="1">
        <v>12.5</v>
      </c>
      <c r="V2893" s="1">
        <v>298.44705882352935</v>
      </c>
      <c r="W2893" s="1">
        <v>4</v>
      </c>
    </row>
    <row r="2894" spans="1:23" x14ac:dyDescent="0.2">
      <c r="A2894">
        <v>2020</v>
      </c>
      <c r="B2894" t="s">
        <v>23</v>
      </c>
      <c r="C2894" t="s">
        <v>272</v>
      </c>
      <c r="D2894">
        <v>25</v>
      </c>
      <c r="E2894">
        <v>1</v>
      </c>
      <c r="F2894">
        <v>5</v>
      </c>
      <c r="G2894" t="s">
        <v>49</v>
      </c>
      <c r="H2894" s="1">
        <v>9</v>
      </c>
      <c r="I2894" s="1">
        <v>68</v>
      </c>
      <c r="J2894" s="1">
        <v>72</v>
      </c>
      <c r="K2894" s="1">
        <f>J2894-I2894</f>
        <v>4</v>
      </c>
      <c r="L2894" s="1">
        <v>135</v>
      </c>
      <c r="M2894" s="1">
        <v>51</v>
      </c>
      <c r="N2894" s="1">
        <v>1.5</v>
      </c>
      <c r="O2894" s="1">
        <v>4</v>
      </c>
      <c r="P2894" s="1">
        <v>4</v>
      </c>
      <c r="Q2894" s="2">
        <v>0.432</v>
      </c>
      <c r="R2894" s="1">
        <v>4</v>
      </c>
      <c r="S2894" s="1">
        <f>R2894/P2894</f>
        <v>1</v>
      </c>
      <c r="T2894" s="1">
        <v>3</v>
      </c>
      <c r="U2894" s="1">
        <v>12.5</v>
      </c>
      <c r="V2894" s="1">
        <v>1581.1764705882351</v>
      </c>
      <c r="W2894" s="1">
        <v>5</v>
      </c>
    </row>
    <row r="2895" spans="1:23" x14ac:dyDescent="0.2">
      <c r="A2895">
        <v>2020</v>
      </c>
      <c r="B2895" t="s">
        <v>23</v>
      </c>
      <c r="C2895" t="s">
        <v>272</v>
      </c>
      <c r="D2895">
        <v>25</v>
      </c>
      <c r="E2895">
        <v>2</v>
      </c>
      <c r="F2895">
        <v>7</v>
      </c>
      <c r="G2895" t="s">
        <v>49</v>
      </c>
      <c r="H2895">
        <v>9</v>
      </c>
      <c r="I2895">
        <v>60</v>
      </c>
      <c r="J2895">
        <v>62</v>
      </c>
      <c r="K2895">
        <v>2</v>
      </c>
      <c r="L2895">
        <v>161</v>
      </c>
      <c r="M2895">
        <v>61</v>
      </c>
      <c r="N2895">
        <v>2</v>
      </c>
      <c r="O2895">
        <v>3</v>
      </c>
      <c r="P2895">
        <v>9</v>
      </c>
      <c r="Q2895">
        <v>1</v>
      </c>
      <c r="R2895">
        <v>9</v>
      </c>
      <c r="S2895">
        <v>1</v>
      </c>
      <c r="T2895">
        <v>2.5</v>
      </c>
      <c r="U2895">
        <v>12.5</v>
      </c>
      <c r="V2895">
        <v>3660.1307189542486</v>
      </c>
      <c r="W2895">
        <v>1</v>
      </c>
    </row>
    <row r="2896" spans="1:23" x14ac:dyDescent="0.2">
      <c r="A2896">
        <v>2020</v>
      </c>
      <c r="B2896" t="s">
        <v>23</v>
      </c>
      <c r="C2896" t="s">
        <v>272</v>
      </c>
      <c r="D2896">
        <v>26</v>
      </c>
      <c r="E2896">
        <v>1</v>
      </c>
      <c r="F2896">
        <v>3</v>
      </c>
      <c r="G2896" t="s">
        <v>50</v>
      </c>
      <c r="H2896" s="1">
        <v>6</v>
      </c>
      <c r="I2896" s="1">
        <v>58</v>
      </c>
      <c r="J2896" s="1">
        <v>62</v>
      </c>
      <c r="K2896" s="1">
        <f>J2896-I2896</f>
        <v>4</v>
      </c>
      <c r="L2896" s="1">
        <v>189</v>
      </c>
      <c r="M2896" s="1">
        <v>112</v>
      </c>
      <c r="N2896" s="1">
        <v>2</v>
      </c>
      <c r="O2896" s="1">
        <v>2</v>
      </c>
      <c r="P2896" s="1">
        <f>H2896-1</f>
        <v>5</v>
      </c>
      <c r="Q2896" s="2">
        <v>0.29714999999999997</v>
      </c>
      <c r="R2896" s="1">
        <v>3</v>
      </c>
      <c r="S2896" s="1">
        <f>R2896/P2896</f>
        <v>0.6</v>
      </c>
      <c r="T2896" s="1">
        <v>3</v>
      </c>
      <c r="U2896" s="1">
        <v>12.5</v>
      </c>
      <c r="V2896" s="1">
        <v>1087.6078431372548</v>
      </c>
      <c r="W2896" s="1">
        <v>4</v>
      </c>
    </row>
    <row r="2897" spans="1:23" x14ac:dyDescent="0.2">
      <c r="A2897">
        <v>2020</v>
      </c>
      <c r="B2897" t="s">
        <v>23</v>
      </c>
      <c r="C2897" t="s">
        <v>272</v>
      </c>
      <c r="D2897">
        <v>26</v>
      </c>
      <c r="E2897">
        <v>2</v>
      </c>
      <c r="F2897">
        <v>10</v>
      </c>
      <c r="G2897" t="s">
        <v>50</v>
      </c>
      <c r="H2897" s="1">
        <v>6</v>
      </c>
      <c r="I2897" s="1">
        <v>64</v>
      </c>
      <c r="J2897" s="1">
        <v>68</v>
      </c>
      <c r="K2897" s="1">
        <f>J2897-I2897</f>
        <v>4</v>
      </c>
      <c r="L2897" s="1">
        <v>142</v>
      </c>
      <c r="M2897" s="1">
        <v>80</v>
      </c>
      <c r="N2897" s="1">
        <v>2</v>
      </c>
      <c r="O2897" s="1">
        <v>3.5</v>
      </c>
      <c r="P2897" s="1">
        <v>4</v>
      </c>
      <c r="Q2897" s="2">
        <v>0.28539999999999999</v>
      </c>
      <c r="R2897" s="1">
        <v>3</v>
      </c>
      <c r="S2897" s="1">
        <f>R2897/P2897</f>
        <v>0.75</v>
      </c>
      <c r="T2897" s="1">
        <v>5</v>
      </c>
      <c r="U2897" s="1">
        <v>12.5</v>
      </c>
      <c r="V2897" s="1">
        <v>1044.6013071895425</v>
      </c>
      <c r="W2897" s="1">
        <v>5</v>
      </c>
    </row>
    <row r="2898" spans="1:23" x14ac:dyDescent="0.2">
      <c r="A2898">
        <v>2020</v>
      </c>
      <c r="B2898" t="s">
        <v>23</v>
      </c>
      <c r="C2898" t="s">
        <v>272</v>
      </c>
      <c r="D2898">
        <v>27</v>
      </c>
      <c r="E2898">
        <v>1</v>
      </c>
      <c r="F2898">
        <v>13</v>
      </c>
      <c r="G2898" t="s">
        <v>51</v>
      </c>
      <c r="H2898">
        <v>3</v>
      </c>
      <c r="I2898">
        <v>55</v>
      </c>
      <c r="J2898">
        <v>57</v>
      </c>
      <c r="K2898">
        <v>2</v>
      </c>
      <c r="L2898">
        <v>108</v>
      </c>
      <c r="M2898">
        <v>28</v>
      </c>
      <c r="N2898">
        <v>3</v>
      </c>
      <c r="O2898">
        <v>4</v>
      </c>
      <c r="P2898">
        <v>3</v>
      </c>
      <c r="Q2898">
        <v>0.13300000000000001</v>
      </c>
      <c r="R2898">
        <v>3</v>
      </c>
      <c r="S2898">
        <v>1</v>
      </c>
      <c r="T2898">
        <v>4</v>
      </c>
      <c r="U2898">
        <v>12.5</v>
      </c>
      <c r="V2898">
        <v>486.79738562091512</v>
      </c>
      <c r="W2898">
        <v>2</v>
      </c>
    </row>
    <row r="2899" spans="1:23" x14ac:dyDescent="0.2">
      <c r="A2899">
        <v>2020</v>
      </c>
      <c r="B2899" t="s">
        <v>23</v>
      </c>
      <c r="C2899" t="s">
        <v>272</v>
      </c>
      <c r="D2899">
        <v>27</v>
      </c>
      <c r="E2899">
        <v>2</v>
      </c>
      <c r="F2899">
        <v>1</v>
      </c>
      <c r="G2899" t="s">
        <v>51</v>
      </c>
      <c r="H2899" s="1">
        <v>1</v>
      </c>
      <c r="I2899" s="1">
        <v>67</v>
      </c>
      <c r="J2899" s="1">
        <v>71</v>
      </c>
      <c r="K2899" s="1">
        <f>J2899-I2899</f>
        <v>4</v>
      </c>
      <c r="L2899" s="1">
        <v>188</v>
      </c>
      <c r="M2899" s="1">
        <v>112</v>
      </c>
      <c r="N2899" s="1">
        <v>2</v>
      </c>
      <c r="O2899" s="1">
        <v>2</v>
      </c>
      <c r="P2899" s="1">
        <f>H2899</f>
        <v>1</v>
      </c>
      <c r="Q2899" s="2">
        <v>1.7999999999999999E-2</v>
      </c>
      <c r="R2899" s="1">
        <v>1</v>
      </c>
      <c r="S2899" s="1">
        <f>R2899/P2899</f>
        <v>1</v>
      </c>
      <c r="T2899" s="1">
        <v>4</v>
      </c>
      <c r="U2899" s="1">
        <v>12.5</v>
      </c>
      <c r="V2899" s="1">
        <v>65.882352941176478</v>
      </c>
      <c r="W2899" s="1">
        <v>4</v>
      </c>
    </row>
    <row r="2900" spans="1:23" x14ac:dyDescent="0.2">
      <c r="A2900">
        <v>2020</v>
      </c>
      <c r="B2900" t="s">
        <v>23</v>
      </c>
      <c r="C2900" t="s">
        <v>272</v>
      </c>
      <c r="D2900">
        <v>28</v>
      </c>
      <c r="E2900">
        <v>1</v>
      </c>
      <c r="F2900">
        <v>2</v>
      </c>
      <c r="G2900" t="s">
        <v>52</v>
      </c>
      <c r="H2900">
        <v>10</v>
      </c>
      <c r="I2900">
        <v>63</v>
      </c>
      <c r="J2900">
        <v>67</v>
      </c>
      <c r="K2900">
        <v>4</v>
      </c>
      <c r="L2900">
        <v>127</v>
      </c>
      <c r="M2900">
        <v>65</v>
      </c>
      <c r="N2900">
        <v>1.5</v>
      </c>
      <c r="O2900">
        <v>4</v>
      </c>
      <c r="P2900">
        <v>10</v>
      </c>
      <c r="Q2900">
        <v>1</v>
      </c>
      <c r="R2900">
        <v>10</v>
      </c>
      <c r="S2900">
        <v>1</v>
      </c>
      <c r="T2900">
        <v>2.5</v>
      </c>
      <c r="U2900">
        <v>12.5</v>
      </c>
      <c r="V2900">
        <v>3660.1307189542486</v>
      </c>
      <c r="W2900">
        <v>1</v>
      </c>
    </row>
    <row r="2901" spans="1:23" x14ac:dyDescent="0.2">
      <c r="A2901">
        <v>2020</v>
      </c>
      <c r="B2901" t="s">
        <v>23</v>
      </c>
      <c r="C2901" t="s">
        <v>272</v>
      </c>
      <c r="D2901">
        <v>28</v>
      </c>
      <c r="E2901">
        <v>2</v>
      </c>
      <c r="F2901">
        <v>14</v>
      </c>
      <c r="G2901" t="s">
        <v>52</v>
      </c>
      <c r="H2901" s="1">
        <v>14</v>
      </c>
      <c r="I2901" s="1">
        <v>66</v>
      </c>
      <c r="J2901" s="1">
        <v>71</v>
      </c>
      <c r="K2901" s="1">
        <f>J2901-I2901</f>
        <v>5</v>
      </c>
      <c r="L2901" s="1">
        <v>147</v>
      </c>
      <c r="M2901" s="1">
        <v>90</v>
      </c>
      <c r="N2901" s="1">
        <v>2</v>
      </c>
      <c r="O2901" s="1">
        <v>2.5</v>
      </c>
      <c r="P2901" s="1">
        <f>H2901</f>
        <v>14</v>
      </c>
      <c r="Q2901" s="2">
        <v>0.105</v>
      </c>
      <c r="R2901" s="1">
        <v>14</v>
      </c>
      <c r="S2901" s="1">
        <f>R2901/P2901</f>
        <v>1</v>
      </c>
      <c r="T2901" s="1">
        <v>5</v>
      </c>
      <c r="U2901" s="1">
        <v>12.5</v>
      </c>
      <c r="V2901" s="1">
        <v>384.31372549019608</v>
      </c>
      <c r="W2901" s="1">
        <v>5</v>
      </c>
    </row>
    <row r="2902" spans="1:23" x14ac:dyDescent="0.2">
      <c r="A2902">
        <v>2020</v>
      </c>
      <c r="B2902" t="s">
        <v>23</v>
      </c>
      <c r="C2902" t="s">
        <v>272</v>
      </c>
      <c r="D2902">
        <v>29</v>
      </c>
      <c r="E2902">
        <v>1</v>
      </c>
      <c r="F2902">
        <v>14</v>
      </c>
      <c r="G2902" t="s">
        <v>53</v>
      </c>
      <c r="H2902">
        <v>6</v>
      </c>
      <c r="I2902">
        <v>56</v>
      </c>
      <c r="J2902">
        <v>60</v>
      </c>
      <c r="K2902">
        <v>4</v>
      </c>
      <c r="L2902">
        <v>78</v>
      </c>
      <c r="M2902">
        <v>28</v>
      </c>
      <c r="N2902">
        <v>1.5</v>
      </c>
      <c r="O2902">
        <v>2</v>
      </c>
      <c r="P2902">
        <v>6</v>
      </c>
      <c r="Q2902">
        <v>0.5</v>
      </c>
      <c r="R2902">
        <v>8</v>
      </c>
      <c r="S2902">
        <v>1.3333333333333333</v>
      </c>
      <c r="T2902">
        <v>3</v>
      </c>
      <c r="U2902">
        <v>12.5</v>
      </c>
      <c r="V2902">
        <v>1830.0653594771243</v>
      </c>
      <c r="W2902">
        <v>1</v>
      </c>
    </row>
    <row r="2903" spans="1:23" x14ac:dyDescent="0.2">
      <c r="A2903">
        <v>2020</v>
      </c>
      <c r="B2903" t="s">
        <v>23</v>
      </c>
      <c r="C2903" t="s">
        <v>272</v>
      </c>
      <c r="D2903">
        <v>29</v>
      </c>
      <c r="E2903">
        <v>2</v>
      </c>
      <c r="F2903">
        <v>7</v>
      </c>
      <c r="G2903" t="s">
        <v>53</v>
      </c>
      <c r="H2903">
        <v>2</v>
      </c>
      <c r="I2903">
        <v>56</v>
      </c>
      <c r="J2903">
        <v>60</v>
      </c>
      <c r="K2903">
        <v>4</v>
      </c>
      <c r="L2903">
        <v>78</v>
      </c>
      <c r="M2903">
        <v>20</v>
      </c>
      <c r="N2903">
        <v>2</v>
      </c>
      <c r="O2903">
        <v>3</v>
      </c>
      <c r="P2903">
        <v>2</v>
      </c>
      <c r="Q2903">
        <v>0.2</v>
      </c>
      <c r="R2903">
        <v>2</v>
      </c>
      <c r="S2903">
        <v>1</v>
      </c>
      <c r="T2903">
        <v>3</v>
      </c>
      <c r="U2903">
        <v>12.5</v>
      </c>
      <c r="V2903">
        <v>732.02614379084969</v>
      </c>
      <c r="W2903">
        <v>1</v>
      </c>
    </row>
    <row r="2904" spans="1:23" x14ac:dyDescent="0.2">
      <c r="A2904">
        <v>2020</v>
      </c>
      <c r="B2904" t="s">
        <v>23</v>
      </c>
      <c r="C2904" t="s">
        <v>272</v>
      </c>
      <c r="D2904">
        <v>30</v>
      </c>
      <c r="E2904">
        <v>1</v>
      </c>
      <c r="F2904">
        <v>7</v>
      </c>
      <c r="G2904" t="s">
        <v>54</v>
      </c>
      <c r="H2904" s="1">
        <v>14</v>
      </c>
      <c r="I2904" s="1">
        <v>60</v>
      </c>
      <c r="J2904" s="1">
        <v>63</v>
      </c>
      <c r="K2904" s="1">
        <f>J2904-I2904</f>
        <v>3</v>
      </c>
      <c r="L2904" s="1">
        <v>135</v>
      </c>
      <c r="M2904" s="1">
        <v>65</v>
      </c>
      <c r="N2904" s="1">
        <v>2</v>
      </c>
      <c r="O2904" s="1">
        <v>4</v>
      </c>
      <c r="P2904" s="1">
        <v>12</v>
      </c>
      <c r="Q2904" s="2">
        <v>0.46350000000000002</v>
      </c>
      <c r="R2904" s="1">
        <v>8</v>
      </c>
      <c r="S2904" s="1">
        <f>R2904/P2904</f>
        <v>0.66666666666666663</v>
      </c>
      <c r="T2904" s="1">
        <v>5</v>
      </c>
      <c r="U2904" s="1">
        <v>12.5</v>
      </c>
      <c r="V2904" s="1">
        <v>1696.4705882352941</v>
      </c>
      <c r="W2904" s="1">
        <v>6</v>
      </c>
    </row>
    <row r="2905" spans="1:23" x14ac:dyDescent="0.2">
      <c r="A2905">
        <v>2020</v>
      </c>
      <c r="B2905" t="s">
        <v>23</v>
      </c>
      <c r="C2905" t="s">
        <v>272</v>
      </c>
      <c r="D2905">
        <v>30</v>
      </c>
      <c r="E2905">
        <v>2</v>
      </c>
      <c r="F2905">
        <v>4</v>
      </c>
      <c r="G2905" t="s">
        <v>54</v>
      </c>
      <c r="H2905">
        <v>4</v>
      </c>
      <c r="I2905">
        <v>62</v>
      </c>
      <c r="J2905">
        <v>65</v>
      </c>
      <c r="K2905">
        <v>3</v>
      </c>
      <c r="L2905">
        <v>155</v>
      </c>
      <c r="M2905">
        <v>90</v>
      </c>
      <c r="N2905">
        <v>2</v>
      </c>
      <c r="O2905">
        <v>3</v>
      </c>
      <c r="P2905">
        <v>4</v>
      </c>
      <c r="Q2905">
        <v>0.5</v>
      </c>
      <c r="R2905">
        <v>4</v>
      </c>
      <c r="S2905">
        <v>1</v>
      </c>
      <c r="T2905">
        <v>3</v>
      </c>
      <c r="U2905">
        <v>12.5</v>
      </c>
      <c r="V2905">
        <v>1830.0653594771243</v>
      </c>
      <c r="W2905">
        <v>1</v>
      </c>
    </row>
    <row r="2906" spans="1:23" x14ac:dyDescent="0.2">
      <c r="A2906">
        <v>2020</v>
      </c>
      <c r="B2906" t="s">
        <v>23</v>
      </c>
      <c r="C2906" t="s">
        <v>272</v>
      </c>
      <c r="D2906">
        <v>31</v>
      </c>
      <c r="E2906">
        <v>1</v>
      </c>
      <c r="F2906">
        <v>6</v>
      </c>
      <c r="G2906" t="s">
        <v>55</v>
      </c>
      <c r="H2906">
        <v>3</v>
      </c>
      <c r="I2906">
        <v>60</v>
      </c>
      <c r="J2906">
        <v>63</v>
      </c>
      <c r="K2906">
        <v>3</v>
      </c>
      <c r="L2906">
        <v>115</v>
      </c>
      <c r="M2906">
        <v>41</v>
      </c>
      <c r="N2906">
        <v>2</v>
      </c>
      <c r="O2906">
        <v>3</v>
      </c>
      <c r="P2906">
        <v>3</v>
      </c>
      <c r="Q2906">
        <v>0.3</v>
      </c>
      <c r="R2906">
        <v>3</v>
      </c>
      <c r="S2906">
        <v>1</v>
      </c>
      <c r="T2906">
        <v>2.5</v>
      </c>
      <c r="U2906">
        <v>12.5</v>
      </c>
      <c r="V2906">
        <v>1098.0392156862745</v>
      </c>
      <c r="W2906">
        <v>1</v>
      </c>
    </row>
    <row r="2907" spans="1:23" x14ac:dyDescent="0.2">
      <c r="A2907">
        <v>2020</v>
      </c>
      <c r="B2907" t="s">
        <v>23</v>
      </c>
      <c r="C2907" t="s">
        <v>272</v>
      </c>
      <c r="D2907">
        <v>31</v>
      </c>
      <c r="E2907">
        <v>2</v>
      </c>
      <c r="F2907">
        <v>6</v>
      </c>
      <c r="G2907" t="s">
        <v>55</v>
      </c>
      <c r="H2907" s="1">
        <v>7</v>
      </c>
      <c r="I2907" s="1">
        <v>56</v>
      </c>
      <c r="J2907" s="1">
        <v>61</v>
      </c>
      <c r="K2907" s="1">
        <f>J2907-I2907</f>
        <v>5</v>
      </c>
      <c r="L2907" s="1">
        <v>134</v>
      </c>
      <c r="M2907" s="1">
        <v>56</v>
      </c>
      <c r="N2907" s="1">
        <v>3</v>
      </c>
      <c r="O2907" s="1">
        <v>3.5</v>
      </c>
      <c r="P2907" s="1">
        <v>4</v>
      </c>
      <c r="Q2907" s="2">
        <v>0.72399999999999998</v>
      </c>
      <c r="R2907" s="1">
        <v>4</v>
      </c>
      <c r="S2907" s="1">
        <f>R2907/P2907</f>
        <v>1</v>
      </c>
      <c r="T2907" s="1">
        <v>2</v>
      </c>
      <c r="U2907" s="1">
        <v>12.5</v>
      </c>
      <c r="V2907" s="1">
        <v>2649.9346405228757</v>
      </c>
      <c r="W2907" s="1">
        <v>4</v>
      </c>
    </row>
    <row r="2908" spans="1:23" x14ac:dyDescent="0.2">
      <c r="A2908">
        <v>2020</v>
      </c>
      <c r="B2908" t="s">
        <v>23</v>
      </c>
      <c r="C2908" t="s">
        <v>272</v>
      </c>
      <c r="D2908">
        <v>32</v>
      </c>
      <c r="E2908">
        <v>1</v>
      </c>
      <c r="F2908">
        <v>12</v>
      </c>
      <c r="G2908" t="s">
        <v>56</v>
      </c>
      <c r="H2908" s="1">
        <v>7</v>
      </c>
      <c r="I2908" s="1">
        <v>66</v>
      </c>
      <c r="J2908" s="1">
        <v>69</v>
      </c>
      <c r="K2908" s="1">
        <f>J2908-I2908</f>
        <v>3</v>
      </c>
      <c r="L2908" s="1">
        <v>152</v>
      </c>
      <c r="M2908" s="1">
        <v>70</v>
      </c>
      <c r="N2908" s="1">
        <v>2</v>
      </c>
      <c r="O2908" s="1">
        <v>3.5</v>
      </c>
      <c r="P2908" s="1">
        <v>5</v>
      </c>
      <c r="Q2908" s="2">
        <v>3.7499999999999999E-2</v>
      </c>
      <c r="R2908" s="1">
        <v>2</v>
      </c>
      <c r="S2908" s="1">
        <f>R2908/P2908</f>
        <v>0.4</v>
      </c>
      <c r="T2908" s="1">
        <v>5</v>
      </c>
      <c r="U2908" s="1">
        <v>12.5</v>
      </c>
      <c r="V2908" s="1">
        <v>137.25490196078431</v>
      </c>
      <c r="W2908" s="1">
        <v>6</v>
      </c>
    </row>
    <row r="2909" spans="1:23" x14ac:dyDescent="0.2">
      <c r="A2909">
        <v>2020</v>
      </c>
      <c r="B2909" t="s">
        <v>23</v>
      </c>
      <c r="C2909" t="s">
        <v>272</v>
      </c>
      <c r="D2909">
        <v>32</v>
      </c>
      <c r="E2909">
        <v>2</v>
      </c>
      <c r="F2909">
        <v>3</v>
      </c>
      <c r="G2909" t="s">
        <v>56</v>
      </c>
      <c r="H2909">
        <v>5</v>
      </c>
      <c r="I2909">
        <v>55</v>
      </c>
      <c r="J2909">
        <v>56</v>
      </c>
      <c r="K2909">
        <v>1</v>
      </c>
      <c r="L2909">
        <v>170</v>
      </c>
      <c r="M2909">
        <v>69</v>
      </c>
      <c r="N2909">
        <v>2</v>
      </c>
      <c r="O2909">
        <v>3</v>
      </c>
      <c r="P2909">
        <v>5</v>
      </c>
      <c r="Q2909">
        <v>0.5</v>
      </c>
      <c r="R2909">
        <v>6</v>
      </c>
      <c r="S2909">
        <v>1.2</v>
      </c>
      <c r="T2909">
        <v>3</v>
      </c>
      <c r="U2909">
        <v>12.5</v>
      </c>
      <c r="V2909">
        <v>1830.0653594771243</v>
      </c>
      <c r="W2909">
        <v>2</v>
      </c>
    </row>
    <row r="2910" spans="1:23" x14ac:dyDescent="0.2">
      <c r="A2910">
        <v>2020</v>
      </c>
      <c r="B2910" t="s">
        <v>23</v>
      </c>
      <c r="C2910" t="s">
        <v>272</v>
      </c>
      <c r="D2910">
        <v>33</v>
      </c>
      <c r="E2910">
        <v>1</v>
      </c>
      <c r="F2910">
        <v>8</v>
      </c>
      <c r="G2910" t="s">
        <v>57</v>
      </c>
      <c r="H2910">
        <v>13</v>
      </c>
      <c r="I2910">
        <v>58</v>
      </c>
      <c r="J2910">
        <v>62</v>
      </c>
      <c r="K2910">
        <v>4</v>
      </c>
      <c r="L2910">
        <v>194</v>
      </c>
      <c r="M2910">
        <v>63</v>
      </c>
      <c r="N2910">
        <v>2</v>
      </c>
      <c r="O2910">
        <v>2</v>
      </c>
      <c r="P2910">
        <v>9</v>
      </c>
      <c r="Q2910">
        <v>0.5</v>
      </c>
      <c r="R2910">
        <v>9</v>
      </c>
      <c r="S2910">
        <v>1</v>
      </c>
      <c r="T2910">
        <v>2</v>
      </c>
      <c r="U2910">
        <v>9.9</v>
      </c>
      <c r="V2910">
        <v>1884.4444444444443</v>
      </c>
      <c r="W2910">
        <v>2</v>
      </c>
    </row>
    <row r="2911" spans="1:23" x14ac:dyDescent="0.2">
      <c r="A2911">
        <v>2020</v>
      </c>
      <c r="B2911" t="s">
        <v>23</v>
      </c>
      <c r="C2911" t="s">
        <v>272</v>
      </c>
      <c r="D2911">
        <v>33</v>
      </c>
      <c r="E2911">
        <v>2</v>
      </c>
      <c r="F2911">
        <v>13</v>
      </c>
      <c r="G2911" t="s">
        <v>57</v>
      </c>
      <c r="H2911">
        <v>5</v>
      </c>
      <c r="I2911">
        <v>63</v>
      </c>
      <c r="J2911">
        <v>65</v>
      </c>
      <c r="K2911">
        <v>2</v>
      </c>
      <c r="L2911">
        <v>165</v>
      </c>
      <c r="M2911">
        <v>65</v>
      </c>
      <c r="N2911">
        <v>2</v>
      </c>
      <c r="O2911">
        <v>3</v>
      </c>
      <c r="P2911">
        <v>5</v>
      </c>
      <c r="Q2911">
        <v>0.8</v>
      </c>
      <c r="R2911">
        <v>5</v>
      </c>
      <c r="S2911">
        <v>1</v>
      </c>
      <c r="T2911">
        <v>2.5</v>
      </c>
      <c r="U2911">
        <v>12.5</v>
      </c>
      <c r="V2911">
        <v>2928.1045751633987</v>
      </c>
      <c r="W2911">
        <v>2</v>
      </c>
    </row>
    <row r="2912" spans="1:23" x14ac:dyDescent="0.2">
      <c r="A2912">
        <v>2020</v>
      </c>
      <c r="B2912" t="s">
        <v>23</v>
      </c>
      <c r="C2912" t="s">
        <v>272</v>
      </c>
      <c r="D2912">
        <v>34</v>
      </c>
      <c r="E2912">
        <v>1</v>
      </c>
      <c r="F2912">
        <v>14</v>
      </c>
      <c r="G2912" t="s">
        <v>58</v>
      </c>
      <c r="H2912" s="1">
        <v>14</v>
      </c>
      <c r="I2912" s="1">
        <v>71</v>
      </c>
      <c r="J2912" s="1">
        <v>75</v>
      </c>
      <c r="K2912" s="1">
        <f>J2912-I2912</f>
        <v>4</v>
      </c>
      <c r="L2912" s="1">
        <v>133</v>
      </c>
      <c r="M2912" s="1">
        <v>70</v>
      </c>
      <c r="N2912" s="1">
        <v>2</v>
      </c>
      <c r="O2912" s="1">
        <v>3.5</v>
      </c>
      <c r="P2912" s="1">
        <f>H2912</f>
        <v>14</v>
      </c>
      <c r="Q2912" s="2">
        <v>0.57420000000000004</v>
      </c>
      <c r="R2912" s="1">
        <v>10</v>
      </c>
      <c r="S2912" s="1">
        <f>R2912/P2912</f>
        <v>0.7142857142857143</v>
      </c>
      <c r="T2912" s="1">
        <v>5</v>
      </c>
      <c r="U2912" s="1">
        <v>12.5</v>
      </c>
      <c r="V2912" s="1">
        <v>2101.6470588235297</v>
      </c>
      <c r="W2912" s="1">
        <v>4</v>
      </c>
    </row>
    <row r="2913" spans="1:23" x14ac:dyDescent="0.2">
      <c r="A2913">
        <v>2020</v>
      </c>
      <c r="B2913" t="s">
        <v>23</v>
      </c>
      <c r="C2913" t="s">
        <v>272</v>
      </c>
      <c r="D2913">
        <v>34</v>
      </c>
      <c r="E2913">
        <v>2</v>
      </c>
      <c r="F2913">
        <v>1</v>
      </c>
      <c r="G2913" t="s">
        <v>58</v>
      </c>
      <c r="H2913">
        <v>14</v>
      </c>
      <c r="I2913">
        <v>56</v>
      </c>
      <c r="J2913">
        <v>60</v>
      </c>
      <c r="K2913">
        <v>4</v>
      </c>
      <c r="L2913">
        <v>106</v>
      </c>
      <c r="M2913">
        <v>28</v>
      </c>
      <c r="N2913">
        <v>1.5</v>
      </c>
      <c r="O2913">
        <v>4</v>
      </c>
      <c r="P2913">
        <v>14</v>
      </c>
      <c r="Q2913">
        <v>1.6</v>
      </c>
      <c r="R2913">
        <v>16</v>
      </c>
      <c r="S2913">
        <v>1.1428571428571428</v>
      </c>
      <c r="T2913">
        <v>2.5</v>
      </c>
      <c r="U2913">
        <v>12.5</v>
      </c>
      <c r="V2913">
        <v>5856.2091503267975</v>
      </c>
      <c r="W2913">
        <v>2</v>
      </c>
    </row>
    <row r="2914" spans="1:23" x14ac:dyDescent="0.2">
      <c r="A2914">
        <v>2020</v>
      </c>
      <c r="B2914" t="s">
        <v>23</v>
      </c>
      <c r="C2914" t="s">
        <v>272</v>
      </c>
      <c r="D2914">
        <v>35</v>
      </c>
      <c r="E2914">
        <v>1</v>
      </c>
      <c r="F2914">
        <v>7</v>
      </c>
      <c r="G2914" t="s">
        <v>59</v>
      </c>
      <c r="H2914">
        <v>14</v>
      </c>
      <c r="I2914">
        <v>55</v>
      </c>
      <c r="J2914">
        <v>56</v>
      </c>
      <c r="K2914">
        <v>1</v>
      </c>
      <c r="L2914">
        <v>197</v>
      </c>
      <c r="M2914">
        <v>60</v>
      </c>
      <c r="N2914">
        <v>1</v>
      </c>
      <c r="O2914">
        <v>1.5</v>
      </c>
      <c r="P2914">
        <v>12</v>
      </c>
      <c r="Q2914">
        <v>1.1000000000000001</v>
      </c>
      <c r="R2914">
        <v>12</v>
      </c>
      <c r="S2914">
        <v>1</v>
      </c>
      <c r="T2914">
        <v>1</v>
      </c>
      <c r="U2914">
        <v>19.2</v>
      </c>
      <c r="V2914">
        <v>3717.8562091503272</v>
      </c>
      <c r="W2914">
        <v>2</v>
      </c>
    </row>
    <row r="2915" spans="1:23" x14ac:dyDescent="0.2">
      <c r="A2915">
        <v>2020</v>
      </c>
      <c r="B2915" t="s">
        <v>23</v>
      </c>
      <c r="C2915" t="s">
        <v>272</v>
      </c>
      <c r="D2915">
        <v>35</v>
      </c>
      <c r="E2915">
        <v>2</v>
      </c>
      <c r="F2915">
        <v>10</v>
      </c>
      <c r="G2915" t="s">
        <v>59</v>
      </c>
      <c r="H2915" s="1">
        <v>1</v>
      </c>
      <c r="I2915" s="1">
        <v>65</v>
      </c>
      <c r="J2915" s="1">
        <v>66</v>
      </c>
      <c r="K2915" s="1">
        <f>J2915-I2915</f>
        <v>1</v>
      </c>
      <c r="L2915" s="1">
        <v>133</v>
      </c>
      <c r="M2915" s="1">
        <v>73</v>
      </c>
      <c r="N2915" s="1">
        <v>2</v>
      </c>
      <c r="O2915" s="1">
        <v>3.5</v>
      </c>
      <c r="P2915" s="1">
        <v>1</v>
      </c>
      <c r="Q2915" s="2">
        <v>2.7E-2</v>
      </c>
      <c r="R2915" s="1">
        <v>1</v>
      </c>
      <c r="S2915" s="1">
        <f>R2915/P2915</f>
        <v>1</v>
      </c>
      <c r="T2915" s="1">
        <v>3</v>
      </c>
      <c r="U2915" s="1">
        <v>12.5</v>
      </c>
      <c r="V2915" s="1">
        <v>98.823529411764696</v>
      </c>
      <c r="W2915" s="1">
        <v>6</v>
      </c>
    </row>
    <row r="2916" spans="1:23" x14ac:dyDescent="0.2">
      <c r="A2916">
        <v>2020</v>
      </c>
      <c r="B2916" t="s">
        <v>23</v>
      </c>
      <c r="C2916" t="s">
        <v>272</v>
      </c>
      <c r="D2916">
        <v>36</v>
      </c>
      <c r="E2916">
        <v>1</v>
      </c>
      <c r="F2916">
        <v>15</v>
      </c>
      <c r="G2916" t="s">
        <v>60</v>
      </c>
      <c r="H2916" s="1">
        <v>11</v>
      </c>
      <c r="I2916" s="1">
        <v>68</v>
      </c>
      <c r="J2916" s="1">
        <v>73</v>
      </c>
      <c r="K2916" s="1">
        <f>J2916-I2916</f>
        <v>5</v>
      </c>
      <c r="L2916" s="1">
        <v>170</v>
      </c>
      <c r="M2916" s="1">
        <v>100</v>
      </c>
      <c r="N2916" s="1">
        <v>2</v>
      </c>
      <c r="O2916" s="1">
        <v>2</v>
      </c>
      <c r="P2916" s="1">
        <v>11</v>
      </c>
      <c r="Q2916" s="2">
        <v>0.35549999999999998</v>
      </c>
      <c r="R2916" s="1">
        <v>10</v>
      </c>
      <c r="S2916" s="1">
        <f>R2916/P2916</f>
        <v>0.90909090909090906</v>
      </c>
      <c r="T2916" s="1">
        <v>3</v>
      </c>
      <c r="U2916" s="1">
        <v>12.5</v>
      </c>
      <c r="V2916" s="1">
        <v>1301.1764705882351</v>
      </c>
      <c r="W2916" s="1">
        <v>4</v>
      </c>
    </row>
    <row r="2917" spans="1:23" x14ac:dyDescent="0.2">
      <c r="A2917">
        <v>2020</v>
      </c>
      <c r="B2917" t="s">
        <v>23</v>
      </c>
      <c r="C2917" t="s">
        <v>272</v>
      </c>
      <c r="D2917">
        <v>36</v>
      </c>
      <c r="E2917">
        <v>2</v>
      </c>
      <c r="F2917">
        <v>1</v>
      </c>
      <c r="G2917" t="s">
        <v>60</v>
      </c>
      <c r="H2917">
        <v>12</v>
      </c>
      <c r="I2917">
        <v>52</v>
      </c>
      <c r="J2917">
        <v>55</v>
      </c>
      <c r="K2917">
        <v>3</v>
      </c>
      <c r="L2917">
        <v>173</v>
      </c>
      <c r="M2917">
        <v>82</v>
      </c>
      <c r="N2917">
        <v>2</v>
      </c>
      <c r="O2917">
        <v>1.5</v>
      </c>
      <c r="P2917">
        <v>10</v>
      </c>
      <c r="Q2917">
        <v>0.6</v>
      </c>
      <c r="R2917">
        <v>10</v>
      </c>
      <c r="S2917">
        <v>1</v>
      </c>
      <c r="T2917">
        <v>2</v>
      </c>
      <c r="U2917">
        <v>12.2</v>
      </c>
      <c r="V2917">
        <v>2203.6078431372548</v>
      </c>
      <c r="W2917">
        <v>1</v>
      </c>
    </row>
    <row r="2918" spans="1:23" x14ac:dyDescent="0.2">
      <c r="A2918">
        <v>2020</v>
      </c>
      <c r="B2918" t="s">
        <v>23</v>
      </c>
      <c r="C2918" t="s">
        <v>272</v>
      </c>
      <c r="D2918">
        <v>37</v>
      </c>
      <c r="E2918">
        <v>1</v>
      </c>
      <c r="F2918">
        <v>11</v>
      </c>
      <c r="G2918" t="s">
        <v>61</v>
      </c>
      <c r="H2918">
        <v>14</v>
      </c>
      <c r="I2918">
        <v>54</v>
      </c>
      <c r="J2918">
        <v>56</v>
      </c>
      <c r="K2918">
        <v>2</v>
      </c>
      <c r="L2918">
        <v>164</v>
      </c>
      <c r="M2918">
        <v>74</v>
      </c>
      <c r="N2918">
        <v>2</v>
      </c>
      <c r="O2918">
        <v>2</v>
      </c>
      <c r="P2918">
        <v>16</v>
      </c>
      <c r="Q2918">
        <v>1.6</v>
      </c>
      <c r="R2918">
        <v>13</v>
      </c>
      <c r="S2918">
        <v>0.8125</v>
      </c>
      <c r="T2918">
        <v>3</v>
      </c>
      <c r="U2918">
        <v>14.4</v>
      </c>
      <c r="V2918">
        <v>5729.0457516339866</v>
      </c>
      <c r="W2918">
        <v>1</v>
      </c>
    </row>
    <row r="2919" spans="1:23" x14ac:dyDescent="0.2">
      <c r="A2919">
        <v>2020</v>
      </c>
      <c r="B2919" t="s">
        <v>23</v>
      </c>
      <c r="C2919" t="s">
        <v>272</v>
      </c>
      <c r="D2919">
        <v>37</v>
      </c>
      <c r="E2919">
        <v>2</v>
      </c>
      <c r="F2919">
        <v>1</v>
      </c>
      <c r="G2919" t="s">
        <v>61</v>
      </c>
      <c r="H2919" s="1">
        <v>1</v>
      </c>
      <c r="I2919" s="1">
        <v>69</v>
      </c>
      <c r="J2919" s="1">
        <v>72</v>
      </c>
      <c r="K2919" s="1">
        <f t="shared" ref="K2919:K2928" si="142">J2919-I2919</f>
        <v>3</v>
      </c>
      <c r="L2919" s="1">
        <v>165</v>
      </c>
      <c r="M2919" s="1">
        <v>53</v>
      </c>
      <c r="N2919" s="1">
        <v>3</v>
      </c>
      <c r="O2919" s="1">
        <v>3.5</v>
      </c>
      <c r="P2919" s="1">
        <v>1</v>
      </c>
      <c r="Q2919" s="2">
        <v>3.2000000000000001E-2</v>
      </c>
      <c r="R2919" s="1">
        <v>1</v>
      </c>
      <c r="S2919" s="1">
        <f t="shared" ref="S2919:S2928" si="143">R2919/P2919</f>
        <v>1</v>
      </c>
      <c r="T2919" s="1">
        <v>5</v>
      </c>
      <c r="U2919" s="1">
        <v>12.5</v>
      </c>
      <c r="V2919" s="1">
        <v>117.12418300653596</v>
      </c>
      <c r="W2919" s="1">
        <v>4</v>
      </c>
    </row>
    <row r="2920" spans="1:23" x14ac:dyDescent="0.2">
      <c r="A2920">
        <v>2020</v>
      </c>
      <c r="B2920" t="s">
        <v>23</v>
      </c>
      <c r="C2920" t="s">
        <v>272</v>
      </c>
      <c r="D2920">
        <v>38</v>
      </c>
      <c r="E2920">
        <v>1</v>
      </c>
      <c r="F2920">
        <v>4</v>
      </c>
      <c r="G2920" t="s">
        <v>62</v>
      </c>
      <c r="H2920" s="1">
        <v>10</v>
      </c>
      <c r="I2920" s="1">
        <v>67</v>
      </c>
      <c r="J2920" s="1">
        <v>72</v>
      </c>
      <c r="K2920" s="1">
        <f t="shared" si="142"/>
        <v>5</v>
      </c>
      <c r="L2920" s="1">
        <v>97</v>
      </c>
      <c r="M2920" s="1">
        <v>47</v>
      </c>
      <c r="N2920" s="1">
        <v>2</v>
      </c>
      <c r="O2920" s="1">
        <v>4</v>
      </c>
      <c r="P2920" s="1">
        <v>8</v>
      </c>
      <c r="Q2920" s="2">
        <v>0.253</v>
      </c>
      <c r="R2920" s="1">
        <v>7</v>
      </c>
      <c r="S2920" s="1">
        <f t="shared" si="143"/>
        <v>0.875</v>
      </c>
      <c r="T2920" s="1">
        <v>4</v>
      </c>
      <c r="U2920" s="1">
        <v>12.5</v>
      </c>
      <c r="V2920" s="1">
        <v>926.01307189542479</v>
      </c>
      <c r="W2920" s="1">
        <v>5</v>
      </c>
    </row>
    <row r="2921" spans="1:23" x14ac:dyDescent="0.2">
      <c r="A2921">
        <v>2020</v>
      </c>
      <c r="B2921" t="s">
        <v>23</v>
      </c>
      <c r="C2921" t="s">
        <v>272</v>
      </c>
      <c r="D2921">
        <v>38</v>
      </c>
      <c r="E2921">
        <v>2</v>
      </c>
      <c r="F2921">
        <v>11</v>
      </c>
      <c r="G2921" t="s">
        <v>62</v>
      </c>
      <c r="H2921" s="1">
        <v>10</v>
      </c>
      <c r="I2921" s="1">
        <v>58</v>
      </c>
      <c r="J2921" s="1">
        <v>62</v>
      </c>
      <c r="K2921" s="1">
        <f t="shared" si="142"/>
        <v>4</v>
      </c>
      <c r="L2921" s="1">
        <v>87</v>
      </c>
      <c r="M2921" s="1">
        <v>25</v>
      </c>
      <c r="N2921" s="1">
        <v>2</v>
      </c>
      <c r="O2921" s="1">
        <v>5</v>
      </c>
      <c r="P2921" s="1">
        <v>7</v>
      </c>
      <c r="Q2921" s="2">
        <v>5.3999999999999999E-2</v>
      </c>
      <c r="R2921" s="1">
        <v>3</v>
      </c>
      <c r="S2921" s="1">
        <f t="shared" si="143"/>
        <v>0.42857142857142855</v>
      </c>
      <c r="T2921" s="1">
        <v>5</v>
      </c>
      <c r="U2921" s="1">
        <v>12.5</v>
      </c>
      <c r="V2921" s="1">
        <v>197.64705882352939</v>
      </c>
      <c r="W2921" s="1">
        <v>3</v>
      </c>
    </row>
    <row r="2922" spans="1:23" x14ac:dyDescent="0.2">
      <c r="A2922">
        <v>2020</v>
      </c>
      <c r="B2922" t="s">
        <v>23</v>
      </c>
      <c r="C2922" t="s">
        <v>272</v>
      </c>
      <c r="D2922">
        <v>39</v>
      </c>
      <c r="E2922">
        <v>1</v>
      </c>
      <c r="F2922">
        <v>7</v>
      </c>
      <c r="G2922" t="s">
        <v>63</v>
      </c>
      <c r="H2922" s="1">
        <v>11</v>
      </c>
      <c r="I2922" s="1">
        <v>66</v>
      </c>
      <c r="J2922" s="1">
        <v>70</v>
      </c>
      <c r="K2922" s="1">
        <f t="shared" si="142"/>
        <v>4</v>
      </c>
      <c r="L2922" s="1">
        <v>180</v>
      </c>
      <c r="M2922" s="1">
        <v>87</v>
      </c>
      <c r="N2922" s="1">
        <v>2</v>
      </c>
      <c r="O2922" s="1">
        <v>3.5</v>
      </c>
      <c r="P2922" s="1">
        <v>9</v>
      </c>
      <c r="Q2922" s="2">
        <v>0.72719999999999996</v>
      </c>
      <c r="R2922" s="1">
        <v>5</v>
      </c>
      <c r="S2922" s="1">
        <f t="shared" si="143"/>
        <v>0.55555555555555558</v>
      </c>
      <c r="T2922" s="1">
        <v>3</v>
      </c>
      <c r="U2922" s="1">
        <v>8.5</v>
      </c>
      <c r="V2922" s="1">
        <v>2783.3223529411766</v>
      </c>
      <c r="W2922" s="1">
        <v>6</v>
      </c>
    </row>
    <row r="2923" spans="1:23" x14ac:dyDescent="0.2">
      <c r="A2923">
        <v>2020</v>
      </c>
      <c r="B2923" t="s">
        <v>23</v>
      </c>
      <c r="C2923" t="s">
        <v>272</v>
      </c>
      <c r="D2923">
        <v>39</v>
      </c>
      <c r="E2923">
        <v>2</v>
      </c>
      <c r="F2923">
        <v>2</v>
      </c>
      <c r="G2923" t="s">
        <v>63</v>
      </c>
      <c r="H2923" s="1">
        <v>1</v>
      </c>
      <c r="I2923" s="1">
        <v>68</v>
      </c>
      <c r="J2923" s="1">
        <v>70</v>
      </c>
      <c r="K2923" s="1">
        <f t="shared" si="142"/>
        <v>2</v>
      </c>
      <c r="L2923" s="1">
        <v>52</v>
      </c>
      <c r="M2923" s="1">
        <v>42</v>
      </c>
      <c r="N2923" s="1">
        <v>1</v>
      </c>
      <c r="O2923" s="1">
        <v>2</v>
      </c>
      <c r="P2923" s="1">
        <v>1</v>
      </c>
      <c r="Q2923" s="2">
        <v>5.9849999999999993E-2</v>
      </c>
      <c r="R2923" s="1">
        <v>1</v>
      </c>
      <c r="S2923" s="1">
        <f t="shared" si="143"/>
        <v>1</v>
      </c>
      <c r="T2923" s="1">
        <v>2</v>
      </c>
      <c r="U2923" s="1">
        <v>12.5</v>
      </c>
      <c r="V2923" s="1">
        <v>219.05882352941177</v>
      </c>
      <c r="W2923" s="1">
        <v>4</v>
      </c>
    </row>
    <row r="2924" spans="1:23" x14ac:dyDescent="0.2">
      <c r="A2924">
        <v>2020</v>
      </c>
      <c r="B2924" t="s">
        <v>23</v>
      </c>
      <c r="C2924" t="s">
        <v>272</v>
      </c>
      <c r="D2924">
        <v>40</v>
      </c>
      <c r="E2924">
        <v>1</v>
      </c>
      <c r="F2924">
        <v>14</v>
      </c>
      <c r="G2924" t="s">
        <v>64</v>
      </c>
      <c r="H2924" s="1">
        <v>5</v>
      </c>
      <c r="I2924" s="1">
        <v>69</v>
      </c>
      <c r="J2924" s="1">
        <v>74</v>
      </c>
      <c r="K2924" s="1">
        <f t="shared" si="142"/>
        <v>5</v>
      </c>
      <c r="L2924" s="1">
        <v>143</v>
      </c>
      <c r="M2924" s="1">
        <v>88</v>
      </c>
      <c r="N2924" s="1">
        <v>2</v>
      </c>
      <c r="O2924" s="1">
        <v>2</v>
      </c>
      <c r="P2924" s="1">
        <v>5</v>
      </c>
      <c r="Q2924" s="2">
        <v>0.14647500000000002</v>
      </c>
      <c r="R2924" s="1">
        <v>4</v>
      </c>
      <c r="S2924" s="1">
        <f t="shared" si="143"/>
        <v>0.8</v>
      </c>
      <c r="T2924" s="1">
        <v>3</v>
      </c>
      <c r="U2924" s="1">
        <v>12.5</v>
      </c>
      <c r="V2924" s="1">
        <v>536.11764705882365</v>
      </c>
      <c r="W2924" s="1">
        <v>4</v>
      </c>
    </row>
    <row r="2925" spans="1:23" x14ac:dyDescent="0.2">
      <c r="A2925">
        <v>2020</v>
      </c>
      <c r="B2925" t="s">
        <v>23</v>
      </c>
      <c r="C2925" t="s">
        <v>272</v>
      </c>
      <c r="D2925">
        <v>40</v>
      </c>
      <c r="E2925">
        <v>2</v>
      </c>
      <c r="F2925">
        <v>8</v>
      </c>
      <c r="G2925" t="s">
        <v>64</v>
      </c>
      <c r="H2925" s="1">
        <v>2</v>
      </c>
      <c r="I2925" s="1">
        <v>59</v>
      </c>
      <c r="J2925" s="1">
        <v>63</v>
      </c>
      <c r="K2925" s="1">
        <f t="shared" si="142"/>
        <v>4</v>
      </c>
      <c r="L2925" s="1">
        <v>97</v>
      </c>
      <c r="M2925" s="1">
        <v>63</v>
      </c>
      <c r="N2925" s="1">
        <v>3</v>
      </c>
      <c r="O2925" s="1">
        <v>3</v>
      </c>
      <c r="P2925" s="1">
        <v>2</v>
      </c>
      <c r="Q2925" s="2">
        <v>8.8800000000000004E-2</v>
      </c>
      <c r="R2925" s="1">
        <v>3</v>
      </c>
      <c r="S2925" s="1">
        <f t="shared" si="143"/>
        <v>1.5</v>
      </c>
      <c r="T2925" s="1">
        <v>4</v>
      </c>
      <c r="U2925" s="1">
        <v>12.5</v>
      </c>
      <c r="V2925" s="1">
        <v>325.01960784313724</v>
      </c>
      <c r="W2925" s="1">
        <v>4</v>
      </c>
    </row>
    <row r="2926" spans="1:23" x14ac:dyDescent="0.2">
      <c r="A2926">
        <v>2020</v>
      </c>
      <c r="B2926" t="s">
        <v>23</v>
      </c>
      <c r="C2926" t="s">
        <v>272</v>
      </c>
      <c r="D2926">
        <v>41</v>
      </c>
      <c r="E2926">
        <v>1</v>
      </c>
      <c r="F2926">
        <v>11</v>
      </c>
      <c r="G2926" t="s">
        <v>65</v>
      </c>
      <c r="H2926" s="1">
        <v>8</v>
      </c>
      <c r="I2926" s="1">
        <v>67</v>
      </c>
      <c r="J2926" s="1">
        <v>68</v>
      </c>
      <c r="K2926" s="1">
        <f t="shared" si="142"/>
        <v>1</v>
      </c>
      <c r="L2926" s="1">
        <v>108</v>
      </c>
      <c r="M2926" s="1">
        <v>26</v>
      </c>
      <c r="N2926" s="1">
        <v>2.5</v>
      </c>
      <c r="O2926" s="1">
        <v>5</v>
      </c>
      <c r="P2926" s="1">
        <v>4</v>
      </c>
      <c r="Q2926" s="2">
        <v>0.13400000000000001</v>
      </c>
      <c r="R2926" s="1">
        <v>3</v>
      </c>
      <c r="S2926" s="1">
        <f t="shared" si="143"/>
        <v>0.75</v>
      </c>
      <c r="T2926" s="1">
        <v>4</v>
      </c>
      <c r="U2926" s="1">
        <v>12.5</v>
      </c>
      <c r="V2926" s="1">
        <v>490.45751633986936</v>
      </c>
      <c r="W2926" s="1">
        <v>5</v>
      </c>
    </row>
    <row r="2927" spans="1:23" x14ac:dyDescent="0.2">
      <c r="A2927">
        <v>2020</v>
      </c>
      <c r="B2927" t="s">
        <v>23</v>
      </c>
      <c r="C2927" t="s">
        <v>272</v>
      </c>
      <c r="D2927">
        <v>41</v>
      </c>
      <c r="E2927">
        <v>2</v>
      </c>
      <c r="F2927">
        <v>7</v>
      </c>
      <c r="G2927" t="s">
        <v>65</v>
      </c>
      <c r="H2927" s="1">
        <v>13</v>
      </c>
      <c r="I2927" s="1">
        <v>61</v>
      </c>
      <c r="J2927" s="1">
        <v>64</v>
      </c>
      <c r="K2927" s="1">
        <f t="shared" si="142"/>
        <v>3</v>
      </c>
      <c r="L2927" s="1">
        <v>196</v>
      </c>
      <c r="M2927" s="1">
        <v>83</v>
      </c>
      <c r="N2927" s="1">
        <v>2</v>
      </c>
      <c r="O2927" s="1">
        <v>2.5</v>
      </c>
      <c r="P2927" s="1">
        <f>H2927</f>
        <v>13</v>
      </c>
      <c r="Q2927" s="2">
        <v>0.12712499999999999</v>
      </c>
      <c r="R2927" s="1">
        <v>12</v>
      </c>
      <c r="S2927" s="1">
        <f t="shared" si="143"/>
        <v>0.92307692307692313</v>
      </c>
      <c r="T2927" s="1">
        <v>3</v>
      </c>
      <c r="U2927" s="1">
        <v>12.5</v>
      </c>
      <c r="V2927" s="1">
        <v>465.29411764705884</v>
      </c>
      <c r="W2927" s="1">
        <v>5</v>
      </c>
    </row>
    <row r="2928" spans="1:23" x14ac:dyDescent="0.2">
      <c r="A2928">
        <v>2020</v>
      </c>
      <c r="B2928" t="s">
        <v>23</v>
      </c>
      <c r="C2928" t="s">
        <v>272</v>
      </c>
      <c r="D2928">
        <v>42</v>
      </c>
      <c r="E2928">
        <v>1</v>
      </c>
      <c r="F2928">
        <v>6</v>
      </c>
      <c r="G2928" t="s">
        <v>66</v>
      </c>
      <c r="H2928" s="1">
        <v>5</v>
      </c>
      <c r="I2928" s="1">
        <v>62</v>
      </c>
      <c r="J2928" s="1">
        <v>67</v>
      </c>
      <c r="K2928" s="1">
        <f t="shared" si="142"/>
        <v>5</v>
      </c>
      <c r="L2928" s="1">
        <v>110</v>
      </c>
      <c r="M2928" s="1">
        <v>32</v>
      </c>
      <c r="N2928" s="1">
        <v>2.5</v>
      </c>
      <c r="O2928" s="1">
        <v>4</v>
      </c>
      <c r="P2928" s="1">
        <v>4</v>
      </c>
      <c r="Q2928" s="2">
        <v>0.10199999999999999</v>
      </c>
      <c r="R2928" s="1">
        <v>4</v>
      </c>
      <c r="S2928" s="1">
        <f t="shared" si="143"/>
        <v>1</v>
      </c>
      <c r="T2928" s="1">
        <v>5</v>
      </c>
      <c r="U2928" s="1">
        <v>12.5</v>
      </c>
      <c r="V2928" s="1">
        <v>373.33333333333326</v>
      </c>
      <c r="W2928" s="1">
        <v>4</v>
      </c>
    </row>
    <row r="2929" spans="1:23" x14ac:dyDescent="0.2">
      <c r="A2929">
        <v>2020</v>
      </c>
      <c r="B2929" t="s">
        <v>23</v>
      </c>
      <c r="C2929" t="s">
        <v>272</v>
      </c>
      <c r="D2929">
        <v>42</v>
      </c>
      <c r="E2929">
        <v>2</v>
      </c>
      <c r="F2929">
        <v>6</v>
      </c>
      <c r="G2929" t="s">
        <v>66</v>
      </c>
      <c r="H2929">
        <v>4</v>
      </c>
      <c r="I2929">
        <v>55</v>
      </c>
      <c r="J2929">
        <v>57</v>
      </c>
      <c r="K2929">
        <v>2</v>
      </c>
      <c r="L2929">
        <v>166</v>
      </c>
      <c r="M2929">
        <v>59</v>
      </c>
      <c r="N2929">
        <v>1.5</v>
      </c>
      <c r="O2929">
        <v>2</v>
      </c>
      <c r="P2929">
        <v>4</v>
      </c>
      <c r="Q2929">
        <v>0.2</v>
      </c>
      <c r="R2929">
        <v>5</v>
      </c>
      <c r="S2929">
        <v>1.25</v>
      </c>
      <c r="T2929">
        <v>2</v>
      </c>
      <c r="U2929">
        <v>12.5</v>
      </c>
      <c r="V2929">
        <v>732.02614379084969</v>
      </c>
      <c r="W2929">
        <v>1</v>
      </c>
    </row>
    <row r="2930" spans="1:23" x14ac:dyDescent="0.2">
      <c r="A2930">
        <v>2020</v>
      </c>
      <c r="B2930" t="s">
        <v>23</v>
      </c>
      <c r="C2930" t="s">
        <v>272</v>
      </c>
      <c r="D2930">
        <v>43</v>
      </c>
      <c r="E2930">
        <v>1</v>
      </c>
      <c r="F2930">
        <v>9</v>
      </c>
      <c r="G2930" t="s">
        <v>67</v>
      </c>
      <c r="H2930" s="1">
        <v>1</v>
      </c>
      <c r="I2930" s="1">
        <v>65</v>
      </c>
      <c r="J2930" s="1">
        <v>70</v>
      </c>
      <c r="K2930" s="1">
        <f t="shared" ref="K2930:K2935" si="144">J2930-I2930</f>
        <v>5</v>
      </c>
      <c r="L2930" s="1">
        <v>72</v>
      </c>
      <c r="M2930" s="1">
        <v>35</v>
      </c>
      <c r="N2930" s="1">
        <v>2</v>
      </c>
      <c r="O2930" s="1">
        <v>5</v>
      </c>
      <c r="P2930" s="1">
        <v>1</v>
      </c>
      <c r="Q2930" s="2">
        <v>0.05</v>
      </c>
      <c r="R2930" s="1">
        <v>1</v>
      </c>
      <c r="S2930" s="1">
        <f t="shared" ref="S2930:S2935" si="145">R2930/P2930</f>
        <v>1</v>
      </c>
      <c r="T2930" s="1">
        <v>5</v>
      </c>
      <c r="U2930" s="1">
        <v>12.5</v>
      </c>
      <c r="V2930" s="1">
        <v>183.00653594771242</v>
      </c>
      <c r="W2930" s="1">
        <v>6</v>
      </c>
    </row>
    <row r="2931" spans="1:23" x14ac:dyDescent="0.2">
      <c r="A2931">
        <v>2020</v>
      </c>
      <c r="B2931" t="s">
        <v>23</v>
      </c>
      <c r="C2931" t="s">
        <v>272</v>
      </c>
      <c r="D2931">
        <v>43</v>
      </c>
      <c r="E2931">
        <v>2</v>
      </c>
      <c r="F2931">
        <v>3</v>
      </c>
      <c r="G2931" t="s">
        <v>67</v>
      </c>
      <c r="H2931" s="1">
        <v>12</v>
      </c>
      <c r="I2931" s="1">
        <v>64</v>
      </c>
      <c r="J2931" s="1">
        <v>68</v>
      </c>
      <c r="K2931" s="1">
        <f t="shared" si="144"/>
        <v>4</v>
      </c>
      <c r="L2931" s="1">
        <v>115</v>
      </c>
      <c r="M2931" s="1">
        <v>71</v>
      </c>
      <c r="N2931" s="1">
        <v>2</v>
      </c>
      <c r="O2931" s="1">
        <v>3.5</v>
      </c>
      <c r="P2931" s="1">
        <f>H2931-2</f>
        <v>10</v>
      </c>
      <c r="Q2931" s="2">
        <v>5.6699999999999993E-2</v>
      </c>
      <c r="R2931" s="1">
        <v>7</v>
      </c>
      <c r="S2931" s="1">
        <f t="shared" si="145"/>
        <v>0.7</v>
      </c>
      <c r="T2931" s="1">
        <v>5</v>
      </c>
      <c r="U2931" s="1">
        <v>12.5</v>
      </c>
      <c r="V2931" s="1">
        <v>207.52941176470588</v>
      </c>
      <c r="W2931" s="1">
        <v>7</v>
      </c>
    </row>
    <row r="2932" spans="1:23" x14ac:dyDescent="0.2">
      <c r="A2932">
        <v>2020</v>
      </c>
      <c r="B2932" t="s">
        <v>23</v>
      </c>
      <c r="C2932" t="s">
        <v>272</v>
      </c>
      <c r="D2932">
        <v>44</v>
      </c>
      <c r="E2932">
        <v>1</v>
      </c>
      <c r="F2932">
        <v>12</v>
      </c>
      <c r="G2932" t="s">
        <v>68</v>
      </c>
      <c r="H2932" s="1">
        <v>9</v>
      </c>
      <c r="I2932" s="1">
        <v>67</v>
      </c>
      <c r="J2932" s="1">
        <v>72</v>
      </c>
      <c r="K2932" s="1">
        <f t="shared" si="144"/>
        <v>5</v>
      </c>
      <c r="L2932" s="1">
        <v>123</v>
      </c>
      <c r="M2932" s="1">
        <v>77</v>
      </c>
      <c r="N2932" s="1">
        <v>3</v>
      </c>
      <c r="O2932" s="1">
        <v>4</v>
      </c>
      <c r="P2932" s="1">
        <v>6</v>
      </c>
      <c r="Q2932" s="2">
        <v>0.13100000000000001</v>
      </c>
      <c r="R2932" s="1">
        <v>5</v>
      </c>
      <c r="S2932" s="1">
        <f t="shared" si="145"/>
        <v>0.83333333333333337</v>
      </c>
      <c r="T2932" s="1">
        <v>5</v>
      </c>
      <c r="U2932" s="1">
        <v>12.5</v>
      </c>
      <c r="V2932" s="1">
        <v>479.47712418300648</v>
      </c>
      <c r="W2932" s="1">
        <v>4</v>
      </c>
    </row>
    <row r="2933" spans="1:23" x14ac:dyDescent="0.2">
      <c r="A2933">
        <v>2020</v>
      </c>
      <c r="B2933" t="s">
        <v>23</v>
      </c>
      <c r="C2933" t="s">
        <v>272</v>
      </c>
      <c r="D2933">
        <v>44</v>
      </c>
      <c r="E2933">
        <v>2</v>
      </c>
      <c r="F2933">
        <v>6</v>
      </c>
      <c r="G2933" t="s">
        <v>68</v>
      </c>
      <c r="H2933" s="1">
        <v>5</v>
      </c>
      <c r="I2933" s="1">
        <v>64</v>
      </c>
      <c r="J2933" s="1">
        <v>67</v>
      </c>
      <c r="K2933" s="1">
        <f t="shared" si="144"/>
        <v>3</v>
      </c>
      <c r="L2933" s="1">
        <v>136</v>
      </c>
      <c r="M2933" s="1">
        <v>58</v>
      </c>
      <c r="N2933" s="1">
        <v>1.5</v>
      </c>
      <c r="O2933" s="1">
        <v>4</v>
      </c>
      <c r="P2933" s="1">
        <v>5</v>
      </c>
      <c r="Q2933" s="2">
        <v>0.96</v>
      </c>
      <c r="R2933" s="1">
        <v>6</v>
      </c>
      <c r="S2933" s="1">
        <f t="shared" si="145"/>
        <v>1.2</v>
      </c>
      <c r="T2933" s="1">
        <v>2</v>
      </c>
      <c r="U2933" s="1">
        <v>12.5</v>
      </c>
      <c r="V2933" s="1">
        <v>3513.7254901960787</v>
      </c>
      <c r="W2933" s="1">
        <v>3</v>
      </c>
    </row>
    <row r="2934" spans="1:23" x14ac:dyDescent="0.2">
      <c r="A2934">
        <v>2020</v>
      </c>
      <c r="B2934" t="s">
        <v>23</v>
      </c>
      <c r="C2934" t="s">
        <v>272</v>
      </c>
      <c r="D2934">
        <v>45</v>
      </c>
      <c r="E2934">
        <v>1</v>
      </c>
      <c r="F2934">
        <v>6</v>
      </c>
      <c r="G2934" t="s">
        <v>69</v>
      </c>
      <c r="H2934" s="1">
        <v>7</v>
      </c>
      <c r="I2934" s="1">
        <v>61</v>
      </c>
      <c r="J2934" s="1">
        <v>66</v>
      </c>
      <c r="K2934" s="1">
        <f t="shared" si="144"/>
        <v>5</v>
      </c>
      <c r="L2934" s="1">
        <v>116</v>
      </c>
      <c r="M2934" s="1">
        <v>60</v>
      </c>
      <c r="N2934" s="1">
        <v>1.5</v>
      </c>
      <c r="O2934" s="1">
        <v>2.5</v>
      </c>
      <c r="P2934" s="1">
        <v>5</v>
      </c>
      <c r="Q2934" s="2">
        <v>0.69199999999999995</v>
      </c>
      <c r="R2934" s="1">
        <v>5</v>
      </c>
      <c r="S2934" s="1">
        <f t="shared" si="145"/>
        <v>1</v>
      </c>
      <c r="T2934" s="1">
        <v>2.5</v>
      </c>
      <c r="U2934" s="1">
        <v>12.5</v>
      </c>
      <c r="V2934" s="1">
        <v>2532.8104575163397</v>
      </c>
      <c r="W2934" s="1">
        <v>4</v>
      </c>
    </row>
    <row r="2935" spans="1:23" x14ac:dyDescent="0.2">
      <c r="A2935">
        <v>2020</v>
      </c>
      <c r="B2935" t="s">
        <v>23</v>
      </c>
      <c r="C2935" t="s">
        <v>272</v>
      </c>
      <c r="D2935">
        <v>45</v>
      </c>
      <c r="E2935">
        <v>2</v>
      </c>
      <c r="F2935">
        <v>15</v>
      </c>
      <c r="G2935" t="s">
        <v>69</v>
      </c>
      <c r="H2935" s="1">
        <v>8</v>
      </c>
      <c r="I2935" s="1">
        <v>66</v>
      </c>
      <c r="J2935" s="1">
        <v>69</v>
      </c>
      <c r="K2935" s="1">
        <f t="shared" si="144"/>
        <v>3</v>
      </c>
      <c r="L2935" s="1">
        <v>158</v>
      </c>
      <c r="M2935" s="1">
        <v>71</v>
      </c>
      <c r="N2935" s="1">
        <v>2</v>
      </c>
      <c r="O2935" s="1">
        <v>2.5</v>
      </c>
      <c r="P2935" s="1">
        <v>7</v>
      </c>
      <c r="Q2935" s="2">
        <v>1.6424999999999999E-2</v>
      </c>
      <c r="R2935" s="1">
        <v>6</v>
      </c>
      <c r="S2935" s="1">
        <f t="shared" si="145"/>
        <v>0.8571428571428571</v>
      </c>
      <c r="T2935" s="1">
        <v>5</v>
      </c>
      <c r="U2935" s="1">
        <v>12.5</v>
      </c>
      <c r="V2935" s="1">
        <v>60.117647058823522</v>
      </c>
      <c r="W2935" s="1">
        <v>4</v>
      </c>
    </row>
    <row r="2936" spans="1:23" x14ac:dyDescent="0.2">
      <c r="A2936">
        <v>2020</v>
      </c>
      <c r="B2936" t="s">
        <v>23</v>
      </c>
      <c r="C2936" t="s">
        <v>272</v>
      </c>
      <c r="D2936">
        <v>46</v>
      </c>
      <c r="E2936">
        <v>1</v>
      </c>
      <c r="F2936">
        <v>15</v>
      </c>
      <c r="G2936" t="s">
        <v>70</v>
      </c>
      <c r="H2936">
        <v>11</v>
      </c>
      <c r="I2936">
        <v>60</v>
      </c>
      <c r="J2936">
        <v>63</v>
      </c>
      <c r="K2936">
        <v>3</v>
      </c>
      <c r="L2936">
        <v>88</v>
      </c>
      <c r="M2936">
        <v>27</v>
      </c>
      <c r="N2936">
        <v>1.5</v>
      </c>
      <c r="O2936">
        <v>2</v>
      </c>
      <c r="P2936">
        <v>11</v>
      </c>
      <c r="Q2936">
        <v>1</v>
      </c>
      <c r="R2936">
        <v>12</v>
      </c>
      <c r="S2936">
        <v>1.0909090909090908</v>
      </c>
      <c r="T2936">
        <v>2.5</v>
      </c>
      <c r="U2936">
        <v>12.5</v>
      </c>
      <c r="V2936">
        <v>3660.1307189542486</v>
      </c>
      <c r="W2936">
        <v>2</v>
      </c>
    </row>
    <row r="2937" spans="1:23" x14ac:dyDescent="0.2">
      <c r="A2937">
        <v>2020</v>
      </c>
      <c r="B2937" t="s">
        <v>23</v>
      </c>
      <c r="C2937" t="s">
        <v>272</v>
      </c>
      <c r="D2937">
        <v>46</v>
      </c>
      <c r="E2937">
        <v>2</v>
      </c>
      <c r="F2937">
        <v>8</v>
      </c>
      <c r="G2937" t="s">
        <v>70</v>
      </c>
      <c r="H2937" s="1">
        <v>6</v>
      </c>
      <c r="I2937" s="1">
        <v>65</v>
      </c>
      <c r="J2937" s="1">
        <v>69</v>
      </c>
      <c r="K2937" s="1">
        <f>J2937-I2937</f>
        <v>4</v>
      </c>
      <c r="L2937" s="1">
        <v>153</v>
      </c>
      <c r="M2937" s="1">
        <v>90</v>
      </c>
      <c r="N2937" s="1">
        <v>2</v>
      </c>
      <c r="O2937" s="1">
        <v>3.5</v>
      </c>
      <c r="P2937" s="1">
        <v>6</v>
      </c>
      <c r="Q2937" s="2">
        <v>1.8269999999999998E-2</v>
      </c>
      <c r="R2937" s="1">
        <v>4</v>
      </c>
      <c r="S2937" s="1">
        <f>R2937/P2937</f>
        <v>0.66666666666666663</v>
      </c>
      <c r="T2937" s="1">
        <v>5</v>
      </c>
      <c r="U2937" s="1">
        <v>12.5</v>
      </c>
      <c r="V2937" s="1">
        <v>66.870588235294122</v>
      </c>
      <c r="W2937" s="1">
        <v>2</v>
      </c>
    </row>
    <row r="2938" spans="1:23" x14ac:dyDescent="0.2">
      <c r="A2938">
        <v>2020</v>
      </c>
      <c r="B2938" t="s">
        <v>23</v>
      </c>
      <c r="C2938" t="s">
        <v>272</v>
      </c>
      <c r="D2938">
        <v>47</v>
      </c>
      <c r="E2938">
        <v>1</v>
      </c>
      <c r="F2938">
        <v>1</v>
      </c>
      <c r="G2938" t="s">
        <v>71</v>
      </c>
      <c r="H2938">
        <v>4</v>
      </c>
      <c r="I2938">
        <v>59</v>
      </c>
      <c r="J2938">
        <v>62</v>
      </c>
      <c r="K2938">
        <v>3</v>
      </c>
      <c r="L2938">
        <v>167</v>
      </c>
      <c r="M2938">
        <v>90</v>
      </c>
      <c r="N2938">
        <v>1.5</v>
      </c>
      <c r="O2938">
        <v>2</v>
      </c>
      <c r="P2938">
        <v>4</v>
      </c>
      <c r="Q2938">
        <v>0.5</v>
      </c>
      <c r="R2938">
        <v>4</v>
      </c>
      <c r="S2938">
        <v>1</v>
      </c>
      <c r="T2938">
        <v>2.5</v>
      </c>
      <c r="U2938">
        <v>12.5</v>
      </c>
      <c r="V2938">
        <v>1830.0653594771243</v>
      </c>
      <c r="W2938">
        <v>1</v>
      </c>
    </row>
    <row r="2939" spans="1:23" x14ac:dyDescent="0.2">
      <c r="A2939">
        <v>2020</v>
      </c>
      <c r="B2939" t="s">
        <v>23</v>
      </c>
      <c r="C2939" t="s">
        <v>272</v>
      </c>
      <c r="D2939">
        <v>47</v>
      </c>
      <c r="E2939">
        <v>2</v>
      </c>
      <c r="F2939">
        <v>14</v>
      </c>
      <c r="G2939" t="s">
        <v>71</v>
      </c>
      <c r="H2939" s="1">
        <v>7</v>
      </c>
      <c r="I2939" s="1">
        <v>66</v>
      </c>
      <c r="J2939" s="1">
        <v>71</v>
      </c>
      <c r="K2939" s="1">
        <f>J2939-I2939</f>
        <v>5</v>
      </c>
      <c r="L2939" s="1">
        <v>143</v>
      </c>
      <c r="M2939" s="1">
        <v>73</v>
      </c>
      <c r="N2939" s="1">
        <v>2</v>
      </c>
      <c r="O2939" s="1">
        <v>2.5</v>
      </c>
      <c r="P2939" s="1">
        <v>4</v>
      </c>
      <c r="Q2939" s="2">
        <v>0.21480000000000002</v>
      </c>
      <c r="R2939" s="1">
        <v>5</v>
      </c>
      <c r="S2939" s="1">
        <f>R2939/P2939</f>
        <v>1.25</v>
      </c>
      <c r="T2939" s="1">
        <v>3</v>
      </c>
      <c r="U2939" s="1">
        <v>12.5</v>
      </c>
      <c r="V2939" s="1">
        <v>786.19607843137271</v>
      </c>
      <c r="W2939" s="1">
        <v>5</v>
      </c>
    </row>
    <row r="2940" spans="1:23" x14ac:dyDescent="0.2">
      <c r="A2940">
        <v>2020</v>
      </c>
      <c r="B2940" t="s">
        <v>23</v>
      </c>
      <c r="C2940" t="s">
        <v>272</v>
      </c>
      <c r="D2940">
        <v>48</v>
      </c>
      <c r="E2940">
        <v>1</v>
      </c>
      <c r="F2940">
        <v>15</v>
      </c>
      <c r="G2940" t="s">
        <v>72</v>
      </c>
      <c r="H2940">
        <v>2</v>
      </c>
      <c r="I2940">
        <v>54</v>
      </c>
      <c r="J2940">
        <v>60</v>
      </c>
      <c r="K2940">
        <v>6</v>
      </c>
      <c r="L2940">
        <v>88</v>
      </c>
      <c r="M2940">
        <v>25</v>
      </c>
      <c r="N2940">
        <v>1</v>
      </c>
      <c r="O2940">
        <v>4</v>
      </c>
      <c r="P2940">
        <v>2</v>
      </c>
      <c r="Q2940">
        <v>0.13069999999999998</v>
      </c>
      <c r="R2940">
        <v>2</v>
      </c>
      <c r="S2940">
        <v>1</v>
      </c>
      <c r="T2940">
        <v>3</v>
      </c>
      <c r="U2940">
        <v>12.5</v>
      </c>
      <c r="V2940">
        <v>478.37908496732024</v>
      </c>
      <c r="W2940">
        <v>2</v>
      </c>
    </row>
    <row r="2941" spans="1:23" x14ac:dyDescent="0.2">
      <c r="A2941">
        <v>2020</v>
      </c>
      <c r="B2941" t="s">
        <v>23</v>
      </c>
      <c r="C2941" t="s">
        <v>272</v>
      </c>
      <c r="D2941">
        <v>48</v>
      </c>
      <c r="E2941">
        <v>2</v>
      </c>
      <c r="F2941">
        <v>11</v>
      </c>
      <c r="G2941" t="s">
        <v>72</v>
      </c>
      <c r="H2941" s="1">
        <v>2</v>
      </c>
      <c r="I2941" s="1">
        <v>68</v>
      </c>
      <c r="J2941" s="1">
        <v>71</v>
      </c>
      <c r="K2941" s="1">
        <f>J2941-I2941</f>
        <v>3</v>
      </c>
      <c r="L2941" s="1">
        <v>84</v>
      </c>
      <c r="M2941" s="1">
        <v>39</v>
      </c>
      <c r="N2941" s="1">
        <v>2</v>
      </c>
      <c r="O2941" s="1">
        <v>3</v>
      </c>
      <c r="P2941" s="1">
        <v>2</v>
      </c>
      <c r="Q2941" s="2">
        <v>0.13162499999999999</v>
      </c>
      <c r="R2941" s="1">
        <v>2</v>
      </c>
      <c r="S2941" s="1">
        <f>R2941/P2941</f>
        <v>1</v>
      </c>
      <c r="T2941" s="1">
        <v>4</v>
      </c>
      <c r="U2941" s="1">
        <v>12.5</v>
      </c>
      <c r="V2941" s="1">
        <v>481.76470588235293</v>
      </c>
      <c r="W2941" s="1">
        <v>3</v>
      </c>
    </row>
    <row r="2942" spans="1:23" x14ac:dyDescent="0.2">
      <c r="A2942">
        <v>2020</v>
      </c>
      <c r="B2942" t="s">
        <v>23</v>
      </c>
      <c r="C2942" t="s">
        <v>272</v>
      </c>
      <c r="D2942">
        <v>49</v>
      </c>
      <c r="E2942">
        <v>1</v>
      </c>
      <c r="F2942">
        <v>3</v>
      </c>
      <c r="G2942" t="s">
        <v>73</v>
      </c>
      <c r="H2942">
        <v>11</v>
      </c>
      <c r="I2942">
        <v>57</v>
      </c>
      <c r="J2942">
        <v>58</v>
      </c>
      <c r="K2942">
        <v>1</v>
      </c>
      <c r="L2942">
        <v>140</v>
      </c>
      <c r="M2942">
        <v>97</v>
      </c>
      <c r="N2942">
        <v>2</v>
      </c>
      <c r="O2942">
        <v>2</v>
      </c>
      <c r="P2942">
        <v>10</v>
      </c>
      <c r="Q2942">
        <v>1</v>
      </c>
      <c r="R2942">
        <v>9</v>
      </c>
      <c r="S2942">
        <v>0.9</v>
      </c>
      <c r="T2942">
        <v>2</v>
      </c>
      <c r="U2942">
        <v>11.3</v>
      </c>
      <c r="V2942">
        <v>3710.3267973856209</v>
      </c>
      <c r="W2942">
        <v>2</v>
      </c>
    </row>
    <row r="2943" spans="1:23" x14ac:dyDescent="0.2">
      <c r="A2943">
        <v>2020</v>
      </c>
      <c r="B2943" t="s">
        <v>23</v>
      </c>
      <c r="C2943" t="s">
        <v>272</v>
      </c>
      <c r="D2943">
        <v>49</v>
      </c>
      <c r="E2943">
        <v>2</v>
      </c>
      <c r="F2943">
        <v>5</v>
      </c>
      <c r="G2943" t="s">
        <v>73</v>
      </c>
      <c r="H2943">
        <v>5</v>
      </c>
      <c r="I2943">
        <v>55</v>
      </c>
      <c r="J2943">
        <v>58</v>
      </c>
      <c r="K2943">
        <v>3</v>
      </c>
      <c r="L2943">
        <v>153</v>
      </c>
      <c r="M2943">
        <v>45</v>
      </c>
      <c r="N2943">
        <v>3</v>
      </c>
      <c r="O2943">
        <v>3</v>
      </c>
      <c r="P2943">
        <v>5</v>
      </c>
      <c r="Q2943">
        <v>0.151</v>
      </c>
      <c r="R2943">
        <v>3</v>
      </c>
      <c r="S2943">
        <v>0.6</v>
      </c>
      <c r="T2943">
        <v>5</v>
      </c>
      <c r="U2943">
        <v>12.5</v>
      </c>
      <c r="V2943">
        <v>552.67973856209153</v>
      </c>
      <c r="W2943">
        <v>1</v>
      </c>
    </row>
    <row r="2944" spans="1:23" x14ac:dyDescent="0.2">
      <c r="A2944">
        <v>2020</v>
      </c>
      <c r="B2944" t="s">
        <v>23</v>
      </c>
      <c r="C2944" t="s">
        <v>272</v>
      </c>
      <c r="D2944">
        <v>50</v>
      </c>
      <c r="E2944">
        <v>1</v>
      </c>
      <c r="F2944">
        <v>11</v>
      </c>
      <c r="G2944" t="s">
        <v>74</v>
      </c>
      <c r="H2944" s="1">
        <v>10</v>
      </c>
      <c r="I2944" s="1">
        <v>66</v>
      </c>
      <c r="J2944" s="1">
        <v>67</v>
      </c>
      <c r="K2944" s="1">
        <f>J2944-I2944</f>
        <v>1</v>
      </c>
      <c r="L2944" s="1">
        <v>195</v>
      </c>
      <c r="M2944" s="1">
        <v>90</v>
      </c>
      <c r="N2944" s="1">
        <v>2</v>
      </c>
      <c r="O2944" s="1">
        <v>2.5</v>
      </c>
      <c r="P2944" s="1">
        <v>10</v>
      </c>
      <c r="Q2944" s="2">
        <v>0.69040000000000001</v>
      </c>
      <c r="R2944" s="1">
        <v>10</v>
      </c>
      <c r="S2944" s="1">
        <f>R2944/P2944</f>
        <v>1</v>
      </c>
      <c r="T2944" s="1">
        <v>3</v>
      </c>
      <c r="U2944" s="1">
        <v>10.5</v>
      </c>
      <c r="V2944" s="1">
        <v>2584.713202614379</v>
      </c>
      <c r="W2944" s="1">
        <v>5</v>
      </c>
    </row>
    <row r="2945" spans="1:23" x14ac:dyDescent="0.2">
      <c r="A2945">
        <v>2020</v>
      </c>
      <c r="B2945" t="s">
        <v>23</v>
      </c>
      <c r="C2945" t="s">
        <v>272</v>
      </c>
      <c r="D2945">
        <v>50</v>
      </c>
      <c r="E2945">
        <v>2</v>
      </c>
      <c r="F2945">
        <v>12</v>
      </c>
      <c r="G2945" t="s">
        <v>74</v>
      </c>
      <c r="H2945" s="1">
        <v>12</v>
      </c>
      <c r="I2945" s="1">
        <v>66</v>
      </c>
      <c r="J2945" s="1">
        <v>69</v>
      </c>
      <c r="K2945" s="1">
        <f>J2945-I2945</f>
        <v>3</v>
      </c>
      <c r="L2945" s="1">
        <v>158</v>
      </c>
      <c r="M2945" s="1">
        <v>71</v>
      </c>
      <c r="N2945" s="1">
        <v>2</v>
      </c>
      <c r="O2945" s="1">
        <v>2.5</v>
      </c>
      <c r="P2945" s="1">
        <f>H2945-2</f>
        <v>10</v>
      </c>
      <c r="Q2945" s="2">
        <v>0.30712499999999998</v>
      </c>
      <c r="R2945" s="1">
        <v>7</v>
      </c>
      <c r="S2945" s="1">
        <f>R2945/P2945</f>
        <v>0.7</v>
      </c>
      <c r="T2945" s="1">
        <v>5</v>
      </c>
      <c r="U2945" s="1">
        <v>12.5</v>
      </c>
      <c r="V2945" s="1">
        <v>1124.1176470588236</v>
      </c>
      <c r="W2945" s="1">
        <v>4</v>
      </c>
    </row>
    <row r="2946" spans="1:23" x14ac:dyDescent="0.2">
      <c r="A2946">
        <v>2020</v>
      </c>
      <c r="B2946" t="s">
        <v>23</v>
      </c>
      <c r="C2946" t="s">
        <v>272</v>
      </c>
      <c r="D2946">
        <v>51</v>
      </c>
      <c r="E2946">
        <v>1</v>
      </c>
      <c r="F2946">
        <v>2</v>
      </c>
      <c r="G2946" t="s">
        <v>75</v>
      </c>
      <c r="H2946" s="1">
        <v>12</v>
      </c>
      <c r="I2946" s="1">
        <v>61</v>
      </c>
      <c r="J2946" s="1">
        <v>66</v>
      </c>
      <c r="K2946" s="1">
        <f>J2946-I2946</f>
        <v>5</v>
      </c>
      <c r="L2946" s="1">
        <v>157</v>
      </c>
      <c r="M2946" s="1">
        <v>85</v>
      </c>
      <c r="N2946" s="1">
        <v>2</v>
      </c>
      <c r="O2946" s="1">
        <v>3</v>
      </c>
      <c r="P2946" s="1">
        <v>11</v>
      </c>
      <c r="Q2946" s="2">
        <v>0.77279999999999993</v>
      </c>
      <c r="R2946" s="1">
        <v>11</v>
      </c>
      <c r="S2946" s="1">
        <f>R2946/P2946</f>
        <v>1</v>
      </c>
      <c r="T2946" s="1">
        <v>5</v>
      </c>
      <c r="U2946" s="1">
        <v>7.9</v>
      </c>
      <c r="V2946" s="1">
        <v>2977.2498823529404</v>
      </c>
      <c r="W2946" s="1">
        <v>5</v>
      </c>
    </row>
    <row r="2947" spans="1:23" x14ac:dyDescent="0.2">
      <c r="A2947">
        <v>2020</v>
      </c>
      <c r="B2947" t="s">
        <v>23</v>
      </c>
      <c r="C2947" t="s">
        <v>272</v>
      </c>
      <c r="D2947">
        <v>51</v>
      </c>
      <c r="E2947">
        <v>2</v>
      </c>
      <c r="F2947">
        <v>13</v>
      </c>
      <c r="G2947" t="s">
        <v>75</v>
      </c>
      <c r="H2947" s="1">
        <v>3</v>
      </c>
      <c r="I2947" s="1">
        <v>63</v>
      </c>
      <c r="J2947" s="1">
        <v>66</v>
      </c>
      <c r="K2947" s="1">
        <f>J2947-I2947</f>
        <v>3</v>
      </c>
      <c r="L2947" s="1">
        <v>77</v>
      </c>
      <c r="M2947" s="1">
        <v>10</v>
      </c>
      <c r="N2947" s="1">
        <v>1.5</v>
      </c>
      <c r="O2947" s="1">
        <v>5</v>
      </c>
      <c r="P2947" s="1">
        <v>3</v>
      </c>
      <c r="Q2947" s="2">
        <v>0.05</v>
      </c>
      <c r="R2947" s="1">
        <v>3</v>
      </c>
      <c r="S2947" s="1">
        <f>R2947/P2947</f>
        <v>1</v>
      </c>
      <c r="T2947" s="1">
        <v>5</v>
      </c>
      <c r="U2947" s="1">
        <v>12.5</v>
      </c>
      <c r="V2947" s="1">
        <v>183.00653594771242</v>
      </c>
      <c r="W2947" s="1">
        <v>5</v>
      </c>
    </row>
    <row r="2948" spans="1:23" x14ac:dyDescent="0.2">
      <c r="A2948">
        <v>2020</v>
      </c>
      <c r="B2948" t="s">
        <v>23</v>
      </c>
      <c r="C2948" t="s">
        <v>272</v>
      </c>
      <c r="D2948">
        <v>52</v>
      </c>
      <c r="E2948">
        <v>1</v>
      </c>
      <c r="F2948">
        <v>4</v>
      </c>
      <c r="G2948" t="s">
        <v>76</v>
      </c>
      <c r="H2948" s="1">
        <v>5</v>
      </c>
      <c r="I2948" s="1">
        <v>62</v>
      </c>
      <c r="J2948" s="1">
        <v>65</v>
      </c>
      <c r="K2948" s="1">
        <f>J2948-I2948</f>
        <v>3</v>
      </c>
      <c r="L2948" s="1">
        <v>107</v>
      </c>
      <c r="M2948" s="1">
        <v>35</v>
      </c>
      <c r="N2948" s="1">
        <v>1.5</v>
      </c>
      <c r="O2948" s="1">
        <v>4</v>
      </c>
      <c r="P2948" s="1">
        <v>4</v>
      </c>
      <c r="Q2948" s="2">
        <v>0.185</v>
      </c>
      <c r="R2948" s="1">
        <v>2</v>
      </c>
      <c r="S2948" s="1">
        <f>R2948/P2948</f>
        <v>0.5</v>
      </c>
      <c r="T2948" s="1">
        <v>5</v>
      </c>
      <c r="U2948" s="1">
        <v>12.5</v>
      </c>
      <c r="V2948" s="1">
        <v>677.12418300653599</v>
      </c>
      <c r="W2948" s="1">
        <v>7</v>
      </c>
    </row>
    <row r="2949" spans="1:23" x14ac:dyDescent="0.2">
      <c r="A2949">
        <v>2020</v>
      </c>
      <c r="B2949" t="s">
        <v>23</v>
      </c>
      <c r="C2949" t="s">
        <v>272</v>
      </c>
      <c r="D2949">
        <v>52</v>
      </c>
      <c r="E2949">
        <v>2</v>
      </c>
      <c r="F2949">
        <v>8</v>
      </c>
      <c r="G2949" t="s">
        <v>76</v>
      </c>
      <c r="H2949">
        <v>5</v>
      </c>
      <c r="I2949">
        <v>55</v>
      </c>
      <c r="J2949">
        <v>58</v>
      </c>
      <c r="K2949">
        <v>3</v>
      </c>
      <c r="L2949">
        <v>126</v>
      </c>
      <c r="M2949">
        <v>66</v>
      </c>
      <c r="N2949">
        <v>2</v>
      </c>
      <c r="O2949">
        <v>2</v>
      </c>
      <c r="P2949">
        <v>5</v>
      </c>
      <c r="Q2949">
        <v>0.3</v>
      </c>
      <c r="R2949">
        <v>6</v>
      </c>
      <c r="S2949">
        <v>1.2</v>
      </c>
      <c r="T2949">
        <v>3</v>
      </c>
      <c r="U2949">
        <v>12.5</v>
      </c>
      <c r="V2949">
        <v>1098.0392156862745</v>
      </c>
      <c r="W2949">
        <v>1</v>
      </c>
    </row>
    <row r="2950" spans="1:23" x14ac:dyDescent="0.2">
      <c r="A2950">
        <v>2020</v>
      </c>
      <c r="B2950" t="s">
        <v>23</v>
      </c>
      <c r="C2950" t="s">
        <v>272</v>
      </c>
      <c r="D2950">
        <v>53</v>
      </c>
      <c r="E2950">
        <v>1</v>
      </c>
      <c r="F2950">
        <v>1</v>
      </c>
      <c r="G2950" t="s">
        <v>77</v>
      </c>
      <c r="H2950" s="1">
        <v>12</v>
      </c>
      <c r="I2950" s="1">
        <v>63</v>
      </c>
      <c r="J2950" s="1">
        <v>67</v>
      </c>
      <c r="K2950" s="1">
        <f>J2950-I2950</f>
        <v>4</v>
      </c>
      <c r="L2950" s="1">
        <v>174</v>
      </c>
      <c r="M2950" s="1">
        <v>88</v>
      </c>
      <c r="N2950" s="1">
        <v>2</v>
      </c>
      <c r="O2950" s="1">
        <v>2.5</v>
      </c>
      <c r="P2950" s="1">
        <f>H2950</f>
        <v>12</v>
      </c>
      <c r="Q2950" s="2">
        <v>0.18689999999999998</v>
      </c>
      <c r="R2950" s="1">
        <v>9</v>
      </c>
      <c r="S2950" s="1">
        <f>R2950/P2950</f>
        <v>0.75</v>
      </c>
      <c r="T2950" s="1">
        <v>5</v>
      </c>
      <c r="U2950" s="1">
        <v>12.5</v>
      </c>
      <c r="V2950" s="1">
        <v>684.07843137254895</v>
      </c>
      <c r="W2950" s="1">
        <v>4</v>
      </c>
    </row>
    <row r="2951" spans="1:23" x14ac:dyDescent="0.2">
      <c r="A2951">
        <v>2020</v>
      </c>
      <c r="B2951" t="s">
        <v>23</v>
      </c>
      <c r="C2951" t="s">
        <v>272</v>
      </c>
      <c r="D2951">
        <v>53</v>
      </c>
      <c r="E2951">
        <v>2</v>
      </c>
      <c r="F2951">
        <v>9</v>
      </c>
      <c r="G2951" t="s">
        <v>77</v>
      </c>
      <c r="H2951" s="1">
        <v>8</v>
      </c>
      <c r="I2951" s="1">
        <v>58</v>
      </c>
      <c r="J2951" s="1">
        <v>63</v>
      </c>
      <c r="K2951" s="1">
        <f>J2951-I2951</f>
        <v>5</v>
      </c>
      <c r="L2951" s="1">
        <v>82</v>
      </c>
      <c r="M2951" s="1">
        <v>50</v>
      </c>
      <c r="N2951" s="1">
        <v>2</v>
      </c>
      <c r="O2951" s="1">
        <v>3.5</v>
      </c>
      <c r="P2951" s="1">
        <v>7</v>
      </c>
      <c r="Q2951" s="2">
        <v>0.27900000000000003</v>
      </c>
      <c r="R2951" s="1">
        <v>7</v>
      </c>
      <c r="S2951" s="1">
        <f>R2951/P2951</f>
        <v>1</v>
      </c>
      <c r="T2951" s="1">
        <v>2</v>
      </c>
      <c r="U2951" s="1">
        <v>12.5</v>
      </c>
      <c r="V2951" s="1">
        <v>1021.1764705882352</v>
      </c>
      <c r="W2951" s="1">
        <v>2</v>
      </c>
    </row>
    <row r="2952" spans="1:23" x14ac:dyDescent="0.2">
      <c r="A2952">
        <v>2020</v>
      </c>
      <c r="B2952" t="s">
        <v>23</v>
      </c>
      <c r="C2952" t="s">
        <v>272</v>
      </c>
      <c r="D2952">
        <v>54</v>
      </c>
      <c r="E2952">
        <v>1</v>
      </c>
      <c r="F2952">
        <v>1</v>
      </c>
      <c r="G2952" t="s">
        <v>78</v>
      </c>
      <c r="H2952" s="1">
        <v>15</v>
      </c>
      <c r="I2952" s="1">
        <v>57</v>
      </c>
      <c r="J2952" s="1">
        <v>60</v>
      </c>
      <c r="K2952" s="1">
        <f>J2952-I2952</f>
        <v>3</v>
      </c>
      <c r="L2952" s="1">
        <v>165</v>
      </c>
      <c r="M2952" s="1">
        <v>95</v>
      </c>
      <c r="N2952" s="1">
        <v>2</v>
      </c>
      <c r="O2952" s="1">
        <v>3.5</v>
      </c>
      <c r="P2952" s="1">
        <f>H2952</f>
        <v>15</v>
      </c>
      <c r="Q2952" s="2">
        <v>0.33750000000000002</v>
      </c>
      <c r="R2952" s="1">
        <v>9</v>
      </c>
      <c r="S2952" s="1">
        <f>R2952/P2952</f>
        <v>0.6</v>
      </c>
      <c r="T2952" s="1">
        <v>5</v>
      </c>
      <c r="U2952" s="1">
        <v>12.5</v>
      </c>
      <c r="V2952" s="1">
        <v>1235.294117647059</v>
      </c>
      <c r="W2952" s="1">
        <v>3</v>
      </c>
    </row>
    <row r="2953" spans="1:23" x14ac:dyDescent="0.2">
      <c r="A2953">
        <v>2020</v>
      </c>
      <c r="B2953" t="s">
        <v>23</v>
      </c>
      <c r="C2953" t="s">
        <v>272</v>
      </c>
      <c r="D2953">
        <v>54</v>
      </c>
      <c r="E2953">
        <v>2</v>
      </c>
      <c r="F2953">
        <v>11</v>
      </c>
      <c r="G2953" t="s">
        <v>78</v>
      </c>
      <c r="H2953">
        <v>7</v>
      </c>
      <c r="I2953">
        <v>63</v>
      </c>
      <c r="J2953">
        <v>65</v>
      </c>
      <c r="K2953">
        <v>2</v>
      </c>
      <c r="L2953">
        <v>147</v>
      </c>
      <c r="M2953">
        <v>55</v>
      </c>
      <c r="N2953">
        <v>1.5</v>
      </c>
      <c r="O2953">
        <v>4</v>
      </c>
      <c r="P2953">
        <v>7</v>
      </c>
      <c r="Q2953">
        <v>0.7</v>
      </c>
      <c r="R2953">
        <v>7</v>
      </c>
      <c r="S2953">
        <v>1</v>
      </c>
      <c r="T2953">
        <v>2.5</v>
      </c>
      <c r="U2953">
        <v>12.5</v>
      </c>
      <c r="V2953">
        <v>2562.0915032679736</v>
      </c>
      <c r="W2953">
        <v>1</v>
      </c>
    </row>
    <row r="2954" spans="1:23" x14ac:dyDescent="0.2">
      <c r="A2954">
        <v>2020</v>
      </c>
      <c r="B2954" t="s">
        <v>23</v>
      </c>
      <c r="C2954" t="s">
        <v>272</v>
      </c>
      <c r="D2954">
        <v>55</v>
      </c>
      <c r="E2954">
        <v>1</v>
      </c>
      <c r="F2954">
        <v>15</v>
      </c>
      <c r="G2954" t="s">
        <v>79</v>
      </c>
      <c r="H2954" s="1">
        <v>9</v>
      </c>
      <c r="I2954" s="1">
        <v>66</v>
      </c>
      <c r="J2954" s="1">
        <v>70</v>
      </c>
      <c r="K2954" s="1">
        <f>J2954-I2954</f>
        <v>4</v>
      </c>
      <c r="L2954" s="1">
        <v>107</v>
      </c>
      <c r="M2954" s="1">
        <v>32</v>
      </c>
      <c r="N2954" s="1">
        <v>1.5</v>
      </c>
      <c r="O2954" s="1">
        <v>4.5</v>
      </c>
      <c r="P2954" s="1">
        <v>6</v>
      </c>
      <c r="Q2954" s="2">
        <v>0.14249999999999999</v>
      </c>
      <c r="R2954" s="1">
        <v>5</v>
      </c>
      <c r="S2954" s="1">
        <f>R2954/P2954</f>
        <v>0.83333333333333337</v>
      </c>
      <c r="T2954" s="1">
        <v>3</v>
      </c>
      <c r="U2954" s="1">
        <v>12.5</v>
      </c>
      <c r="V2954" s="1">
        <v>521.56862745098033</v>
      </c>
      <c r="W2954" s="1">
        <v>5</v>
      </c>
    </row>
    <row r="2955" spans="1:23" x14ac:dyDescent="0.2">
      <c r="A2955">
        <v>2020</v>
      </c>
      <c r="B2955" t="s">
        <v>23</v>
      </c>
      <c r="C2955" t="s">
        <v>272</v>
      </c>
      <c r="D2955">
        <v>55</v>
      </c>
      <c r="E2955">
        <v>2</v>
      </c>
      <c r="F2955">
        <v>12</v>
      </c>
      <c r="G2955" t="s">
        <v>79</v>
      </c>
      <c r="H2955" s="1">
        <v>11</v>
      </c>
      <c r="I2955" s="1">
        <v>64</v>
      </c>
      <c r="J2955" s="1">
        <v>69</v>
      </c>
      <c r="K2955" s="1">
        <f>J2955-I2955</f>
        <v>5</v>
      </c>
      <c r="L2955" s="1">
        <v>165</v>
      </c>
      <c r="M2955" s="1">
        <v>73</v>
      </c>
      <c r="N2955" s="1">
        <v>2</v>
      </c>
      <c r="O2955" s="1">
        <v>2.5</v>
      </c>
      <c r="P2955" s="1">
        <v>11</v>
      </c>
      <c r="Q2955" s="2">
        <v>0.38100000000000001</v>
      </c>
      <c r="R2955" s="1">
        <v>9</v>
      </c>
      <c r="S2955" s="1">
        <f>R2955/P2955</f>
        <v>0.81818181818181823</v>
      </c>
      <c r="T2955" s="1">
        <v>5</v>
      </c>
      <c r="U2955" s="1">
        <v>12.5</v>
      </c>
      <c r="V2955" s="1">
        <v>1394.5098039215686</v>
      </c>
      <c r="W2955" s="1">
        <v>6</v>
      </c>
    </row>
    <row r="2956" spans="1:23" x14ac:dyDescent="0.2">
      <c r="A2956">
        <v>2020</v>
      </c>
      <c r="B2956" t="s">
        <v>23</v>
      </c>
      <c r="C2956" t="s">
        <v>272</v>
      </c>
      <c r="D2956">
        <v>56</v>
      </c>
      <c r="E2956">
        <v>1</v>
      </c>
      <c r="F2956">
        <v>15</v>
      </c>
      <c r="G2956" t="s">
        <v>80</v>
      </c>
      <c r="H2956">
        <v>5</v>
      </c>
      <c r="I2956">
        <v>57</v>
      </c>
      <c r="J2956">
        <v>60</v>
      </c>
      <c r="K2956">
        <v>3</v>
      </c>
      <c r="L2956">
        <v>165</v>
      </c>
      <c r="M2956">
        <v>50</v>
      </c>
      <c r="N2956">
        <v>1.5</v>
      </c>
      <c r="O2956">
        <v>2</v>
      </c>
      <c r="P2956">
        <v>5</v>
      </c>
      <c r="Q2956">
        <v>0.5</v>
      </c>
      <c r="R2956">
        <v>5</v>
      </c>
      <c r="S2956">
        <v>1</v>
      </c>
      <c r="T2956">
        <v>2.5</v>
      </c>
      <c r="U2956">
        <v>12.5</v>
      </c>
      <c r="V2956">
        <v>1830.0653594771243</v>
      </c>
      <c r="W2956">
        <v>2</v>
      </c>
    </row>
    <row r="2957" spans="1:23" x14ac:dyDescent="0.2">
      <c r="A2957">
        <v>2020</v>
      </c>
      <c r="B2957" t="s">
        <v>23</v>
      </c>
      <c r="C2957" t="s">
        <v>272</v>
      </c>
      <c r="D2957">
        <v>56</v>
      </c>
      <c r="E2957">
        <v>2</v>
      </c>
      <c r="F2957">
        <v>2</v>
      </c>
      <c r="G2957" t="s">
        <v>80</v>
      </c>
      <c r="H2957" s="1">
        <v>9</v>
      </c>
      <c r="I2957" s="1">
        <v>60</v>
      </c>
      <c r="J2957" s="1">
        <v>63</v>
      </c>
      <c r="K2957" s="1">
        <f>J2957-I2957</f>
        <v>3</v>
      </c>
      <c r="L2957" s="1">
        <v>161</v>
      </c>
      <c r="M2957" s="1">
        <v>82</v>
      </c>
      <c r="N2957" s="1">
        <v>2</v>
      </c>
      <c r="O2957" s="1">
        <v>3.5</v>
      </c>
      <c r="P2957" s="1">
        <v>8</v>
      </c>
      <c r="Q2957" s="2">
        <v>0.12772500000000001</v>
      </c>
      <c r="R2957" s="1">
        <v>5</v>
      </c>
      <c r="S2957" s="1">
        <f>R2957/P2957</f>
        <v>0.625</v>
      </c>
      <c r="T2957" s="1">
        <v>5</v>
      </c>
      <c r="U2957" s="1">
        <v>12.5</v>
      </c>
      <c r="V2957" s="1">
        <v>467.49019607843132</v>
      </c>
      <c r="W2957" s="1">
        <v>3</v>
      </c>
    </row>
    <row r="2958" spans="1:23" x14ac:dyDescent="0.2">
      <c r="A2958">
        <v>2020</v>
      </c>
      <c r="B2958" t="s">
        <v>23</v>
      </c>
      <c r="C2958" t="s">
        <v>272</v>
      </c>
      <c r="D2958">
        <v>57</v>
      </c>
      <c r="E2958">
        <v>1</v>
      </c>
      <c r="F2958">
        <v>6</v>
      </c>
      <c r="G2958" t="s">
        <v>81</v>
      </c>
      <c r="H2958" s="1">
        <v>11</v>
      </c>
      <c r="I2958" s="1">
        <v>61</v>
      </c>
      <c r="J2958" s="1">
        <v>64</v>
      </c>
      <c r="K2958" s="1">
        <f>J2958-I2958</f>
        <v>3</v>
      </c>
      <c r="L2958" s="1">
        <v>158</v>
      </c>
      <c r="M2958" s="1">
        <v>70</v>
      </c>
      <c r="N2958" s="1">
        <v>2</v>
      </c>
      <c r="O2958" s="1">
        <v>3.5</v>
      </c>
      <c r="P2958" s="1">
        <v>11</v>
      </c>
      <c r="Q2958" s="2">
        <v>0.46304999999999996</v>
      </c>
      <c r="R2958" s="1">
        <v>9</v>
      </c>
      <c r="S2958" s="1">
        <f>R2958/P2958</f>
        <v>0.81818181818181823</v>
      </c>
      <c r="T2958" s="1">
        <v>5</v>
      </c>
      <c r="U2958" s="1">
        <v>9.6</v>
      </c>
      <c r="V2958" s="1">
        <v>1750.9948235294119</v>
      </c>
      <c r="W2958" s="1">
        <v>4</v>
      </c>
    </row>
    <row r="2959" spans="1:23" x14ac:dyDescent="0.2">
      <c r="A2959">
        <v>2020</v>
      </c>
      <c r="B2959" t="s">
        <v>23</v>
      </c>
      <c r="C2959" t="s">
        <v>272</v>
      </c>
      <c r="D2959">
        <v>57</v>
      </c>
      <c r="E2959">
        <v>2</v>
      </c>
      <c r="F2959">
        <v>13</v>
      </c>
      <c r="G2959" t="s">
        <v>81</v>
      </c>
      <c r="H2959">
        <v>7</v>
      </c>
      <c r="I2959">
        <v>56</v>
      </c>
      <c r="J2959">
        <v>60</v>
      </c>
      <c r="K2959">
        <v>4</v>
      </c>
      <c r="L2959">
        <v>86</v>
      </c>
      <c r="M2959">
        <v>28</v>
      </c>
      <c r="N2959">
        <v>2</v>
      </c>
      <c r="O2959">
        <v>3</v>
      </c>
      <c r="P2959">
        <v>7</v>
      </c>
      <c r="Q2959">
        <v>0.8</v>
      </c>
      <c r="R2959">
        <v>8</v>
      </c>
      <c r="S2959">
        <v>1.1428571428571428</v>
      </c>
      <c r="T2959">
        <v>3</v>
      </c>
      <c r="U2959">
        <v>12.5</v>
      </c>
      <c r="V2959">
        <v>2928.1045751633987</v>
      </c>
      <c r="W2959">
        <v>1</v>
      </c>
    </row>
    <row r="2960" spans="1:23" x14ac:dyDescent="0.2">
      <c r="A2960">
        <v>2020</v>
      </c>
      <c r="B2960" t="s">
        <v>23</v>
      </c>
      <c r="C2960" t="s">
        <v>272</v>
      </c>
      <c r="D2960">
        <v>58</v>
      </c>
      <c r="E2960">
        <v>1</v>
      </c>
      <c r="F2960">
        <v>10</v>
      </c>
      <c r="G2960" t="s">
        <v>82</v>
      </c>
      <c r="H2960">
        <v>14</v>
      </c>
      <c r="I2960">
        <v>55</v>
      </c>
      <c r="J2960">
        <v>59</v>
      </c>
      <c r="K2960">
        <v>4</v>
      </c>
      <c r="L2960">
        <v>149</v>
      </c>
      <c r="M2960">
        <v>60</v>
      </c>
      <c r="N2960">
        <v>2</v>
      </c>
      <c r="O2960">
        <v>2.5</v>
      </c>
      <c r="P2960">
        <v>11</v>
      </c>
      <c r="Q2960">
        <v>0.6</v>
      </c>
      <c r="R2960">
        <v>14</v>
      </c>
      <c r="S2960">
        <v>1.2727272727272727</v>
      </c>
      <c r="T2960">
        <v>3</v>
      </c>
      <c r="U2960">
        <v>12.1</v>
      </c>
      <c r="V2960">
        <v>2206.1176470588234</v>
      </c>
      <c r="W2960">
        <v>2</v>
      </c>
    </row>
    <row r="2961" spans="1:23" x14ac:dyDescent="0.2">
      <c r="A2961">
        <v>2020</v>
      </c>
      <c r="B2961" t="s">
        <v>23</v>
      </c>
      <c r="C2961" t="s">
        <v>272</v>
      </c>
      <c r="D2961">
        <v>58</v>
      </c>
      <c r="E2961">
        <v>2</v>
      </c>
      <c r="F2961">
        <v>4</v>
      </c>
      <c r="G2961" t="s">
        <v>82</v>
      </c>
      <c r="H2961">
        <v>2</v>
      </c>
      <c r="I2961">
        <v>58</v>
      </c>
      <c r="J2961">
        <v>59</v>
      </c>
      <c r="K2961">
        <v>1</v>
      </c>
      <c r="L2961">
        <v>67</v>
      </c>
      <c r="M2961">
        <v>21</v>
      </c>
      <c r="N2961">
        <v>3</v>
      </c>
      <c r="O2961">
        <v>3</v>
      </c>
      <c r="P2961">
        <v>2</v>
      </c>
      <c r="Q2961">
        <v>0.2</v>
      </c>
      <c r="R2961">
        <v>2</v>
      </c>
      <c r="S2961">
        <v>1</v>
      </c>
      <c r="T2961">
        <v>3</v>
      </c>
      <c r="U2961">
        <v>12.5</v>
      </c>
      <c r="V2961">
        <v>732.02614379084969</v>
      </c>
      <c r="W2961">
        <v>2</v>
      </c>
    </row>
    <row r="2962" spans="1:23" x14ac:dyDescent="0.2">
      <c r="A2962">
        <v>2020</v>
      </c>
      <c r="B2962" t="s">
        <v>23</v>
      </c>
      <c r="C2962" t="s">
        <v>272</v>
      </c>
      <c r="D2962">
        <v>59</v>
      </c>
      <c r="E2962">
        <v>1</v>
      </c>
      <c r="F2962">
        <v>5</v>
      </c>
      <c r="G2962" t="s">
        <v>83</v>
      </c>
      <c r="H2962" s="1">
        <v>16</v>
      </c>
      <c r="I2962" s="1">
        <v>69</v>
      </c>
      <c r="J2962" s="1">
        <v>74</v>
      </c>
      <c r="K2962" s="1">
        <f>J2962-I2962</f>
        <v>5</v>
      </c>
      <c r="L2962" s="1">
        <v>167</v>
      </c>
      <c r="M2962" s="1">
        <v>67</v>
      </c>
      <c r="N2962" s="1">
        <v>2</v>
      </c>
      <c r="O2962" s="1">
        <v>3.5</v>
      </c>
      <c r="P2962" s="1">
        <v>13</v>
      </c>
      <c r="Q2962" s="2">
        <v>0.1812</v>
      </c>
      <c r="R2962" s="1">
        <v>8</v>
      </c>
      <c r="S2962" s="1">
        <f>R2962/P2962</f>
        <v>0.61538461538461542</v>
      </c>
      <c r="T2962" s="1">
        <v>4</v>
      </c>
      <c r="U2962" s="1">
        <v>12.5</v>
      </c>
      <c r="V2962" s="1">
        <v>663.21568627450984</v>
      </c>
      <c r="W2962" s="1">
        <v>4</v>
      </c>
    </row>
    <row r="2963" spans="1:23" x14ac:dyDescent="0.2">
      <c r="A2963">
        <v>2020</v>
      </c>
      <c r="B2963" t="s">
        <v>23</v>
      </c>
      <c r="C2963" t="s">
        <v>272</v>
      </c>
      <c r="D2963">
        <v>59</v>
      </c>
      <c r="E2963">
        <v>2</v>
      </c>
      <c r="F2963">
        <v>9</v>
      </c>
      <c r="G2963" t="s">
        <v>83</v>
      </c>
      <c r="H2963">
        <v>14</v>
      </c>
      <c r="I2963">
        <v>52</v>
      </c>
      <c r="J2963">
        <v>56</v>
      </c>
      <c r="K2963">
        <v>4</v>
      </c>
      <c r="L2963">
        <v>122</v>
      </c>
      <c r="M2963">
        <v>26</v>
      </c>
      <c r="N2963">
        <v>2</v>
      </c>
      <c r="O2963">
        <v>2.5</v>
      </c>
      <c r="P2963">
        <v>10</v>
      </c>
      <c r="Q2963">
        <v>0.1</v>
      </c>
      <c r="R2963">
        <v>7</v>
      </c>
      <c r="S2963">
        <v>0.7</v>
      </c>
      <c r="T2963">
        <v>3</v>
      </c>
      <c r="U2963">
        <v>8.6</v>
      </c>
      <c r="V2963">
        <v>382.32679738562092</v>
      </c>
      <c r="W2963">
        <v>2</v>
      </c>
    </row>
    <row r="2964" spans="1:23" x14ac:dyDescent="0.2">
      <c r="A2964">
        <v>2020</v>
      </c>
      <c r="B2964" t="s">
        <v>23</v>
      </c>
      <c r="C2964" t="s">
        <v>272</v>
      </c>
      <c r="D2964">
        <v>60</v>
      </c>
      <c r="E2964">
        <v>1</v>
      </c>
      <c r="F2964">
        <v>4</v>
      </c>
      <c r="G2964" t="s">
        <v>84</v>
      </c>
      <c r="H2964" s="1">
        <v>9</v>
      </c>
      <c r="I2964" s="1">
        <v>59</v>
      </c>
      <c r="J2964" s="1">
        <v>64</v>
      </c>
      <c r="K2964" s="1">
        <f t="shared" ref="K2964:K2969" si="146">J2964-I2964</f>
        <v>5</v>
      </c>
      <c r="L2964" s="1">
        <v>153</v>
      </c>
      <c r="M2964" s="1">
        <v>85</v>
      </c>
      <c r="N2964" s="1">
        <v>2</v>
      </c>
      <c r="O2964" s="1">
        <v>2</v>
      </c>
      <c r="P2964" s="1">
        <v>9</v>
      </c>
      <c r="Q2964" s="2">
        <v>0.4</v>
      </c>
      <c r="R2964" s="1">
        <v>9</v>
      </c>
      <c r="S2964" s="1">
        <f t="shared" ref="S2964:S2969" si="147">R2964/P2964</f>
        <v>1</v>
      </c>
      <c r="T2964" s="1">
        <v>3</v>
      </c>
      <c r="U2964" s="1">
        <v>7.8</v>
      </c>
      <c r="V2964" s="1">
        <v>1542.6928104575163</v>
      </c>
      <c r="W2964" s="1">
        <v>4</v>
      </c>
    </row>
    <row r="2965" spans="1:23" x14ac:dyDescent="0.2">
      <c r="A2965">
        <v>2020</v>
      </c>
      <c r="B2965" t="s">
        <v>23</v>
      </c>
      <c r="C2965" t="s">
        <v>272</v>
      </c>
      <c r="D2965">
        <v>60</v>
      </c>
      <c r="E2965">
        <v>2</v>
      </c>
      <c r="F2965">
        <v>8</v>
      </c>
      <c r="G2965" t="s">
        <v>84</v>
      </c>
      <c r="H2965" s="1">
        <v>3</v>
      </c>
      <c r="I2965" s="1">
        <v>61</v>
      </c>
      <c r="J2965" s="1">
        <v>66</v>
      </c>
      <c r="K2965" s="1">
        <f t="shared" si="146"/>
        <v>5</v>
      </c>
      <c r="L2965" s="1">
        <v>114</v>
      </c>
      <c r="M2965" s="1">
        <v>33</v>
      </c>
      <c r="N2965" s="1">
        <v>2.5</v>
      </c>
      <c r="O2965" s="1">
        <v>3.5</v>
      </c>
      <c r="P2965" s="1">
        <v>3</v>
      </c>
      <c r="Q2965" s="2">
        <v>0.215</v>
      </c>
      <c r="R2965" s="1">
        <v>3</v>
      </c>
      <c r="S2965" s="1">
        <f t="shared" si="147"/>
        <v>1</v>
      </c>
      <c r="T2965" s="1">
        <v>2.5</v>
      </c>
      <c r="U2965" s="1">
        <v>12.5</v>
      </c>
      <c r="V2965" s="1">
        <v>786.92810457516339</v>
      </c>
      <c r="W2965" s="1">
        <v>4</v>
      </c>
    </row>
    <row r="2966" spans="1:23" x14ac:dyDescent="0.2">
      <c r="A2966">
        <v>2020</v>
      </c>
      <c r="B2966" t="s">
        <v>23</v>
      </c>
      <c r="C2966" t="s">
        <v>272</v>
      </c>
      <c r="D2966">
        <v>61</v>
      </c>
      <c r="E2966">
        <v>1</v>
      </c>
      <c r="F2966">
        <v>3</v>
      </c>
      <c r="G2966" t="s">
        <v>85</v>
      </c>
      <c r="H2966" s="1">
        <v>6</v>
      </c>
      <c r="I2966" s="1">
        <v>62</v>
      </c>
      <c r="J2966" s="1">
        <v>66</v>
      </c>
      <c r="K2966" s="1">
        <f t="shared" si="146"/>
        <v>4</v>
      </c>
      <c r="L2966" s="1">
        <v>182</v>
      </c>
      <c r="M2966" s="1">
        <v>90</v>
      </c>
      <c r="N2966" s="1">
        <v>2</v>
      </c>
      <c r="O2966" s="1">
        <v>2.5</v>
      </c>
      <c r="P2966" s="1">
        <v>6</v>
      </c>
      <c r="Q2966" s="2">
        <v>0.26976</v>
      </c>
      <c r="R2966" s="1">
        <v>6</v>
      </c>
      <c r="S2966" s="1">
        <f t="shared" si="147"/>
        <v>1</v>
      </c>
      <c r="T2966" s="1">
        <v>5</v>
      </c>
      <c r="U2966" s="1">
        <v>8.5</v>
      </c>
      <c r="V2966" s="1">
        <v>1032.4931764705882</v>
      </c>
      <c r="W2966" s="1">
        <v>4</v>
      </c>
    </row>
    <row r="2967" spans="1:23" x14ac:dyDescent="0.2">
      <c r="A2967">
        <v>2020</v>
      </c>
      <c r="B2967" t="s">
        <v>23</v>
      </c>
      <c r="C2967" t="s">
        <v>272</v>
      </c>
      <c r="D2967">
        <v>61</v>
      </c>
      <c r="E2967">
        <v>2</v>
      </c>
      <c r="F2967">
        <v>13</v>
      </c>
      <c r="G2967" t="s">
        <v>85</v>
      </c>
      <c r="H2967" s="1">
        <v>12</v>
      </c>
      <c r="I2967" s="1">
        <v>59</v>
      </c>
      <c r="J2967" s="1">
        <v>64</v>
      </c>
      <c r="K2967" s="1">
        <f t="shared" si="146"/>
        <v>5</v>
      </c>
      <c r="L2967" s="1">
        <v>132</v>
      </c>
      <c r="M2967" s="1">
        <v>67</v>
      </c>
      <c r="N2967" s="1">
        <v>3</v>
      </c>
      <c r="O2967" s="1">
        <v>4</v>
      </c>
      <c r="P2967" s="1">
        <v>7</v>
      </c>
      <c r="Q2967" s="2">
        <v>0.17460000000000001</v>
      </c>
      <c r="R2967" s="1">
        <v>4</v>
      </c>
      <c r="S2967" s="1">
        <f t="shared" si="147"/>
        <v>0.5714285714285714</v>
      </c>
      <c r="T2967" s="1">
        <v>5</v>
      </c>
      <c r="U2967" s="1">
        <v>12.5</v>
      </c>
      <c r="V2967" s="1">
        <v>639.05882352941182</v>
      </c>
      <c r="W2967" s="1">
        <v>5</v>
      </c>
    </row>
    <row r="2968" spans="1:23" x14ac:dyDescent="0.2">
      <c r="A2968">
        <v>2020</v>
      </c>
      <c r="B2968" t="s">
        <v>23</v>
      </c>
      <c r="C2968" t="s">
        <v>272</v>
      </c>
      <c r="D2968">
        <v>62</v>
      </c>
      <c r="E2968">
        <v>1</v>
      </c>
      <c r="F2968">
        <v>13</v>
      </c>
      <c r="G2968" t="s">
        <v>86</v>
      </c>
      <c r="H2968" s="1">
        <v>10</v>
      </c>
      <c r="I2968" s="1">
        <v>63</v>
      </c>
      <c r="J2968" s="1">
        <v>68</v>
      </c>
      <c r="K2968" s="1">
        <f t="shared" si="146"/>
        <v>5</v>
      </c>
      <c r="L2968" s="1">
        <v>88</v>
      </c>
      <c r="M2968" s="1">
        <v>27</v>
      </c>
      <c r="N2968" s="1">
        <v>3</v>
      </c>
      <c r="O2968" s="1">
        <v>4.5</v>
      </c>
      <c r="P2968" s="1">
        <v>3</v>
      </c>
      <c r="Q2968" s="2">
        <v>0.10199999999999999</v>
      </c>
      <c r="R2968" s="1">
        <v>3</v>
      </c>
      <c r="S2968" s="1">
        <f t="shared" si="147"/>
        <v>1</v>
      </c>
      <c r="T2968" s="1">
        <v>5</v>
      </c>
      <c r="U2968" s="1">
        <v>12.5</v>
      </c>
      <c r="V2968" s="1">
        <v>373.33333333333326</v>
      </c>
      <c r="W2968" s="1">
        <v>4</v>
      </c>
    </row>
    <row r="2969" spans="1:23" x14ac:dyDescent="0.2">
      <c r="A2969">
        <v>2020</v>
      </c>
      <c r="B2969" t="s">
        <v>23</v>
      </c>
      <c r="C2969" t="s">
        <v>272</v>
      </c>
      <c r="D2969">
        <v>62</v>
      </c>
      <c r="E2969">
        <v>2</v>
      </c>
      <c r="F2969">
        <v>14</v>
      </c>
      <c r="G2969" t="s">
        <v>86</v>
      </c>
      <c r="H2969" s="1">
        <v>14</v>
      </c>
      <c r="I2969" s="1">
        <v>66</v>
      </c>
      <c r="J2969" s="1">
        <v>71</v>
      </c>
      <c r="K2969" s="1">
        <f t="shared" si="146"/>
        <v>5</v>
      </c>
      <c r="L2969" s="1">
        <v>147</v>
      </c>
      <c r="M2969" s="1">
        <v>90</v>
      </c>
      <c r="N2969" s="1">
        <v>2</v>
      </c>
      <c r="O2969" s="1">
        <v>2.5</v>
      </c>
      <c r="P2969" s="1">
        <f>H2969</f>
        <v>14</v>
      </c>
      <c r="Q2969" s="2">
        <v>0.105</v>
      </c>
      <c r="R2969" s="1">
        <v>14</v>
      </c>
      <c r="S2969" s="1">
        <f t="shared" si="147"/>
        <v>1</v>
      </c>
      <c r="T2969" s="1">
        <v>5</v>
      </c>
      <c r="U2969" s="1">
        <v>12.5</v>
      </c>
      <c r="V2969" s="1">
        <v>384.31372549019608</v>
      </c>
      <c r="W2969" s="1">
        <v>5</v>
      </c>
    </row>
    <row r="2970" spans="1:23" x14ac:dyDescent="0.2">
      <c r="A2970">
        <v>2020</v>
      </c>
      <c r="B2970" t="s">
        <v>23</v>
      </c>
      <c r="C2970" t="s">
        <v>272</v>
      </c>
      <c r="D2970">
        <v>63</v>
      </c>
      <c r="E2970">
        <v>1</v>
      </c>
      <c r="F2970">
        <v>9</v>
      </c>
      <c r="G2970" t="s">
        <v>87</v>
      </c>
      <c r="H2970">
        <v>1</v>
      </c>
      <c r="I2970">
        <v>59</v>
      </c>
      <c r="J2970">
        <v>62</v>
      </c>
      <c r="K2970">
        <v>3</v>
      </c>
      <c r="L2970">
        <v>97</v>
      </c>
      <c r="M2970">
        <v>15</v>
      </c>
      <c r="N2970">
        <v>1</v>
      </c>
      <c r="O2970">
        <v>4</v>
      </c>
      <c r="P2970">
        <v>1</v>
      </c>
      <c r="Q2970">
        <v>0.10199999999999999</v>
      </c>
      <c r="R2970">
        <v>1</v>
      </c>
      <c r="S2970">
        <v>1</v>
      </c>
      <c r="T2970">
        <v>2</v>
      </c>
      <c r="U2970">
        <v>12.5</v>
      </c>
      <c r="V2970">
        <v>373.33333333333326</v>
      </c>
      <c r="W2970">
        <v>2</v>
      </c>
    </row>
    <row r="2971" spans="1:23" x14ac:dyDescent="0.2">
      <c r="A2971">
        <v>2020</v>
      </c>
      <c r="B2971" t="s">
        <v>23</v>
      </c>
      <c r="C2971" t="s">
        <v>272</v>
      </c>
      <c r="D2971">
        <v>63</v>
      </c>
      <c r="E2971">
        <v>2</v>
      </c>
      <c r="F2971">
        <v>1</v>
      </c>
      <c r="G2971" t="s">
        <v>87</v>
      </c>
      <c r="H2971" s="1">
        <v>10</v>
      </c>
      <c r="I2971" s="1">
        <v>60</v>
      </c>
      <c r="J2971" s="1">
        <v>65</v>
      </c>
      <c r="K2971" s="1">
        <f t="shared" ref="K2971:K2977" si="148">J2971-I2971</f>
        <v>5</v>
      </c>
      <c r="L2971" s="1">
        <v>120</v>
      </c>
      <c r="M2971" s="1">
        <v>46</v>
      </c>
      <c r="N2971" s="1">
        <v>1.5</v>
      </c>
      <c r="O2971" s="1">
        <v>4.5</v>
      </c>
      <c r="P2971" s="1">
        <v>6</v>
      </c>
      <c r="Q2971" s="2">
        <v>0.24</v>
      </c>
      <c r="R2971" s="1">
        <v>4</v>
      </c>
      <c r="S2971" s="1">
        <f t="shared" ref="S2971:S2977" si="149">R2971/P2971</f>
        <v>0.66666666666666663</v>
      </c>
      <c r="T2971" s="1">
        <v>5</v>
      </c>
      <c r="U2971" s="1">
        <v>12.5</v>
      </c>
      <c r="V2971" s="1">
        <v>878.43137254901967</v>
      </c>
      <c r="W2971" s="1">
        <v>5</v>
      </c>
    </row>
    <row r="2972" spans="1:23" x14ac:dyDescent="0.2">
      <c r="A2972">
        <v>2020</v>
      </c>
      <c r="B2972" t="s">
        <v>23</v>
      </c>
      <c r="C2972" t="s">
        <v>272</v>
      </c>
      <c r="D2972">
        <v>64</v>
      </c>
      <c r="E2972">
        <v>1</v>
      </c>
      <c r="F2972">
        <v>3</v>
      </c>
      <c r="G2972" t="s">
        <v>88</v>
      </c>
      <c r="H2972" s="1">
        <v>13</v>
      </c>
      <c r="I2972" s="1">
        <v>67</v>
      </c>
      <c r="J2972" s="1">
        <v>70</v>
      </c>
      <c r="K2972" s="1">
        <f t="shared" si="148"/>
        <v>3</v>
      </c>
      <c r="L2972" s="1">
        <v>180</v>
      </c>
      <c r="M2972" s="1">
        <v>103</v>
      </c>
      <c r="N2972" s="1">
        <v>2</v>
      </c>
      <c r="O2972" s="1">
        <v>3.5</v>
      </c>
      <c r="P2972" s="1">
        <v>11</v>
      </c>
      <c r="Q2972" s="2">
        <v>0.73320000000000007</v>
      </c>
      <c r="R2972" s="1">
        <v>9</v>
      </c>
      <c r="S2972" s="1">
        <f t="shared" si="149"/>
        <v>0.81818181818181823</v>
      </c>
      <c r="T2972" s="1">
        <v>3</v>
      </c>
      <c r="U2972" s="1">
        <v>8.1999999999999993</v>
      </c>
      <c r="V2972" s="1">
        <v>2815.4879999999998</v>
      </c>
      <c r="W2972" s="1">
        <v>5</v>
      </c>
    </row>
    <row r="2973" spans="1:23" x14ac:dyDescent="0.2">
      <c r="A2973">
        <v>2020</v>
      </c>
      <c r="B2973" t="s">
        <v>23</v>
      </c>
      <c r="C2973" t="s">
        <v>272</v>
      </c>
      <c r="D2973">
        <v>64</v>
      </c>
      <c r="E2973">
        <v>2</v>
      </c>
      <c r="F2973">
        <v>6</v>
      </c>
      <c r="G2973" t="s">
        <v>88</v>
      </c>
      <c r="H2973" s="1">
        <v>4</v>
      </c>
      <c r="I2973" s="1">
        <v>67</v>
      </c>
      <c r="J2973" s="1">
        <v>69</v>
      </c>
      <c r="K2973" s="1">
        <f t="shared" si="148"/>
        <v>2</v>
      </c>
      <c r="L2973" s="1">
        <v>169</v>
      </c>
      <c r="M2973" s="1">
        <v>54</v>
      </c>
      <c r="N2973" s="1">
        <v>2</v>
      </c>
      <c r="O2973" s="1">
        <v>2.5</v>
      </c>
      <c r="P2973" s="1">
        <f>H2973</f>
        <v>4</v>
      </c>
      <c r="Q2973" s="2">
        <v>0.21060000000000001</v>
      </c>
      <c r="R2973" s="1">
        <v>2</v>
      </c>
      <c r="S2973" s="1">
        <f t="shared" si="149"/>
        <v>0.5</v>
      </c>
      <c r="T2973" s="1">
        <v>5</v>
      </c>
      <c r="U2973" s="1">
        <v>12.5</v>
      </c>
      <c r="V2973" s="1">
        <v>770.82352941176487</v>
      </c>
      <c r="W2973" s="1">
        <v>6</v>
      </c>
    </row>
    <row r="2974" spans="1:23" x14ac:dyDescent="0.2">
      <c r="A2974">
        <v>2020</v>
      </c>
      <c r="B2974" t="s">
        <v>23</v>
      </c>
      <c r="C2974" t="s">
        <v>272</v>
      </c>
      <c r="D2974">
        <v>65</v>
      </c>
      <c r="E2974">
        <v>1</v>
      </c>
      <c r="F2974">
        <v>9</v>
      </c>
      <c r="G2974" t="s">
        <v>89</v>
      </c>
      <c r="H2974" s="1">
        <v>8</v>
      </c>
      <c r="I2974" s="1">
        <v>63</v>
      </c>
      <c r="J2974" s="1">
        <v>66</v>
      </c>
      <c r="K2974" s="1">
        <f t="shared" si="148"/>
        <v>3</v>
      </c>
      <c r="L2974" s="1">
        <v>93</v>
      </c>
      <c r="M2974" s="1">
        <v>51</v>
      </c>
      <c r="N2974" s="1">
        <v>1.5</v>
      </c>
      <c r="O2974" s="1">
        <v>4.5</v>
      </c>
      <c r="P2974" s="1">
        <v>5</v>
      </c>
      <c r="Q2974" s="2">
        <v>0.17</v>
      </c>
      <c r="R2974" s="1">
        <v>3</v>
      </c>
      <c r="S2974" s="1">
        <f t="shared" si="149"/>
        <v>0.6</v>
      </c>
      <c r="T2974" s="1">
        <v>4</v>
      </c>
      <c r="U2974" s="1">
        <v>12.5</v>
      </c>
      <c r="V2974" s="1">
        <v>622.2222222222224</v>
      </c>
      <c r="W2974" s="1">
        <v>5</v>
      </c>
    </row>
    <row r="2975" spans="1:23" x14ac:dyDescent="0.2">
      <c r="A2975">
        <v>2020</v>
      </c>
      <c r="B2975" t="s">
        <v>23</v>
      </c>
      <c r="C2975" t="s">
        <v>272</v>
      </c>
      <c r="D2975">
        <v>65</v>
      </c>
      <c r="E2975">
        <v>2</v>
      </c>
      <c r="F2975">
        <v>10</v>
      </c>
      <c r="G2975" t="s">
        <v>89</v>
      </c>
      <c r="H2975" s="3">
        <v>8</v>
      </c>
      <c r="I2975" s="3">
        <v>70</v>
      </c>
      <c r="J2975" s="3">
        <v>72</v>
      </c>
      <c r="K2975" s="3">
        <f t="shared" si="148"/>
        <v>2</v>
      </c>
      <c r="L2975" s="3">
        <v>137</v>
      </c>
      <c r="M2975" s="3">
        <v>73</v>
      </c>
      <c r="N2975" s="3">
        <v>2</v>
      </c>
      <c r="O2975" s="3">
        <v>1.5</v>
      </c>
      <c r="P2975" s="3">
        <v>5</v>
      </c>
      <c r="Q2975" s="4">
        <v>0.12</v>
      </c>
      <c r="R2975" s="3">
        <v>4</v>
      </c>
      <c r="S2975" s="3">
        <f t="shared" si="149"/>
        <v>0.8</v>
      </c>
      <c r="T2975" s="3">
        <v>5</v>
      </c>
      <c r="U2975" s="3">
        <v>12.5</v>
      </c>
      <c r="V2975" s="3">
        <v>439.21568627450984</v>
      </c>
      <c r="W2975" s="3">
        <v>4</v>
      </c>
    </row>
    <row r="2976" spans="1:23" x14ac:dyDescent="0.2">
      <c r="A2976">
        <v>2020</v>
      </c>
      <c r="B2976" t="s">
        <v>23</v>
      </c>
      <c r="C2976" t="s">
        <v>272</v>
      </c>
      <c r="D2976">
        <v>66</v>
      </c>
      <c r="E2976">
        <v>1</v>
      </c>
      <c r="F2976">
        <v>11</v>
      </c>
      <c r="G2976" t="s">
        <v>90</v>
      </c>
      <c r="H2976" s="1">
        <v>10</v>
      </c>
      <c r="I2976" s="1">
        <v>65</v>
      </c>
      <c r="J2976" s="1">
        <v>69</v>
      </c>
      <c r="K2976" s="1">
        <f t="shared" si="148"/>
        <v>4</v>
      </c>
      <c r="L2976" s="1">
        <v>142</v>
      </c>
      <c r="M2976" s="1">
        <v>60</v>
      </c>
      <c r="N2976" s="1">
        <v>2</v>
      </c>
      <c r="O2976" s="1">
        <v>3.5</v>
      </c>
      <c r="P2976" s="1">
        <v>8</v>
      </c>
      <c r="Q2976" s="2">
        <v>0.04</v>
      </c>
      <c r="R2976" s="1">
        <v>1</v>
      </c>
      <c r="S2976" s="1">
        <f t="shared" si="149"/>
        <v>0.125</v>
      </c>
      <c r="T2976" s="1">
        <v>5</v>
      </c>
      <c r="U2976" s="1">
        <v>12.5</v>
      </c>
      <c r="V2976" s="1">
        <v>146.40522875816995</v>
      </c>
      <c r="W2976" s="1">
        <v>3</v>
      </c>
    </row>
    <row r="2977" spans="1:23" x14ac:dyDescent="0.2">
      <c r="A2977">
        <v>2020</v>
      </c>
      <c r="B2977" t="s">
        <v>23</v>
      </c>
      <c r="C2977" t="s">
        <v>272</v>
      </c>
      <c r="D2977">
        <v>66</v>
      </c>
      <c r="E2977">
        <v>2</v>
      </c>
      <c r="F2977">
        <v>10</v>
      </c>
      <c r="G2977" t="s">
        <v>90</v>
      </c>
      <c r="H2977" s="1">
        <v>6</v>
      </c>
      <c r="I2977" s="1">
        <v>62</v>
      </c>
      <c r="J2977" s="1">
        <v>66</v>
      </c>
      <c r="K2977" s="1">
        <f t="shared" si="148"/>
        <v>4</v>
      </c>
      <c r="L2977" s="1">
        <v>165</v>
      </c>
      <c r="M2977" s="1">
        <v>97</v>
      </c>
      <c r="N2977" s="1">
        <v>2</v>
      </c>
      <c r="O2977" s="1">
        <v>2</v>
      </c>
      <c r="P2977" s="1">
        <v>6</v>
      </c>
      <c r="Q2977" s="2">
        <v>0.26500000000000001</v>
      </c>
      <c r="R2977" s="1">
        <v>5</v>
      </c>
      <c r="S2977" s="1">
        <f t="shared" si="149"/>
        <v>0.83333333333333337</v>
      </c>
      <c r="T2977" s="1">
        <v>2</v>
      </c>
      <c r="U2977" s="1">
        <v>9</v>
      </c>
      <c r="V2977" s="1">
        <v>1008.732026143791</v>
      </c>
      <c r="W2977" s="1">
        <v>5</v>
      </c>
    </row>
    <row r="2978" spans="1:23" x14ac:dyDescent="0.2">
      <c r="A2978">
        <v>2020</v>
      </c>
      <c r="B2978" t="s">
        <v>23</v>
      </c>
      <c r="C2978" t="s">
        <v>272</v>
      </c>
      <c r="D2978">
        <v>67</v>
      </c>
      <c r="E2978">
        <v>1</v>
      </c>
      <c r="F2978">
        <v>10</v>
      </c>
      <c r="G2978" t="s">
        <v>91</v>
      </c>
      <c r="H2978">
        <v>13</v>
      </c>
      <c r="I2978">
        <v>53</v>
      </c>
      <c r="J2978">
        <v>57</v>
      </c>
      <c r="K2978">
        <v>4</v>
      </c>
      <c r="L2978">
        <v>138</v>
      </c>
      <c r="M2978">
        <v>66</v>
      </c>
      <c r="N2978">
        <v>2</v>
      </c>
      <c r="O2978">
        <v>2</v>
      </c>
      <c r="P2978">
        <v>12</v>
      </c>
      <c r="Q2978">
        <v>1.6</v>
      </c>
      <c r="R2978">
        <v>11</v>
      </c>
      <c r="S2978">
        <v>0.91666666666666663</v>
      </c>
      <c r="T2978">
        <v>3</v>
      </c>
      <c r="U2978">
        <v>12.5</v>
      </c>
      <c r="V2978">
        <v>5856.2091503267975</v>
      </c>
      <c r="W2978">
        <v>1</v>
      </c>
    </row>
    <row r="2979" spans="1:23" x14ac:dyDescent="0.2">
      <c r="A2979">
        <v>2020</v>
      </c>
      <c r="B2979" t="s">
        <v>23</v>
      </c>
      <c r="C2979" t="s">
        <v>272</v>
      </c>
      <c r="D2979">
        <v>67</v>
      </c>
      <c r="E2979">
        <v>2</v>
      </c>
      <c r="F2979">
        <v>15</v>
      </c>
      <c r="G2979" t="s">
        <v>91</v>
      </c>
      <c r="H2979" s="1">
        <v>7</v>
      </c>
      <c r="I2979" s="1">
        <v>64</v>
      </c>
      <c r="J2979" s="1">
        <v>69</v>
      </c>
      <c r="K2979" s="1">
        <f>J2979-I2979</f>
        <v>5</v>
      </c>
      <c r="L2979" s="1">
        <v>152</v>
      </c>
      <c r="M2979" s="1">
        <v>67</v>
      </c>
      <c r="N2979" s="1">
        <v>2</v>
      </c>
      <c r="O2979" s="1">
        <v>3</v>
      </c>
      <c r="P2979" s="1">
        <v>7</v>
      </c>
      <c r="Q2979" s="2">
        <v>0.78</v>
      </c>
      <c r="R2979" s="1">
        <v>5</v>
      </c>
      <c r="S2979" s="1">
        <f>R2979/P2979</f>
        <v>0.7142857142857143</v>
      </c>
      <c r="T2979" s="1">
        <v>3</v>
      </c>
      <c r="U2979" s="1">
        <v>7.1</v>
      </c>
      <c r="V2979" s="1">
        <v>3031.0901960784313</v>
      </c>
      <c r="W2979" s="1">
        <v>5</v>
      </c>
    </row>
    <row r="2980" spans="1:23" x14ac:dyDescent="0.2">
      <c r="A2980">
        <v>2020</v>
      </c>
      <c r="B2980" t="s">
        <v>23</v>
      </c>
      <c r="C2980" t="s">
        <v>272</v>
      </c>
      <c r="D2980">
        <v>68</v>
      </c>
      <c r="E2980">
        <v>1</v>
      </c>
      <c r="F2980">
        <v>11</v>
      </c>
      <c r="G2980" t="s">
        <v>92</v>
      </c>
      <c r="H2980" s="1">
        <v>2</v>
      </c>
      <c r="I2980" s="1">
        <v>67</v>
      </c>
      <c r="J2980" s="1">
        <v>72</v>
      </c>
      <c r="K2980" s="1">
        <f>J2980-I2980</f>
        <v>5</v>
      </c>
      <c r="L2980" s="1">
        <v>86</v>
      </c>
      <c r="M2980" s="1">
        <v>35</v>
      </c>
      <c r="N2980" s="1">
        <v>3</v>
      </c>
      <c r="O2980" s="1">
        <v>4.5</v>
      </c>
      <c r="P2980" s="1">
        <v>2</v>
      </c>
      <c r="Q2980" s="2">
        <v>0.111</v>
      </c>
      <c r="R2980" s="1">
        <v>2</v>
      </c>
      <c r="S2980" s="1">
        <f>R2980/P2980</f>
        <v>1</v>
      </c>
      <c r="T2980" s="1">
        <v>5</v>
      </c>
      <c r="U2980" s="1">
        <v>12.5</v>
      </c>
      <c r="V2980" s="1">
        <v>406.27450980392155</v>
      </c>
      <c r="W2980" s="1">
        <v>6</v>
      </c>
    </row>
    <row r="2981" spans="1:23" x14ac:dyDescent="0.2">
      <c r="A2981">
        <v>2020</v>
      </c>
      <c r="B2981" t="s">
        <v>23</v>
      </c>
      <c r="C2981" t="s">
        <v>272</v>
      </c>
      <c r="D2981">
        <v>68</v>
      </c>
      <c r="E2981">
        <v>2</v>
      </c>
      <c r="F2981">
        <v>6</v>
      </c>
      <c r="G2981" t="s">
        <v>92</v>
      </c>
      <c r="H2981" s="1">
        <v>10</v>
      </c>
      <c r="I2981" s="1">
        <v>63</v>
      </c>
      <c r="J2981" s="1">
        <v>67</v>
      </c>
      <c r="K2981" s="1">
        <f>J2981-I2981</f>
        <v>4</v>
      </c>
      <c r="L2981" s="1">
        <v>99</v>
      </c>
      <c r="M2981" s="1">
        <v>45</v>
      </c>
      <c r="N2981" s="1">
        <v>2</v>
      </c>
      <c r="O2981" s="1">
        <v>3.5</v>
      </c>
      <c r="P2981" s="1">
        <v>5</v>
      </c>
      <c r="Q2981" s="2">
        <v>0.16500000000000001</v>
      </c>
      <c r="R2981" s="1">
        <v>5</v>
      </c>
      <c r="S2981" s="1">
        <f>R2981/P2981</f>
        <v>1</v>
      </c>
      <c r="T2981" s="1">
        <v>4</v>
      </c>
      <c r="U2981" s="1">
        <v>12.5</v>
      </c>
      <c r="V2981" s="1">
        <v>603.92156862745094</v>
      </c>
      <c r="W2981" s="1">
        <v>3</v>
      </c>
    </row>
    <row r="2982" spans="1:23" x14ac:dyDescent="0.2">
      <c r="A2982">
        <v>2020</v>
      </c>
      <c r="B2982" t="s">
        <v>23</v>
      </c>
      <c r="C2982" t="s">
        <v>272</v>
      </c>
      <c r="D2982">
        <v>69</v>
      </c>
      <c r="E2982">
        <v>1</v>
      </c>
      <c r="F2982">
        <v>7</v>
      </c>
      <c r="G2982" t="s">
        <v>93</v>
      </c>
      <c r="H2982" s="1">
        <v>10</v>
      </c>
      <c r="I2982" s="1">
        <v>61</v>
      </c>
      <c r="J2982" s="1">
        <v>65</v>
      </c>
      <c r="K2982" s="1">
        <f>J2982-I2982</f>
        <v>4</v>
      </c>
      <c r="L2982" s="1">
        <v>139</v>
      </c>
      <c r="M2982" s="1">
        <v>53</v>
      </c>
      <c r="N2982" s="1">
        <v>2</v>
      </c>
      <c r="O2982" s="1">
        <v>4.5</v>
      </c>
      <c r="P2982" s="1">
        <v>6</v>
      </c>
      <c r="Q2982" s="2">
        <v>0.124</v>
      </c>
      <c r="R2982" s="1">
        <v>3</v>
      </c>
      <c r="S2982" s="1">
        <f>R2982/P2982</f>
        <v>0.5</v>
      </c>
      <c r="T2982" s="1">
        <v>3</v>
      </c>
      <c r="U2982" s="1">
        <v>12.5</v>
      </c>
      <c r="V2982" s="1">
        <v>453.85620915032678</v>
      </c>
      <c r="W2982" s="1">
        <v>5</v>
      </c>
    </row>
    <row r="2983" spans="1:23" x14ac:dyDescent="0.2">
      <c r="A2983">
        <v>2020</v>
      </c>
      <c r="B2983" t="s">
        <v>23</v>
      </c>
      <c r="C2983" t="s">
        <v>272</v>
      </c>
      <c r="D2983">
        <v>69</v>
      </c>
      <c r="E2983">
        <v>2</v>
      </c>
      <c r="F2983">
        <v>5</v>
      </c>
      <c r="G2983" t="s">
        <v>93</v>
      </c>
      <c r="H2983">
        <v>5</v>
      </c>
      <c r="I2983">
        <v>63</v>
      </c>
      <c r="J2983">
        <v>67</v>
      </c>
      <c r="K2983">
        <v>4</v>
      </c>
      <c r="L2983">
        <v>95</v>
      </c>
      <c r="M2983">
        <v>50</v>
      </c>
      <c r="N2983">
        <v>1.5</v>
      </c>
      <c r="O2983">
        <v>2</v>
      </c>
      <c r="P2983">
        <v>5</v>
      </c>
      <c r="Q2983">
        <v>0.4</v>
      </c>
      <c r="R2983">
        <v>5</v>
      </c>
      <c r="S2983">
        <v>1</v>
      </c>
      <c r="T2983">
        <v>2.5</v>
      </c>
      <c r="U2983">
        <v>12.5</v>
      </c>
      <c r="V2983">
        <v>1464.0522875816994</v>
      </c>
      <c r="W2983">
        <v>1</v>
      </c>
    </row>
    <row r="2984" spans="1:23" x14ac:dyDescent="0.2">
      <c r="A2984">
        <v>2020</v>
      </c>
      <c r="B2984" t="s">
        <v>23</v>
      </c>
      <c r="C2984" t="s">
        <v>272</v>
      </c>
      <c r="D2984">
        <v>70</v>
      </c>
      <c r="E2984">
        <v>1</v>
      </c>
      <c r="F2984">
        <v>4</v>
      </c>
      <c r="G2984" t="s">
        <v>94</v>
      </c>
      <c r="H2984">
        <v>16</v>
      </c>
      <c r="I2984">
        <v>50</v>
      </c>
      <c r="J2984">
        <v>55</v>
      </c>
      <c r="K2984">
        <v>5</v>
      </c>
      <c r="L2984">
        <v>172</v>
      </c>
      <c r="M2984">
        <v>91</v>
      </c>
      <c r="N2984">
        <v>2</v>
      </c>
      <c r="O2984">
        <v>2.5</v>
      </c>
      <c r="P2984">
        <v>14</v>
      </c>
      <c r="Q2984">
        <v>1.4</v>
      </c>
      <c r="R2984">
        <v>10</v>
      </c>
      <c r="S2984">
        <v>0.7142857142857143</v>
      </c>
      <c r="T2984">
        <v>3</v>
      </c>
      <c r="U2984">
        <v>8.5</v>
      </c>
      <c r="V2984">
        <v>5358.4313725490192</v>
      </c>
      <c r="W2984">
        <v>1</v>
      </c>
    </row>
    <row r="2985" spans="1:23" x14ac:dyDescent="0.2">
      <c r="A2985">
        <v>2020</v>
      </c>
      <c r="B2985" t="s">
        <v>23</v>
      </c>
      <c r="C2985" t="s">
        <v>272</v>
      </c>
      <c r="D2985">
        <v>70</v>
      </c>
      <c r="E2985">
        <v>2</v>
      </c>
      <c r="F2985">
        <v>8</v>
      </c>
      <c r="G2985" t="s">
        <v>94</v>
      </c>
      <c r="H2985">
        <v>14</v>
      </c>
      <c r="I2985">
        <v>58</v>
      </c>
      <c r="J2985">
        <v>60</v>
      </c>
      <c r="K2985">
        <v>2</v>
      </c>
      <c r="L2985">
        <v>160</v>
      </c>
      <c r="M2985">
        <v>53</v>
      </c>
      <c r="N2985">
        <v>2</v>
      </c>
      <c r="O2985">
        <v>2</v>
      </c>
      <c r="P2985">
        <v>9</v>
      </c>
      <c r="Q2985">
        <v>0.3</v>
      </c>
      <c r="R2985">
        <v>8</v>
      </c>
      <c r="S2985">
        <v>0.88888888888888884</v>
      </c>
      <c r="T2985">
        <v>4</v>
      </c>
      <c r="U2985">
        <v>10.6</v>
      </c>
      <c r="V2985">
        <v>1121.8823529411764</v>
      </c>
      <c r="W2985">
        <v>1</v>
      </c>
    </row>
    <row r="2986" spans="1:23" x14ac:dyDescent="0.2">
      <c r="A2986">
        <v>2020</v>
      </c>
      <c r="B2986" t="s">
        <v>23</v>
      </c>
      <c r="C2986" t="s">
        <v>272</v>
      </c>
      <c r="D2986">
        <v>71</v>
      </c>
      <c r="E2986">
        <v>1</v>
      </c>
      <c r="F2986">
        <v>10</v>
      </c>
      <c r="G2986" t="s">
        <v>95</v>
      </c>
      <c r="H2986" s="1">
        <v>7</v>
      </c>
      <c r="I2986" s="1">
        <v>62</v>
      </c>
      <c r="J2986" s="1">
        <v>66</v>
      </c>
      <c r="K2986" s="1">
        <f>J2986-I2986</f>
        <v>4</v>
      </c>
      <c r="L2986" s="1">
        <v>120</v>
      </c>
      <c r="M2986" s="1">
        <v>50</v>
      </c>
      <c r="N2986" s="1">
        <v>2</v>
      </c>
      <c r="O2986" s="1">
        <v>4</v>
      </c>
      <c r="P2986" s="1">
        <v>3</v>
      </c>
      <c r="Q2986" s="2">
        <v>0.26400000000000001</v>
      </c>
      <c r="R2986" s="1">
        <v>3</v>
      </c>
      <c r="S2986" s="1">
        <f>R2986/P2986</f>
        <v>1</v>
      </c>
      <c r="T2986" s="1">
        <v>3.5</v>
      </c>
      <c r="U2986" s="1">
        <v>12.5</v>
      </c>
      <c r="V2986" s="1">
        <v>966.27450980392155</v>
      </c>
      <c r="W2986" s="1">
        <v>5</v>
      </c>
    </row>
    <row r="2987" spans="1:23" x14ac:dyDescent="0.2">
      <c r="A2987">
        <v>2020</v>
      </c>
      <c r="B2987" t="s">
        <v>23</v>
      </c>
      <c r="C2987" t="s">
        <v>272</v>
      </c>
      <c r="D2987">
        <v>71</v>
      </c>
      <c r="E2987">
        <v>2</v>
      </c>
      <c r="F2987">
        <v>12</v>
      </c>
      <c r="G2987" t="s">
        <v>95</v>
      </c>
      <c r="H2987">
        <v>7</v>
      </c>
      <c r="I2987">
        <v>60</v>
      </c>
      <c r="J2987">
        <v>62</v>
      </c>
      <c r="K2987">
        <v>2</v>
      </c>
      <c r="L2987">
        <v>196</v>
      </c>
      <c r="M2987">
        <v>66</v>
      </c>
      <c r="N2987">
        <v>2.5</v>
      </c>
      <c r="O2987">
        <v>2</v>
      </c>
      <c r="P2987">
        <v>7</v>
      </c>
      <c r="Q2987">
        <v>0.8</v>
      </c>
      <c r="R2987">
        <v>7</v>
      </c>
      <c r="S2987">
        <v>1</v>
      </c>
      <c r="T2987">
        <v>3</v>
      </c>
      <c r="U2987">
        <v>12.5</v>
      </c>
      <c r="V2987">
        <v>2928.1045751633987</v>
      </c>
      <c r="W2987">
        <v>2</v>
      </c>
    </row>
    <row r="2988" spans="1:23" x14ac:dyDescent="0.2">
      <c r="A2988">
        <v>2020</v>
      </c>
      <c r="B2988" t="s">
        <v>23</v>
      </c>
      <c r="C2988" t="s">
        <v>272</v>
      </c>
      <c r="D2988">
        <v>72</v>
      </c>
      <c r="E2988">
        <v>1</v>
      </c>
      <c r="F2988">
        <v>6</v>
      </c>
      <c r="G2988" t="s">
        <v>96</v>
      </c>
      <c r="H2988" s="1">
        <v>5</v>
      </c>
      <c r="I2988" s="1">
        <v>62</v>
      </c>
      <c r="J2988" s="1">
        <v>65</v>
      </c>
      <c r="K2988" s="1">
        <f>J2988-I2988</f>
        <v>3</v>
      </c>
      <c r="L2988" s="1">
        <v>123</v>
      </c>
      <c r="M2988" s="1">
        <v>58</v>
      </c>
      <c r="N2988" s="1">
        <v>3</v>
      </c>
      <c r="O2988" s="1">
        <v>4</v>
      </c>
      <c r="P2988" s="1">
        <v>3</v>
      </c>
      <c r="Q2988" s="2">
        <v>0.15419999999999998</v>
      </c>
      <c r="R2988" s="1">
        <v>3</v>
      </c>
      <c r="S2988" s="1">
        <f>R2988/P2988</f>
        <v>1</v>
      </c>
      <c r="T2988" s="1">
        <v>5</v>
      </c>
      <c r="U2988" s="1">
        <v>12.5</v>
      </c>
      <c r="V2988" s="1">
        <v>564.39215686274508</v>
      </c>
      <c r="W2988" s="1">
        <v>5</v>
      </c>
    </row>
    <row r="2989" spans="1:23" x14ac:dyDescent="0.2">
      <c r="A2989">
        <v>2020</v>
      </c>
      <c r="B2989" t="s">
        <v>23</v>
      </c>
      <c r="C2989" t="s">
        <v>272</v>
      </c>
      <c r="D2989">
        <v>72</v>
      </c>
      <c r="E2989">
        <v>2</v>
      </c>
      <c r="F2989">
        <v>10</v>
      </c>
      <c r="G2989" t="s">
        <v>96</v>
      </c>
      <c r="H2989">
        <v>15</v>
      </c>
      <c r="I2989">
        <v>56</v>
      </c>
      <c r="J2989">
        <v>60</v>
      </c>
      <c r="K2989">
        <v>4</v>
      </c>
      <c r="L2989">
        <v>181</v>
      </c>
      <c r="M2989">
        <v>47</v>
      </c>
      <c r="N2989">
        <v>2</v>
      </c>
      <c r="O2989">
        <v>1.5</v>
      </c>
      <c r="P2989">
        <v>12</v>
      </c>
      <c r="Q2989">
        <v>0.7</v>
      </c>
      <c r="R2989">
        <v>12</v>
      </c>
      <c r="S2989">
        <v>1</v>
      </c>
      <c r="T2989">
        <v>2</v>
      </c>
      <c r="U2989">
        <v>13.1</v>
      </c>
      <c r="V2989">
        <v>2544.5228758169933</v>
      </c>
      <c r="W2989">
        <v>2</v>
      </c>
    </row>
    <row r="2990" spans="1:23" x14ac:dyDescent="0.2">
      <c r="A2990">
        <v>2020</v>
      </c>
      <c r="B2990" t="s">
        <v>23</v>
      </c>
      <c r="C2990" t="s">
        <v>272</v>
      </c>
      <c r="D2990">
        <v>73</v>
      </c>
      <c r="E2990">
        <v>1</v>
      </c>
      <c r="F2990">
        <v>9</v>
      </c>
      <c r="G2990" t="s">
        <v>97</v>
      </c>
      <c r="H2990">
        <v>8</v>
      </c>
      <c r="I2990">
        <v>65</v>
      </c>
      <c r="J2990">
        <v>67</v>
      </c>
      <c r="K2990">
        <v>2</v>
      </c>
      <c r="L2990">
        <v>178</v>
      </c>
      <c r="M2990">
        <v>55</v>
      </c>
      <c r="N2990">
        <v>2</v>
      </c>
      <c r="O2990">
        <v>3</v>
      </c>
      <c r="P2990">
        <v>8</v>
      </c>
      <c r="Q2990">
        <v>0.5</v>
      </c>
      <c r="R2990">
        <v>7</v>
      </c>
      <c r="S2990">
        <v>0.875</v>
      </c>
      <c r="T2990">
        <v>2</v>
      </c>
      <c r="U2990">
        <v>15</v>
      </c>
      <c r="V2990">
        <v>1777.7777777777778</v>
      </c>
      <c r="W2990">
        <v>1</v>
      </c>
    </row>
    <row r="2991" spans="1:23" x14ac:dyDescent="0.2">
      <c r="A2991">
        <v>2020</v>
      </c>
      <c r="B2991" t="s">
        <v>23</v>
      </c>
      <c r="C2991" t="s">
        <v>272</v>
      </c>
      <c r="D2991">
        <v>73</v>
      </c>
      <c r="E2991">
        <v>2</v>
      </c>
      <c r="F2991">
        <v>13</v>
      </c>
      <c r="G2991" t="s">
        <v>97</v>
      </c>
      <c r="H2991" s="1">
        <v>6</v>
      </c>
      <c r="I2991" s="1">
        <v>67</v>
      </c>
      <c r="J2991" s="1">
        <v>72</v>
      </c>
      <c r="K2991" s="1">
        <f t="shared" ref="K2991:K2996" si="150">J2991-I2991</f>
        <v>5</v>
      </c>
      <c r="L2991" s="1">
        <v>113</v>
      </c>
      <c r="M2991" s="1">
        <v>103</v>
      </c>
      <c r="N2991" s="1">
        <v>2</v>
      </c>
      <c r="O2991" s="1">
        <v>2.5</v>
      </c>
      <c r="P2991" s="1">
        <f>H2991</f>
        <v>6</v>
      </c>
      <c r="Q2991" s="2">
        <v>0.16500000000000001</v>
      </c>
      <c r="R2991" s="1">
        <v>6</v>
      </c>
      <c r="S2991" s="1">
        <f t="shared" ref="S2991:S2996" si="151">R2991/P2991</f>
        <v>1</v>
      </c>
      <c r="T2991" s="1">
        <v>5</v>
      </c>
      <c r="U2991" s="1">
        <v>12.5</v>
      </c>
      <c r="V2991" s="1">
        <v>603.92156862745094</v>
      </c>
      <c r="W2991" s="1">
        <v>6</v>
      </c>
    </row>
    <row r="2992" spans="1:23" x14ac:dyDescent="0.2">
      <c r="A2992">
        <v>2020</v>
      </c>
      <c r="B2992" t="s">
        <v>23</v>
      </c>
      <c r="C2992" t="s">
        <v>272</v>
      </c>
      <c r="D2992">
        <v>74</v>
      </c>
      <c r="E2992">
        <v>1</v>
      </c>
      <c r="F2992">
        <v>1</v>
      </c>
      <c r="G2992" t="s">
        <v>98</v>
      </c>
      <c r="H2992" s="1">
        <v>16</v>
      </c>
      <c r="I2992" s="1">
        <v>69</v>
      </c>
      <c r="J2992" s="1">
        <v>74</v>
      </c>
      <c r="K2992" s="1">
        <f t="shared" si="150"/>
        <v>5</v>
      </c>
      <c r="L2992" s="1">
        <v>167</v>
      </c>
      <c r="M2992" s="1">
        <v>67</v>
      </c>
      <c r="N2992" s="1">
        <v>2</v>
      </c>
      <c r="O2992" s="1">
        <v>3.5</v>
      </c>
      <c r="P2992" s="1">
        <v>13</v>
      </c>
      <c r="Q2992" s="2">
        <v>0.1812</v>
      </c>
      <c r="R2992" s="1">
        <v>8</v>
      </c>
      <c r="S2992" s="1">
        <f t="shared" si="151"/>
        <v>0.61538461538461542</v>
      </c>
      <c r="T2992" s="1">
        <v>4</v>
      </c>
      <c r="U2992" s="1">
        <v>12.5</v>
      </c>
      <c r="V2992" s="1">
        <v>663.21568627450984</v>
      </c>
      <c r="W2992" s="1">
        <v>4</v>
      </c>
    </row>
    <row r="2993" spans="1:23" x14ac:dyDescent="0.2">
      <c r="A2993">
        <v>2020</v>
      </c>
      <c r="B2993" t="s">
        <v>23</v>
      </c>
      <c r="C2993" t="s">
        <v>272</v>
      </c>
      <c r="D2993">
        <v>74</v>
      </c>
      <c r="E2993">
        <v>2</v>
      </c>
      <c r="F2993">
        <v>7</v>
      </c>
      <c r="G2993" t="s">
        <v>98</v>
      </c>
      <c r="H2993" s="1">
        <v>14</v>
      </c>
      <c r="I2993" s="1">
        <v>68</v>
      </c>
      <c r="J2993" s="1">
        <v>71</v>
      </c>
      <c r="K2993" s="1">
        <f t="shared" si="150"/>
        <v>3</v>
      </c>
      <c r="L2993" s="1">
        <v>160</v>
      </c>
      <c r="M2993" s="1">
        <v>63</v>
      </c>
      <c r="N2993" s="1">
        <v>3</v>
      </c>
      <c r="O2993" s="1">
        <v>4</v>
      </c>
      <c r="P2993" s="1">
        <v>10</v>
      </c>
      <c r="Q2993" s="2">
        <v>0.29099999999999998</v>
      </c>
      <c r="R2993" s="1">
        <v>7</v>
      </c>
      <c r="S2993" s="1">
        <f t="shared" si="151"/>
        <v>0.7</v>
      </c>
      <c r="T2993" s="1">
        <v>4.5</v>
      </c>
      <c r="U2993" s="1">
        <v>12.5</v>
      </c>
      <c r="V2993" s="1">
        <v>1065.0980392156862</v>
      </c>
      <c r="W2993" s="1">
        <v>7</v>
      </c>
    </row>
    <row r="2994" spans="1:23" x14ac:dyDescent="0.2">
      <c r="A2994">
        <v>2020</v>
      </c>
      <c r="B2994" t="s">
        <v>23</v>
      </c>
      <c r="C2994" t="s">
        <v>272</v>
      </c>
      <c r="D2994">
        <v>75</v>
      </c>
      <c r="E2994">
        <v>1</v>
      </c>
      <c r="F2994">
        <v>10</v>
      </c>
      <c r="G2994" t="s">
        <v>99</v>
      </c>
      <c r="H2994" s="1">
        <v>13</v>
      </c>
      <c r="I2994" s="1">
        <v>67</v>
      </c>
      <c r="J2994" s="1">
        <v>72</v>
      </c>
      <c r="K2994" s="1">
        <f t="shared" si="150"/>
        <v>5</v>
      </c>
      <c r="L2994" s="1">
        <v>185</v>
      </c>
      <c r="M2994" s="1">
        <v>133</v>
      </c>
      <c r="N2994" s="1">
        <v>3</v>
      </c>
      <c r="O2994" s="1">
        <v>4</v>
      </c>
      <c r="P2994" s="1">
        <v>9</v>
      </c>
      <c r="Q2994" s="2">
        <v>0.68700000000000006</v>
      </c>
      <c r="R2994" s="1">
        <v>5</v>
      </c>
      <c r="S2994" s="1">
        <f t="shared" si="151"/>
        <v>0.55555555555555558</v>
      </c>
      <c r="T2994" s="1">
        <v>4</v>
      </c>
      <c r="U2994" s="1">
        <v>12.5</v>
      </c>
      <c r="V2994" s="1">
        <v>2514.5098039215686</v>
      </c>
      <c r="W2994" s="1">
        <v>2</v>
      </c>
    </row>
    <row r="2995" spans="1:23" x14ac:dyDescent="0.2">
      <c r="A2995">
        <v>2020</v>
      </c>
      <c r="B2995" t="s">
        <v>23</v>
      </c>
      <c r="C2995" t="s">
        <v>272</v>
      </c>
      <c r="D2995">
        <v>75</v>
      </c>
      <c r="E2995">
        <v>2</v>
      </c>
      <c r="F2995">
        <v>3</v>
      </c>
      <c r="G2995" t="s">
        <v>99</v>
      </c>
      <c r="H2995" s="1">
        <v>9</v>
      </c>
      <c r="I2995" s="1">
        <v>59</v>
      </c>
      <c r="J2995" s="1">
        <v>62</v>
      </c>
      <c r="K2995" s="1">
        <f t="shared" si="150"/>
        <v>3</v>
      </c>
      <c r="L2995" s="1">
        <v>125</v>
      </c>
      <c r="M2995" s="1">
        <v>36</v>
      </c>
      <c r="N2995" s="1">
        <v>3</v>
      </c>
      <c r="O2995" s="1">
        <v>4</v>
      </c>
      <c r="P2995" s="1">
        <v>6</v>
      </c>
      <c r="Q2995" s="2">
        <v>0.1125</v>
      </c>
      <c r="R2995" s="1">
        <v>5</v>
      </c>
      <c r="S2995" s="1">
        <f t="shared" si="151"/>
        <v>0.83333333333333337</v>
      </c>
      <c r="T2995" s="1">
        <v>4</v>
      </c>
      <c r="U2995" s="1">
        <v>12.5</v>
      </c>
      <c r="V2995" s="1">
        <v>411.76470588235293</v>
      </c>
      <c r="W2995" s="1">
        <v>5</v>
      </c>
    </row>
    <row r="2996" spans="1:23" x14ac:dyDescent="0.2">
      <c r="A2996">
        <v>2020</v>
      </c>
      <c r="B2996" t="s">
        <v>23</v>
      </c>
      <c r="C2996" t="s">
        <v>272</v>
      </c>
      <c r="D2996">
        <v>76</v>
      </c>
      <c r="E2996">
        <v>1</v>
      </c>
      <c r="F2996">
        <v>2</v>
      </c>
      <c r="G2996" t="s">
        <v>100</v>
      </c>
      <c r="H2996" s="1">
        <v>2</v>
      </c>
      <c r="I2996" s="1">
        <v>68</v>
      </c>
      <c r="J2996" s="1">
        <v>73</v>
      </c>
      <c r="K2996" s="1">
        <f t="shared" si="150"/>
        <v>5</v>
      </c>
      <c r="L2996" s="1">
        <v>66</v>
      </c>
      <c r="M2996" s="1">
        <v>37</v>
      </c>
      <c r="N2996" s="1">
        <v>1.5</v>
      </c>
      <c r="O2996" s="1">
        <v>5</v>
      </c>
      <c r="P2996" s="1">
        <v>2</v>
      </c>
      <c r="Q2996" s="2">
        <v>8.2000000000000003E-2</v>
      </c>
      <c r="R2996" s="1">
        <v>2</v>
      </c>
      <c r="S2996" s="1">
        <f t="shared" si="151"/>
        <v>1</v>
      </c>
      <c r="T2996" s="1">
        <v>4</v>
      </c>
      <c r="U2996" s="1">
        <v>12.5</v>
      </c>
      <c r="V2996" s="1">
        <v>300.13071895424832</v>
      </c>
      <c r="W2996" s="1">
        <v>2</v>
      </c>
    </row>
    <row r="2997" spans="1:23" x14ac:dyDescent="0.2">
      <c r="A2997">
        <v>2020</v>
      </c>
      <c r="B2997" t="s">
        <v>23</v>
      </c>
      <c r="C2997" t="s">
        <v>272</v>
      </c>
      <c r="D2997">
        <v>76</v>
      </c>
      <c r="E2997">
        <v>2</v>
      </c>
      <c r="F2997">
        <v>3</v>
      </c>
      <c r="G2997" t="s">
        <v>100</v>
      </c>
      <c r="H2997">
        <v>5</v>
      </c>
      <c r="I2997">
        <v>58</v>
      </c>
      <c r="J2997">
        <v>60</v>
      </c>
      <c r="K2997">
        <v>2</v>
      </c>
      <c r="L2997">
        <v>54</v>
      </c>
      <c r="M2997">
        <v>20</v>
      </c>
      <c r="N2997">
        <v>2</v>
      </c>
      <c r="O2997">
        <v>4</v>
      </c>
      <c r="P2997">
        <v>3</v>
      </c>
      <c r="Q2997">
        <v>7.640000000000001E-2</v>
      </c>
      <c r="R2997">
        <v>3</v>
      </c>
      <c r="S2997">
        <v>1</v>
      </c>
      <c r="T2997">
        <v>2</v>
      </c>
      <c r="U2997">
        <v>12.5</v>
      </c>
      <c r="V2997">
        <v>279.63398692810455</v>
      </c>
      <c r="W2997">
        <v>1</v>
      </c>
    </row>
    <row r="2998" spans="1:23" x14ac:dyDescent="0.2">
      <c r="A2998">
        <v>2020</v>
      </c>
      <c r="B2998" t="s">
        <v>23</v>
      </c>
      <c r="C2998" t="s">
        <v>272</v>
      </c>
      <c r="D2998">
        <v>77</v>
      </c>
      <c r="E2998">
        <v>1</v>
      </c>
      <c r="F2998">
        <v>1</v>
      </c>
      <c r="G2998" t="s">
        <v>101</v>
      </c>
      <c r="H2998">
        <v>5</v>
      </c>
      <c r="I2998">
        <v>63</v>
      </c>
      <c r="J2998">
        <v>65</v>
      </c>
      <c r="K2998">
        <v>2</v>
      </c>
      <c r="L2998">
        <v>164</v>
      </c>
      <c r="M2998">
        <v>50</v>
      </c>
      <c r="N2998">
        <v>1.5</v>
      </c>
      <c r="O2998">
        <v>3.5</v>
      </c>
      <c r="P2998">
        <v>5</v>
      </c>
      <c r="Q2998">
        <v>0.4</v>
      </c>
      <c r="R2998">
        <v>4</v>
      </c>
      <c r="S2998">
        <v>0.8</v>
      </c>
      <c r="T2998">
        <v>2.5</v>
      </c>
      <c r="U2998">
        <v>12.5</v>
      </c>
      <c r="V2998">
        <v>1464.0522875816994</v>
      </c>
      <c r="W2998">
        <v>2</v>
      </c>
    </row>
    <row r="2999" spans="1:23" x14ac:dyDescent="0.2">
      <c r="A2999">
        <v>2020</v>
      </c>
      <c r="B2999" t="s">
        <v>23</v>
      </c>
      <c r="C2999" t="s">
        <v>272</v>
      </c>
      <c r="D2999">
        <v>77</v>
      </c>
      <c r="E2999">
        <v>2</v>
      </c>
      <c r="F2999">
        <v>1</v>
      </c>
      <c r="G2999" t="s">
        <v>101</v>
      </c>
      <c r="H2999">
        <v>14</v>
      </c>
      <c r="I2999">
        <v>58</v>
      </c>
      <c r="J2999">
        <v>60</v>
      </c>
      <c r="K2999">
        <v>2</v>
      </c>
      <c r="L2999">
        <v>190</v>
      </c>
      <c r="M2999">
        <v>63</v>
      </c>
      <c r="N2999">
        <v>2</v>
      </c>
      <c r="O2999">
        <v>2.5</v>
      </c>
      <c r="P2999">
        <v>14</v>
      </c>
      <c r="Q2999">
        <v>0.7</v>
      </c>
      <c r="R2999">
        <v>14</v>
      </c>
      <c r="S2999">
        <v>1</v>
      </c>
      <c r="T2999">
        <v>4</v>
      </c>
      <c r="U2999">
        <v>9.6</v>
      </c>
      <c r="V2999">
        <v>2647.0065359477126</v>
      </c>
      <c r="W2999">
        <v>1</v>
      </c>
    </row>
    <row r="3000" spans="1:23" x14ac:dyDescent="0.2">
      <c r="A3000">
        <v>2020</v>
      </c>
      <c r="B3000" t="s">
        <v>23</v>
      </c>
      <c r="C3000" t="s">
        <v>272</v>
      </c>
      <c r="D3000">
        <v>78</v>
      </c>
      <c r="E3000">
        <v>1</v>
      </c>
      <c r="F3000">
        <v>4</v>
      </c>
      <c r="G3000" t="s">
        <v>102</v>
      </c>
      <c r="H3000" s="1">
        <v>13</v>
      </c>
      <c r="I3000" s="1">
        <v>64</v>
      </c>
      <c r="J3000" s="1">
        <v>65</v>
      </c>
      <c r="K3000" s="1">
        <f>J3000-I3000</f>
        <v>1</v>
      </c>
      <c r="L3000" s="1">
        <v>107</v>
      </c>
      <c r="M3000" s="1">
        <v>62</v>
      </c>
      <c r="N3000" s="1">
        <v>3.5</v>
      </c>
      <c r="O3000" s="1">
        <v>4</v>
      </c>
      <c r="P3000" s="1">
        <v>10</v>
      </c>
      <c r="Q3000" s="2">
        <v>0.26600000000000001</v>
      </c>
      <c r="R3000" s="1">
        <v>10</v>
      </c>
      <c r="S3000" s="1">
        <f>R3000/P3000</f>
        <v>1</v>
      </c>
      <c r="T3000" s="1">
        <v>3</v>
      </c>
      <c r="U3000" s="1">
        <v>12.5</v>
      </c>
      <c r="V3000" s="1">
        <v>973.59477124183024</v>
      </c>
      <c r="W3000" s="1">
        <v>5</v>
      </c>
    </row>
    <row r="3001" spans="1:23" x14ac:dyDescent="0.2">
      <c r="A3001">
        <v>2020</v>
      </c>
      <c r="B3001" t="s">
        <v>23</v>
      </c>
      <c r="C3001" t="s">
        <v>272</v>
      </c>
      <c r="D3001">
        <v>78</v>
      </c>
      <c r="E3001">
        <v>2</v>
      </c>
      <c r="F3001">
        <v>7</v>
      </c>
      <c r="G3001" t="s">
        <v>102</v>
      </c>
      <c r="H3001" s="1">
        <v>5</v>
      </c>
      <c r="I3001" s="1">
        <v>60</v>
      </c>
      <c r="J3001" s="1">
        <v>65</v>
      </c>
      <c r="K3001" s="1">
        <f>J3001-I3001</f>
        <v>5</v>
      </c>
      <c r="L3001" s="1">
        <v>165</v>
      </c>
      <c r="M3001" s="1">
        <v>103</v>
      </c>
      <c r="N3001" s="1">
        <v>2</v>
      </c>
      <c r="O3001" s="1">
        <v>2.5</v>
      </c>
      <c r="P3001" s="1">
        <v>5</v>
      </c>
      <c r="Q3001" s="2">
        <v>0.49260000000000004</v>
      </c>
      <c r="R3001" s="1">
        <v>3</v>
      </c>
      <c r="S3001" s="1">
        <f>R3001/P3001</f>
        <v>0.6</v>
      </c>
      <c r="T3001" s="1">
        <v>4</v>
      </c>
      <c r="U3001" s="1">
        <v>12.5</v>
      </c>
      <c r="V3001" s="1">
        <v>1802.980392156863</v>
      </c>
      <c r="W3001" s="1">
        <v>5</v>
      </c>
    </row>
    <row r="3002" spans="1:23" x14ac:dyDescent="0.2">
      <c r="A3002">
        <v>2020</v>
      </c>
      <c r="B3002" t="s">
        <v>23</v>
      </c>
      <c r="C3002" t="s">
        <v>272</v>
      </c>
      <c r="D3002">
        <v>79</v>
      </c>
      <c r="E3002">
        <v>1</v>
      </c>
      <c r="F3002">
        <v>10</v>
      </c>
      <c r="G3002" t="s">
        <v>103</v>
      </c>
      <c r="H3002" s="1">
        <v>14</v>
      </c>
      <c r="I3002" s="1">
        <v>64</v>
      </c>
      <c r="J3002" s="1">
        <v>69</v>
      </c>
      <c r="K3002" s="1">
        <f>J3002-I3002</f>
        <v>5</v>
      </c>
      <c r="L3002" s="1">
        <v>185</v>
      </c>
      <c r="M3002" s="1">
        <v>98</v>
      </c>
      <c r="N3002" s="1">
        <v>1</v>
      </c>
      <c r="O3002" s="1">
        <v>2</v>
      </c>
      <c r="P3002" s="1">
        <v>14</v>
      </c>
      <c r="Q3002" s="2">
        <v>0.12839999999999999</v>
      </c>
      <c r="R3002" s="1">
        <v>14</v>
      </c>
      <c r="S3002" s="1">
        <f>R3002/P3002</f>
        <v>1</v>
      </c>
      <c r="T3002" s="1">
        <v>4</v>
      </c>
      <c r="U3002" s="1">
        <v>8.5</v>
      </c>
      <c r="V3002" s="1">
        <v>491.44470588235282</v>
      </c>
      <c r="W3002" s="1">
        <v>4</v>
      </c>
    </row>
    <row r="3003" spans="1:23" x14ac:dyDescent="0.2">
      <c r="A3003">
        <v>2020</v>
      </c>
      <c r="B3003" t="s">
        <v>23</v>
      </c>
      <c r="C3003" t="s">
        <v>272</v>
      </c>
      <c r="D3003">
        <v>79</v>
      </c>
      <c r="E3003">
        <v>2</v>
      </c>
      <c r="F3003">
        <v>5</v>
      </c>
      <c r="G3003" t="s">
        <v>103</v>
      </c>
      <c r="H3003" s="1">
        <v>10</v>
      </c>
      <c r="I3003" s="1">
        <v>61</v>
      </c>
      <c r="J3003" s="1">
        <v>66</v>
      </c>
      <c r="K3003" s="1">
        <f>J3003-I3003</f>
        <v>5</v>
      </c>
      <c r="L3003" s="1">
        <v>130</v>
      </c>
      <c r="M3003" s="1">
        <v>81</v>
      </c>
      <c r="N3003" s="1">
        <v>2</v>
      </c>
      <c r="O3003" s="1">
        <v>2</v>
      </c>
      <c r="P3003" s="1">
        <f>H3003-2</f>
        <v>8</v>
      </c>
      <c r="Q3003" s="2">
        <v>1.65</v>
      </c>
      <c r="R3003" s="1">
        <v>10</v>
      </c>
      <c r="S3003" s="1">
        <f>R3003/P3003</f>
        <v>1.25</v>
      </c>
      <c r="T3003" s="1">
        <v>3</v>
      </c>
      <c r="U3003" s="1">
        <v>12.5</v>
      </c>
      <c r="V3003" s="1">
        <v>6039.2156862745096</v>
      </c>
      <c r="W3003" s="1">
        <v>3</v>
      </c>
    </row>
    <row r="3004" spans="1:23" x14ac:dyDescent="0.2">
      <c r="A3004">
        <v>2020</v>
      </c>
      <c r="B3004" t="s">
        <v>23</v>
      </c>
      <c r="C3004" t="s">
        <v>272</v>
      </c>
      <c r="D3004">
        <v>80</v>
      </c>
      <c r="E3004">
        <v>1</v>
      </c>
      <c r="F3004">
        <v>4</v>
      </c>
      <c r="G3004" t="s">
        <v>104</v>
      </c>
      <c r="H3004">
        <v>10</v>
      </c>
      <c r="I3004">
        <v>59</v>
      </c>
      <c r="J3004">
        <v>62</v>
      </c>
      <c r="K3004">
        <v>3</v>
      </c>
      <c r="L3004">
        <v>137</v>
      </c>
      <c r="M3004">
        <v>55</v>
      </c>
      <c r="N3004">
        <v>1.5</v>
      </c>
      <c r="O3004">
        <v>3.5</v>
      </c>
      <c r="P3004">
        <v>10</v>
      </c>
      <c r="Q3004">
        <v>0.6</v>
      </c>
      <c r="R3004">
        <v>8</v>
      </c>
      <c r="S3004">
        <v>0.8</v>
      </c>
      <c r="T3004">
        <v>3.5</v>
      </c>
      <c r="U3004">
        <v>12.5</v>
      </c>
      <c r="V3004">
        <v>2196.0784313725489</v>
      </c>
      <c r="W3004">
        <v>1</v>
      </c>
    </row>
    <row r="3005" spans="1:23" x14ac:dyDescent="0.2">
      <c r="A3005">
        <v>2020</v>
      </c>
      <c r="B3005" t="s">
        <v>23</v>
      </c>
      <c r="C3005" t="s">
        <v>272</v>
      </c>
      <c r="D3005">
        <v>80</v>
      </c>
      <c r="E3005">
        <v>2</v>
      </c>
      <c r="F3005">
        <v>6</v>
      </c>
      <c r="G3005" t="s">
        <v>104</v>
      </c>
      <c r="H3005" s="1">
        <v>6</v>
      </c>
      <c r="I3005" s="1">
        <v>64</v>
      </c>
      <c r="J3005" s="1">
        <v>69</v>
      </c>
      <c r="K3005" s="1">
        <f t="shared" ref="K3005:K3014" si="152">J3005-I3005</f>
        <v>5</v>
      </c>
      <c r="L3005" s="1">
        <v>35</v>
      </c>
      <c r="M3005" s="1">
        <v>15</v>
      </c>
      <c r="N3005" s="1">
        <v>3</v>
      </c>
      <c r="O3005" s="1">
        <v>5</v>
      </c>
      <c r="P3005" s="1">
        <v>2</v>
      </c>
      <c r="Q3005" s="2">
        <v>0.03</v>
      </c>
      <c r="R3005" s="1">
        <v>2</v>
      </c>
      <c r="S3005" s="1">
        <f t="shared" ref="S3005:S3014" si="153">R3005/P3005</f>
        <v>1</v>
      </c>
      <c r="T3005" s="1">
        <v>5</v>
      </c>
      <c r="U3005" s="1">
        <v>12.5</v>
      </c>
      <c r="V3005" s="1">
        <v>109.80392156862746</v>
      </c>
      <c r="W3005" s="1">
        <v>6</v>
      </c>
    </row>
    <row r="3006" spans="1:23" x14ac:dyDescent="0.2">
      <c r="A3006">
        <v>2020</v>
      </c>
      <c r="B3006" t="s">
        <v>23</v>
      </c>
      <c r="C3006" t="s">
        <v>272</v>
      </c>
      <c r="D3006">
        <v>81</v>
      </c>
      <c r="E3006">
        <v>1</v>
      </c>
      <c r="F3006">
        <v>11</v>
      </c>
      <c r="G3006" t="s">
        <v>105</v>
      </c>
      <c r="H3006" s="1">
        <v>8</v>
      </c>
      <c r="I3006" s="1">
        <v>65</v>
      </c>
      <c r="J3006" s="1">
        <v>70</v>
      </c>
      <c r="K3006" s="1">
        <f t="shared" si="152"/>
        <v>5</v>
      </c>
      <c r="L3006" s="1">
        <v>158</v>
      </c>
      <c r="M3006" s="1">
        <v>83</v>
      </c>
      <c r="N3006" s="1">
        <v>2</v>
      </c>
      <c r="O3006" s="1">
        <v>3.5</v>
      </c>
      <c r="P3006" s="1">
        <v>8</v>
      </c>
      <c r="Q3006" s="2">
        <v>0.35239999999999999</v>
      </c>
      <c r="R3006" s="1">
        <v>6</v>
      </c>
      <c r="S3006" s="1">
        <f t="shared" si="153"/>
        <v>0.75</v>
      </c>
      <c r="T3006" s="1">
        <v>5</v>
      </c>
      <c r="U3006" s="1">
        <v>7.9</v>
      </c>
      <c r="V3006" s="1">
        <v>1357.6382745098038</v>
      </c>
      <c r="W3006" s="1">
        <v>6</v>
      </c>
    </row>
    <row r="3007" spans="1:23" x14ac:dyDescent="0.2">
      <c r="A3007">
        <v>2020</v>
      </c>
      <c r="B3007" t="s">
        <v>23</v>
      </c>
      <c r="C3007" t="s">
        <v>272</v>
      </c>
      <c r="D3007">
        <v>81</v>
      </c>
      <c r="E3007">
        <v>2</v>
      </c>
      <c r="F3007">
        <v>13</v>
      </c>
      <c r="G3007" t="s">
        <v>105</v>
      </c>
      <c r="H3007" s="1">
        <v>10</v>
      </c>
      <c r="I3007" s="1">
        <v>65</v>
      </c>
      <c r="J3007" s="1">
        <v>70</v>
      </c>
      <c r="K3007" s="1">
        <f t="shared" si="152"/>
        <v>5</v>
      </c>
      <c r="L3007" s="1">
        <v>187</v>
      </c>
      <c r="M3007" s="1">
        <v>107</v>
      </c>
      <c r="N3007" s="1">
        <v>2</v>
      </c>
      <c r="O3007" s="1">
        <v>3.5</v>
      </c>
      <c r="P3007" s="1">
        <v>9</v>
      </c>
      <c r="Q3007" s="2">
        <v>0.22700000000000001</v>
      </c>
      <c r="R3007" s="1">
        <v>3</v>
      </c>
      <c r="S3007" s="1">
        <f t="shared" si="153"/>
        <v>0.33333333333333331</v>
      </c>
      <c r="T3007" s="1">
        <v>5</v>
      </c>
      <c r="U3007" s="1">
        <v>12.5</v>
      </c>
      <c r="V3007" s="1">
        <v>830.84967320261444</v>
      </c>
      <c r="W3007" s="1">
        <v>6</v>
      </c>
    </row>
    <row r="3008" spans="1:23" x14ac:dyDescent="0.2">
      <c r="A3008">
        <v>2020</v>
      </c>
      <c r="B3008" t="s">
        <v>23</v>
      </c>
      <c r="C3008" t="s">
        <v>272</v>
      </c>
      <c r="D3008">
        <v>82</v>
      </c>
      <c r="E3008">
        <v>1</v>
      </c>
      <c r="F3008">
        <v>12</v>
      </c>
      <c r="G3008" t="s">
        <v>106</v>
      </c>
      <c r="H3008" s="1">
        <v>10</v>
      </c>
      <c r="I3008" s="1">
        <v>64</v>
      </c>
      <c r="J3008" s="1">
        <v>65</v>
      </c>
      <c r="K3008" s="1">
        <f t="shared" si="152"/>
        <v>1</v>
      </c>
      <c r="L3008" s="1">
        <v>146</v>
      </c>
      <c r="M3008" s="1">
        <v>61</v>
      </c>
      <c r="N3008" s="1">
        <v>2.5</v>
      </c>
      <c r="O3008" s="1">
        <v>4.5</v>
      </c>
      <c r="P3008" s="1">
        <v>8</v>
      </c>
      <c r="Q3008" s="2">
        <v>0.27</v>
      </c>
      <c r="R3008" s="1">
        <v>6</v>
      </c>
      <c r="S3008" s="1">
        <f t="shared" si="153"/>
        <v>0.75</v>
      </c>
      <c r="T3008" s="1">
        <v>3.5</v>
      </c>
      <c r="U3008" s="1">
        <v>12.5</v>
      </c>
      <c r="V3008" s="1">
        <v>988.23529411764707</v>
      </c>
      <c r="W3008" s="1">
        <v>4</v>
      </c>
    </row>
    <row r="3009" spans="1:23" x14ac:dyDescent="0.2">
      <c r="A3009">
        <v>2020</v>
      </c>
      <c r="B3009" t="s">
        <v>23</v>
      </c>
      <c r="C3009" t="s">
        <v>272</v>
      </c>
      <c r="D3009">
        <v>82</v>
      </c>
      <c r="E3009">
        <v>2</v>
      </c>
      <c r="F3009">
        <v>15</v>
      </c>
      <c r="G3009" t="s">
        <v>106</v>
      </c>
      <c r="H3009" s="1">
        <v>8</v>
      </c>
      <c r="I3009" s="1">
        <v>65</v>
      </c>
      <c r="J3009" s="1">
        <v>68</v>
      </c>
      <c r="K3009" s="1">
        <f t="shared" si="152"/>
        <v>3</v>
      </c>
      <c r="L3009" s="1">
        <v>175</v>
      </c>
      <c r="M3009" s="1">
        <v>93</v>
      </c>
      <c r="N3009" s="1">
        <v>2</v>
      </c>
      <c r="O3009" s="1">
        <v>2.5</v>
      </c>
      <c r="P3009" s="1">
        <v>6</v>
      </c>
      <c r="Q3009" s="2">
        <v>0.28899999999999998</v>
      </c>
      <c r="R3009" s="1">
        <v>6</v>
      </c>
      <c r="S3009" s="1">
        <f t="shared" si="153"/>
        <v>1</v>
      </c>
      <c r="T3009" s="1">
        <v>5</v>
      </c>
      <c r="U3009" s="1">
        <v>10.5</v>
      </c>
      <c r="V3009" s="1">
        <v>1081.9555555555555</v>
      </c>
      <c r="W3009" s="1">
        <v>3</v>
      </c>
    </row>
    <row r="3010" spans="1:23" x14ac:dyDescent="0.2">
      <c r="A3010">
        <v>2020</v>
      </c>
      <c r="B3010" t="s">
        <v>23</v>
      </c>
      <c r="C3010" t="s">
        <v>272</v>
      </c>
      <c r="D3010">
        <v>83</v>
      </c>
      <c r="E3010">
        <v>1</v>
      </c>
      <c r="F3010">
        <v>2</v>
      </c>
      <c r="G3010" t="s">
        <v>107</v>
      </c>
      <c r="H3010" s="1">
        <v>4</v>
      </c>
      <c r="I3010" s="1">
        <v>64</v>
      </c>
      <c r="J3010" s="1">
        <v>69</v>
      </c>
      <c r="K3010" s="1">
        <f t="shared" si="152"/>
        <v>5</v>
      </c>
      <c r="L3010" s="1">
        <v>98</v>
      </c>
      <c r="M3010" s="1">
        <v>26</v>
      </c>
      <c r="N3010" s="1">
        <v>1.5</v>
      </c>
      <c r="O3010" s="1">
        <v>5</v>
      </c>
      <c r="P3010" s="1">
        <v>4</v>
      </c>
      <c r="Q3010" s="2">
        <v>4.4999999999999998E-2</v>
      </c>
      <c r="R3010" s="1">
        <v>4</v>
      </c>
      <c r="S3010" s="1">
        <f t="shared" si="153"/>
        <v>1</v>
      </c>
      <c r="T3010" s="1">
        <v>5</v>
      </c>
      <c r="U3010" s="1">
        <v>12.5</v>
      </c>
      <c r="V3010" s="1">
        <v>164.70588235294116</v>
      </c>
      <c r="W3010" s="1">
        <v>4</v>
      </c>
    </row>
    <row r="3011" spans="1:23" x14ac:dyDescent="0.2">
      <c r="A3011">
        <v>2020</v>
      </c>
      <c r="B3011" t="s">
        <v>23</v>
      </c>
      <c r="C3011" t="s">
        <v>272</v>
      </c>
      <c r="D3011">
        <v>83</v>
      </c>
      <c r="E3011">
        <v>2</v>
      </c>
      <c r="F3011">
        <v>3</v>
      </c>
      <c r="G3011" t="s">
        <v>107</v>
      </c>
      <c r="H3011" s="1">
        <v>9</v>
      </c>
      <c r="I3011" s="1">
        <v>64</v>
      </c>
      <c r="J3011" s="1">
        <v>70</v>
      </c>
      <c r="K3011" s="1">
        <f t="shared" si="152"/>
        <v>6</v>
      </c>
      <c r="L3011" s="1">
        <v>171</v>
      </c>
      <c r="M3011" s="1">
        <v>66</v>
      </c>
      <c r="N3011" s="1">
        <v>2</v>
      </c>
      <c r="O3011" s="1">
        <v>3.5</v>
      </c>
      <c r="P3011" s="1">
        <f>H3011</f>
        <v>9</v>
      </c>
      <c r="Q3011" s="2">
        <v>0.26100000000000001</v>
      </c>
      <c r="R3011" s="1">
        <v>9</v>
      </c>
      <c r="S3011" s="1">
        <f t="shared" si="153"/>
        <v>1</v>
      </c>
      <c r="T3011" s="1">
        <v>5</v>
      </c>
      <c r="U3011" s="1">
        <v>12.5</v>
      </c>
      <c r="V3011" s="1">
        <v>955.29411764705901</v>
      </c>
      <c r="W3011" s="1">
        <v>4</v>
      </c>
    </row>
    <row r="3012" spans="1:23" x14ac:dyDescent="0.2">
      <c r="A3012">
        <v>2020</v>
      </c>
      <c r="B3012" t="s">
        <v>23</v>
      </c>
      <c r="C3012" t="s">
        <v>272</v>
      </c>
      <c r="D3012">
        <v>84</v>
      </c>
      <c r="E3012">
        <v>1</v>
      </c>
      <c r="F3012">
        <v>4</v>
      </c>
      <c r="G3012" t="s">
        <v>108</v>
      </c>
      <c r="H3012" s="1">
        <v>2</v>
      </c>
      <c r="I3012" s="1">
        <v>68</v>
      </c>
      <c r="J3012" s="1">
        <v>73</v>
      </c>
      <c r="K3012" s="1">
        <f t="shared" si="152"/>
        <v>5</v>
      </c>
      <c r="L3012" s="1">
        <v>105</v>
      </c>
      <c r="M3012" s="1">
        <v>50</v>
      </c>
      <c r="N3012" s="1">
        <v>3</v>
      </c>
      <c r="O3012" s="1">
        <v>4</v>
      </c>
      <c r="P3012" s="1">
        <v>1</v>
      </c>
      <c r="Q3012" s="2">
        <v>4.4999999999999998E-2</v>
      </c>
      <c r="R3012" s="1">
        <v>1</v>
      </c>
      <c r="S3012" s="1">
        <f t="shared" si="153"/>
        <v>1</v>
      </c>
      <c r="T3012" s="5" t="s">
        <v>273</v>
      </c>
      <c r="U3012" s="1">
        <v>12.5</v>
      </c>
      <c r="V3012" s="1">
        <v>164.70588235294116</v>
      </c>
      <c r="W3012" s="1">
        <v>0</v>
      </c>
    </row>
    <row r="3013" spans="1:23" x14ac:dyDescent="0.2">
      <c r="A3013">
        <v>2020</v>
      </c>
      <c r="B3013" t="s">
        <v>23</v>
      </c>
      <c r="C3013" t="s">
        <v>272</v>
      </c>
      <c r="D3013">
        <v>84</v>
      </c>
      <c r="E3013">
        <v>2</v>
      </c>
      <c r="F3013">
        <v>4</v>
      </c>
      <c r="G3013" t="s">
        <v>108</v>
      </c>
      <c r="H3013" s="1">
        <v>7</v>
      </c>
      <c r="I3013" s="1">
        <v>63</v>
      </c>
      <c r="J3013" s="1">
        <v>67</v>
      </c>
      <c r="K3013" s="1">
        <f t="shared" si="152"/>
        <v>4</v>
      </c>
      <c r="L3013" s="1">
        <v>163</v>
      </c>
      <c r="M3013" s="1">
        <v>56</v>
      </c>
      <c r="N3013" s="1">
        <v>2.5</v>
      </c>
      <c r="O3013" s="1">
        <v>3.5</v>
      </c>
      <c r="P3013" s="1">
        <v>6</v>
      </c>
      <c r="Q3013" s="2">
        <v>0.28559999999999997</v>
      </c>
      <c r="R3013" s="1">
        <v>6</v>
      </c>
      <c r="S3013" s="1">
        <f t="shared" si="153"/>
        <v>1</v>
      </c>
      <c r="T3013" s="1">
        <v>3.5</v>
      </c>
      <c r="U3013" s="1">
        <v>12.5</v>
      </c>
      <c r="V3013" s="1">
        <v>1045.3333333333333</v>
      </c>
      <c r="W3013" s="1">
        <v>5</v>
      </c>
    </row>
    <row r="3014" spans="1:23" x14ac:dyDescent="0.2">
      <c r="A3014">
        <v>2020</v>
      </c>
      <c r="B3014" t="s">
        <v>23</v>
      </c>
      <c r="C3014" t="s">
        <v>272</v>
      </c>
      <c r="D3014">
        <v>85</v>
      </c>
      <c r="E3014">
        <v>1</v>
      </c>
      <c r="F3014">
        <v>12</v>
      </c>
      <c r="G3014" t="s">
        <v>109</v>
      </c>
      <c r="H3014" s="1">
        <v>12</v>
      </c>
      <c r="I3014" s="1">
        <v>61</v>
      </c>
      <c r="J3014" s="1">
        <v>66</v>
      </c>
      <c r="K3014" s="1">
        <f t="shared" si="152"/>
        <v>5</v>
      </c>
      <c r="L3014" s="1">
        <v>144</v>
      </c>
      <c r="M3014" s="1">
        <v>51</v>
      </c>
      <c r="N3014" s="1">
        <v>1.5</v>
      </c>
      <c r="O3014" s="1">
        <v>4</v>
      </c>
      <c r="P3014" s="1">
        <v>6</v>
      </c>
      <c r="Q3014" s="2">
        <v>0.41</v>
      </c>
      <c r="R3014" s="1">
        <v>5</v>
      </c>
      <c r="S3014" s="1">
        <f t="shared" si="153"/>
        <v>0.83333333333333337</v>
      </c>
      <c r="T3014" s="1">
        <v>3.5</v>
      </c>
      <c r="U3014" s="1">
        <v>12.5</v>
      </c>
      <c r="V3014" s="1">
        <v>1500.6535947712418</v>
      </c>
      <c r="W3014" s="1">
        <v>4</v>
      </c>
    </row>
    <row r="3015" spans="1:23" x14ac:dyDescent="0.2">
      <c r="A3015">
        <v>2020</v>
      </c>
      <c r="B3015" t="s">
        <v>23</v>
      </c>
      <c r="C3015" t="s">
        <v>272</v>
      </c>
      <c r="D3015">
        <v>85</v>
      </c>
      <c r="E3015">
        <v>2</v>
      </c>
      <c r="F3015">
        <v>14</v>
      </c>
      <c r="G3015" t="s">
        <v>109</v>
      </c>
      <c r="H3015">
        <v>3</v>
      </c>
      <c r="I3015">
        <v>55</v>
      </c>
      <c r="J3015">
        <v>57</v>
      </c>
      <c r="K3015">
        <v>2</v>
      </c>
      <c r="L3015">
        <v>186</v>
      </c>
      <c r="M3015">
        <v>61</v>
      </c>
      <c r="N3015">
        <v>2</v>
      </c>
      <c r="O3015">
        <v>3</v>
      </c>
      <c r="P3015">
        <v>3</v>
      </c>
      <c r="Q3015">
        <v>0.2</v>
      </c>
      <c r="R3015">
        <v>2</v>
      </c>
      <c r="S3015">
        <v>0.66666666666666663</v>
      </c>
      <c r="T3015">
        <v>3</v>
      </c>
      <c r="U3015">
        <v>12.5</v>
      </c>
      <c r="V3015">
        <v>732.02614379084969</v>
      </c>
      <c r="W3015">
        <v>2</v>
      </c>
    </row>
    <row r="3016" spans="1:23" x14ac:dyDescent="0.2">
      <c r="A3016">
        <v>2020</v>
      </c>
      <c r="B3016" t="s">
        <v>23</v>
      </c>
      <c r="C3016" t="s">
        <v>272</v>
      </c>
      <c r="D3016">
        <v>86</v>
      </c>
      <c r="E3016">
        <v>1</v>
      </c>
      <c r="F3016">
        <v>3</v>
      </c>
      <c r="G3016" t="s">
        <v>110</v>
      </c>
      <c r="H3016">
        <v>6</v>
      </c>
      <c r="I3016">
        <v>58</v>
      </c>
      <c r="J3016">
        <v>60</v>
      </c>
      <c r="K3016">
        <v>2</v>
      </c>
      <c r="L3016">
        <v>132</v>
      </c>
      <c r="M3016">
        <v>18</v>
      </c>
      <c r="N3016">
        <v>1.5</v>
      </c>
      <c r="O3016">
        <v>4</v>
      </c>
      <c r="P3016">
        <v>6</v>
      </c>
      <c r="Q3016">
        <v>0.4</v>
      </c>
      <c r="R3016">
        <v>7</v>
      </c>
      <c r="S3016">
        <v>1.1666666666666667</v>
      </c>
      <c r="T3016">
        <v>2</v>
      </c>
      <c r="U3016">
        <v>12.5</v>
      </c>
      <c r="V3016">
        <v>1464.0522875816994</v>
      </c>
      <c r="W3016">
        <v>2</v>
      </c>
    </row>
    <row r="3017" spans="1:23" x14ac:dyDescent="0.2">
      <c r="A3017">
        <v>2020</v>
      </c>
      <c r="B3017" t="s">
        <v>23</v>
      </c>
      <c r="C3017" t="s">
        <v>272</v>
      </c>
      <c r="D3017">
        <v>86</v>
      </c>
      <c r="E3017">
        <v>2</v>
      </c>
      <c r="F3017">
        <v>9</v>
      </c>
      <c r="G3017" t="s">
        <v>110</v>
      </c>
      <c r="H3017">
        <v>10</v>
      </c>
      <c r="I3017">
        <v>63</v>
      </c>
      <c r="J3017">
        <v>65</v>
      </c>
      <c r="K3017">
        <v>2</v>
      </c>
      <c r="L3017">
        <v>135</v>
      </c>
      <c r="M3017">
        <v>85</v>
      </c>
      <c r="N3017">
        <v>2</v>
      </c>
      <c r="O3017">
        <v>3</v>
      </c>
      <c r="P3017">
        <v>10</v>
      </c>
      <c r="Q3017">
        <v>1.2</v>
      </c>
      <c r="R3017">
        <v>10</v>
      </c>
      <c r="S3017">
        <v>1</v>
      </c>
      <c r="T3017">
        <v>3</v>
      </c>
      <c r="U3017">
        <v>12.5</v>
      </c>
      <c r="V3017">
        <v>4392.1568627450979</v>
      </c>
      <c r="W3017">
        <v>1</v>
      </c>
    </row>
    <row r="3018" spans="1:23" x14ac:dyDescent="0.2">
      <c r="A3018">
        <v>2020</v>
      </c>
      <c r="B3018" t="s">
        <v>23</v>
      </c>
      <c r="C3018" t="s">
        <v>272</v>
      </c>
      <c r="D3018">
        <v>87</v>
      </c>
      <c r="E3018">
        <v>1</v>
      </c>
      <c r="F3018">
        <v>10</v>
      </c>
      <c r="G3018" t="s">
        <v>111</v>
      </c>
      <c r="H3018" s="1">
        <v>8</v>
      </c>
      <c r="I3018" s="1">
        <v>68</v>
      </c>
      <c r="J3018" s="1">
        <v>71</v>
      </c>
      <c r="K3018" s="1">
        <f>J3018-I3018</f>
        <v>3</v>
      </c>
      <c r="L3018" s="1">
        <v>137</v>
      </c>
      <c r="M3018" s="1">
        <v>58</v>
      </c>
      <c r="N3018" s="1">
        <v>1.5</v>
      </c>
      <c r="O3018" s="1">
        <v>4.5</v>
      </c>
      <c r="P3018" s="1">
        <v>6</v>
      </c>
      <c r="Q3018" s="2">
        <v>4.8500000000000001E-2</v>
      </c>
      <c r="R3018" s="1">
        <v>4</v>
      </c>
      <c r="S3018" s="1">
        <f>R3018/P3018</f>
        <v>0.66666666666666663</v>
      </c>
      <c r="T3018" s="1">
        <v>5</v>
      </c>
      <c r="U3018" s="1">
        <v>12.5</v>
      </c>
      <c r="V3018" s="1">
        <v>177.51633986928107</v>
      </c>
      <c r="W3018" s="1">
        <v>6</v>
      </c>
    </row>
    <row r="3019" spans="1:23" x14ac:dyDescent="0.2">
      <c r="A3019">
        <v>2020</v>
      </c>
      <c r="B3019" t="s">
        <v>23</v>
      </c>
      <c r="C3019" t="s">
        <v>272</v>
      </c>
      <c r="D3019">
        <v>87</v>
      </c>
      <c r="E3019">
        <v>2</v>
      </c>
      <c r="F3019">
        <v>15</v>
      </c>
      <c r="G3019" t="s">
        <v>111</v>
      </c>
      <c r="H3019" s="1">
        <v>8</v>
      </c>
      <c r="I3019" s="1">
        <v>62</v>
      </c>
      <c r="J3019" s="1">
        <v>67</v>
      </c>
      <c r="K3019" s="1">
        <f>J3019-I3019</f>
        <v>5</v>
      </c>
      <c r="L3019" s="1">
        <v>60</v>
      </c>
      <c r="M3019" s="1">
        <v>25</v>
      </c>
      <c r="N3019" s="1">
        <v>1.5</v>
      </c>
      <c r="O3019" s="1">
        <v>5</v>
      </c>
      <c r="P3019" s="1">
        <v>7</v>
      </c>
      <c r="Q3019" s="2">
        <v>0.224</v>
      </c>
      <c r="R3019" s="1">
        <v>6</v>
      </c>
      <c r="S3019" s="1">
        <f>R3019/P3019</f>
        <v>0.8571428571428571</v>
      </c>
      <c r="T3019" s="1">
        <v>4.5</v>
      </c>
      <c r="U3019" s="1">
        <v>12.5</v>
      </c>
      <c r="V3019" s="1">
        <v>819.86928104575168</v>
      </c>
      <c r="W3019" s="1">
        <v>5</v>
      </c>
    </row>
    <row r="3020" spans="1:23" x14ac:dyDescent="0.2">
      <c r="A3020">
        <v>2020</v>
      </c>
      <c r="B3020" t="s">
        <v>23</v>
      </c>
      <c r="C3020" t="s">
        <v>272</v>
      </c>
      <c r="D3020">
        <v>88</v>
      </c>
      <c r="E3020">
        <v>1</v>
      </c>
      <c r="F3020">
        <v>15</v>
      </c>
      <c r="G3020" t="s">
        <v>112</v>
      </c>
      <c r="H3020" s="1">
        <v>6</v>
      </c>
      <c r="I3020" s="1">
        <v>65</v>
      </c>
      <c r="J3020" s="1">
        <v>69</v>
      </c>
      <c r="K3020" s="1">
        <f>J3020-I3020</f>
        <v>4</v>
      </c>
      <c r="L3020" s="1">
        <v>124</v>
      </c>
      <c r="M3020" s="1">
        <v>46</v>
      </c>
      <c r="N3020" s="1">
        <v>2</v>
      </c>
      <c r="O3020" s="1">
        <v>4.5</v>
      </c>
      <c r="P3020" s="1">
        <v>5</v>
      </c>
      <c r="Q3020" s="2">
        <v>0.14099999999999999</v>
      </c>
      <c r="R3020" s="1">
        <v>4</v>
      </c>
      <c r="S3020" s="1">
        <f>R3020/P3020</f>
        <v>0.8</v>
      </c>
      <c r="T3020" s="1">
        <v>4</v>
      </c>
      <c r="U3020" s="1">
        <v>12.5</v>
      </c>
      <c r="V3020" s="1">
        <v>516.07843137254906</v>
      </c>
      <c r="W3020" s="1">
        <v>4</v>
      </c>
    </row>
    <row r="3021" spans="1:23" x14ac:dyDescent="0.2">
      <c r="A3021">
        <v>2020</v>
      </c>
      <c r="B3021" t="s">
        <v>23</v>
      </c>
      <c r="C3021" t="s">
        <v>272</v>
      </c>
      <c r="D3021">
        <v>88</v>
      </c>
      <c r="E3021">
        <v>2</v>
      </c>
      <c r="F3021">
        <v>1</v>
      </c>
      <c r="G3021" t="s">
        <v>112</v>
      </c>
      <c r="H3021" s="1">
        <v>6</v>
      </c>
      <c r="I3021" s="1">
        <v>59</v>
      </c>
      <c r="J3021" s="1">
        <v>64</v>
      </c>
      <c r="K3021" s="1">
        <f>J3021-I3021</f>
        <v>5</v>
      </c>
      <c r="L3021" s="1">
        <v>111</v>
      </c>
      <c r="M3021" s="1">
        <v>48</v>
      </c>
      <c r="N3021" s="1">
        <v>2</v>
      </c>
      <c r="O3021" s="1">
        <v>2.5</v>
      </c>
      <c r="P3021" s="1">
        <v>6</v>
      </c>
      <c r="Q3021" s="2">
        <v>0.12229999999999999</v>
      </c>
      <c r="R3021" s="1">
        <v>2</v>
      </c>
      <c r="S3021" s="1">
        <f>R3021/P3021</f>
        <v>0.33333333333333331</v>
      </c>
      <c r="T3021" s="1">
        <v>5</v>
      </c>
      <c r="U3021" s="1">
        <v>12.5</v>
      </c>
      <c r="V3021" s="1">
        <v>447.63398692810455</v>
      </c>
      <c r="W3021" s="1">
        <v>5</v>
      </c>
    </row>
    <row r="3022" spans="1:23" x14ac:dyDescent="0.2">
      <c r="A3022">
        <v>2020</v>
      </c>
      <c r="B3022" t="s">
        <v>23</v>
      </c>
      <c r="C3022" t="s">
        <v>272</v>
      </c>
      <c r="D3022">
        <v>89</v>
      </c>
      <c r="E3022">
        <v>1</v>
      </c>
      <c r="F3022">
        <v>9</v>
      </c>
      <c r="G3022" t="s">
        <v>113</v>
      </c>
      <c r="H3022">
        <v>10</v>
      </c>
      <c r="I3022">
        <v>54</v>
      </c>
      <c r="J3022">
        <v>56</v>
      </c>
      <c r="K3022">
        <v>2</v>
      </c>
      <c r="L3022">
        <v>197</v>
      </c>
      <c r="M3022">
        <v>60</v>
      </c>
      <c r="N3022">
        <v>2</v>
      </c>
      <c r="O3022">
        <v>2</v>
      </c>
      <c r="P3022">
        <v>8</v>
      </c>
      <c r="Q3022">
        <v>0.5</v>
      </c>
      <c r="R3022">
        <v>7</v>
      </c>
      <c r="S3022">
        <v>0.875</v>
      </c>
      <c r="T3022">
        <v>4</v>
      </c>
      <c r="U3022">
        <v>13.7</v>
      </c>
      <c r="V3022">
        <v>1804.9673202614379</v>
      </c>
      <c r="W3022">
        <v>2</v>
      </c>
    </row>
    <row r="3023" spans="1:23" x14ac:dyDescent="0.2">
      <c r="A3023">
        <v>2020</v>
      </c>
      <c r="B3023" t="s">
        <v>23</v>
      </c>
      <c r="C3023" t="s">
        <v>272</v>
      </c>
      <c r="D3023">
        <v>89</v>
      </c>
      <c r="E3023">
        <v>2</v>
      </c>
      <c r="F3023">
        <v>2</v>
      </c>
      <c r="G3023" t="s">
        <v>113</v>
      </c>
      <c r="H3023" s="1">
        <v>6</v>
      </c>
      <c r="I3023" s="1">
        <v>69</v>
      </c>
      <c r="J3023" s="1">
        <v>74</v>
      </c>
      <c r="K3023" s="1">
        <f>J3023-I3023</f>
        <v>5</v>
      </c>
      <c r="L3023" s="1">
        <v>95</v>
      </c>
      <c r="M3023" s="1">
        <v>40</v>
      </c>
      <c r="N3023" s="1">
        <v>2</v>
      </c>
      <c r="O3023" s="1">
        <v>4</v>
      </c>
      <c r="P3023" s="1">
        <v>5</v>
      </c>
      <c r="Q3023" s="2">
        <v>0.16</v>
      </c>
      <c r="R3023" s="1">
        <v>5</v>
      </c>
      <c r="S3023" s="1">
        <f>R3023/P3023</f>
        <v>1</v>
      </c>
      <c r="T3023" s="1">
        <v>4.5</v>
      </c>
      <c r="U3023" s="1">
        <v>12.5</v>
      </c>
      <c r="V3023" s="1">
        <v>585.62091503267982</v>
      </c>
      <c r="W3023" s="1">
        <v>5</v>
      </c>
    </row>
    <row r="3024" spans="1:23" x14ac:dyDescent="0.2">
      <c r="A3024">
        <v>2020</v>
      </c>
      <c r="B3024" t="s">
        <v>23</v>
      </c>
      <c r="C3024" t="s">
        <v>272</v>
      </c>
      <c r="D3024">
        <v>90</v>
      </c>
      <c r="E3024">
        <v>1</v>
      </c>
      <c r="F3024">
        <v>5</v>
      </c>
      <c r="G3024" t="s">
        <v>114</v>
      </c>
      <c r="H3024">
        <v>14</v>
      </c>
      <c r="I3024">
        <v>57</v>
      </c>
      <c r="J3024">
        <v>60</v>
      </c>
      <c r="K3024">
        <v>3</v>
      </c>
      <c r="L3024">
        <v>192</v>
      </c>
      <c r="M3024">
        <v>77</v>
      </c>
      <c r="N3024">
        <v>2</v>
      </c>
      <c r="O3024">
        <v>2</v>
      </c>
      <c r="P3024">
        <v>10</v>
      </c>
      <c r="Q3024">
        <v>0.7</v>
      </c>
      <c r="R3024">
        <v>10</v>
      </c>
      <c r="S3024">
        <v>1</v>
      </c>
      <c r="T3024">
        <v>3</v>
      </c>
      <c r="U3024">
        <v>8.8000000000000007</v>
      </c>
      <c r="V3024">
        <v>2670.4313725490192</v>
      </c>
      <c r="W3024">
        <v>1</v>
      </c>
    </row>
    <row r="3025" spans="1:23" x14ac:dyDescent="0.2">
      <c r="A3025">
        <v>2020</v>
      </c>
      <c r="B3025" t="s">
        <v>23</v>
      </c>
      <c r="C3025" t="s">
        <v>272</v>
      </c>
      <c r="D3025">
        <v>90</v>
      </c>
      <c r="E3025">
        <v>2</v>
      </c>
      <c r="F3025">
        <v>13</v>
      </c>
      <c r="G3025" t="s">
        <v>114</v>
      </c>
      <c r="H3025">
        <v>3</v>
      </c>
      <c r="I3025">
        <v>52</v>
      </c>
      <c r="J3025">
        <v>58</v>
      </c>
      <c r="K3025">
        <v>6</v>
      </c>
      <c r="L3025">
        <v>69</v>
      </c>
      <c r="M3025">
        <v>30</v>
      </c>
      <c r="N3025">
        <v>5</v>
      </c>
      <c r="O3025">
        <v>4</v>
      </c>
      <c r="P3025">
        <v>3</v>
      </c>
      <c r="Q3025">
        <v>0.15</v>
      </c>
      <c r="R3025">
        <v>2</v>
      </c>
      <c r="S3025">
        <v>0.66666666666666663</v>
      </c>
      <c r="T3025">
        <v>3</v>
      </c>
      <c r="U3025">
        <v>12.5</v>
      </c>
      <c r="V3025">
        <v>549.01960784313724</v>
      </c>
      <c r="W3025">
        <v>2</v>
      </c>
    </row>
    <row r="3026" spans="1:23" x14ac:dyDescent="0.2">
      <c r="A3026">
        <v>2020</v>
      </c>
      <c r="B3026" t="s">
        <v>23</v>
      </c>
      <c r="C3026" t="s">
        <v>272</v>
      </c>
      <c r="D3026">
        <v>91</v>
      </c>
      <c r="E3026">
        <v>1</v>
      </c>
      <c r="F3026">
        <v>9</v>
      </c>
      <c r="G3026" t="s">
        <v>115</v>
      </c>
      <c r="H3026">
        <v>13</v>
      </c>
      <c r="I3026">
        <v>54</v>
      </c>
      <c r="J3026">
        <v>57</v>
      </c>
      <c r="K3026">
        <v>3</v>
      </c>
      <c r="L3026">
        <v>162</v>
      </c>
      <c r="M3026">
        <v>80</v>
      </c>
      <c r="N3026">
        <v>1</v>
      </c>
      <c r="O3026">
        <v>2</v>
      </c>
      <c r="P3026">
        <v>12</v>
      </c>
      <c r="Q3026">
        <v>0.5</v>
      </c>
      <c r="R3026">
        <v>12</v>
      </c>
      <c r="S3026">
        <v>1</v>
      </c>
      <c r="T3026">
        <v>1</v>
      </c>
      <c r="U3026">
        <v>12.7</v>
      </c>
      <c r="V3026">
        <v>1825.8823529411764</v>
      </c>
      <c r="W3026">
        <v>2</v>
      </c>
    </row>
    <row r="3027" spans="1:23" x14ac:dyDescent="0.2">
      <c r="A3027">
        <v>2020</v>
      </c>
      <c r="B3027" t="s">
        <v>23</v>
      </c>
      <c r="C3027" t="s">
        <v>272</v>
      </c>
      <c r="D3027">
        <v>91</v>
      </c>
      <c r="E3027">
        <v>2</v>
      </c>
      <c r="F3027">
        <v>3</v>
      </c>
      <c r="G3027" t="s">
        <v>115</v>
      </c>
      <c r="H3027" s="1">
        <v>6</v>
      </c>
      <c r="I3027" s="1">
        <v>59</v>
      </c>
      <c r="J3027" s="1">
        <v>63</v>
      </c>
      <c r="K3027" s="1">
        <f>J3027-I3027</f>
        <v>4</v>
      </c>
      <c r="L3027" s="1">
        <v>145</v>
      </c>
      <c r="M3027" s="1">
        <v>60</v>
      </c>
      <c r="N3027" s="1">
        <v>2</v>
      </c>
      <c r="O3027" s="1">
        <v>4</v>
      </c>
      <c r="P3027" s="1">
        <v>5</v>
      </c>
      <c r="Q3027" s="2">
        <v>0.06</v>
      </c>
      <c r="R3027" s="1">
        <v>5</v>
      </c>
      <c r="S3027" s="1">
        <f>R3027/P3027</f>
        <v>1</v>
      </c>
      <c r="T3027" s="1">
        <v>4</v>
      </c>
      <c r="U3027" s="1">
        <v>12.5</v>
      </c>
      <c r="V3027" s="1">
        <v>219.60784313725492</v>
      </c>
      <c r="W3027" s="1">
        <v>4</v>
      </c>
    </row>
    <row r="3028" spans="1:23" x14ac:dyDescent="0.2">
      <c r="A3028">
        <v>2020</v>
      </c>
      <c r="B3028" t="s">
        <v>23</v>
      </c>
      <c r="C3028" t="s">
        <v>272</v>
      </c>
      <c r="D3028">
        <v>92</v>
      </c>
      <c r="E3028">
        <v>1</v>
      </c>
      <c r="F3028">
        <v>15</v>
      </c>
      <c r="G3028" t="s">
        <v>116</v>
      </c>
      <c r="H3028">
        <v>16</v>
      </c>
      <c r="I3028">
        <v>55</v>
      </c>
      <c r="J3028">
        <v>57</v>
      </c>
      <c r="K3028">
        <v>2</v>
      </c>
      <c r="L3028">
        <v>192</v>
      </c>
      <c r="M3028">
        <v>81</v>
      </c>
      <c r="N3028">
        <v>2</v>
      </c>
      <c r="O3028">
        <v>2</v>
      </c>
      <c r="P3028">
        <v>12</v>
      </c>
      <c r="Q3028">
        <v>1.6</v>
      </c>
      <c r="R3028">
        <v>15</v>
      </c>
      <c r="S3028">
        <v>1.25</v>
      </c>
      <c r="T3028">
        <v>2</v>
      </c>
      <c r="U3028">
        <v>11</v>
      </c>
      <c r="V3028">
        <v>5956.6013071895422</v>
      </c>
      <c r="W3028">
        <v>2</v>
      </c>
    </row>
    <row r="3029" spans="1:23" x14ac:dyDescent="0.2">
      <c r="A3029">
        <v>2020</v>
      </c>
      <c r="B3029" t="s">
        <v>23</v>
      </c>
      <c r="C3029" t="s">
        <v>272</v>
      </c>
      <c r="D3029">
        <v>92</v>
      </c>
      <c r="E3029">
        <v>2</v>
      </c>
      <c r="F3029">
        <v>13</v>
      </c>
      <c r="G3029" t="s">
        <v>116</v>
      </c>
      <c r="H3029">
        <v>14</v>
      </c>
      <c r="I3029">
        <v>51</v>
      </c>
      <c r="J3029">
        <v>54</v>
      </c>
      <c r="K3029">
        <v>3</v>
      </c>
      <c r="L3029">
        <v>199</v>
      </c>
      <c r="M3029">
        <v>66</v>
      </c>
      <c r="N3029">
        <v>2</v>
      </c>
      <c r="O3029">
        <v>2.5</v>
      </c>
      <c r="P3029">
        <v>12</v>
      </c>
      <c r="Q3029">
        <v>1</v>
      </c>
      <c r="R3029">
        <v>8</v>
      </c>
      <c r="S3029">
        <v>0.66666666666666663</v>
      </c>
      <c r="T3029">
        <v>3</v>
      </c>
      <c r="U3029">
        <v>10.9</v>
      </c>
      <c r="V3029">
        <v>3727.0588235294117</v>
      </c>
      <c r="W3029">
        <v>2</v>
      </c>
    </row>
    <row r="3030" spans="1:23" x14ac:dyDescent="0.2">
      <c r="A3030">
        <v>2020</v>
      </c>
      <c r="B3030" t="s">
        <v>23</v>
      </c>
      <c r="C3030" t="s">
        <v>272</v>
      </c>
      <c r="D3030">
        <v>93</v>
      </c>
      <c r="E3030">
        <v>1</v>
      </c>
      <c r="F3030">
        <v>8</v>
      </c>
      <c r="G3030" t="s">
        <v>117</v>
      </c>
      <c r="H3030" s="3">
        <v>10</v>
      </c>
      <c r="I3030" s="3">
        <v>67</v>
      </c>
      <c r="J3030" s="3">
        <v>73</v>
      </c>
      <c r="K3030" s="3">
        <f>J3030-I3030</f>
        <v>6</v>
      </c>
      <c r="L3030" s="3">
        <v>120</v>
      </c>
      <c r="M3030" s="3">
        <v>46</v>
      </c>
      <c r="N3030" s="3">
        <v>2.5</v>
      </c>
      <c r="O3030" s="3">
        <v>4.5</v>
      </c>
      <c r="P3030" s="3">
        <v>5</v>
      </c>
      <c r="Q3030" s="4">
        <v>0.112</v>
      </c>
      <c r="R3030" s="3">
        <v>5</v>
      </c>
      <c r="S3030" s="3">
        <f>R3030/P3030</f>
        <v>1</v>
      </c>
      <c r="T3030" s="3">
        <v>5</v>
      </c>
      <c r="U3030" s="3">
        <v>12.5</v>
      </c>
      <c r="V3030" s="3">
        <v>409.93464052287584</v>
      </c>
      <c r="W3030" s="3">
        <v>5</v>
      </c>
    </row>
    <row r="3031" spans="1:23" x14ac:dyDescent="0.2">
      <c r="A3031">
        <v>2020</v>
      </c>
      <c r="B3031" t="s">
        <v>23</v>
      </c>
      <c r="C3031" t="s">
        <v>272</v>
      </c>
      <c r="D3031">
        <v>93</v>
      </c>
      <c r="E3031">
        <v>2</v>
      </c>
      <c r="F3031">
        <v>2</v>
      </c>
      <c r="G3031" t="s">
        <v>117</v>
      </c>
      <c r="H3031">
        <v>2</v>
      </c>
      <c r="I3031">
        <v>55</v>
      </c>
      <c r="J3031">
        <v>61</v>
      </c>
      <c r="K3031">
        <v>6</v>
      </c>
      <c r="L3031">
        <v>105</v>
      </c>
      <c r="M3031">
        <v>26</v>
      </c>
      <c r="N3031">
        <v>3</v>
      </c>
      <c r="O3031">
        <v>4</v>
      </c>
      <c r="P3031">
        <v>2</v>
      </c>
      <c r="Q3031">
        <v>0.5</v>
      </c>
      <c r="R3031">
        <v>2</v>
      </c>
      <c r="S3031">
        <v>1</v>
      </c>
      <c r="T3031">
        <v>3</v>
      </c>
      <c r="U3031">
        <v>12.5</v>
      </c>
      <c r="V3031">
        <v>1830.0653594771243</v>
      </c>
      <c r="W3031">
        <v>2</v>
      </c>
    </row>
    <row r="3032" spans="1:23" x14ac:dyDescent="0.2">
      <c r="A3032">
        <v>2020</v>
      </c>
      <c r="B3032" t="s">
        <v>23</v>
      </c>
      <c r="C3032" t="s">
        <v>272</v>
      </c>
      <c r="D3032">
        <v>94</v>
      </c>
      <c r="E3032">
        <v>1</v>
      </c>
      <c r="F3032">
        <v>13</v>
      </c>
      <c r="G3032" t="s">
        <v>118</v>
      </c>
      <c r="H3032" s="1">
        <v>4</v>
      </c>
      <c r="I3032" s="1">
        <v>66</v>
      </c>
      <c r="J3032" s="1">
        <v>67</v>
      </c>
      <c r="K3032" s="1">
        <f>J3032-I3032</f>
        <v>1</v>
      </c>
      <c r="L3032" s="1">
        <v>109</v>
      </c>
      <c r="M3032" s="1">
        <v>55</v>
      </c>
      <c r="N3032" s="1">
        <v>1.5</v>
      </c>
      <c r="O3032" s="1">
        <v>4.5</v>
      </c>
      <c r="P3032" s="1">
        <v>3</v>
      </c>
      <c r="Q3032" s="2">
        <v>8.4000000000000005E-2</v>
      </c>
      <c r="R3032" s="1">
        <v>2</v>
      </c>
      <c r="S3032" s="1">
        <f>R3032/P3032</f>
        <v>0.66666666666666663</v>
      </c>
      <c r="T3032" s="1">
        <v>5</v>
      </c>
      <c r="U3032" s="1">
        <v>12.5</v>
      </c>
      <c r="V3032" s="1">
        <v>307.45098039215685</v>
      </c>
      <c r="W3032" s="1">
        <v>4</v>
      </c>
    </row>
    <row r="3033" spans="1:23" x14ac:dyDescent="0.2">
      <c r="A3033">
        <v>2020</v>
      </c>
      <c r="B3033" t="s">
        <v>23</v>
      </c>
      <c r="C3033" t="s">
        <v>272</v>
      </c>
      <c r="D3033">
        <v>94</v>
      </c>
      <c r="E3033">
        <v>2</v>
      </c>
      <c r="F3033">
        <v>15</v>
      </c>
      <c r="G3033" t="s">
        <v>118</v>
      </c>
      <c r="H3033" s="1">
        <v>8</v>
      </c>
      <c r="I3033" s="1">
        <v>61</v>
      </c>
      <c r="J3033" s="1">
        <v>65</v>
      </c>
      <c r="K3033" s="1">
        <f>J3033-I3033</f>
        <v>4</v>
      </c>
      <c r="L3033" s="1">
        <v>160</v>
      </c>
      <c r="M3033" s="1">
        <v>92</v>
      </c>
      <c r="N3033" s="1">
        <v>2</v>
      </c>
      <c r="O3033" s="1">
        <v>2.5</v>
      </c>
      <c r="P3033" s="1">
        <v>7</v>
      </c>
      <c r="Q3033" s="2">
        <v>0.50319999999999998</v>
      </c>
      <c r="R3033" s="1">
        <v>7</v>
      </c>
      <c r="S3033" s="1">
        <f>R3033/P3033</f>
        <v>1</v>
      </c>
      <c r="T3033" s="1">
        <v>3</v>
      </c>
      <c r="U3033" s="1">
        <v>7.9</v>
      </c>
      <c r="V3033" s="1">
        <v>1938.6026666666667</v>
      </c>
      <c r="W3033" s="1">
        <v>5</v>
      </c>
    </row>
    <row r="3034" spans="1:23" x14ac:dyDescent="0.2">
      <c r="A3034">
        <v>2020</v>
      </c>
      <c r="B3034" t="s">
        <v>23</v>
      </c>
      <c r="C3034" t="s">
        <v>272</v>
      </c>
      <c r="D3034">
        <v>95</v>
      </c>
      <c r="E3034">
        <v>1</v>
      </c>
      <c r="F3034">
        <v>1</v>
      </c>
      <c r="G3034" t="s">
        <v>119</v>
      </c>
      <c r="H3034" s="1">
        <v>6</v>
      </c>
      <c r="I3034" s="1">
        <v>69</v>
      </c>
      <c r="J3034" s="1">
        <v>74</v>
      </c>
      <c r="K3034" s="1">
        <f>J3034-I3034</f>
        <v>5</v>
      </c>
      <c r="L3034" s="1">
        <v>90</v>
      </c>
      <c r="M3034" s="1">
        <v>42</v>
      </c>
      <c r="N3034" s="1">
        <v>2</v>
      </c>
      <c r="O3034" s="1">
        <v>4</v>
      </c>
      <c r="P3034" s="1">
        <v>4</v>
      </c>
      <c r="Q3034" s="2">
        <v>0.14599999999999999</v>
      </c>
      <c r="R3034" s="1">
        <v>3</v>
      </c>
      <c r="S3034" s="1">
        <f>R3034/P3034</f>
        <v>0.75</v>
      </c>
      <c r="T3034" s="1">
        <v>3.5</v>
      </c>
      <c r="U3034" s="1">
        <v>12.5</v>
      </c>
      <c r="V3034" s="1">
        <v>534.37908496732018</v>
      </c>
      <c r="W3034" s="1">
        <v>3</v>
      </c>
    </row>
    <row r="3035" spans="1:23" x14ac:dyDescent="0.2">
      <c r="A3035">
        <v>2020</v>
      </c>
      <c r="B3035" t="s">
        <v>23</v>
      </c>
      <c r="C3035" t="s">
        <v>272</v>
      </c>
      <c r="D3035">
        <v>95</v>
      </c>
      <c r="E3035">
        <v>2</v>
      </c>
      <c r="F3035">
        <v>9</v>
      </c>
      <c r="G3035" t="s">
        <v>119</v>
      </c>
      <c r="H3035">
        <v>12</v>
      </c>
      <c r="I3035">
        <v>56</v>
      </c>
      <c r="J3035">
        <v>55</v>
      </c>
      <c r="K3035">
        <v>-1</v>
      </c>
      <c r="L3035">
        <v>179</v>
      </c>
      <c r="M3035">
        <v>58</v>
      </c>
      <c r="N3035">
        <v>1</v>
      </c>
      <c r="O3035">
        <v>2</v>
      </c>
      <c r="P3035">
        <v>12</v>
      </c>
      <c r="Q3035">
        <v>1.153</v>
      </c>
      <c r="R3035">
        <v>12</v>
      </c>
      <c r="S3035">
        <v>1</v>
      </c>
      <c r="T3035">
        <v>3</v>
      </c>
      <c r="U3035">
        <v>12.5</v>
      </c>
      <c r="V3035">
        <v>4220.1307189542486</v>
      </c>
      <c r="W3035">
        <v>1</v>
      </c>
    </row>
    <row r="3036" spans="1:23" x14ac:dyDescent="0.2">
      <c r="A3036">
        <v>2020</v>
      </c>
      <c r="B3036" t="s">
        <v>23</v>
      </c>
      <c r="C3036" t="s">
        <v>272</v>
      </c>
      <c r="D3036">
        <v>96</v>
      </c>
      <c r="E3036">
        <v>1</v>
      </c>
      <c r="F3036">
        <v>14</v>
      </c>
      <c r="G3036" t="s">
        <v>120</v>
      </c>
      <c r="H3036" s="1">
        <v>8</v>
      </c>
      <c r="I3036" s="1">
        <v>61</v>
      </c>
      <c r="J3036" s="1">
        <v>65</v>
      </c>
      <c r="K3036" s="1">
        <f>J3036-I3036</f>
        <v>4</v>
      </c>
      <c r="L3036" s="1">
        <v>105</v>
      </c>
      <c r="M3036" s="1">
        <v>30</v>
      </c>
      <c r="N3036" s="1">
        <v>1.5</v>
      </c>
      <c r="O3036" s="1">
        <v>5</v>
      </c>
      <c r="P3036" s="1">
        <v>5</v>
      </c>
      <c r="Q3036" s="2">
        <v>3.7199999999999997E-2</v>
      </c>
      <c r="R3036" s="1">
        <v>3</v>
      </c>
      <c r="S3036" s="1">
        <f>R3036/P3036</f>
        <v>0.6</v>
      </c>
      <c r="T3036" s="1">
        <v>5</v>
      </c>
      <c r="U3036" s="1">
        <v>12.5</v>
      </c>
      <c r="V3036" s="1">
        <v>136.15686274509804</v>
      </c>
      <c r="W3036" s="1">
        <v>6</v>
      </c>
    </row>
    <row r="3037" spans="1:23" x14ac:dyDescent="0.2">
      <c r="A3037">
        <v>2020</v>
      </c>
      <c r="B3037" t="s">
        <v>23</v>
      </c>
      <c r="C3037" t="s">
        <v>272</v>
      </c>
      <c r="D3037">
        <v>96</v>
      </c>
      <c r="E3037">
        <v>2</v>
      </c>
      <c r="F3037">
        <v>3</v>
      </c>
      <c r="G3037" t="s">
        <v>120</v>
      </c>
      <c r="H3037" s="1">
        <v>5</v>
      </c>
      <c r="I3037" s="1">
        <v>63</v>
      </c>
      <c r="J3037" s="1">
        <v>64</v>
      </c>
      <c r="K3037" s="1">
        <f>J3037-I3037</f>
        <v>1</v>
      </c>
      <c r="L3037" s="1">
        <v>162</v>
      </c>
      <c r="M3037" s="1">
        <v>93</v>
      </c>
      <c r="N3037" s="1">
        <v>2</v>
      </c>
      <c r="O3037" s="1">
        <v>3.5</v>
      </c>
      <c r="P3037" s="1">
        <v>4</v>
      </c>
      <c r="Q3037" s="2">
        <v>0.37020000000000003</v>
      </c>
      <c r="R3037" s="1">
        <v>3</v>
      </c>
      <c r="S3037" s="1">
        <f>R3037/P3037</f>
        <v>0.75</v>
      </c>
      <c r="T3037" s="1">
        <v>3</v>
      </c>
      <c r="U3037" s="1">
        <v>12.5</v>
      </c>
      <c r="V3037" s="1">
        <v>1354.980392156863</v>
      </c>
      <c r="W3037" s="1">
        <v>4</v>
      </c>
    </row>
    <row r="3038" spans="1:23" x14ac:dyDescent="0.2">
      <c r="A3038">
        <v>2020</v>
      </c>
      <c r="B3038" t="s">
        <v>23</v>
      </c>
      <c r="C3038" t="s">
        <v>272</v>
      </c>
      <c r="D3038">
        <v>97</v>
      </c>
      <c r="E3038">
        <v>1</v>
      </c>
      <c r="F3038">
        <v>2</v>
      </c>
      <c r="G3038" t="s">
        <v>121</v>
      </c>
      <c r="H3038">
        <v>4</v>
      </c>
      <c r="I3038">
        <v>56</v>
      </c>
      <c r="J3038">
        <v>60</v>
      </c>
      <c r="K3038">
        <v>4</v>
      </c>
      <c r="L3038">
        <v>134</v>
      </c>
      <c r="M3038">
        <v>23</v>
      </c>
      <c r="N3038">
        <v>3</v>
      </c>
      <c r="O3038">
        <v>3</v>
      </c>
      <c r="P3038">
        <v>4</v>
      </c>
      <c r="Q3038">
        <v>0.24199999999999999</v>
      </c>
      <c r="R3038">
        <v>3</v>
      </c>
      <c r="S3038">
        <v>0.75</v>
      </c>
      <c r="T3038">
        <v>2</v>
      </c>
      <c r="U3038">
        <v>12.5</v>
      </c>
      <c r="V3038">
        <v>885.75163398692814</v>
      </c>
      <c r="W3038">
        <v>1</v>
      </c>
    </row>
    <row r="3039" spans="1:23" x14ac:dyDescent="0.2">
      <c r="A3039">
        <v>2020</v>
      </c>
      <c r="B3039" t="s">
        <v>23</v>
      </c>
      <c r="C3039" t="s">
        <v>272</v>
      </c>
      <c r="D3039">
        <v>97</v>
      </c>
      <c r="E3039">
        <v>2</v>
      </c>
      <c r="F3039">
        <v>2</v>
      </c>
      <c r="G3039" t="s">
        <v>121</v>
      </c>
      <c r="H3039" s="1">
        <v>16</v>
      </c>
      <c r="I3039" s="1">
        <v>65</v>
      </c>
      <c r="J3039" s="1">
        <v>68</v>
      </c>
      <c r="K3039" s="1">
        <f>J3039-I3039</f>
        <v>3</v>
      </c>
      <c r="L3039" s="1">
        <v>166</v>
      </c>
      <c r="M3039" s="1">
        <v>80</v>
      </c>
      <c r="N3039" s="1">
        <v>2</v>
      </c>
      <c r="O3039" s="1">
        <v>2.5</v>
      </c>
      <c r="P3039" s="1">
        <f>H3039-1</f>
        <v>15</v>
      </c>
      <c r="Q3039" s="2">
        <v>0.22950000000000001</v>
      </c>
      <c r="R3039" s="1">
        <v>13</v>
      </c>
      <c r="S3039" s="1">
        <f>R3039/P3039</f>
        <v>0.8666666666666667</v>
      </c>
      <c r="T3039" s="1">
        <v>3</v>
      </c>
      <c r="U3039" s="1">
        <v>12.5</v>
      </c>
      <c r="V3039" s="1">
        <v>840</v>
      </c>
      <c r="W3039" s="1">
        <v>5</v>
      </c>
    </row>
    <row r="3040" spans="1:23" x14ac:dyDescent="0.2">
      <c r="A3040">
        <v>2020</v>
      </c>
      <c r="B3040" t="s">
        <v>23</v>
      </c>
      <c r="C3040" t="s">
        <v>272</v>
      </c>
      <c r="D3040">
        <v>98</v>
      </c>
      <c r="E3040">
        <v>1</v>
      </c>
      <c r="F3040">
        <v>8</v>
      </c>
      <c r="G3040" t="s">
        <v>122</v>
      </c>
      <c r="H3040">
        <v>1</v>
      </c>
      <c r="I3040">
        <v>60</v>
      </c>
      <c r="J3040">
        <v>63</v>
      </c>
      <c r="K3040">
        <v>3</v>
      </c>
      <c r="L3040">
        <v>103</v>
      </c>
      <c r="M3040">
        <v>22</v>
      </c>
      <c r="N3040">
        <v>2</v>
      </c>
      <c r="O3040">
        <v>3</v>
      </c>
      <c r="P3040">
        <v>1</v>
      </c>
      <c r="Q3040">
        <v>0.1</v>
      </c>
      <c r="R3040">
        <v>1</v>
      </c>
      <c r="S3040">
        <v>1</v>
      </c>
      <c r="T3040">
        <v>2.5</v>
      </c>
      <c r="U3040">
        <v>12.5</v>
      </c>
      <c r="V3040">
        <v>366.01307189542484</v>
      </c>
      <c r="W3040">
        <v>1</v>
      </c>
    </row>
    <row r="3041" spans="1:23" x14ac:dyDescent="0.2">
      <c r="A3041">
        <v>2020</v>
      </c>
      <c r="B3041" t="s">
        <v>23</v>
      </c>
      <c r="C3041" t="s">
        <v>272</v>
      </c>
      <c r="D3041">
        <v>98</v>
      </c>
      <c r="E3041">
        <v>2</v>
      </c>
      <c r="F3041">
        <v>11</v>
      </c>
      <c r="G3041" t="s">
        <v>122</v>
      </c>
      <c r="H3041">
        <v>16</v>
      </c>
      <c r="I3041">
        <v>50</v>
      </c>
      <c r="J3041">
        <v>55</v>
      </c>
      <c r="K3041">
        <v>5</v>
      </c>
      <c r="L3041">
        <v>130</v>
      </c>
      <c r="M3041">
        <v>52</v>
      </c>
      <c r="N3041">
        <v>1</v>
      </c>
      <c r="O3041">
        <v>2</v>
      </c>
      <c r="P3041">
        <v>15</v>
      </c>
      <c r="Q3041">
        <v>1.5</v>
      </c>
      <c r="R3041">
        <v>13</v>
      </c>
      <c r="S3041">
        <v>0.8666666666666667</v>
      </c>
      <c r="T3041">
        <v>1</v>
      </c>
      <c r="U3041">
        <v>11.5</v>
      </c>
      <c r="V3041">
        <v>5552.9411764705883</v>
      </c>
      <c r="W3041">
        <v>2</v>
      </c>
    </row>
    <row r="3042" spans="1:23" x14ac:dyDescent="0.2">
      <c r="A3042">
        <v>2020</v>
      </c>
      <c r="B3042" t="s">
        <v>23</v>
      </c>
      <c r="C3042" t="s">
        <v>272</v>
      </c>
      <c r="D3042">
        <v>99</v>
      </c>
      <c r="E3042">
        <v>1</v>
      </c>
      <c r="F3042">
        <v>14</v>
      </c>
      <c r="G3042" t="s">
        <v>123</v>
      </c>
      <c r="H3042" s="1">
        <v>5</v>
      </c>
      <c r="I3042" s="1">
        <v>67</v>
      </c>
      <c r="J3042" s="1">
        <v>72</v>
      </c>
      <c r="K3042" s="1">
        <f>J3042-I3042</f>
        <v>5</v>
      </c>
      <c r="L3042" s="1">
        <v>140</v>
      </c>
      <c r="M3042" s="1">
        <v>77</v>
      </c>
      <c r="N3042" s="1">
        <v>2</v>
      </c>
      <c r="O3042" s="1">
        <v>2.5</v>
      </c>
      <c r="P3042" s="1">
        <v>4</v>
      </c>
      <c r="Q3042" s="2">
        <v>0.56799999999999995</v>
      </c>
      <c r="R3042" s="1">
        <v>3</v>
      </c>
      <c r="S3042" s="1">
        <f>R3042/P3042</f>
        <v>0.75</v>
      </c>
      <c r="T3042" s="1">
        <v>3</v>
      </c>
      <c r="U3042" s="1">
        <v>7.6</v>
      </c>
      <c r="V3042" s="1">
        <v>2195.3756862745099</v>
      </c>
      <c r="W3042" s="1">
        <v>4</v>
      </c>
    </row>
    <row r="3043" spans="1:23" x14ac:dyDescent="0.2">
      <c r="A3043">
        <v>2020</v>
      </c>
      <c r="B3043" t="s">
        <v>23</v>
      </c>
      <c r="C3043" t="s">
        <v>272</v>
      </c>
      <c r="D3043">
        <v>99</v>
      </c>
      <c r="E3043">
        <v>2</v>
      </c>
      <c r="F3043">
        <v>12</v>
      </c>
      <c r="G3043" t="s">
        <v>123</v>
      </c>
      <c r="H3043">
        <v>9</v>
      </c>
      <c r="I3043">
        <v>63</v>
      </c>
      <c r="J3043">
        <v>66</v>
      </c>
      <c r="K3043">
        <v>3</v>
      </c>
      <c r="L3043">
        <v>67</v>
      </c>
      <c r="M3043">
        <v>22</v>
      </c>
      <c r="N3043">
        <v>1.5</v>
      </c>
      <c r="O3043">
        <v>2</v>
      </c>
      <c r="P3043">
        <v>9</v>
      </c>
      <c r="Q3043">
        <v>0.3</v>
      </c>
      <c r="R3043">
        <v>9</v>
      </c>
      <c r="S3043">
        <v>1</v>
      </c>
      <c r="T3043">
        <v>2.5</v>
      </c>
      <c r="U3043">
        <v>12.5</v>
      </c>
      <c r="V3043">
        <v>1098.0392156862745</v>
      </c>
      <c r="W3043">
        <v>1</v>
      </c>
    </row>
    <row r="3044" spans="1:23" x14ac:dyDescent="0.2">
      <c r="A3044">
        <v>2020</v>
      </c>
      <c r="B3044" t="s">
        <v>23</v>
      </c>
      <c r="C3044" t="s">
        <v>272</v>
      </c>
      <c r="D3044">
        <v>100</v>
      </c>
      <c r="E3044">
        <v>1</v>
      </c>
      <c r="F3044">
        <v>12</v>
      </c>
      <c r="G3044" t="s">
        <v>124</v>
      </c>
      <c r="H3044">
        <v>16</v>
      </c>
      <c r="I3044">
        <v>56</v>
      </c>
      <c r="J3044">
        <v>58</v>
      </c>
      <c r="K3044">
        <v>2</v>
      </c>
      <c r="L3044">
        <v>169</v>
      </c>
      <c r="M3044">
        <v>82</v>
      </c>
      <c r="N3044">
        <v>2</v>
      </c>
      <c r="O3044">
        <v>2</v>
      </c>
      <c r="P3044">
        <v>12</v>
      </c>
      <c r="Q3044">
        <v>1</v>
      </c>
      <c r="R3044">
        <v>12</v>
      </c>
      <c r="S3044">
        <v>1</v>
      </c>
      <c r="T3044">
        <v>4</v>
      </c>
      <c r="U3044">
        <v>8.8000000000000007</v>
      </c>
      <c r="V3044">
        <v>3814.9019607843138</v>
      </c>
      <c r="W3044">
        <v>1</v>
      </c>
    </row>
    <row r="3045" spans="1:23" x14ac:dyDescent="0.2">
      <c r="A3045">
        <v>2020</v>
      </c>
      <c r="B3045" t="s">
        <v>23</v>
      </c>
      <c r="C3045" t="s">
        <v>272</v>
      </c>
      <c r="D3045">
        <v>100</v>
      </c>
      <c r="E3045">
        <v>2</v>
      </c>
      <c r="F3045">
        <v>14</v>
      </c>
      <c r="G3045" t="s">
        <v>124</v>
      </c>
      <c r="H3045" s="1">
        <v>10</v>
      </c>
      <c r="I3045" s="1">
        <v>64</v>
      </c>
      <c r="J3045" s="1">
        <v>69</v>
      </c>
      <c r="K3045" s="1">
        <f>J3045-I3045</f>
        <v>5</v>
      </c>
      <c r="L3045" s="1">
        <v>150</v>
      </c>
      <c r="M3045" s="1">
        <v>72</v>
      </c>
      <c r="N3045" s="1">
        <v>2</v>
      </c>
      <c r="O3045" s="1">
        <v>3.5</v>
      </c>
      <c r="P3045" s="1">
        <v>10</v>
      </c>
      <c r="Q3045" s="2">
        <v>0.44</v>
      </c>
      <c r="R3045" s="1">
        <v>8</v>
      </c>
      <c r="S3045" s="1">
        <f>R3045/P3045</f>
        <v>0.8</v>
      </c>
      <c r="T3045" s="1">
        <v>5</v>
      </c>
      <c r="U3045" s="1">
        <v>6.9</v>
      </c>
      <c r="V3045" s="1">
        <v>1713.526797385621</v>
      </c>
      <c r="W3045" s="1">
        <v>4</v>
      </c>
    </row>
    <row r="3046" spans="1:23" x14ac:dyDescent="0.2">
      <c r="A3046">
        <v>2020</v>
      </c>
      <c r="B3046" t="s">
        <v>23</v>
      </c>
      <c r="C3046" t="s">
        <v>272</v>
      </c>
      <c r="D3046">
        <v>101</v>
      </c>
      <c r="E3046">
        <v>1</v>
      </c>
      <c r="F3046">
        <v>3</v>
      </c>
      <c r="G3046" t="s">
        <v>125</v>
      </c>
      <c r="H3046">
        <v>8</v>
      </c>
      <c r="I3046">
        <v>56</v>
      </c>
      <c r="J3046">
        <v>60</v>
      </c>
      <c r="K3046">
        <v>4</v>
      </c>
      <c r="L3046">
        <v>71</v>
      </c>
      <c r="M3046">
        <v>23</v>
      </c>
      <c r="N3046">
        <v>1</v>
      </c>
      <c r="O3046">
        <v>2</v>
      </c>
      <c r="P3046">
        <v>8</v>
      </c>
      <c r="Q3046">
        <v>0.46600000000000003</v>
      </c>
      <c r="R3046">
        <v>8</v>
      </c>
      <c r="S3046">
        <v>1</v>
      </c>
      <c r="T3046">
        <v>3</v>
      </c>
      <c r="U3046">
        <v>12.5</v>
      </c>
      <c r="V3046">
        <v>1705.6209150326802</v>
      </c>
      <c r="W3046">
        <v>2</v>
      </c>
    </row>
    <row r="3047" spans="1:23" x14ac:dyDescent="0.2">
      <c r="A3047">
        <v>2020</v>
      </c>
      <c r="B3047" t="s">
        <v>23</v>
      </c>
      <c r="C3047" t="s">
        <v>272</v>
      </c>
      <c r="D3047">
        <v>101</v>
      </c>
      <c r="E3047">
        <v>2</v>
      </c>
      <c r="F3047">
        <v>11</v>
      </c>
      <c r="G3047" t="s">
        <v>125</v>
      </c>
      <c r="H3047" s="1">
        <v>5</v>
      </c>
      <c r="I3047" s="1">
        <v>61</v>
      </c>
      <c r="J3047" s="1">
        <v>65</v>
      </c>
      <c r="K3047" s="1">
        <f>J3047-I3047</f>
        <v>4</v>
      </c>
      <c r="L3047" s="1">
        <v>158</v>
      </c>
      <c r="M3047" s="1">
        <v>88</v>
      </c>
      <c r="N3047" s="1">
        <v>2</v>
      </c>
      <c r="O3047" s="1">
        <v>3.5</v>
      </c>
      <c r="P3047" s="1">
        <v>4</v>
      </c>
      <c r="Q3047" s="2">
        <v>0.68</v>
      </c>
      <c r="R3047" s="1">
        <v>5</v>
      </c>
      <c r="S3047" s="1">
        <f>R3047/P3047</f>
        <v>1.25</v>
      </c>
      <c r="T3047" s="1">
        <v>3</v>
      </c>
      <c r="U3047" s="1">
        <v>12.5</v>
      </c>
      <c r="V3047" s="1">
        <v>2488.8888888888896</v>
      </c>
      <c r="W3047" s="1">
        <v>4</v>
      </c>
    </row>
    <row r="3048" spans="1:23" x14ac:dyDescent="0.2">
      <c r="A3048">
        <v>2020</v>
      </c>
      <c r="B3048" t="s">
        <v>23</v>
      </c>
      <c r="C3048" t="s">
        <v>272</v>
      </c>
      <c r="D3048">
        <v>102</v>
      </c>
      <c r="E3048">
        <v>1</v>
      </c>
      <c r="F3048">
        <v>8</v>
      </c>
      <c r="G3048" t="s">
        <v>126</v>
      </c>
      <c r="H3048">
        <v>16</v>
      </c>
      <c r="I3048">
        <v>58</v>
      </c>
      <c r="J3048">
        <v>59</v>
      </c>
      <c r="K3048">
        <v>1</v>
      </c>
      <c r="L3048">
        <v>187</v>
      </c>
      <c r="M3048">
        <v>57</v>
      </c>
      <c r="N3048">
        <v>2</v>
      </c>
      <c r="O3048">
        <v>2.5</v>
      </c>
      <c r="P3048">
        <v>11</v>
      </c>
      <c r="Q3048">
        <v>0.5</v>
      </c>
      <c r="R3048">
        <v>10</v>
      </c>
      <c r="S3048">
        <v>0.90909090909090906</v>
      </c>
      <c r="T3048">
        <v>3</v>
      </c>
      <c r="U3048">
        <v>9.3000000000000007</v>
      </c>
      <c r="V3048">
        <v>1896.9934640522874</v>
      </c>
      <c r="W3048">
        <v>2</v>
      </c>
    </row>
    <row r="3049" spans="1:23" x14ac:dyDescent="0.2">
      <c r="A3049">
        <v>2020</v>
      </c>
      <c r="B3049" t="s">
        <v>23</v>
      </c>
      <c r="C3049" t="s">
        <v>272</v>
      </c>
      <c r="D3049">
        <v>102</v>
      </c>
      <c r="E3049">
        <v>2</v>
      </c>
      <c r="F3049">
        <v>4</v>
      </c>
      <c r="G3049" t="s">
        <v>126</v>
      </c>
      <c r="H3049">
        <v>16</v>
      </c>
      <c r="I3049">
        <v>58</v>
      </c>
      <c r="J3049">
        <v>60</v>
      </c>
      <c r="K3049">
        <v>2</v>
      </c>
      <c r="L3049">
        <v>173</v>
      </c>
      <c r="M3049">
        <v>71</v>
      </c>
      <c r="N3049">
        <v>2</v>
      </c>
      <c r="O3049">
        <v>2</v>
      </c>
      <c r="P3049">
        <v>10</v>
      </c>
      <c r="Q3049">
        <v>0.8</v>
      </c>
      <c r="R3049">
        <v>14</v>
      </c>
      <c r="S3049">
        <v>1.4</v>
      </c>
      <c r="T3049">
        <v>2</v>
      </c>
      <c r="U3049">
        <v>10.199999999999999</v>
      </c>
      <c r="V3049">
        <v>3005.0718954248364</v>
      </c>
      <c r="W3049">
        <v>2</v>
      </c>
    </row>
    <row r="3050" spans="1:23" x14ac:dyDescent="0.2">
      <c r="A3050">
        <v>2020</v>
      </c>
      <c r="B3050" t="s">
        <v>23</v>
      </c>
      <c r="C3050" t="s">
        <v>272</v>
      </c>
      <c r="D3050">
        <v>103</v>
      </c>
      <c r="E3050">
        <v>1</v>
      </c>
      <c r="F3050">
        <v>8</v>
      </c>
      <c r="G3050" t="s">
        <v>127</v>
      </c>
      <c r="H3050" s="1">
        <v>14</v>
      </c>
      <c r="I3050" s="1">
        <v>70</v>
      </c>
      <c r="J3050" s="1">
        <v>74</v>
      </c>
      <c r="K3050" s="1">
        <f>J3050-I3050</f>
        <v>4</v>
      </c>
      <c r="L3050" s="1">
        <v>191</v>
      </c>
      <c r="M3050" s="1">
        <v>102</v>
      </c>
      <c r="N3050" s="1">
        <v>2</v>
      </c>
      <c r="O3050" s="1">
        <v>2.5</v>
      </c>
      <c r="P3050" s="1">
        <v>14</v>
      </c>
      <c r="Q3050" s="2">
        <v>0.38400000000000001</v>
      </c>
      <c r="R3050" s="1">
        <v>11</v>
      </c>
      <c r="S3050" s="1">
        <f>R3050/P3050</f>
        <v>0.7857142857142857</v>
      </c>
      <c r="T3050" s="1">
        <v>5</v>
      </c>
      <c r="U3050" s="1">
        <v>9.1999999999999993</v>
      </c>
      <c r="V3050" s="1">
        <v>1458.4972549019608</v>
      </c>
      <c r="W3050" s="1">
        <v>4</v>
      </c>
    </row>
    <row r="3051" spans="1:23" x14ac:dyDescent="0.2">
      <c r="A3051">
        <v>2020</v>
      </c>
      <c r="B3051" t="s">
        <v>23</v>
      </c>
      <c r="C3051" t="s">
        <v>272</v>
      </c>
      <c r="D3051">
        <v>103</v>
      </c>
      <c r="E3051">
        <v>2</v>
      </c>
      <c r="F3051">
        <v>4</v>
      </c>
      <c r="G3051" t="s">
        <v>127</v>
      </c>
      <c r="H3051" s="1">
        <v>12</v>
      </c>
      <c r="I3051" s="1">
        <v>61</v>
      </c>
      <c r="J3051" s="1">
        <v>65</v>
      </c>
      <c r="K3051" s="1">
        <f>J3051-I3051</f>
        <v>4</v>
      </c>
      <c r="L3051" s="1">
        <v>172</v>
      </c>
      <c r="M3051" s="1">
        <v>77</v>
      </c>
      <c r="N3051" s="1">
        <v>2</v>
      </c>
      <c r="O3051" s="1">
        <v>3</v>
      </c>
      <c r="P3051" s="1">
        <v>10</v>
      </c>
      <c r="Q3051" s="2">
        <v>9.0999999999999998E-2</v>
      </c>
      <c r="R3051" s="1">
        <v>7</v>
      </c>
      <c r="S3051" s="1">
        <f>R3051/P3051</f>
        <v>0.7</v>
      </c>
      <c r="T3051" s="1">
        <v>5</v>
      </c>
      <c r="U3051" s="1">
        <v>12.5</v>
      </c>
      <c r="V3051" s="1">
        <v>333.07189542483661</v>
      </c>
      <c r="W3051" s="1">
        <v>5</v>
      </c>
    </row>
    <row r="3052" spans="1:23" x14ac:dyDescent="0.2">
      <c r="A3052">
        <v>2020</v>
      </c>
      <c r="B3052" t="s">
        <v>23</v>
      </c>
      <c r="C3052" t="s">
        <v>272</v>
      </c>
      <c r="D3052">
        <v>104</v>
      </c>
      <c r="E3052">
        <v>1</v>
      </c>
      <c r="F3052">
        <v>4</v>
      </c>
      <c r="G3052" t="s">
        <v>128</v>
      </c>
      <c r="H3052">
        <v>8</v>
      </c>
      <c r="I3052">
        <v>55</v>
      </c>
      <c r="J3052">
        <v>57</v>
      </c>
      <c r="K3052">
        <v>2</v>
      </c>
      <c r="L3052">
        <v>166</v>
      </c>
      <c r="M3052">
        <v>71</v>
      </c>
      <c r="N3052">
        <v>2.5</v>
      </c>
      <c r="O3052">
        <v>3</v>
      </c>
      <c r="P3052">
        <v>8</v>
      </c>
      <c r="Q3052">
        <v>1.1000000000000001</v>
      </c>
      <c r="R3052">
        <v>9</v>
      </c>
      <c r="S3052">
        <v>1.125</v>
      </c>
      <c r="T3052" t="s">
        <v>273</v>
      </c>
      <c r="U3052">
        <v>12.5</v>
      </c>
      <c r="V3052">
        <v>4026.1437908496737</v>
      </c>
      <c r="W3052">
        <v>1</v>
      </c>
    </row>
    <row r="3053" spans="1:23" x14ac:dyDescent="0.2">
      <c r="A3053">
        <v>2020</v>
      </c>
      <c r="B3053" t="s">
        <v>23</v>
      </c>
      <c r="C3053" t="s">
        <v>272</v>
      </c>
      <c r="D3053">
        <v>104</v>
      </c>
      <c r="E3053">
        <v>2</v>
      </c>
      <c r="F3053">
        <v>7</v>
      </c>
      <c r="G3053" t="s">
        <v>128</v>
      </c>
      <c r="H3053" s="1">
        <v>8</v>
      </c>
      <c r="I3053" s="1">
        <v>62</v>
      </c>
      <c r="J3053" s="1">
        <v>66</v>
      </c>
      <c r="K3053" s="1">
        <f>J3053-I3053</f>
        <v>4</v>
      </c>
      <c r="L3053" s="1">
        <v>126</v>
      </c>
      <c r="M3053" s="1">
        <v>56</v>
      </c>
      <c r="N3053" s="1">
        <v>1.5</v>
      </c>
      <c r="O3053" s="1">
        <v>4.5</v>
      </c>
      <c r="P3053" s="1">
        <v>4</v>
      </c>
      <c r="Q3053" s="2">
        <v>4.0799999999999996E-2</v>
      </c>
      <c r="R3053" s="1">
        <v>2</v>
      </c>
      <c r="S3053" s="1">
        <f>R3053/P3053</f>
        <v>0.5</v>
      </c>
      <c r="T3053" s="1">
        <v>4</v>
      </c>
      <c r="U3053" s="1">
        <v>12.5</v>
      </c>
      <c r="V3053" s="1">
        <v>149.33333333333334</v>
      </c>
      <c r="W3053" s="1">
        <v>5</v>
      </c>
    </row>
    <row r="3054" spans="1:23" x14ac:dyDescent="0.2">
      <c r="A3054">
        <v>2020</v>
      </c>
      <c r="B3054" t="s">
        <v>23</v>
      </c>
      <c r="C3054" t="s">
        <v>272</v>
      </c>
      <c r="D3054">
        <v>105</v>
      </c>
      <c r="E3054">
        <v>1</v>
      </c>
      <c r="F3054">
        <v>3</v>
      </c>
      <c r="G3054" t="s">
        <v>129</v>
      </c>
      <c r="H3054">
        <v>9</v>
      </c>
      <c r="I3054">
        <v>56</v>
      </c>
      <c r="J3054">
        <v>59</v>
      </c>
      <c r="K3054">
        <v>3</v>
      </c>
      <c r="L3054">
        <v>170</v>
      </c>
      <c r="M3054">
        <v>75</v>
      </c>
      <c r="N3054">
        <v>1.5</v>
      </c>
      <c r="O3054">
        <v>2</v>
      </c>
      <c r="P3054">
        <v>9</v>
      </c>
      <c r="Q3054">
        <v>0.4</v>
      </c>
      <c r="R3054">
        <v>9</v>
      </c>
      <c r="S3054">
        <v>1</v>
      </c>
      <c r="T3054">
        <v>2.5</v>
      </c>
      <c r="U3054">
        <v>12.5</v>
      </c>
      <c r="V3054">
        <v>1464.0522875816994</v>
      </c>
      <c r="W3054">
        <v>1</v>
      </c>
    </row>
    <row r="3055" spans="1:23" x14ac:dyDescent="0.2">
      <c r="A3055">
        <v>2020</v>
      </c>
      <c r="B3055" t="s">
        <v>23</v>
      </c>
      <c r="C3055" t="s">
        <v>272</v>
      </c>
      <c r="D3055">
        <v>105</v>
      </c>
      <c r="E3055">
        <v>2</v>
      </c>
      <c r="F3055">
        <v>11</v>
      </c>
      <c r="G3055" t="s">
        <v>129</v>
      </c>
      <c r="H3055" s="1">
        <v>10</v>
      </c>
      <c r="I3055" s="1">
        <v>64</v>
      </c>
      <c r="J3055" s="1">
        <v>65</v>
      </c>
      <c r="K3055" s="1">
        <f t="shared" ref="K3055:K3060" si="154">J3055-I3055</f>
        <v>1</v>
      </c>
      <c r="L3055" s="1">
        <v>146</v>
      </c>
      <c r="M3055" s="1">
        <v>61</v>
      </c>
      <c r="N3055" s="1">
        <v>2.5</v>
      </c>
      <c r="O3055" s="1">
        <v>4.5</v>
      </c>
      <c r="P3055" s="1">
        <v>8</v>
      </c>
      <c r="Q3055" s="2">
        <v>0.27</v>
      </c>
      <c r="R3055" s="1">
        <v>6</v>
      </c>
      <c r="S3055" s="1">
        <f t="shared" ref="S3055:S3060" si="155">R3055/P3055</f>
        <v>0.75</v>
      </c>
      <c r="T3055" s="1">
        <v>3.5</v>
      </c>
      <c r="U3055" s="1">
        <v>12.5</v>
      </c>
      <c r="V3055" s="1">
        <v>988.23529411764707</v>
      </c>
      <c r="W3055" s="1">
        <v>4</v>
      </c>
    </row>
    <row r="3056" spans="1:23" x14ac:dyDescent="0.2">
      <c r="A3056">
        <v>2020</v>
      </c>
      <c r="B3056" t="s">
        <v>23</v>
      </c>
      <c r="C3056" t="s">
        <v>272</v>
      </c>
      <c r="D3056">
        <v>106</v>
      </c>
      <c r="E3056">
        <v>1</v>
      </c>
      <c r="F3056">
        <v>12</v>
      </c>
      <c r="G3056" t="s">
        <v>130</v>
      </c>
      <c r="H3056" s="1">
        <v>12</v>
      </c>
      <c r="I3056" s="1">
        <v>55</v>
      </c>
      <c r="J3056" s="1">
        <v>58</v>
      </c>
      <c r="K3056" s="1">
        <f t="shared" si="154"/>
        <v>3</v>
      </c>
      <c r="L3056" s="1">
        <v>111</v>
      </c>
      <c r="M3056" s="1">
        <v>51</v>
      </c>
      <c r="N3056" s="1">
        <v>2</v>
      </c>
      <c r="O3056" s="1">
        <v>3</v>
      </c>
      <c r="P3056" s="1">
        <v>12</v>
      </c>
      <c r="Q3056" s="2">
        <v>1.6</v>
      </c>
      <c r="R3056" s="1">
        <v>13</v>
      </c>
      <c r="S3056" s="1">
        <f t="shared" si="155"/>
        <v>1.0833333333333333</v>
      </c>
      <c r="T3056" s="1">
        <v>2</v>
      </c>
      <c r="U3056" s="1">
        <v>12.5</v>
      </c>
      <c r="V3056" s="1">
        <v>5856.2091503267975</v>
      </c>
      <c r="W3056" s="1">
        <v>3</v>
      </c>
    </row>
    <row r="3057" spans="1:23" x14ac:dyDescent="0.2">
      <c r="A3057">
        <v>2020</v>
      </c>
      <c r="B3057" t="s">
        <v>23</v>
      </c>
      <c r="C3057" t="s">
        <v>272</v>
      </c>
      <c r="D3057">
        <v>106</v>
      </c>
      <c r="E3057">
        <v>2</v>
      </c>
      <c r="F3057">
        <v>2</v>
      </c>
      <c r="G3057" t="s">
        <v>130</v>
      </c>
      <c r="H3057" s="1">
        <v>9</v>
      </c>
      <c r="I3057" s="1">
        <v>61</v>
      </c>
      <c r="J3057" s="1">
        <v>66</v>
      </c>
      <c r="K3057" s="1">
        <f t="shared" si="154"/>
        <v>5</v>
      </c>
      <c r="L3057" s="1">
        <v>137</v>
      </c>
      <c r="M3057" s="1">
        <v>56</v>
      </c>
      <c r="N3057" s="1">
        <v>2.5</v>
      </c>
      <c r="O3057" s="1">
        <v>3.5</v>
      </c>
      <c r="P3057" s="1">
        <v>6</v>
      </c>
      <c r="Q3057" s="2">
        <v>0.14099999999999999</v>
      </c>
      <c r="R3057" s="1">
        <v>4</v>
      </c>
      <c r="S3057" s="1">
        <f t="shared" si="155"/>
        <v>0.66666666666666663</v>
      </c>
      <c r="T3057" s="1">
        <v>4</v>
      </c>
      <c r="U3057" s="1">
        <v>12.5</v>
      </c>
      <c r="V3057" s="1">
        <v>516.07843137254906</v>
      </c>
      <c r="W3057" s="1">
        <v>4</v>
      </c>
    </row>
    <row r="3058" spans="1:23" x14ac:dyDescent="0.2">
      <c r="A3058">
        <v>2020</v>
      </c>
      <c r="B3058" t="s">
        <v>23</v>
      </c>
      <c r="C3058" t="s">
        <v>272</v>
      </c>
      <c r="D3058">
        <v>107</v>
      </c>
      <c r="E3058">
        <v>1</v>
      </c>
      <c r="F3058">
        <v>13</v>
      </c>
      <c r="G3058" t="s">
        <v>131</v>
      </c>
      <c r="H3058" s="1">
        <v>2</v>
      </c>
      <c r="I3058" s="1">
        <v>65</v>
      </c>
      <c r="J3058" s="1">
        <v>66</v>
      </c>
      <c r="K3058" s="1">
        <f t="shared" si="154"/>
        <v>1</v>
      </c>
      <c r="L3058" s="1">
        <v>157</v>
      </c>
      <c r="M3058" s="1">
        <v>75</v>
      </c>
      <c r="N3058" s="1">
        <v>2</v>
      </c>
      <c r="O3058" s="1">
        <v>2.5</v>
      </c>
      <c r="P3058" s="1">
        <v>2</v>
      </c>
      <c r="Q3058" s="2">
        <v>0.49319999999999997</v>
      </c>
      <c r="R3058" s="1">
        <v>3</v>
      </c>
      <c r="S3058" s="1">
        <f t="shared" si="155"/>
        <v>1.5</v>
      </c>
      <c r="T3058" s="1">
        <v>1.5</v>
      </c>
      <c r="U3058" s="1">
        <v>12.5</v>
      </c>
      <c r="V3058" s="1">
        <v>1805.1764705882351</v>
      </c>
      <c r="W3058" s="1">
        <v>2</v>
      </c>
    </row>
    <row r="3059" spans="1:23" x14ac:dyDescent="0.2">
      <c r="A3059">
        <v>2020</v>
      </c>
      <c r="B3059" t="s">
        <v>23</v>
      </c>
      <c r="C3059" t="s">
        <v>272</v>
      </c>
      <c r="D3059">
        <v>107</v>
      </c>
      <c r="E3059">
        <v>2</v>
      </c>
      <c r="F3059">
        <v>6</v>
      </c>
      <c r="G3059" t="s">
        <v>131</v>
      </c>
      <c r="H3059" s="1">
        <v>7</v>
      </c>
      <c r="I3059" s="1">
        <v>63</v>
      </c>
      <c r="J3059" s="1">
        <v>67</v>
      </c>
      <c r="K3059" s="1">
        <f t="shared" si="154"/>
        <v>4</v>
      </c>
      <c r="L3059" s="1">
        <v>106</v>
      </c>
      <c r="M3059" s="1">
        <v>26</v>
      </c>
      <c r="N3059" s="1">
        <v>2</v>
      </c>
      <c r="O3059" s="1">
        <v>5</v>
      </c>
      <c r="P3059" s="1">
        <v>1</v>
      </c>
      <c r="Q3059" s="2">
        <v>3.5000000000000003E-2</v>
      </c>
      <c r="R3059" s="1">
        <v>1</v>
      </c>
      <c r="S3059" s="1">
        <f t="shared" si="155"/>
        <v>1</v>
      </c>
      <c r="T3059" s="1">
        <v>5</v>
      </c>
      <c r="U3059" s="1">
        <v>12.5</v>
      </c>
      <c r="V3059" s="1">
        <v>128.10457516339872</v>
      </c>
      <c r="W3059" s="1">
        <v>6</v>
      </c>
    </row>
    <row r="3060" spans="1:23" x14ac:dyDescent="0.2">
      <c r="A3060">
        <v>2020</v>
      </c>
      <c r="B3060" t="s">
        <v>23</v>
      </c>
      <c r="C3060" t="s">
        <v>272</v>
      </c>
      <c r="D3060">
        <v>108</v>
      </c>
      <c r="E3060">
        <v>1</v>
      </c>
      <c r="F3060">
        <v>9</v>
      </c>
      <c r="G3060" t="s">
        <v>132</v>
      </c>
      <c r="H3060" s="1">
        <v>10</v>
      </c>
      <c r="I3060" s="1">
        <v>63</v>
      </c>
      <c r="J3060" s="1">
        <v>68</v>
      </c>
      <c r="K3060" s="1">
        <f t="shared" si="154"/>
        <v>5</v>
      </c>
      <c r="L3060" s="1">
        <v>170</v>
      </c>
      <c r="M3060" s="1">
        <v>88</v>
      </c>
      <c r="N3060" s="1">
        <v>3</v>
      </c>
      <c r="O3060" s="1">
        <v>4</v>
      </c>
      <c r="P3060" s="1">
        <v>8</v>
      </c>
      <c r="Q3060" s="2">
        <v>0.37039999999999995</v>
      </c>
      <c r="R3060" s="1">
        <v>8</v>
      </c>
      <c r="S3060" s="1">
        <f t="shared" si="155"/>
        <v>1</v>
      </c>
      <c r="T3060" s="1">
        <v>5</v>
      </c>
      <c r="U3060" s="1">
        <v>8.8000000000000007</v>
      </c>
      <c r="V3060" s="1">
        <v>1413.0396862745101</v>
      </c>
      <c r="W3060" s="1">
        <v>4</v>
      </c>
    </row>
    <row r="3061" spans="1:23" x14ac:dyDescent="0.2">
      <c r="A3061">
        <v>2020</v>
      </c>
      <c r="B3061" t="s">
        <v>23</v>
      </c>
      <c r="C3061" t="s">
        <v>272</v>
      </c>
      <c r="D3061">
        <v>108</v>
      </c>
      <c r="E3061">
        <v>2</v>
      </c>
      <c r="F3061">
        <v>15</v>
      </c>
      <c r="G3061" t="s">
        <v>132</v>
      </c>
      <c r="H3061">
        <v>16</v>
      </c>
      <c r="I3061">
        <v>56</v>
      </c>
      <c r="J3061">
        <v>58</v>
      </c>
      <c r="K3061">
        <v>2</v>
      </c>
      <c r="L3061">
        <v>161</v>
      </c>
      <c r="M3061">
        <v>79</v>
      </c>
      <c r="N3061">
        <v>2</v>
      </c>
      <c r="O3061">
        <v>1.5</v>
      </c>
      <c r="P3061">
        <v>15</v>
      </c>
      <c r="Q3061">
        <v>1.3</v>
      </c>
      <c r="R3061">
        <v>14</v>
      </c>
      <c r="S3061">
        <v>0.93333333333333335</v>
      </c>
      <c r="T3061">
        <v>3</v>
      </c>
      <c r="U3061">
        <v>11.6</v>
      </c>
      <c r="V3061">
        <v>4807.1111111111131</v>
      </c>
      <c r="W3061">
        <v>2</v>
      </c>
    </row>
    <row r="3062" spans="1:23" x14ac:dyDescent="0.2">
      <c r="A3062">
        <v>2020</v>
      </c>
      <c r="B3062" t="s">
        <v>23</v>
      </c>
      <c r="C3062" t="s">
        <v>272</v>
      </c>
      <c r="D3062">
        <v>109</v>
      </c>
      <c r="E3062">
        <v>1</v>
      </c>
      <c r="F3062">
        <v>9</v>
      </c>
      <c r="G3062" t="s">
        <v>133</v>
      </c>
      <c r="H3062">
        <v>4</v>
      </c>
      <c r="I3062">
        <v>59</v>
      </c>
      <c r="J3062">
        <v>62</v>
      </c>
      <c r="K3062">
        <v>3</v>
      </c>
      <c r="L3062">
        <v>155</v>
      </c>
      <c r="M3062">
        <v>86</v>
      </c>
      <c r="N3062">
        <v>1.5</v>
      </c>
      <c r="O3062">
        <v>2</v>
      </c>
      <c r="P3062">
        <v>4</v>
      </c>
      <c r="Q3062">
        <v>0.5</v>
      </c>
      <c r="R3062">
        <v>4</v>
      </c>
      <c r="S3062">
        <v>1</v>
      </c>
      <c r="T3062">
        <v>2.5</v>
      </c>
      <c r="U3062">
        <v>12.5</v>
      </c>
      <c r="V3062">
        <v>1830.0653594771243</v>
      </c>
      <c r="W3062">
        <v>1</v>
      </c>
    </row>
    <row r="3063" spans="1:23" x14ac:dyDescent="0.2">
      <c r="A3063">
        <v>2020</v>
      </c>
      <c r="B3063" t="s">
        <v>23</v>
      </c>
      <c r="C3063" t="s">
        <v>272</v>
      </c>
      <c r="D3063">
        <v>109</v>
      </c>
      <c r="E3063">
        <v>2</v>
      </c>
      <c r="F3063">
        <v>12</v>
      </c>
      <c r="G3063" t="s">
        <v>133</v>
      </c>
      <c r="H3063">
        <v>3</v>
      </c>
      <c r="I3063">
        <v>60</v>
      </c>
      <c r="J3063">
        <v>63</v>
      </c>
      <c r="K3063">
        <v>3</v>
      </c>
      <c r="L3063">
        <v>102</v>
      </c>
      <c r="M3063">
        <v>22</v>
      </c>
      <c r="N3063">
        <v>1.5</v>
      </c>
      <c r="O3063">
        <v>2</v>
      </c>
      <c r="P3063">
        <v>3</v>
      </c>
      <c r="Q3063">
        <v>0.15</v>
      </c>
      <c r="R3063">
        <v>4</v>
      </c>
      <c r="S3063">
        <v>1.3333333333333333</v>
      </c>
      <c r="T3063">
        <v>2.5</v>
      </c>
      <c r="U3063">
        <v>12.5</v>
      </c>
      <c r="V3063">
        <v>549.01960784313724</v>
      </c>
      <c r="W3063">
        <v>2</v>
      </c>
    </row>
    <row r="3064" spans="1:23" x14ac:dyDescent="0.2">
      <c r="A3064">
        <v>2020</v>
      </c>
      <c r="B3064" t="s">
        <v>23</v>
      </c>
      <c r="C3064" t="s">
        <v>272</v>
      </c>
      <c r="D3064">
        <v>110</v>
      </c>
      <c r="E3064">
        <v>1</v>
      </c>
      <c r="F3064">
        <v>7</v>
      </c>
      <c r="G3064" t="s">
        <v>134</v>
      </c>
      <c r="H3064" s="1">
        <v>14</v>
      </c>
      <c r="I3064" s="1">
        <v>64</v>
      </c>
      <c r="J3064" s="1">
        <v>69</v>
      </c>
      <c r="K3064" s="1">
        <f>J3064-I3064</f>
        <v>5</v>
      </c>
      <c r="L3064" s="1">
        <v>138</v>
      </c>
      <c r="M3064" s="1">
        <v>86</v>
      </c>
      <c r="N3064" s="1">
        <v>2</v>
      </c>
      <c r="O3064" s="1">
        <v>2.5</v>
      </c>
      <c r="P3064" s="1">
        <f>H3064</f>
        <v>14</v>
      </c>
      <c r="Q3064" s="2">
        <v>0.21</v>
      </c>
      <c r="R3064" s="1">
        <v>12</v>
      </c>
      <c r="S3064" s="1">
        <f>R3064/P3064</f>
        <v>0.8571428571428571</v>
      </c>
      <c r="T3064" s="1">
        <v>5</v>
      </c>
      <c r="U3064" s="1">
        <v>12.5</v>
      </c>
      <c r="V3064" s="1">
        <v>768.62745098039215</v>
      </c>
      <c r="W3064" s="1">
        <v>6</v>
      </c>
    </row>
    <row r="3065" spans="1:23" x14ac:dyDescent="0.2">
      <c r="A3065">
        <v>2020</v>
      </c>
      <c r="B3065" t="s">
        <v>23</v>
      </c>
      <c r="C3065" t="s">
        <v>272</v>
      </c>
      <c r="D3065">
        <v>110</v>
      </c>
      <c r="E3065">
        <v>2</v>
      </c>
      <c r="F3065">
        <v>10</v>
      </c>
      <c r="G3065" t="s">
        <v>134</v>
      </c>
      <c r="H3065">
        <v>14</v>
      </c>
      <c r="I3065">
        <v>59</v>
      </c>
      <c r="J3065">
        <v>62</v>
      </c>
      <c r="K3065">
        <v>3</v>
      </c>
      <c r="L3065">
        <v>103</v>
      </c>
      <c r="M3065">
        <v>52</v>
      </c>
      <c r="N3065">
        <v>2</v>
      </c>
      <c r="O3065">
        <v>3</v>
      </c>
      <c r="P3065">
        <v>14</v>
      </c>
      <c r="Q3065">
        <v>1.4</v>
      </c>
      <c r="R3065">
        <v>15</v>
      </c>
      <c r="S3065">
        <v>1.0714285714285714</v>
      </c>
      <c r="T3065">
        <v>2</v>
      </c>
      <c r="U3065">
        <v>12.5</v>
      </c>
      <c r="V3065">
        <v>5124.1830065359472</v>
      </c>
      <c r="W3065">
        <v>1</v>
      </c>
    </row>
    <row r="3066" spans="1:23" x14ac:dyDescent="0.2">
      <c r="A3066">
        <v>2020</v>
      </c>
      <c r="B3066" t="s">
        <v>23</v>
      </c>
      <c r="C3066" t="s">
        <v>272</v>
      </c>
      <c r="D3066">
        <v>111</v>
      </c>
      <c r="E3066">
        <v>1</v>
      </c>
      <c r="F3066">
        <v>11</v>
      </c>
      <c r="G3066" t="s">
        <v>135</v>
      </c>
      <c r="H3066" s="1">
        <v>4</v>
      </c>
      <c r="I3066" s="1">
        <v>66</v>
      </c>
      <c r="J3066" s="1">
        <v>67</v>
      </c>
      <c r="K3066" s="1">
        <f>J3066-I3066</f>
        <v>1</v>
      </c>
      <c r="L3066" s="1">
        <v>104</v>
      </c>
      <c r="M3066" s="1">
        <v>35</v>
      </c>
      <c r="N3066" s="1">
        <v>1.5</v>
      </c>
      <c r="O3066" s="1">
        <v>4</v>
      </c>
      <c r="P3066" s="1">
        <v>4</v>
      </c>
      <c r="Q3066" s="2">
        <v>2.7E-2</v>
      </c>
      <c r="R3066" s="1">
        <v>3</v>
      </c>
      <c r="S3066" s="1">
        <f>R3066/P3066</f>
        <v>0.75</v>
      </c>
      <c r="T3066" s="1">
        <v>5</v>
      </c>
      <c r="U3066" s="1">
        <v>12.5</v>
      </c>
      <c r="V3066" s="1">
        <v>98.823529411764696</v>
      </c>
      <c r="W3066" s="1">
        <v>4</v>
      </c>
    </row>
    <row r="3067" spans="1:23" x14ac:dyDescent="0.2">
      <c r="A3067">
        <v>2020</v>
      </c>
      <c r="B3067" t="s">
        <v>23</v>
      </c>
      <c r="C3067" t="s">
        <v>272</v>
      </c>
      <c r="D3067">
        <v>111</v>
      </c>
      <c r="E3067">
        <v>2</v>
      </c>
      <c r="F3067">
        <v>5</v>
      </c>
      <c r="G3067" t="s">
        <v>135</v>
      </c>
      <c r="H3067">
        <v>6</v>
      </c>
      <c r="I3067">
        <v>63</v>
      </c>
      <c r="J3067">
        <v>67</v>
      </c>
      <c r="K3067">
        <v>4</v>
      </c>
      <c r="L3067">
        <v>127</v>
      </c>
      <c r="M3067">
        <v>57</v>
      </c>
      <c r="N3067">
        <v>2</v>
      </c>
      <c r="O3067">
        <v>3</v>
      </c>
      <c r="P3067">
        <v>6</v>
      </c>
      <c r="Q3067">
        <v>1</v>
      </c>
      <c r="R3067">
        <v>7</v>
      </c>
      <c r="S3067">
        <v>1.1666666666666667</v>
      </c>
      <c r="T3067">
        <v>2</v>
      </c>
      <c r="U3067">
        <v>12.5</v>
      </c>
      <c r="V3067">
        <v>3660.1307189542486</v>
      </c>
      <c r="W3067">
        <v>2</v>
      </c>
    </row>
    <row r="3068" spans="1:23" x14ac:dyDescent="0.2">
      <c r="A3068">
        <v>2020</v>
      </c>
      <c r="B3068" t="s">
        <v>23</v>
      </c>
      <c r="C3068" t="s">
        <v>272</v>
      </c>
      <c r="D3068">
        <v>112</v>
      </c>
      <c r="E3068">
        <v>1</v>
      </c>
      <c r="F3068">
        <v>1</v>
      </c>
      <c r="G3068" t="s">
        <v>136</v>
      </c>
      <c r="H3068" s="1">
        <v>1</v>
      </c>
      <c r="I3068" s="1">
        <v>68</v>
      </c>
      <c r="J3068" s="1">
        <v>69</v>
      </c>
      <c r="K3068" s="1">
        <f>J3068-I3068</f>
        <v>1</v>
      </c>
      <c r="L3068" s="1">
        <v>103</v>
      </c>
      <c r="M3068" s="1">
        <v>36</v>
      </c>
      <c r="N3068" s="1">
        <v>2</v>
      </c>
      <c r="O3068" s="1">
        <v>5</v>
      </c>
      <c r="P3068" s="1">
        <v>1</v>
      </c>
      <c r="Q3068" s="2">
        <v>3.7199999999999997E-2</v>
      </c>
      <c r="R3068" s="1">
        <v>1</v>
      </c>
      <c r="S3068" s="1">
        <f>R3068/P3068</f>
        <v>1</v>
      </c>
      <c r="T3068" s="1">
        <v>5</v>
      </c>
      <c r="U3068" s="1">
        <v>12.5</v>
      </c>
      <c r="V3068" s="1">
        <v>136.15686274509804</v>
      </c>
      <c r="W3068" s="1">
        <v>6</v>
      </c>
    </row>
    <row r="3069" spans="1:23" x14ac:dyDescent="0.2">
      <c r="A3069">
        <v>2020</v>
      </c>
      <c r="B3069" t="s">
        <v>23</v>
      </c>
      <c r="C3069" t="s">
        <v>272</v>
      </c>
      <c r="D3069">
        <v>112</v>
      </c>
      <c r="E3069">
        <v>2</v>
      </c>
      <c r="F3069">
        <v>11</v>
      </c>
      <c r="G3069" t="s">
        <v>136</v>
      </c>
      <c r="H3069">
        <v>9</v>
      </c>
      <c r="I3069">
        <v>63</v>
      </c>
      <c r="J3069">
        <v>67</v>
      </c>
      <c r="K3069">
        <v>4</v>
      </c>
      <c r="L3069">
        <v>127</v>
      </c>
      <c r="M3069">
        <v>50</v>
      </c>
      <c r="N3069">
        <v>1.5</v>
      </c>
      <c r="O3069">
        <v>4</v>
      </c>
      <c r="P3069">
        <v>9</v>
      </c>
      <c r="Q3069">
        <v>1</v>
      </c>
      <c r="R3069">
        <v>9</v>
      </c>
      <c r="S3069">
        <v>1</v>
      </c>
      <c r="T3069">
        <v>2.5</v>
      </c>
      <c r="U3069">
        <v>12.5</v>
      </c>
      <c r="V3069">
        <v>3660.1307189542486</v>
      </c>
      <c r="W3069">
        <v>1</v>
      </c>
    </row>
    <row r="3070" spans="1:23" x14ac:dyDescent="0.2">
      <c r="A3070">
        <v>2020</v>
      </c>
      <c r="B3070" t="s">
        <v>23</v>
      </c>
      <c r="C3070" t="s">
        <v>272</v>
      </c>
      <c r="D3070">
        <v>113</v>
      </c>
      <c r="E3070">
        <v>1</v>
      </c>
      <c r="F3070">
        <v>12</v>
      </c>
      <c r="G3070" t="s">
        <v>137</v>
      </c>
      <c r="H3070" s="1">
        <v>7</v>
      </c>
      <c r="I3070" s="1">
        <v>68</v>
      </c>
      <c r="J3070" s="1">
        <v>72</v>
      </c>
      <c r="K3070" s="1">
        <f t="shared" ref="K3070:K3078" si="156">J3070-I3070</f>
        <v>4</v>
      </c>
      <c r="L3070" s="1">
        <v>124</v>
      </c>
      <c r="M3070" s="1">
        <v>36</v>
      </c>
      <c r="N3070" s="1">
        <v>2</v>
      </c>
      <c r="O3070" s="1">
        <v>4</v>
      </c>
      <c r="P3070" s="1">
        <v>5</v>
      </c>
      <c r="Q3070" s="2">
        <v>0.10199999999999999</v>
      </c>
      <c r="R3070" s="1">
        <v>4</v>
      </c>
      <c r="S3070" s="1">
        <f t="shared" ref="S3070:S3078" si="157">R3070/P3070</f>
        <v>0.8</v>
      </c>
      <c r="T3070" s="1">
        <v>5</v>
      </c>
      <c r="U3070" s="1">
        <v>12.5</v>
      </c>
      <c r="V3070" s="1">
        <v>373.33333333333326</v>
      </c>
      <c r="W3070" s="1">
        <v>6</v>
      </c>
    </row>
    <row r="3071" spans="1:23" x14ac:dyDescent="0.2">
      <c r="A3071">
        <v>2020</v>
      </c>
      <c r="B3071" t="s">
        <v>23</v>
      </c>
      <c r="C3071" t="s">
        <v>272</v>
      </c>
      <c r="D3071">
        <v>113</v>
      </c>
      <c r="E3071">
        <v>2</v>
      </c>
      <c r="F3071">
        <v>14</v>
      </c>
      <c r="G3071" t="s">
        <v>137</v>
      </c>
      <c r="H3071" s="1">
        <v>14</v>
      </c>
      <c r="I3071" s="1">
        <v>54</v>
      </c>
      <c r="J3071" s="1">
        <v>59</v>
      </c>
      <c r="K3071" s="1">
        <f t="shared" si="156"/>
        <v>5</v>
      </c>
      <c r="L3071" s="1">
        <v>102</v>
      </c>
      <c r="M3071" s="1">
        <v>41</v>
      </c>
      <c r="N3071" s="1">
        <v>1.5</v>
      </c>
      <c r="O3071" s="1">
        <v>4</v>
      </c>
      <c r="P3071" s="1">
        <v>10</v>
      </c>
      <c r="Q3071" s="2">
        <v>0.57999999999999996</v>
      </c>
      <c r="R3071" s="1">
        <v>7</v>
      </c>
      <c r="S3071" s="1">
        <f t="shared" si="157"/>
        <v>0.7</v>
      </c>
      <c r="T3071" s="1">
        <v>2.5</v>
      </c>
      <c r="U3071" s="1">
        <v>12.5</v>
      </c>
      <c r="V3071" s="1">
        <v>2122.875816993464</v>
      </c>
      <c r="W3071" s="1">
        <v>5</v>
      </c>
    </row>
    <row r="3072" spans="1:23" x14ac:dyDescent="0.2">
      <c r="A3072">
        <v>2020</v>
      </c>
      <c r="B3072" t="s">
        <v>23</v>
      </c>
      <c r="C3072" t="s">
        <v>272</v>
      </c>
      <c r="D3072">
        <v>114</v>
      </c>
      <c r="E3072">
        <v>1</v>
      </c>
      <c r="F3072">
        <v>11</v>
      </c>
      <c r="G3072" t="s">
        <v>138</v>
      </c>
      <c r="H3072" s="1">
        <v>4</v>
      </c>
      <c r="I3072" s="1">
        <v>64</v>
      </c>
      <c r="J3072" s="1">
        <v>67</v>
      </c>
      <c r="K3072" s="1">
        <f t="shared" si="156"/>
        <v>3</v>
      </c>
      <c r="L3072" s="1">
        <v>146</v>
      </c>
      <c r="M3072" s="1">
        <v>68</v>
      </c>
      <c r="N3072" s="1">
        <v>2</v>
      </c>
      <c r="O3072" s="1">
        <v>2</v>
      </c>
      <c r="P3072" s="1">
        <v>4</v>
      </c>
      <c r="Q3072" s="2">
        <v>0.1053</v>
      </c>
      <c r="R3072" s="1">
        <v>5</v>
      </c>
      <c r="S3072" s="1">
        <f t="shared" si="157"/>
        <v>1.25</v>
      </c>
      <c r="T3072" s="1">
        <v>3</v>
      </c>
      <c r="U3072" s="1">
        <v>12.5</v>
      </c>
      <c r="V3072" s="1">
        <v>385.41176470588243</v>
      </c>
      <c r="W3072" s="1">
        <v>3</v>
      </c>
    </row>
    <row r="3073" spans="1:23" x14ac:dyDescent="0.2">
      <c r="A3073">
        <v>2020</v>
      </c>
      <c r="B3073" t="s">
        <v>23</v>
      </c>
      <c r="C3073" t="s">
        <v>272</v>
      </c>
      <c r="D3073">
        <v>114</v>
      </c>
      <c r="E3073">
        <v>2</v>
      </c>
      <c r="F3073">
        <v>6</v>
      </c>
      <c r="G3073" t="s">
        <v>138</v>
      </c>
      <c r="H3073" s="1">
        <v>4</v>
      </c>
      <c r="I3073" s="1">
        <v>67</v>
      </c>
      <c r="J3073" s="1">
        <v>71</v>
      </c>
      <c r="K3073" s="1">
        <f t="shared" si="156"/>
        <v>4</v>
      </c>
      <c r="L3073" s="1">
        <v>124</v>
      </c>
      <c r="M3073" s="1">
        <v>44</v>
      </c>
      <c r="N3073" s="1">
        <v>2</v>
      </c>
      <c r="O3073" s="1">
        <v>3.5</v>
      </c>
      <c r="P3073" s="1">
        <v>4</v>
      </c>
      <c r="Q3073" s="2">
        <v>6.9599999999999995E-2</v>
      </c>
      <c r="R3073" s="1">
        <v>4</v>
      </c>
      <c r="S3073" s="1">
        <f t="shared" si="157"/>
        <v>1</v>
      </c>
      <c r="T3073" s="1">
        <v>5</v>
      </c>
      <c r="U3073" s="1">
        <v>12.5</v>
      </c>
      <c r="V3073" s="1">
        <v>254.74509803921566</v>
      </c>
      <c r="W3073" s="1">
        <v>5</v>
      </c>
    </row>
    <row r="3074" spans="1:23" x14ac:dyDescent="0.2">
      <c r="A3074">
        <v>2020</v>
      </c>
      <c r="B3074" t="s">
        <v>23</v>
      </c>
      <c r="C3074" t="s">
        <v>272</v>
      </c>
      <c r="D3074">
        <v>115</v>
      </c>
      <c r="E3074">
        <v>1</v>
      </c>
      <c r="F3074">
        <v>8</v>
      </c>
      <c r="G3074" t="s">
        <v>139</v>
      </c>
      <c r="H3074" s="1">
        <v>9</v>
      </c>
      <c r="I3074" s="1">
        <v>66</v>
      </c>
      <c r="J3074" s="1">
        <v>70</v>
      </c>
      <c r="K3074" s="1">
        <f t="shared" si="156"/>
        <v>4</v>
      </c>
      <c r="L3074" s="1">
        <v>158</v>
      </c>
      <c r="M3074" s="1">
        <v>98</v>
      </c>
      <c r="N3074" s="1">
        <v>2</v>
      </c>
      <c r="O3074" s="1">
        <v>2.5</v>
      </c>
      <c r="P3074" s="1">
        <v>7</v>
      </c>
      <c r="Q3074" s="2">
        <v>0.93799999999999994</v>
      </c>
      <c r="R3074" s="1">
        <v>5</v>
      </c>
      <c r="S3074" s="1">
        <f t="shared" si="157"/>
        <v>0.7142857142857143</v>
      </c>
      <c r="T3074" s="1">
        <v>5</v>
      </c>
      <c r="U3074" s="1">
        <v>7.1</v>
      </c>
      <c r="V3074" s="1">
        <v>3645.0802614379086</v>
      </c>
      <c r="W3074" s="1">
        <v>6</v>
      </c>
    </row>
    <row r="3075" spans="1:23" x14ac:dyDescent="0.2">
      <c r="A3075">
        <v>2020</v>
      </c>
      <c r="B3075" t="s">
        <v>23</v>
      </c>
      <c r="C3075" t="s">
        <v>272</v>
      </c>
      <c r="D3075">
        <v>115</v>
      </c>
      <c r="E3075">
        <v>2</v>
      </c>
      <c r="F3075">
        <v>3</v>
      </c>
      <c r="G3075" t="s">
        <v>139</v>
      </c>
      <c r="H3075" s="1">
        <v>15</v>
      </c>
      <c r="I3075" s="1">
        <v>65</v>
      </c>
      <c r="J3075" s="1">
        <v>70</v>
      </c>
      <c r="K3075" s="1">
        <f t="shared" si="156"/>
        <v>5</v>
      </c>
      <c r="L3075" s="1">
        <v>167</v>
      </c>
      <c r="M3075" s="1">
        <v>90</v>
      </c>
      <c r="N3075" s="1">
        <v>2</v>
      </c>
      <c r="O3075" s="1">
        <v>3</v>
      </c>
      <c r="P3075" s="1">
        <v>12</v>
      </c>
      <c r="Q3075" s="2">
        <v>0.47799999999999998</v>
      </c>
      <c r="R3075" s="1">
        <v>11</v>
      </c>
      <c r="S3075" s="1">
        <f t="shared" si="157"/>
        <v>0.91666666666666663</v>
      </c>
      <c r="T3075" s="1">
        <v>5</v>
      </c>
      <c r="U3075" s="1">
        <v>10.5</v>
      </c>
      <c r="V3075" s="1">
        <v>1789.532026143791</v>
      </c>
      <c r="W3075" s="1">
        <v>6</v>
      </c>
    </row>
    <row r="3076" spans="1:23" x14ac:dyDescent="0.2">
      <c r="A3076">
        <v>2020</v>
      </c>
      <c r="B3076" t="s">
        <v>23</v>
      </c>
      <c r="C3076" t="s">
        <v>272</v>
      </c>
      <c r="D3076">
        <v>116</v>
      </c>
      <c r="E3076">
        <v>1</v>
      </c>
      <c r="F3076">
        <v>14</v>
      </c>
      <c r="G3076" t="s">
        <v>140</v>
      </c>
      <c r="H3076" s="1">
        <v>12</v>
      </c>
      <c r="I3076" s="1">
        <v>57</v>
      </c>
      <c r="J3076" s="1">
        <v>61</v>
      </c>
      <c r="K3076" s="1">
        <f t="shared" si="156"/>
        <v>4</v>
      </c>
      <c r="L3076" s="1">
        <v>161</v>
      </c>
      <c r="M3076" s="1">
        <v>33</v>
      </c>
      <c r="N3076" s="1">
        <v>2</v>
      </c>
      <c r="O3076" s="1">
        <v>4</v>
      </c>
      <c r="P3076" s="1">
        <v>10</v>
      </c>
      <c r="Q3076" s="2">
        <v>0.40079999999999999</v>
      </c>
      <c r="R3076" s="1">
        <v>8</v>
      </c>
      <c r="S3076" s="1">
        <f t="shared" si="157"/>
        <v>0.8</v>
      </c>
      <c r="T3076" s="1">
        <v>3</v>
      </c>
      <c r="U3076" s="1">
        <v>12.5</v>
      </c>
      <c r="V3076" s="1">
        <v>1466.9803921568628</v>
      </c>
      <c r="W3076" s="1">
        <v>4</v>
      </c>
    </row>
    <row r="3077" spans="1:23" x14ac:dyDescent="0.2">
      <c r="A3077">
        <v>2020</v>
      </c>
      <c r="B3077" t="s">
        <v>23</v>
      </c>
      <c r="C3077" t="s">
        <v>272</v>
      </c>
      <c r="D3077">
        <v>116</v>
      </c>
      <c r="E3077">
        <v>2</v>
      </c>
      <c r="F3077">
        <v>13</v>
      </c>
      <c r="G3077" t="s">
        <v>140</v>
      </c>
      <c r="H3077" s="1">
        <v>8</v>
      </c>
      <c r="I3077" s="1">
        <v>65</v>
      </c>
      <c r="J3077" s="1">
        <v>70</v>
      </c>
      <c r="K3077" s="1">
        <f t="shared" si="156"/>
        <v>5</v>
      </c>
      <c r="L3077" s="1">
        <v>168</v>
      </c>
      <c r="M3077" s="1">
        <v>78</v>
      </c>
      <c r="N3077" s="1">
        <v>2</v>
      </c>
      <c r="O3077" s="1">
        <v>2.5</v>
      </c>
      <c r="P3077" s="1">
        <v>7</v>
      </c>
      <c r="Q3077" s="2">
        <v>7.2999999999999995E-2</v>
      </c>
      <c r="R3077" s="1">
        <v>6</v>
      </c>
      <c r="S3077" s="1">
        <f t="shared" si="157"/>
        <v>0.8571428571428571</v>
      </c>
      <c r="T3077" s="1">
        <v>5</v>
      </c>
      <c r="U3077" s="1">
        <v>12.5</v>
      </c>
      <c r="V3077" s="1">
        <v>267.18954248366009</v>
      </c>
      <c r="W3077" s="1">
        <v>4</v>
      </c>
    </row>
    <row r="3078" spans="1:23" x14ac:dyDescent="0.2">
      <c r="A3078">
        <v>2020</v>
      </c>
      <c r="B3078" t="s">
        <v>23</v>
      </c>
      <c r="C3078" t="s">
        <v>272</v>
      </c>
      <c r="D3078">
        <v>117</v>
      </c>
      <c r="E3078">
        <v>1</v>
      </c>
      <c r="F3078">
        <v>15</v>
      </c>
      <c r="G3078" t="s">
        <v>141</v>
      </c>
      <c r="H3078" s="3">
        <v>3</v>
      </c>
      <c r="I3078" s="3">
        <v>67</v>
      </c>
      <c r="J3078" s="3">
        <v>69</v>
      </c>
      <c r="K3078" s="3">
        <f t="shared" si="156"/>
        <v>2</v>
      </c>
      <c r="L3078" s="3">
        <v>130</v>
      </c>
      <c r="M3078" s="3">
        <v>77</v>
      </c>
      <c r="N3078" s="3">
        <v>2</v>
      </c>
      <c r="O3078" s="3">
        <v>2.5</v>
      </c>
      <c r="P3078" s="3">
        <v>3</v>
      </c>
      <c r="Q3078" s="4">
        <v>7.5600000000000001E-2</v>
      </c>
      <c r="R3078" s="3">
        <v>1</v>
      </c>
      <c r="S3078" s="3">
        <f t="shared" si="157"/>
        <v>0.33333333333333331</v>
      </c>
      <c r="T3078" s="3">
        <v>4</v>
      </c>
      <c r="U3078" s="3">
        <v>12.5</v>
      </c>
      <c r="V3078" s="3">
        <v>276.70588235294122</v>
      </c>
      <c r="W3078" s="3">
        <v>4</v>
      </c>
    </row>
    <row r="3079" spans="1:23" x14ac:dyDescent="0.2">
      <c r="A3079">
        <v>2020</v>
      </c>
      <c r="B3079" t="s">
        <v>23</v>
      </c>
      <c r="C3079" t="s">
        <v>272</v>
      </c>
      <c r="D3079">
        <v>117</v>
      </c>
      <c r="E3079">
        <v>2</v>
      </c>
      <c r="F3079">
        <v>4</v>
      </c>
      <c r="G3079" t="s">
        <v>141</v>
      </c>
      <c r="H3079">
        <v>13</v>
      </c>
      <c r="I3079">
        <v>55</v>
      </c>
      <c r="J3079">
        <v>59</v>
      </c>
      <c r="K3079">
        <v>4</v>
      </c>
      <c r="L3079">
        <v>67</v>
      </c>
      <c r="M3079">
        <v>28</v>
      </c>
      <c r="N3079">
        <v>2</v>
      </c>
      <c r="O3079">
        <v>3</v>
      </c>
      <c r="P3079">
        <v>13</v>
      </c>
      <c r="Q3079">
        <v>1.4</v>
      </c>
      <c r="R3079">
        <v>14</v>
      </c>
      <c r="S3079">
        <v>1.0769230769230769</v>
      </c>
      <c r="T3079">
        <v>3</v>
      </c>
      <c r="U3079">
        <v>12.5</v>
      </c>
      <c r="V3079">
        <v>5124.1830065359472</v>
      </c>
      <c r="W3079">
        <v>1</v>
      </c>
    </row>
    <row r="3080" spans="1:23" x14ac:dyDescent="0.2">
      <c r="A3080">
        <v>2020</v>
      </c>
      <c r="B3080" t="s">
        <v>23</v>
      </c>
      <c r="C3080" t="s">
        <v>272</v>
      </c>
      <c r="D3080">
        <v>118</v>
      </c>
      <c r="E3080">
        <v>1</v>
      </c>
      <c r="F3080">
        <v>4</v>
      </c>
      <c r="G3080" t="s">
        <v>142</v>
      </c>
      <c r="H3080">
        <v>12</v>
      </c>
      <c r="I3080">
        <v>56</v>
      </c>
      <c r="J3080">
        <v>60</v>
      </c>
      <c r="K3080">
        <v>4</v>
      </c>
      <c r="L3080">
        <v>148</v>
      </c>
      <c r="M3080">
        <v>71</v>
      </c>
      <c r="N3080">
        <v>1.5</v>
      </c>
      <c r="O3080">
        <v>2</v>
      </c>
      <c r="P3080">
        <v>11</v>
      </c>
      <c r="Q3080">
        <v>0.8</v>
      </c>
      <c r="R3080">
        <v>9</v>
      </c>
      <c r="S3080">
        <v>0.81818181818181823</v>
      </c>
      <c r="T3080">
        <v>3</v>
      </c>
      <c r="U3080">
        <v>12.5</v>
      </c>
      <c r="V3080">
        <v>2928.1045751633987</v>
      </c>
      <c r="W3080">
        <v>2</v>
      </c>
    </row>
    <row r="3081" spans="1:23" x14ac:dyDescent="0.2">
      <c r="A3081">
        <v>2020</v>
      </c>
      <c r="B3081" t="s">
        <v>23</v>
      </c>
      <c r="C3081" t="s">
        <v>272</v>
      </c>
      <c r="D3081">
        <v>118</v>
      </c>
      <c r="E3081">
        <v>2</v>
      </c>
      <c r="F3081">
        <v>4</v>
      </c>
      <c r="G3081" t="s">
        <v>142</v>
      </c>
      <c r="H3081" s="1">
        <v>5</v>
      </c>
      <c r="I3081" s="1">
        <v>65</v>
      </c>
      <c r="J3081" s="1">
        <v>70</v>
      </c>
      <c r="K3081" s="1">
        <f>J3081-I3081</f>
        <v>5</v>
      </c>
      <c r="L3081" s="1">
        <v>98</v>
      </c>
      <c r="M3081" s="1">
        <v>41</v>
      </c>
      <c r="N3081" s="1">
        <v>1.5</v>
      </c>
      <c r="O3081" s="1">
        <v>5</v>
      </c>
      <c r="P3081" s="1">
        <v>4</v>
      </c>
      <c r="Q3081" s="2">
        <v>0.06</v>
      </c>
      <c r="R3081" s="1">
        <v>5</v>
      </c>
      <c r="S3081" s="1">
        <f>R3081/P3081</f>
        <v>1.25</v>
      </c>
      <c r="T3081" s="1">
        <v>5</v>
      </c>
      <c r="U3081" s="1">
        <v>12.5</v>
      </c>
      <c r="V3081" s="1">
        <v>219.60784313725492</v>
      </c>
      <c r="W3081" s="1">
        <v>5</v>
      </c>
    </row>
    <row r="3082" spans="1:23" x14ac:dyDescent="0.2">
      <c r="A3082">
        <v>2020</v>
      </c>
      <c r="B3082" t="s">
        <v>23</v>
      </c>
      <c r="C3082" t="s">
        <v>272</v>
      </c>
      <c r="D3082">
        <v>119</v>
      </c>
      <c r="E3082">
        <v>1</v>
      </c>
      <c r="F3082">
        <v>3</v>
      </c>
      <c r="G3082" t="s">
        <v>143</v>
      </c>
      <c r="H3082" s="1">
        <v>14</v>
      </c>
      <c r="I3082" s="1">
        <v>68</v>
      </c>
      <c r="J3082" s="1">
        <v>70</v>
      </c>
      <c r="K3082" s="1">
        <f>J3082-I3082</f>
        <v>2</v>
      </c>
      <c r="L3082" s="1">
        <v>147</v>
      </c>
      <c r="M3082" s="1">
        <v>72</v>
      </c>
      <c r="N3082" s="1">
        <v>2</v>
      </c>
      <c r="O3082" s="1">
        <v>3.5</v>
      </c>
      <c r="P3082" s="1">
        <f>H3082-2</f>
        <v>12</v>
      </c>
      <c r="Q3082" s="2">
        <v>0.38624999999999998</v>
      </c>
      <c r="R3082" s="1">
        <v>9</v>
      </c>
      <c r="S3082" s="1">
        <f>R3082/P3082</f>
        <v>0.75</v>
      </c>
      <c r="T3082" s="1">
        <v>5</v>
      </c>
      <c r="U3082" s="1">
        <v>12.5</v>
      </c>
      <c r="V3082" s="1">
        <v>1413.7254901960785</v>
      </c>
      <c r="W3082" s="1">
        <v>5</v>
      </c>
    </row>
    <row r="3083" spans="1:23" x14ac:dyDescent="0.2">
      <c r="A3083">
        <v>2020</v>
      </c>
      <c r="B3083" t="s">
        <v>23</v>
      </c>
      <c r="C3083" t="s">
        <v>272</v>
      </c>
      <c r="D3083">
        <v>119</v>
      </c>
      <c r="E3083">
        <v>2</v>
      </c>
      <c r="F3083">
        <v>15</v>
      </c>
      <c r="G3083" t="s">
        <v>143</v>
      </c>
      <c r="H3083">
        <v>13</v>
      </c>
      <c r="I3083">
        <v>53</v>
      </c>
      <c r="J3083">
        <v>56</v>
      </c>
      <c r="K3083">
        <v>3</v>
      </c>
      <c r="L3083">
        <v>158</v>
      </c>
      <c r="M3083">
        <v>90</v>
      </c>
      <c r="N3083">
        <v>2</v>
      </c>
      <c r="O3083">
        <v>1.5</v>
      </c>
      <c r="P3083">
        <v>12</v>
      </c>
      <c r="Q3083">
        <v>0.5</v>
      </c>
      <c r="R3083">
        <v>11</v>
      </c>
      <c r="S3083">
        <v>0.91666666666666663</v>
      </c>
      <c r="T3083">
        <v>3</v>
      </c>
      <c r="U3083">
        <v>10.3</v>
      </c>
      <c r="V3083">
        <v>1876.0784313725489</v>
      </c>
      <c r="W3083">
        <v>2</v>
      </c>
    </row>
    <row r="3084" spans="1:23" x14ac:dyDescent="0.2">
      <c r="A3084">
        <v>2020</v>
      </c>
      <c r="B3084" t="s">
        <v>23</v>
      </c>
      <c r="C3084" t="s">
        <v>272</v>
      </c>
      <c r="D3084">
        <v>120</v>
      </c>
      <c r="E3084">
        <v>1</v>
      </c>
      <c r="F3084">
        <v>14</v>
      </c>
      <c r="G3084" t="s">
        <v>144</v>
      </c>
      <c r="H3084" s="1">
        <v>9</v>
      </c>
      <c r="I3084" s="1">
        <v>66</v>
      </c>
      <c r="J3084" s="1">
        <v>70</v>
      </c>
      <c r="K3084" s="1">
        <f>J3084-I3084</f>
        <v>4</v>
      </c>
      <c r="L3084" s="1">
        <v>150</v>
      </c>
      <c r="M3084" s="1">
        <v>88</v>
      </c>
      <c r="N3084" s="1">
        <v>2</v>
      </c>
      <c r="O3084" s="1">
        <v>3</v>
      </c>
      <c r="P3084" s="1">
        <v>6</v>
      </c>
      <c r="Q3084" s="2">
        <v>0.18486</v>
      </c>
      <c r="R3084" s="1">
        <v>6</v>
      </c>
      <c r="S3084" s="1">
        <f>R3084/P3084</f>
        <v>1</v>
      </c>
      <c r="T3084" s="1">
        <v>5</v>
      </c>
      <c r="U3084" s="1">
        <v>12.5</v>
      </c>
      <c r="V3084" s="1">
        <v>676.61176470588225</v>
      </c>
      <c r="W3084" s="1">
        <v>4</v>
      </c>
    </row>
    <row r="3085" spans="1:23" x14ac:dyDescent="0.2">
      <c r="A3085">
        <v>2020</v>
      </c>
      <c r="B3085" t="s">
        <v>23</v>
      </c>
      <c r="C3085" t="s">
        <v>272</v>
      </c>
      <c r="D3085">
        <v>120</v>
      </c>
      <c r="E3085">
        <v>2</v>
      </c>
      <c r="F3085">
        <v>8</v>
      </c>
      <c r="G3085" t="s">
        <v>144</v>
      </c>
      <c r="H3085" s="1">
        <v>8</v>
      </c>
      <c r="I3085" s="1">
        <v>66</v>
      </c>
      <c r="J3085" s="1">
        <v>71</v>
      </c>
      <c r="K3085" s="1">
        <f>J3085-I3085</f>
        <v>5</v>
      </c>
      <c r="L3085" s="1">
        <v>106</v>
      </c>
      <c r="M3085" s="1">
        <v>36</v>
      </c>
      <c r="N3085" s="1">
        <v>2</v>
      </c>
      <c r="O3085" s="1">
        <v>4.5</v>
      </c>
      <c r="P3085" s="1">
        <v>6</v>
      </c>
      <c r="Q3085" s="2">
        <v>0.14099999999999999</v>
      </c>
      <c r="R3085" s="1">
        <v>4</v>
      </c>
      <c r="S3085" s="1">
        <f>R3085/P3085</f>
        <v>0.66666666666666663</v>
      </c>
      <c r="T3085" s="1">
        <v>4</v>
      </c>
      <c r="U3085" s="1">
        <v>12.5</v>
      </c>
      <c r="V3085" s="1">
        <v>516.07843137254906</v>
      </c>
      <c r="W3085" s="1">
        <v>5</v>
      </c>
    </row>
    <row r="3086" spans="1:23" x14ac:dyDescent="0.2">
      <c r="A3086">
        <v>2020</v>
      </c>
      <c r="B3086" t="s">
        <v>23</v>
      </c>
      <c r="C3086" t="s">
        <v>272</v>
      </c>
      <c r="D3086">
        <v>121</v>
      </c>
      <c r="E3086">
        <v>1</v>
      </c>
      <c r="F3086">
        <v>7</v>
      </c>
      <c r="G3086" t="s">
        <v>145</v>
      </c>
      <c r="H3086">
        <v>12</v>
      </c>
      <c r="I3086">
        <v>58</v>
      </c>
      <c r="J3086">
        <v>60</v>
      </c>
      <c r="K3086">
        <v>2</v>
      </c>
      <c r="L3086">
        <v>117</v>
      </c>
      <c r="M3086">
        <v>22</v>
      </c>
      <c r="N3086">
        <v>2</v>
      </c>
      <c r="O3086">
        <v>3</v>
      </c>
      <c r="P3086">
        <v>12</v>
      </c>
      <c r="Q3086">
        <v>1.4</v>
      </c>
      <c r="R3086">
        <v>14</v>
      </c>
      <c r="S3086">
        <v>1.1666666666666667</v>
      </c>
      <c r="T3086">
        <v>3</v>
      </c>
      <c r="U3086">
        <v>12.5</v>
      </c>
      <c r="V3086">
        <v>5124.1830065359472</v>
      </c>
      <c r="W3086">
        <v>1</v>
      </c>
    </row>
    <row r="3087" spans="1:23" x14ac:dyDescent="0.2">
      <c r="A3087">
        <v>2020</v>
      </c>
      <c r="B3087" t="s">
        <v>23</v>
      </c>
      <c r="C3087" t="s">
        <v>272</v>
      </c>
      <c r="D3087">
        <v>121</v>
      </c>
      <c r="E3087">
        <v>2</v>
      </c>
      <c r="F3087">
        <v>5</v>
      </c>
      <c r="G3087" t="s">
        <v>145</v>
      </c>
      <c r="H3087" s="1">
        <v>9</v>
      </c>
      <c r="I3087" s="1">
        <v>67</v>
      </c>
      <c r="J3087" s="1">
        <v>72</v>
      </c>
      <c r="K3087" s="1">
        <f>J3087-I3087</f>
        <v>5</v>
      </c>
      <c r="L3087" s="1">
        <v>127</v>
      </c>
      <c r="M3087" s="1">
        <v>80</v>
      </c>
      <c r="N3087" s="1">
        <v>2</v>
      </c>
      <c r="O3087" s="1">
        <v>3.5</v>
      </c>
      <c r="P3087" s="1">
        <f>H3087</f>
        <v>9</v>
      </c>
      <c r="Q3087" s="2">
        <v>5.3249999999999999E-2</v>
      </c>
      <c r="R3087" s="1">
        <v>9</v>
      </c>
      <c r="S3087" s="1">
        <f>R3087/P3087</f>
        <v>1</v>
      </c>
      <c r="T3087" s="1">
        <v>5</v>
      </c>
      <c r="U3087" s="1">
        <v>12.5</v>
      </c>
      <c r="V3087" s="1">
        <v>194.9019607843137</v>
      </c>
      <c r="W3087" s="1">
        <v>6</v>
      </c>
    </row>
    <row r="3088" spans="1:23" x14ac:dyDescent="0.2">
      <c r="A3088">
        <v>2020</v>
      </c>
      <c r="B3088" t="s">
        <v>23</v>
      </c>
      <c r="C3088" t="s">
        <v>272</v>
      </c>
      <c r="D3088">
        <v>122</v>
      </c>
      <c r="E3088">
        <v>1</v>
      </c>
      <c r="F3088">
        <v>10</v>
      </c>
      <c r="G3088" t="s">
        <v>146</v>
      </c>
      <c r="H3088" s="1">
        <v>6</v>
      </c>
      <c r="I3088" s="1">
        <v>70</v>
      </c>
      <c r="J3088" s="1">
        <v>72</v>
      </c>
      <c r="K3088" s="1">
        <f>J3088-I3088</f>
        <v>2</v>
      </c>
      <c r="L3088" s="1">
        <v>78</v>
      </c>
      <c r="M3088" s="1">
        <v>37</v>
      </c>
      <c r="N3088" s="1">
        <v>2.5</v>
      </c>
      <c r="O3088" s="1">
        <v>4</v>
      </c>
      <c r="P3088" s="1">
        <v>1</v>
      </c>
      <c r="Q3088" s="2">
        <v>0.05</v>
      </c>
      <c r="R3088" s="1">
        <v>1</v>
      </c>
      <c r="S3088" s="1">
        <f>R3088/P3088</f>
        <v>1</v>
      </c>
      <c r="T3088" s="1">
        <v>5</v>
      </c>
      <c r="U3088" s="1">
        <v>12.5</v>
      </c>
      <c r="V3088" s="1">
        <v>183.00653594771242</v>
      </c>
      <c r="W3088" s="1">
        <v>6</v>
      </c>
    </row>
    <row r="3089" spans="1:23" x14ac:dyDescent="0.2">
      <c r="A3089">
        <v>2020</v>
      </c>
      <c r="B3089" t="s">
        <v>23</v>
      </c>
      <c r="C3089" t="s">
        <v>272</v>
      </c>
      <c r="D3089">
        <v>122</v>
      </c>
      <c r="E3089">
        <v>2</v>
      </c>
      <c r="F3089">
        <v>15</v>
      </c>
      <c r="G3089" t="s">
        <v>146</v>
      </c>
      <c r="H3089" s="1">
        <v>14</v>
      </c>
      <c r="I3089" s="1">
        <v>55</v>
      </c>
      <c r="J3089" s="1">
        <v>59</v>
      </c>
      <c r="K3089" s="1">
        <f>J3089-I3089</f>
        <v>4</v>
      </c>
      <c r="L3089" s="1">
        <v>165</v>
      </c>
      <c r="M3089" s="1">
        <v>50</v>
      </c>
      <c r="N3089" s="1">
        <v>3</v>
      </c>
      <c r="O3089" s="1">
        <v>4.5</v>
      </c>
      <c r="P3089" s="1">
        <v>8</v>
      </c>
      <c r="Q3089" s="2">
        <v>0.32100000000000001</v>
      </c>
      <c r="R3089" s="1">
        <v>7</v>
      </c>
      <c r="S3089" s="1">
        <f>R3089/P3089</f>
        <v>0.875</v>
      </c>
      <c r="T3089" s="1">
        <v>3</v>
      </c>
      <c r="U3089" s="1">
        <v>12.5</v>
      </c>
      <c r="V3089" s="1">
        <v>1174.9019607843138</v>
      </c>
      <c r="W3089" s="1">
        <v>4</v>
      </c>
    </row>
    <row r="3090" spans="1:23" x14ac:dyDescent="0.2">
      <c r="A3090">
        <v>2020</v>
      </c>
      <c r="B3090" t="s">
        <v>23</v>
      </c>
      <c r="C3090" t="s">
        <v>272</v>
      </c>
      <c r="D3090">
        <v>123</v>
      </c>
      <c r="E3090">
        <v>1</v>
      </c>
      <c r="F3090">
        <v>6</v>
      </c>
      <c r="G3090" t="s">
        <v>147</v>
      </c>
      <c r="H3090">
        <v>15</v>
      </c>
      <c r="I3090">
        <v>58</v>
      </c>
      <c r="J3090">
        <v>60</v>
      </c>
      <c r="K3090">
        <v>2</v>
      </c>
      <c r="L3090">
        <v>192</v>
      </c>
      <c r="M3090">
        <v>79</v>
      </c>
      <c r="N3090">
        <v>2</v>
      </c>
      <c r="O3090">
        <v>2</v>
      </c>
      <c r="P3090">
        <v>12</v>
      </c>
      <c r="Q3090">
        <v>1</v>
      </c>
      <c r="R3090">
        <v>10</v>
      </c>
      <c r="S3090">
        <v>0.83333333333333337</v>
      </c>
      <c r="T3090">
        <v>2</v>
      </c>
      <c r="U3090">
        <v>13.5</v>
      </c>
      <c r="V3090">
        <v>3618.3006535947711</v>
      </c>
      <c r="W3090">
        <v>2</v>
      </c>
    </row>
    <row r="3091" spans="1:23" x14ac:dyDescent="0.2">
      <c r="A3091">
        <v>2020</v>
      </c>
      <c r="B3091" t="s">
        <v>23</v>
      </c>
      <c r="C3091" t="s">
        <v>272</v>
      </c>
      <c r="D3091">
        <v>123</v>
      </c>
      <c r="E3091">
        <v>2</v>
      </c>
      <c r="F3091">
        <v>3</v>
      </c>
      <c r="G3091" t="s">
        <v>147</v>
      </c>
      <c r="H3091" s="1">
        <v>3</v>
      </c>
      <c r="I3091" s="1">
        <v>68</v>
      </c>
      <c r="J3091" s="1">
        <v>71</v>
      </c>
      <c r="K3091" s="1">
        <f>J3091-I3091</f>
        <v>3</v>
      </c>
      <c r="L3091" s="1">
        <v>163</v>
      </c>
      <c r="M3091" s="1">
        <v>61</v>
      </c>
      <c r="N3091" s="1">
        <v>3</v>
      </c>
      <c r="O3091" s="1">
        <v>3.5</v>
      </c>
      <c r="P3091" s="1">
        <f>H3091</f>
        <v>3</v>
      </c>
      <c r="Q3091" s="2">
        <v>0.15</v>
      </c>
      <c r="R3091" s="1">
        <v>2</v>
      </c>
      <c r="S3091" s="1">
        <f>R3091/P3091</f>
        <v>0.66666666666666663</v>
      </c>
      <c r="T3091" s="1">
        <v>5</v>
      </c>
      <c r="U3091" s="1">
        <v>12.5</v>
      </c>
      <c r="V3091" s="1">
        <v>549.01960784313724</v>
      </c>
      <c r="W3091" s="1">
        <v>6</v>
      </c>
    </row>
    <row r="3092" spans="1:23" x14ac:dyDescent="0.2">
      <c r="A3092">
        <v>2020</v>
      </c>
      <c r="B3092" t="s">
        <v>23</v>
      </c>
      <c r="C3092" t="s">
        <v>272</v>
      </c>
      <c r="D3092">
        <v>124</v>
      </c>
      <c r="E3092">
        <v>1</v>
      </c>
      <c r="F3092">
        <v>12</v>
      </c>
      <c r="G3092" t="s">
        <v>148</v>
      </c>
      <c r="H3092" s="1">
        <v>8</v>
      </c>
      <c r="I3092" s="1">
        <v>65</v>
      </c>
      <c r="J3092" s="1">
        <v>70</v>
      </c>
      <c r="K3092" s="1">
        <f>J3092-I3092</f>
        <v>5</v>
      </c>
      <c r="L3092" s="1">
        <v>177</v>
      </c>
      <c r="M3092" s="1">
        <v>87</v>
      </c>
      <c r="N3092" s="1">
        <v>2</v>
      </c>
      <c r="O3092" s="1">
        <v>3</v>
      </c>
      <c r="P3092" s="1">
        <v>8</v>
      </c>
      <c r="Q3092" s="2">
        <v>0.46</v>
      </c>
      <c r="R3092" s="1">
        <v>8</v>
      </c>
      <c r="S3092" s="1">
        <f>R3092/P3092</f>
        <v>1</v>
      </c>
      <c r="T3092" s="1">
        <v>5</v>
      </c>
      <c r="U3092" s="1">
        <v>7.9</v>
      </c>
      <c r="V3092" s="1">
        <v>1772.1725490196079</v>
      </c>
      <c r="W3092" s="1">
        <v>6</v>
      </c>
    </row>
    <row r="3093" spans="1:23" x14ac:dyDescent="0.2">
      <c r="A3093">
        <v>2020</v>
      </c>
      <c r="B3093" t="s">
        <v>23</v>
      </c>
      <c r="C3093" t="s">
        <v>272</v>
      </c>
      <c r="D3093">
        <v>124</v>
      </c>
      <c r="E3093">
        <v>2</v>
      </c>
      <c r="F3093">
        <v>4</v>
      </c>
      <c r="G3093" t="s">
        <v>148</v>
      </c>
      <c r="H3093" s="1">
        <v>1</v>
      </c>
      <c r="I3093" s="1">
        <v>67</v>
      </c>
      <c r="J3093" s="1">
        <v>68</v>
      </c>
      <c r="K3093" s="1">
        <f>J3093-I3093</f>
        <v>1</v>
      </c>
      <c r="L3093" s="1">
        <v>160</v>
      </c>
      <c r="M3093" s="1">
        <v>92</v>
      </c>
      <c r="N3093" s="1">
        <v>2</v>
      </c>
      <c r="O3093" s="1">
        <v>3.5</v>
      </c>
      <c r="P3093" s="1">
        <f>H3093</f>
        <v>1</v>
      </c>
      <c r="Q3093" s="2">
        <v>8.9999999999999993E-3</v>
      </c>
      <c r="R3093" s="1">
        <v>1</v>
      </c>
      <c r="S3093" s="1">
        <f>R3093/P3093</f>
        <v>1</v>
      </c>
      <c r="T3093" s="1">
        <v>3</v>
      </c>
      <c r="U3093" s="1">
        <v>12.5</v>
      </c>
      <c r="V3093" s="1">
        <v>32.941176470588239</v>
      </c>
      <c r="W3093" s="1">
        <v>6</v>
      </c>
    </row>
    <row r="3094" spans="1:23" x14ac:dyDescent="0.2">
      <c r="A3094">
        <v>2020</v>
      </c>
      <c r="B3094" t="s">
        <v>23</v>
      </c>
      <c r="C3094" t="s">
        <v>272</v>
      </c>
      <c r="D3094">
        <v>125</v>
      </c>
      <c r="E3094">
        <v>1</v>
      </c>
      <c r="F3094">
        <v>7</v>
      </c>
      <c r="G3094" t="s">
        <v>149</v>
      </c>
      <c r="H3094" s="1">
        <v>11</v>
      </c>
      <c r="I3094" s="1">
        <v>61</v>
      </c>
      <c r="J3094" s="1">
        <v>66</v>
      </c>
      <c r="K3094" s="1">
        <f>J3094-I3094</f>
        <v>5</v>
      </c>
      <c r="L3094" s="1">
        <v>126</v>
      </c>
      <c r="M3094" s="1">
        <v>83</v>
      </c>
      <c r="N3094" s="1">
        <v>2</v>
      </c>
      <c r="O3094" s="1">
        <v>2.5</v>
      </c>
      <c r="P3094" s="1">
        <v>10</v>
      </c>
      <c r="Q3094" s="2">
        <v>0.36899999999999999</v>
      </c>
      <c r="R3094" s="1">
        <v>7</v>
      </c>
      <c r="S3094" s="1">
        <f>R3094/P3094</f>
        <v>0.7</v>
      </c>
      <c r="T3094" s="1">
        <v>5</v>
      </c>
      <c r="U3094" s="1">
        <v>12.5</v>
      </c>
      <c r="V3094" s="1">
        <v>1350.5882352941178</v>
      </c>
      <c r="W3094" s="1">
        <v>6</v>
      </c>
    </row>
    <row r="3095" spans="1:23" x14ac:dyDescent="0.2">
      <c r="A3095">
        <v>2020</v>
      </c>
      <c r="B3095" t="s">
        <v>23</v>
      </c>
      <c r="C3095" t="s">
        <v>272</v>
      </c>
      <c r="D3095">
        <v>125</v>
      </c>
      <c r="E3095">
        <v>2</v>
      </c>
      <c r="F3095">
        <v>6</v>
      </c>
      <c r="G3095" t="s">
        <v>149</v>
      </c>
      <c r="H3095">
        <v>12</v>
      </c>
      <c r="I3095">
        <v>57</v>
      </c>
      <c r="J3095">
        <v>59</v>
      </c>
      <c r="K3095">
        <v>2</v>
      </c>
      <c r="L3095">
        <v>158</v>
      </c>
      <c r="M3095">
        <v>79</v>
      </c>
      <c r="N3095">
        <v>2</v>
      </c>
      <c r="O3095">
        <v>2</v>
      </c>
      <c r="P3095">
        <v>10</v>
      </c>
      <c r="Q3095">
        <v>0.8</v>
      </c>
      <c r="R3095">
        <v>10</v>
      </c>
      <c r="S3095">
        <v>1</v>
      </c>
      <c r="T3095">
        <v>2</v>
      </c>
      <c r="U3095">
        <v>9.6999999999999993</v>
      </c>
      <c r="V3095">
        <v>3021.8039215686276</v>
      </c>
      <c r="W3095">
        <v>1</v>
      </c>
    </row>
    <row r="3096" spans="1:23" x14ac:dyDescent="0.2">
      <c r="A3096">
        <v>2020</v>
      </c>
      <c r="B3096" t="s">
        <v>23</v>
      </c>
      <c r="C3096" t="s">
        <v>272</v>
      </c>
      <c r="D3096">
        <v>126</v>
      </c>
      <c r="E3096">
        <v>1</v>
      </c>
      <c r="F3096">
        <v>15</v>
      </c>
      <c r="G3096" t="s">
        <v>150</v>
      </c>
      <c r="H3096">
        <v>3</v>
      </c>
      <c r="I3096">
        <v>55</v>
      </c>
      <c r="J3096">
        <v>57</v>
      </c>
      <c r="K3096">
        <v>2</v>
      </c>
      <c r="L3096">
        <v>70</v>
      </c>
      <c r="M3096">
        <v>28</v>
      </c>
      <c r="N3096">
        <v>2</v>
      </c>
      <c r="O3096">
        <v>5</v>
      </c>
      <c r="P3096">
        <v>3</v>
      </c>
      <c r="Q3096">
        <v>0.161</v>
      </c>
      <c r="R3096">
        <v>3</v>
      </c>
      <c r="S3096">
        <v>1</v>
      </c>
      <c r="T3096">
        <v>3</v>
      </c>
      <c r="U3096">
        <v>12.5</v>
      </c>
      <c r="V3096">
        <v>589.281045751634</v>
      </c>
      <c r="W3096">
        <v>1</v>
      </c>
    </row>
    <row r="3097" spans="1:23" x14ac:dyDescent="0.2">
      <c r="A3097">
        <v>2020</v>
      </c>
      <c r="B3097" t="s">
        <v>23</v>
      </c>
      <c r="C3097" t="s">
        <v>272</v>
      </c>
      <c r="D3097">
        <v>126</v>
      </c>
      <c r="E3097">
        <v>2</v>
      </c>
      <c r="F3097">
        <v>10</v>
      </c>
      <c r="G3097" t="s">
        <v>150</v>
      </c>
      <c r="H3097" s="1">
        <v>8</v>
      </c>
      <c r="I3097" s="1">
        <v>67</v>
      </c>
      <c r="J3097" s="1">
        <v>72</v>
      </c>
      <c r="K3097" s="1">
        <f>J3097-I3097</f>
        <v>5</v>
      </c>
      <c r="L3097" s="1">
        <v>80</v>
      </c>
      <c r="M3097" s="1">
        <v>30</v>
      </c>
      <c r="N3097" s="1">
        <v>2.5</v>
      </c>
      <c r="O3097" s="1">
        <v>4.5</v>
      </c>
      <c r="P3097" s="1">
        <v>5</v>
      </c>
      <c r="Q3097" s="2">
        <v>0.109</v>
      </c>
      <c r="R3097" s="1">
        <v>4</v>
      </c>
      <c r="S3097" s="1">
        <f>R3097/P3097</f>
        <v>0.8</v>
      </c>
      <c r="T3097" s="1">
        <v>5</v>
      </c>
      <c r="U3097" s="1">
        <v>12.5</v>
      </c>
      <c r="V3097" s="1">
        <v>398.95424836601308</v>
      </c>
      <c r="W3097" s="1">
        <v>6</v>
      </c>
    </row>
    <row r="3098" spans="1:23" x14ac:dyDescent="0.2">
      <c r="A3098">
        <v>2020</v>
      </c>
      <c r="B3098" t="s">
        <v>23</v>
      </c>
      <c r="C3098" t="s">
        <v>272</v>
      </c>
      <c r="D3098">
        <v>127</v>
      </c>
      <c r="E3098">
        <v>1</v>
      </c>
      <c r="F3098">
        <v>10</v>
      </c>
      <c r="G3098" t="s">
        <v>151</v>
      </c>
      <c r="H3098" s="1">
        <v>6</v>
      </c>
      <c r="I3098" s="1">
        <v>67</v>
      </c>
      <c r="J3098" s="1">
        <v>72</v>
      </c>
      <c r="K3098" s="1">
        <f>J3098-I3098</f>
        <v>5</v>
      </c>
      <c r="L3098" s="1">
        <v>101</v>
      </c>
      <c r="M3098" s="1">
        <v>26</v>
      </c>
      <c r="N3098" s="1">
        <v>2</v>
      </c>
      <c r="O3098" s="1">
        <v>4.5</v>
      </c>
      <c r="P3098" s="1">
        <v>6</v>
      </c>
      <c r="Q3098" s="2">
        <v>0.08</v>
      </c>
      <c r="R3098" s="1">
        <v>5</v>
      </c>
      <c r="S3098" s="1">
        <f>R3098/P3098</f>
        <v>0.83333333333333337</v>
      </c>
      <c r="T3098" s="1">
        <v>5</v>
      </c>
      <c r="U3098" s="1">
        <v>12.5</v>
      </c>
      <c r="V3098" s="1">
        <v>292.81045751633991</v>
      </c>
      <c r="W3098" s="1">
        <v>6</v>
      </c>
    </row>
    <row r="3099" spans="1:23" x14ac:dyDescent="0.2">
      <c r="A3099">
        <v>2020</v>
      </c>
      <c r="B3099" t="s">
        <v>23</v>
      </c>
      <c r="C3099" t="s">
        <v>272</v>
      </c>
      <c r="D3099">
        <v>127</v>
      </c>
      <c r="E3099">
        <v>2</v>
      </c>
      <c r="F3099">
        <v>12</v>
      </c>
      <c r="G3099" t="s">
        <v>151</v>
      </c>
      <c r="H3099" s="1">
        <v>7</v>
      </c>
      <c r="I3099" s="1">
        <v>68</v>
      </c>
      <c r="J3099" s="1">
        <v>71</v>
      </c>
      <c r="K3099" s="1">
        <f>J3099-I3099</f>
        <v>3</v>
      </c>
      <c r="L3099" s="1">
        <v>103</v>
      </c>
      <c r="M3099" s="1">
        <v>46</v>
      </c>
      <c r="N3099" s="1">
        <v>2</v>
      </c>
      <c r="O3099" s="1">
        <v>4</v>
      </c>
      <c r="P3099" s="1">
        <v>4</v>
      </c>
      <c r="Q3099" s="2">
        <v>0.10260000000000001</v>
      </c>
      <c r="R3099" s="1">
        <v>3</v>
      </c>
      <c r="S3099" s="1">
        <f>R3099/P3099</f>
        <v>0.75</v>
      </c>
      <c r="T3099" s="1">
        <v>4</v>
      </c>
      <c r="U3099" s="1">
        <v>12.5</v>
      </c>
      <c r="V3099" s="1">
        <v>375.52941176470597</v>
      </c>
      <c r="W3099" s="1">
        <v>5</v>
      </c>
    </row>
    <row r="3100" spans="1:23" x14ac:dyDescent="0.2">
      <c r="A3100">
        <v>2020</v>
      </c>
      <c r="B3100" t="s">
        <v>23</v>
      </c>
      <c r="C3100" t="s">
        <v>272</v>
      </c>
      <c r="D3100">
        <v>128</v>
      </c>
      <c r="E3100">
        <v>1</v>
      </c>
      <c r="F3100">
        <v>10</v>
      </c>
      <c r="G3100" t="s">
        <v>152</v>
      </c>
      <c r="H3100">
        <v>16</v>
      </c>
      <c r="I3100">
        <v>58</v>
      </c>
      <c r="J3100">
        <v>63</v>
      </c>
      <c r="K3100">
        <v>5</v>
      </c>
      <c r="L3100">
        <v>150</v>
      </c>
      <c r="M3100">
        <v>80</v>
      </c>
      <c r="N3100">
        <v>2</v>
      </c>
      <c r="O3100">
        <v>2.5</v>
      </c>
      <c r="P3100">
        <v>13</v>
      </c>
      <c r="Q3100">
        <v>0.7</v>
      </c>
      <c r="R3100">
        <v>12</v>
      </c>
      <c r="S3100">
        <v>0.92307692307692313</v>
      </c>
      <c r="T3100">
        <v>4</v>
      </c>
      <c r="U3100">
        <v>9.5</v>
      </c>
      <c r="V3100">
        <v>2649.9346405228757</v>
      </c>
      <c r="W3100">
        <v>1</v>
      </c>
    </row>
    <row r="3101" spans="1:23" x14ac:dyDescent="0.2">
      <c r="A3101">
        <v>2020</v>
      </c>
      <c r="B3101" t="s">
        <v>23</v>
      </c>
      <c r="C3101" t="s">
        <v>272</v>
      </c>
      <c r="D3101">
        <v>128</v>
      </c>
      <c r="E3101">
        <v>2</v>
      </c>
      <c r="F3101">
        <v>13</v>
      </c>
      <c r="G3101" t="s">
        <v>152</v>
      </c>
      <c r="H3101" s="1">
        <v>8</v>
      </c>
      <c r="I3101" s="1">
        <v>61</v>
      </c>
      <c r="J3101" s="1">
        <v>66</v>
      </c>
      <c r="K3101" s="1">
        <f t="shared" ref="K3101:K3109" si="158">J3101-I3101</f>
        <v>5</v>
      </c>
      <c r="L3101" s="1">
        <v>162</v>
      </c>
      <c r="M3101" s="1">
        <v>90</v>
      </c>
      <c r="N3101" s="1">
        <v>2</v>
      </c>
      <c r="O3101" s="1">
        <v>2.5</v>
      </c>
      <c r="P3101" s="1">
        <v>7</v>
      </c>
      <c r="Q3101" s="2">
        <v>0.13100000000000001</v>
      </c>
      <c r="R3101" s="1">
        <v>4</v>
      </c>
      <c r="S3101" s="1">
        <f t="shared" ref="S3101:S3109" si="159">R3101/P3101</f>
        <v>0.5714285714285714</v>
      </c>
      <c r="T3101" s="1">
        <v>4</v>
      </c>
      <c r="U3101" s="1">
        <v>12.5</v>
      </c>
      <c r="V3101" s="1">
        <v>479.47712418300648</v>
      </c>
      <c r="W3101" s="1">
        <v>4</v>
      </c>
    </row>
    <row r="3102" spans="1:23" x14ac:dyDescent="0.2">
      <c r="A3102">
        <v>2020</v>
      </c>
      <c r="B3102" t="s">
        <v>23</v>
      </c>
      <c r="C3102" t="s">
        <v>272</v>
      </c>
      <c r="D3102">
        <v>129</v>
      </c>
      <c r="E3102">
        <v>1</v>
      </c>
      <c r="F3102">
        <v>5</v>
      </c>
      <c r="G3102" t="s">
        <v>153</v>
      </c>
      <c r="H3102" s="1">
        <v>15</v>
      </c>
      <c r="I3102" s="1">
        <v>68</v>
      </c>
      <c r="J3102" s="1">
        <v>70</v>
      </c>
      <c r="K3102" s="1">
        <f t="shared" si="158"/>
        <v>2</v>
      </c>
      <c r="L3102" s="1">
        <v>183</v>
      </c>
      <c r="M3102" s="1">
        <v>102</v>
      </c>
      <c r="N3102" s="1">
        <v>2</v>
      </c>
      <c r="O3102" s="1">
        <v>3.5</v>
      </c>
      <c r="P3102" s="1">
        <v>14</v>
      </c>
      <c r="Q3102" s="2">
        <v>0.86399999999999999</v>
      </c>
      <c r="R3102" s="1">
        <v>8</v>
      </c>
      <c r="S3102" s="1">
        <f t="shared" si="159"/>
        <v>0.5714285714285714</v>
      </c>
      <c r="T3102" s="1">
        <v>3</v>
      </c>
      <c r="U3102" s="1">
        <v>10.7</v>
      </c>
      <c r="V3102" s="1">
        <v>3227.407058823529</v>
      </c>
      <c r="W3102" s="1">
        <v>4</v>
      </c>
    </row>
    <row r="3103" spans="1:23" x14ac:dyDescent="0.2">
      <c r="A3103">
        <v>2020</v>
      </c>
      <c r="B3103" t="s">
        <v>23</v>
      </c>
      <c r="C3103" t="s">
        <v>272</v>
      </c>
      <c r="D3103">
        <v>129</v>
      </c>
      <c r="E3103">
        <v>2</v>
      </c>
      <c r="F3103">
        <v>8</v>
      </c>
      <c r="G3103" t="s">
        <v>153</v>
      </c>
      <c r="H3103" s="1">
        <v>2</v>
      </c>
      <c r="I3103" s="1">
        <v>67</v>
      </c>
      <c r="J3103" s="1">
        <v>72</v>
      </c>
      <c r="K3103" s="1">
        <f t="shared" si="158"/>
        <v>5</v>
      </c>
      <c r="L3103" s="1">
        <v>138</v>
      </c>
      <c r="M3103" s="1">
        <v>93</v>
      </c>
      <c r="N3103" s="1">
        <v>2</v>
      </c>
      <c r="O3103" s="1">
        <v>3</v>
      </c>
      <c r="P3103" s="1">
        <f>H3103</f>
        <v>2</v>
      </c>
      <c r="Q3103" s="2">
        <v>9.375E-2</v>
      </c>
      <c r="R3103" s="1">
        <v>3</v>
      </c>
      <c r="S3103" s="1">
        <f t="shared" si="159"/>
        <v>1.5</v>
      </c>
      <c r="T3103" s="1">
        <v>3</v>
      </c>
      <c r="U3103" s="1">
        <v>12.5</v>
      </c>
      <c r="V3103" s="1">
        <v>343.13725490196077</v>
      </c>
      <c r="W3103" s="1">
        <v>3</v>
      </c>
    </row>
    <row r="3104" spans="1:23" x14ac:dyDescent="0.2">
      <c r="A3104">
        <v>2020</v>
      </c>
      <c r="B3104" t="s">
        <v>23</v>
      </c>
      <c r="C3104" t="s">
        <v>272</v>
      </c>
      <c r="D3104">
        <v>130</v>
      </c>
      <c r="E3104">
        <v>1</v>
      </c>
      <c r="F3104">
        <v>12</v>
      </c>
      <c r="G3104" t="s">
        <v>154</v>
      </c>
      <c r="H3104" s="1">
        <v>8</v>
      </c>
      <c r="I3104" s="1">
        <v>68</v>
      </c>
      <c r="J3104" s="1">
        <v>70</v>
      </c>
      <c r="K3104" s="1">
        <f t="shared" si="158"/>
        <v>2</v>
      </c>
      <c r="L3104" s="1">
        <v>96</v>
      </c>
      <c r="M3104" s="1">
        <v>39</v>
      </c>
      <c r="N3104" s="1">
        <v>2.5</v>
      </c>
      <c r="O3104" s="1">
        <v>4</v>
      </c>
      <c r="P3104" s="1">
        <v>6</v>
      </c>
      <c r="Q3104" s="2">
        <v>0.16575000000000001</v>
      </c>
      <c r="R3104" s="1">
        <v>5</v>
      </c>
      <c r="S3104" s="1">
        <f t="shared" si="159"/>
        <v>0.83333333333333337</v>
      </c>
      <c r="T3104" s="1">
        <v>4.5</v>
      </c>
      <c r="U3104" s="1">
        <v>12.5</v>
      </c>
      <c r="V3104" s="1">
        <v>606.66666666666663</v>
      </c>
      <c r="W3104" s="1">
        <v>4</v>
      </c>
    </row>
    <row r="3105" spans="1:23" x14ac:dyDescent="0.2">
      <c r="A3105">
        <v>2020</v>
      </c>
      <c r="B3105" t="s">
        <v>23</v>
      </c>
      <c r="C3105" t="s">
        <v>272</v>
      </c>
      <c r="D3105">
        <v>130</v>
      </c>
      <c r="E3105">
        <v>2</v>
      </c>
      <c r="F3105">
        <v>5</v>
      </c>
      <c r="G3105" t="s">
        <v>154</v>
      </c>
      <c r="H3105" s="1">
        <v>8</v>
      </c>
      <c r="I3105" s="1">
        <v>67</v>
      </c>
      <c r="J3105" s="1">
        <v>70</v>
      </c>
      <c r="K3105" s="1">
        <f t="shared" si="158"/>
        <v>3</v>
      </c>
      <c r="L3105" s="1">
        <v>128</v>
      </c>
      <c r="M3105" s="1">
        <v>40</v>
      </c>
      <c r="N3105" s="1">
        <v>2</v>
      </c>
      <c r="O3105" s="1">
        <v>3</v>
      </c>
      <c r="P3105" s="1">
        <v>6</v>
      </c>
      <c r="Q3105" s="2">
        <v>0.46100000000000002</v>
      </c>
      <c r="R3105" s="1">
        <v>6</v>
      </c>
      <c r="S3105" s="1">
        <f t="shared" si="159"/>
        <v>1</v>
      </c>
      <c r="T3105" s="1">
        <v>2.5</v>
      </c>
      <c r="U3105" s="1">
        <v>12.5</v>
      </c>
      <c r="V3105" s="1">
        <v>1687.3202614379086</v>
      </c>
      <c r="W3105" s="1">
        <v>5</v>
      </c>
    </row>
    <row r="3106" spans="1:23" x14ac:dyDescent="0.2">
      <c r="A3106">
        <v>2020</v>
      </c>
      <c r="B3106" t="s">
        <v>23</v>
      </c>
      <c r="C3106" t="s">
        <v>272</v>
      </c>
      <c r="D3106">
        <v>131</v>
      </c>
      <c r="E3106">
        <v>1</v>
      </c>
      <c r="F3106">
        <v>4</v>
      </c>
      <c r="G3106" t="s">
        <v>155</v>
      </c>
      <c r="H3106" s="1">
        <v>13</v>
      </c>
      <c r="I3106" s="1">
        <v>63</v>
      </c>
      <c r="J3106" s="1">
        <v>66</v>
      </c>
      <c r="K3106" s="1">
        <f t="shared" si="158"/>
        <v>3</v>
      </c>
      <c r="L3106" s="1">
        <v>145</v>
      </c>
      <c r="M3106" s="1">
        <v>56</v>
      </c>
      <c r="N3106" s="1">
        <v>3</v>
      </c>
      <c r="O3106" s="1">
        <v>5</v>
      </c>
      <c r="P3106" s="1">
        <v>8</v>
      </c>
      <c r="Q3106" s="2">
        <v>6.6000000000000003E-2</v>
      </c>
      <c r="R3106" s="1">
        <v>5</v>
      </c>
      <c r="S3106" s="1">
        <f t="shared" si="159"/>
        <v>0.625</v>
      </c>
      <c r="T3106" s="1">
        <v>5</v>
      </c>
      <c r="U3106" s="1">
        <v>12.5</v>
      </c>
      <c r="V3106" s="1">
        <v>241.56862745098039</v>
      </c>
      <c r="W3106" s="1">
        <v>6</v>
      </c>
    </row>
    <row r="3107" spans="1:23" x14ac:dyDescent="0.2">
      <c r="A3107">
        <v>2020</v>
      </c>
      <c r="B3107" t="s">
        <v>23</v>
      </c>
      <c r="C3107" t="s">
        <v>272</v>
      </c>
      <c r="D3107">
        <v>131</v>
      </c>
      <c r="E3107">
        <v>2</v>
      </c>
      <c r="F3107">
        <v>7</v>
      </c>
      <c r="G3107" t="s">
        <v>155</v>
      </c>
      <c r="H3107" s="1">
        <v>13</v>
      </c>
      <c r="I3107" s="1">
        <v>60</v>
      </c>
      <c r="J3107" s="1">
        <v>63</v>
      </c>
      <c r="K3107" s="1">
        <f t="shared" si="158"/>
        <v>3</v>
      </c>
      <c r="L3107" s="1">
        <v>138</v>
      </c>
      <c r="M3107" s="1">
        <v>36</v>
      </c>
      <c r="N3107" s="1">
        <v>2</v>
      </c>
      <c r="O3107" s="1">
        <v>4</v>
      </c>
      <c r="P3107" s="1">
        <v>7</v>
      </c>
      <c r="Q3107" s="2">
        <v>0.182</v>
      </c>
      <c r="R3107" s="1">
        <v>6</v>
      </c>
      <c r="S3107" s="1">
        <f t="shared" si="159"/>
        <v>0.8571428571428571</v>
      </c>
      <c r="T3107" s="1">
        <v>3.5</v>
      </c>
      <c r="U3107" s="1">
        <v>12.5</v>
      </c>
      <c r="V3107" s="1">
        <v>666.14379084967322</v>
      </c>
      <c r="W3107" s="1">
        <v>4</v>
      </c>
    </row>
    <row r="3108" spans="1:23" x14ac:dyDescent="0.2">
      <c r="A3108">
        <v>2020</v>
      </c>
      <c r="B3108" t="s">
        <v>23</v>
      </c>
      <c r="C3108" t="s">
        <v>272</v>
      </c>
      <c r="D3108">
        <v>132</v>
      </c>
      <c r="E3108">
        <v>1</v>
      </c>
      <c r="F3108">
        <v>1</v>
      </c>
      <c r="G3108" t="s">
        <v>156</v>
      </c>
      <c r="H3108" s="1">
        <v>11</v>
      </c>
      <c r="I3108" s="1">
        <v>68</v>
      </c>
      <c r="J3108" s="1">
        <v>71</v>
      </c>
      <c r="K3108" s="1">
        <f t="shared" si="158"/>
        <v>3</v>
      </c>
      <c r="L3108" s="1">
        <v>135</v>
      </c>
      <c r="M3108" s="1">
        <v>57</v>
      </c>
      <c r="N3108" s="1">
        <v>3</v>
      </c>
      <c r="O3108" s="1">
        <v>4</v>
      </c>
      <c r="P3108" s="1">
        <v>9</v>
      </c>
      <c r="Q3108" s="2">
        <v>0.27060000000000001</v>
      </c>
      <c r="R3108" s="1">
        <v>5</v>
      </c>
      <c r="S3108" s="1">
        <f t="shared" si="159"/>
        <v>0.55555555555555558</v>
      </c>
      <c r="T3108" s="1">
        <v>5</v>
      </c>
      <c r="U3108" s="1">
        <v>12.5</v>
      </c>
      <c r="V3108" s="1">
        <v>990.43137254901978</v>
      </c>
      <c r="W3108" s="1">
        <v>5</v>
      </c>
    </row>
    <row r="3109" spans="1:23" x14ac:dyDescent="0.2">
      <c r="A3109">
        <v>2020</v>
      </c>
      <c r="B3109" t="s">
        <v>23</v>
      </c>
      <c r="C3109" t="s">
        <v>272</v>
      </c>
      <c r="D3109">
        <v>132</v>
      </c>
      <c r="E3109">
        <v>2</v>
      </c>
      <c r="F3109">
        <v>11</v>
      </c>
      <c r="G3109" t="s">
        <v>156</v>
      </c>
      <c r="H3109" s="1">
        <v>8</v>
      </c>
      <c r="I3109" s="1">
        <v>69</v>
      </c>
      <c r="J3109" s="1">
        <v>70</v>
      </c>
      <c r="K3109" s="1">
        <f t="shared" si="158"/>
        <v>1</v>
      </c>
      <c r="L3109" s="1">
        <v>153</v>
      </c>
      <c r="M3109" s="1">
        <v>84</v>
      </c>
      <c r="N3109" s="1">
        <v>2</v>
      </c>
      <c r="O3109" s="1">
        <v>3.5</v>
      </c>
      <c r="P3109" s="1">
        <f>H3109-2</f>
        <v>6</v>
      </c>
      <c r="Q3109" s="2">
        <v>0.255</v>
      </c>
      <c r="R3109" s="1">
        <v>4</v>
      </c>
      <c r="S3109" s="1">
        <f t="shared" si="159"/>
        <v>0.66666666666666663</v>
      </c>
      <c r="T3109" s="1">
        <v>4</v>
      </c>
      <c r="U3109" s="1">
        <v>12.5</v>
      </c>
      <c r="V3109" s="1">
        <v>933.33333333333337</v>
      </c>
      <c r="W3109" s="1">
        <v>3</v>
      </c>
    </row>
    <row r="3110" spans="1:23" x14ac:dyDescent="0.2">
      <c r="A3110">
        <v>2020</v>
      </c>
      <c r="B3110" t="s">
        <v>23</v>
      </c>
      <c r="C3110" t="s">
        <v>272</v>
      </c>
      <c r="D3110">
        <v>133</v>
      </c>
      <c r="E3110">
        <v>1</v>
      </c>
      <c r="F3110">
        <v>3</v>
      </c>
      <c r="G3110" t="s">
        <v>157</v>
      </c>
      <c r="H3110">
        <v>16</v>
      </c>
      <c r="I3110">
        <v>58</v>
      </c>
      <c r="J3110">
        <v>60</v>
      </c>
      <c r="K3110">
        <v>2</v>
      </c>
      <c r="L3110">
        <v>198</v>
      </c>
      <c r="M3110">
        <v>73</v>
      </c>
      <c r="N3110">
        <v>1</v>
      </c>
      <c r="O3110">
        <v>2</v>
      </c>
      <c r="P3110">
        <v>12</v>
      </c>
      <c r="Q3110">
        <v>0.4</v>
      </c>
      <c r="R3110">
        <v>10</v>
      </c>
      <c r="S3110">
        <v>0.83333333333333337</v>
      </c>
      <c r="T3110">
        <v>3</v>
      </c>
      <c r="U3110">
        <v>9.9</v>
      </c>
      <c r="V3110">
        <v>1507.5555555555557</v>
      </c>
      <c r="W3110">
        <v>3</v>
      </c>
    </row>
    <row r="3111" spans="1:23" x14ac:dyDescent="0.2">
      <c r="A3111">
        <v>2020</v>
      </c>
      <c r="B3111" t="s">
        <v>23</v>
      </c>
      <c r="C3111" t="s">
        <v>272</v>
      </c>
      <c r="D3111">
        <v>133</v>
      </c>
      <c r="E3111">
        <v>2</v>
      </c>
      <c r="F3111">
        <v>10</v>
      </c>
      <c r="G3111" t="s">
        <v>157</v>
      </c>
      <c r="H3111" s="1">
        <v>2</v>
      </c>
      <c r="I3111" s="1">
        <v>68</v>
      </c>
      <c r="J3111" s="1">
        <v>71</v>
      </c>
      <c r="K3111" s="1">
        <f>J3111-I3111</f>
        <v>3</v>
      </c>
      <c r="L3111" s="1">
        <v>133</v>
      </c>
      <c r="M3111" s="1">
        <v>77</v>
      </c>
      <c r="N3111" s="1">
        <v>2</v>
      </c>
      <c r="O3111" s="1">
        <v>2.5</v>
      </c>
      <c r="P3111" s="1">
        <v>2</v>
      </c>
      <c r="Q3111" s="2">
        <v>0.13200000000000001</v>
      </c>
      <c r="R3111" s="1">
        <v>2</v>
      </c>
      <c r="S3111" s="1">
        <f>R3111/P3111</f>
        <v>1</v>
      </c>
      <c r="T3111" s="1">
        <v>3</v>
      </c>
      <c r="U3111" s="1">
        <v>8</v>
      </c>
      <c r="V3111" s="1">
        <v>507.98431372549021</v>
      </c>
      <c r="W3111" s="1">
        <v>4</v>
      </c>
    </row>
    <row r="3112" spans="1:23" x14ac:dyDescent="0.2">
      <c r="A3112">
        <v>2020</v>
      </c>
      <c r="B3112" t="s">
        <v>23</v>
      </c>
      <c r="C3112" t="s">
        <v>272</v>
      </c>
      <c r="D3112">
        <v>134</v>
      </c>
      <c r="E3112">
        <v>1</v>
      </c>
      <c r="F3112">
        <v>13</v>
      </c>
      <c r="G3112" t="s">
        <v>158</v>
      </c>
      <c r="H3112" s="1">
        <v>4</v>
      </c>
      <c r="I3112" s="1">
        <v>59</v>
      </c>
      <c r="J3112" s="1">
        <v>63</v>
      </c>
      <c r="K3112" s="1">
        <f>J3112-I3112</f>
        <v>4</v>
      </c>
      <c r="L3112" s="1">
        <v>94</v>
      </c>
      <c r="M3112" s="1">
        <v>32</v>
      </c>
      <c r="N3112" s="1">
        <v>2</v>
      </c>
      <c r="O3112" s="1">
        <v>4</v>
      </c>
      <c r="P3112" s="1">
        <v>4</v>
      </c>
      <c r="Q3112" s="2">
        <v>0.16400000000000001</v>
      </c>
      <c r="R3112" s="1">
        <v>6</v>
      </c>
      <c r="S3112" s="1">
        <f>R3112/P3112</f>
        <v>1.5</v>
      </c>
      <c r="T3112" s="1">
        <v>2.5</v>
      </c>
      <c r="U3112" s="1">
        <v>12.5</v>
      </c>
      <c r="V3112" s="1">
        <v>600.26143790849665</v>
      </c>
      <c r="W3112" s="1">
        <v>2</v>
      </c>
    </row>
    <row r="3113" spans="1:23" x14ac:dyDescent="0.2">
      <c r="A3113">
        <v>2020</v>
      </c>
      <c r="B3113" t="s">
        <v>23</v>
      </c>
      <c r="C3113" t="s">
        <v>272</v>
      </c>
      <c r="D3113">
        <v>134</v>
      </c>
      <c r="E3113">
        <v>2</v>
      </c>
      <c r="F3113">
        <v>1</v>
      </c>
      <c r="G3113" t="s">
        <v>159</v>
      </c>
      <c r="H3113" s="1">
        <v>9</v>
      </c>
      <c r="I3113" s="1">
        <v>64</v>
      </c>
      <c r="J3113" s="1">
        <v>69</v>
      </c>
      <c r="K3113" s="1">
        <f>J3113-I3113</f>
        <v>5</v>
      </c>
      <c r="L3113" s="1">
        <v>204</v>
      </c>
      <c r="M3113" s="1">
        <v>87</v>
      </c>
      <c r="N3113" s="1">
        <v>2</v>
      </c>
      <c r="O3113" s="1">
        <v>1.5</v>
      </c>
      <c r="P3113" s="1">
        <f>H3113-1</f>
        <v>8</v>
      </c>
      <c r="Q3113" s="2">
        <v>0.245</v>
      </c>
      <c r="R3113" s="1">
        <v>8</v>
      </c>
      <c r="S3113" s="1">
        <f>R3113/P3113</f>
        <v>1</v>
      </c>
      <c r="T3113" s="1">
        <v>2</v>
      </c>
      <c r="U3113" s="1">
        <v>12.5</v>
      </c>
      <c r="V3113" s="1">
        <v>896.7320261437909</v>
      </c>
      <c r="W3113" s="1">
        <v>3</v>
      </c>
    </row>
    <row r="3114" spans="1:23" x14ac:dyDescent="0.2">
      <c r="A3114">
        <v>2020</v>
      </c>
      <c r="B3114" t="s">
        <v>23</v>
      </c>
      <c r="C3114" t="s">
        <v>272</v>
      </c>
      <c r="D3114">
        <v>135</v>
      </c>
      <c r="E3114">
        <v>1</v>
      </c>
      <c r="F3114">
        <v>10</v>
      </c>
      <c r="G3114" t="s">
        <v>160</v>
      </c>
      <c r="H3114" s="1">
        <v>14</v>
      </c>
      <c r="I3114" s="1">
        <v>65</v>
      </c>
      <c r="J3114" s="1">
        <v>68</v>
      </c>
      <c r="K3114" s="1">
        <f>J3114-I3114</f>
        <v>3</v>
      </c>
      <c r="L3114" s="1">
        <v>143</v>
      </c>
      <c r="M3114" s="1">
        <v>78</v>
      </c>
      <c r="N3114" s="1">
        <v>2</v>
      </c>
      <c r="O3114" s="1">
        <v>2.5</v>
      </c>
      <c r="P3114" s="1">
        <f>H3114</f>
        <v>14</v>
      </c>
      <c r="Q3114" s="2">
        <v>0.34875</v>
      </c>
      <c r="R3114" s="1">
        <v>11</v>
      </c>
      <c r="S3114" s="1">
        <f>R3114/P3114</f>
        <v>0.7857142857142857</v>
      </c>
      <c r="T3114" s="1">
        <v>4</v>
      </c>
      <c r="U3114" s="1">
        <v>12.5</v>
      </c>
      <c r="V3114" s="1">
        <v>1276.4705882352941</v>
      </c>
      <c r="W3114" s="1">
        <v>6</v>
      </c>
    </row>
    <row r="3115" spans="1:23" x14ac:dyDescent="0.2">
      <c r="A3115">
        <v>2020</v>
      </c>
      <c r="B3115" t="s">
        <v>23</v>
      </c>
      <c r="C3115" t="s">
        <v>272</v>
      </c>
      <c r="D3115">
        <v>135</v>
      </c>
      <c r="E3115">
        <v>2</v>
      </c>
      <c r="F3115">
        <v>7</v>
      </c>
      <c r="G3115" t="s">
        <v>160</v>
      </c>
      <c r="H3115">
        <v>16</v>
      </c>
      <c r="I3115">
        <v>56</v>
      </c>
      <c r="J3115">
        <v>57</v>
      </c>
      <c r="K3115">
        <v>1</v>
      </c>
      <c r="L3115">
        <v>185</v>
      </c>
      <c r="M3115">
        <v>65</v>
      </c>
      <c r="N3115">
        <v>2</v>
      </c>
      <c r="O3115">
        <v>2</v>
      </c>
      <c r="P3115">
        <v>14</v>
      </c>
      <c r="Q3115">
        <v>0.9</v>
      </c>
      <c r="R3115">
        <v>13</v>
      </c>
      <c r="S3115">
        <v>0.9285714285714286</v>
      </c>
      <c r="T3115">
        <v>3</v>
      </c>
      <c r="U3115">
        <v>11.1</v>
      </c>
      <c r="V3115">
        <v>3346.8235294117644</v>
      </c>
      <c r="W3115">
        <v>2</v>
      </c>
    </row>
    <row r="3116" spans="1:23" x14ac:dyDescent="0.2">
      <c r="A3116">
        <v>2020</v>
      </c>
      <c r="B3116" t="s">
        <v>23</v>
      </c>
      <c r="C3116" t="s">
        <v>272</v>
      </c>
      <c r="D3116">
        <v>136</v>
      </c>
      <c r="E3116">
        <v>1</v>
      </c>
      <c r="F3116">
        <v>10</v>
      </c>
      <c r="G3116" t="s">
        <v>161</v>
      </c>
      <c r="H3116" s="1">
        <v>1</v>
      </c>
      <c r="I3116" s="1">
        <v>72</v>
      </c>
      <c r="J3116" s="1">
        <v>76</v>
      </c>
      <c r="K3116" s="1">
        <f>J3116-I3116</f>
        <v>4</v>
      </c>
      <c r="L3116" s="1">
        <v>160</v>
      </c>
      <c r="M3116" s="1">
        <v>75</v>
      </c>
      <c r="N3116" s="1">
        <v>2</v>
      </c>
      <c r="O3116" s="1">
        <v>3.5</v>
      </c>
      <c r="P3116" s="1">
        <v>1</v>
      </c>
      <c r="Q3116" s="2">
        <v>0.06</v>
      </c>
      <c r="R3116" s="1">
        <v>1</v>
      </c>
      <c r="S3116" s="1">
        <f>R3116/P3116</f>
        <v>1</v>
      </c>
      <c r="T3116" s="1">
        <v>5</v>
      </c>
      <c r="U3116" s="1">
        <v>12.5</v>
      </c>
      <c r="V3116" s="1">
        <v>219.60784313725492</v>
      </c>
      <c r="W3116" s="1">
        <v>4</v>
      </c>
    </row>
    <row r="3117" spans="1:23" x14ac:dyDescent="0.2">
      <c r="A3117">
        <v>2020</v>
      </c>
      <c r="B3117" t="s">
        <v>23</v>
      </c>
      <c r="C3117" t="s">
        <v>272</v>
      </c>
      <c r="D3117">
        <v>136</v>
      </c>
      <c r="E3117">
        <v>2</v>
      </c>
      <c r="F3117">
        <v>6</v>
      </c>
      <c r="G3117" t="s">
        <v>161</v>
      </c>
      <c r="H3117">
        <v>14</v>
      </c>
      <c r="I3117">
        <v>55</v>
      </c>
      <c r="J3117">
        <v>57</v>
      </c>
      <c r="K3117">
        <v>2</v>
      </c>
      <c r="L3117">
        <v>153</v>
      </c>
      <c r="M3117">
        <v>79</v>
      </c>
      <c r="N3117">
        <v>2</v>
      </c>
      <c r="O3117">
        <v>2.5</v>
      </c>
      <c r="P3117">
        <v>14</v>
      </c>
      <c r="Q3117">
        <v>0.9</v>
      </c>
      <c r="R3117">
        <v>12</v>
      </c>
      <c r="S3117">
        <v>0.8571428571428571</v>
      </c>
      <c r="T3117">
        <v>2</v>
      </c>
      <c r="U3117">
        <v>9.6</v>
      </c>
      <c r="V3117">
        <v>3403.2941176470595</v>
      </c>
      <c r="W3117">
        <v>2</v>
      </c>
    </row>
    <row r="3118" spans="1:23" x14ac:dyDescent="0.2">
      <c r="A3118">
        <v>2020</v>
      </c>
      <c r="B3118" t="s">
        <v>23</v>
      </c>
      <c r="C3118" t="s">
        <v>272</v>
      </c>
      <c r="D3118">
        <v>137</v>
      </c>
      <c r="E3118">
        <v>1</v>
      </c>
      <c r="F3118">
        <v>5</v>
      </c>
      <c r="G3118" t="s">
        <v>162</v>
      </c>
      <c r="H3118">
        <v>2</v>
      </c>
      <c r="I3118">
        <v>55</v>
      </c>
      <c r="J3118">
        <v>58</v>
      </c>
      <c r="K3118">
        <v>3</v>
      </c>
      <c r="L3118">
        <v>107</v>
      </c>
      <c r="M3118">
        <v>46</v>
      </c>
      <c r="N3118">
        <v>3</v>
      </c>
      <c r="O3118">
        <v>4</v>
      </c>
      <c r="P3118">
        <v>2</v>
      </c>
      <c r="Q3118">
        <v>0.156</v>
      </c>
      <c r="R3118">
        <v>3</v>
      </c>
      <c r="S3118">
        <v>1.5</v>
      </c>
      <c r="T3118">
        <v>4</v>
      </c>
      <c r="U3118">
        <v>12.5</v>
      </c>
      <c r="V3118">
        <v>570.98039215686276</v>
      </c>
      <c r="W3118">
        <v>2</v>
      </c>
    </row>
    <row r="3119" spans="1:23" x14ac:dyDescent="0.2">
      <c r="A3119">
        <v>2020</v>
      </c>
      <c r="B3119" t="s">
        <v>23</v>
      </c>
      <c r="C3119" t="s">
        <v>272</v>
      </c>
      <c r="D3119">
        <v>137</v>
      </c>
      <c r="E3119">
        <v>2</v>
      </c>
      <c r="F3119">
        <v>4</v>
      </c>
      <c r="G3119" t="s">
        <v>162</v>
      </c>
      <c r="H3119">
        <v>5</v>
      </c>
      <c r="I3119">
        <v>60</v>
      </c>
      <c r="J3119">
        <v>62</v>
      </c>
      <c r="K3119">
        <v>2</v>
      </c>
      <c r="L3119">
        <v>166</v>
      </c>
      <c r="M3119">
        <v>76</v>
      </c>
      <c r="N3119">
        <v>1.5</v>
      </c>
      <c r="O3119">
        <v>4</v>
      </c>
      <c r="P3119">
        <v>5</v>
      </c>
      <c r="Q3119">
        <v>0.3</v>
      </c>
      <c r="R3119">
        <v>4</v>
      </c>
      <c r="S3119">
        <v>0.8</v>
      </c>
      <c r="T3119">
        <v>2</v>
      </c>
      <c r="U3119">
        <v>12.5</v>
      </c>
      <c r="V3119">
        <v>1098.0392156862745</v>
      </c>
      <c r="W3119">
        <v>1</v>
      </c>
    </row>
    <row r="3120" spans="1:23" x14ac:dyDescent="0.2">
      <c r="A3120">
        <v>2020</v>
      </c>
      <c r="B3120" t="s">
        <v>23</v>
      </c>
      <c r="C3120" t="s">
        <v>272</v>
      </c>
      <c r="D3120">
        <v>138</v>
      </c>
      <c r="E3120">
        <v>1</v>
      </c>
      <c r="F3120">
        <v>4</v>
      </c>
      <c r="G3120" t="s">
        <v>163</v>
      </c>
      <c r="H3120" s="1">
        <v>12</v>
      </c>
      <c r="I3120" s="1">
        <v>58</v>
      </c>
      <c r="J3120" s="1">
        <v>62</v>
      </c>
      <c r="K3120" s="1">
        <f t="shared" ref="K3120:K3126" si="160">J3120-I3120</f>
        <v>4</v>
      </c>
      <c r="L3120" s="1">
        <v>200</v>
      </c>
      <c r="M3120" s="1">
        <v>85</v>
      </c>
      <c r="N3120" s="1">
        <v>2</v>
      </c>
      <c r="O3120" s="1">
        <v>2</v>
      </c>
      <c r="P3120" s="1">
        <v>12</v>
      </c>
      <c r="Q3120" s="2">
        <v>1.0244000000000002</v>
      </c>
      <c r="R3120" s="1">
        <v>10</v>
      </c>
      <c r="S3120" s="1">
        <f t="shared" ref="S3120:S3126" si="161">R3120/P3120</f>
        <v>0.83333333333333337</v>
      </c>
      <c r="T3120" s="1">
        <v>5</v>
      </c>
      <c r="U3120" s="1">
        <v>7.1</v>
      </c>
      <c r="V3120" s="1">
        <v>3980.8317908496738</v>
      </c>
      <c r="W3120" s="1">
        <v>3</v>
      </c>
    </row>
    <row r="3121" spans="1:23" x14ac:dyDescent="0.2">
      <c r="A3121">
        <v>2020</v>
      </c>
      <c r="B3121" t="s">
        <v>23</v>
      </c>
      <c r="C3121" t="s">
        <v>272</v>
      </c>
      <c r="D3121">
        <v>138</v>
      </c>
      <c r="E3121">
        <v>2</v>
      </c>
      <c r="F3121">
        <v>14</v>
      </c>
      <c r="G3121" t="s">
        <v>163</v>
      </c>
      <c r="H3121" s="1">
        <v>2</v>
      </c>
      <c r="I3121" s="1">
        <v>56</v>
      </c>
      <c r="J3121" s="1">
        <v>61</v>
      </c>
      <c r="K3121" s="1">
        <f t="shared" si="160"/>
        <v>5</v>
      </c>
      <c r="L3121" s="1">
        <v>118</v>
      </c>
      <c r="M3121" s="1">
        <v>45</v>
      </c>
      <c r="N3121" s="1">
        <v>2</v>
      </c>
      <c r="O3121" s="1">
        <v>3</v>
      </c>
      <c r="P3121" s="1">
        <v>5</v>
      </c>
      <c r="Q3121" s="2">
        <v>3.2400000000000005E-2</v>
      </c>
      <c r="R3121" s="1">
        <v>2</v>
      </c>
      <c r="S3121" s="1">
        <f t="shared" si="161"/>
        <v>0.4</v>
      </c>
      <c r="T3121" s="1">
        <v>3</v>
      </c>
      <c r="U3121" s="1">
        <v>12.5</v>
      </c>
      <c r="V3121" s="1">
        <v>118.58823529411767</v>
      </c>
      <c r="W3121" s="1">
        <v>3</v>
      </c>
    </row>
    <row r="3122" spans="1:23" x14ac:dyDescent="0.2">
      <c r="A3122">
        <v>2020</v>
      </c>
      <c r="B3122" t="s">
        <v>23</v>
      </c>
      <c r="C3122" t="s">
        <v>272</v>
      </c>
      <c r="D3122">
        <v>139</v>
      </c>
      <c r="E3122">
        <v>1</v>
      </c>
      <c r="F3122">
        <v>1</v>
      </c>
      <c r="G3122" t="s">
        <v>164</v>
      </c>
      <c r="H3122" s="1">
        <v>15</v>
      </c>
      <c r="I3122" s="1">
        <v>65</v>
      </c>
      <c r="J3122" s="1">
        <v>69</v>
      </c>
      <c r="K3122" s="1">
        <f t="shared" si="160"/>
        <v>4</v>
      </c>
      <c r="L3122" s="1">
        <v>150</v>
      </c>
      <c r="M3122" s="1">
        <v>55</v>
      </c>
      <c r="N3122" s="1">
        <v>2</v>
      </c>
      <c r="O3122" s="1">
        <v>3.5</v>
      </c>
      <c r="P3122" s="1">
        <v>11</v>
      </c>
      <c r="Q3122" s="2">
        <v>0.151</v>
      </c>
      <c r="R3122" s="1">
        <v>7</v>
      </c>
      <c r="S3122" s="1">
        <f t="shared" si="161"/>
        <v>0.63636363636363635</v>
      </c>
      <c r="T3122" s="1">
        <v>5</v>
      </c>
      <c r="U3122" s="1">
        <v>12.5</v>
      </c>
      <c r="V3122" s="1">
        <v>552.67973856209153</v>
      </c>
      <c r="W3122" s="1">
        <v>8</v>
      </c>
    </row>
    <row r="3123" spans="1:23" x14ac:dyDescent="0.2">
      <c r="A3123">
        <v>2020</v>
      </c>
      <c r="B3123" t="s">
        <v>23</v>
      </c>
      <c r="C3123" t="s">
        <v>272</v>
      </c>
      <c r="D3123">
        <v>139</v>
      </c>
      <c r="E3123">
        <v>2</v>
      </c>
      <c r="F3123">
        <v>10</v>
      </c>
      <c r="G3123" t="s">
        <v>164</v>
      </c>
      <c r="H3123" s="1">
        <v>1</v>
      </c>
      <c r="I3123" s="1">
        <v>65</v>
      </c>
      <c r="J3123" s="1">
        <v>70</v>
      </c>
      <c r="K3123" s="1">
        <f t="shared" si="160"/>
        <v>5</v>
      </c>
      <c r="L3123" s="1">
        <v>48</v>
      </c>
      <c r="M3123" s="1">
        <v>37</v>
      </c>
      <c r="N3123" s="1">
        <v>2</v>
      </c>
      <c r="O3123" s="1">
        <v>3</v>
      </c>
      <c r="P3123" s="1">
        <v>1</v>
      </c>
      <c r="Q3123" s="2">
        <v>4.3999999999999997E-2</v>
      </c>
      <c r="R3123" s="1">
        <v>1</v>
      </c>
      <c r="S3123" s="1">
        <f t="shared" si="161"/>
        <v>1</v>
      </c>
      <c r="T3123" s="1">
        <v>3</v>
      </c>
      <c r="U3123" s="1">
        <v>11.1</v>
      </c>
      <c r="V3123" s="1">
        <v>163.62248366013074</v>
      </c>
      <c r="W3123" s="1">
        <v>4</v>
      </c>
    </row>
    <row r="3124" spans="1:23" x14ac:dyDescent="0.2">
      <c r="A3124">
        <v>2020</v>
      </c>
      <c r="B3124" t="s">
        <v>23</v>
      </c>
      <c r="C3124" t="s">
        <v>272</v>
      </c>
      <c r="D3124">
        <v>140</v>
      </c>
      <c r="E3124">
        <v>1</v>
      </c>
      <c r="F3124">
        <v>7</v>
      </c>
      <c r="G3124" t="s">
        <v>165</v>
      </c>
      <c r="H3124" s="1">
        <v>12</v>
      </c>
      <c r="I3124" s="1">
        <v>57</v>
      </c>
      <c r="J3124" s="1">
        <v>62</v>
      </c>
      <c r="K3124" s="1">
        <f t="shared" si="160"/>
        <v>5</v>
      </c>
      <c r="L3124" s="1">
        <v>157</v>
      </c>
      <c r="M3124" s="1">
        <v>67</v>
      </c>
      <c r="N3124" s="1">
        <v>2</v>
      </c>
      <c r="O3124" s="1">
        <v>4</v>
      </c>
      <c r="P3124" s="1">
        <v>8</v>
      </c>
      <c r="Q3124" s="2">
        <v>0.34499999999999997</v>
      </c>
      <c r="R3124" s="1">
        <v>8</v>
      </c>
      <c r="S3124" s="1">
        <f t="shared" si="161"/>
        <v>1</v>
      </c>
      <c r="T3124" s="1">
        <v>3.5</v>
      </c>
      <c r="U3124" s="1">
        <v>12.5</v>
      </c>
      <c r="V3124" s="1">
        <v>1262.7450980392157</v>
      </c>
      <c r="W3124" s="1">
        <v>5</v>
      </c>
    </row>
    <row r="3125" spans="1:23" x14ac:dyDescent="0.2">
      <c r="A3125">
        <v>2020</v>
      </c>
      <c r="B3125" t="s">
        <v>23</v>
      </c>
      <c r="C3125" t="s">
        <v>272</v>
      </c>
      <c r="D3125">
        <v>140</v>
      </c>
      <c r="E3125">
        <v>2</v>
      </c>
      <c r="F3125">
        <v>1</v>
      </c>
      <c r="G3125" t="s">
        <v>165</v>
      </c>
      <c r="H3125" s="1">
        <v>16</v>
      </c>
      <c r="I3125" s="1">
        <v>52</v>
      </c>
      <c r="J3125" s="1">
        <v>55</v>
      </c>
      <c r="K3125" s="1">
        <f t="shared" si="160"/>
        <v>3</v>
      </c>
      <c r="L3125" s="1">
        <v>119</v>
      </c>
      <c r="M3125" s="1">
        <v>50</v>
      </c>
      <c r="N3125" s="1">
        <v>3</v>
      </c>
      <c r="O3125" s="1">
        <v>4.5</v>
      </c>
      <c r="P3125" s="1">
        <v>10</v>
      </c>
      <c r="Q3125" s="2">
        <v>0.26074999999999998</v>
      </c>
      <c r="R3125" s="1">
        <v>10</v>
      </c>
      <c r="S3125" s="1">
        <f t="shared" si="161"/>
        <v>1</v>
      </c>
      <c r="T3125" s="1">
        <v>4</v>
      </c>
      <c r="U3125" s="1">
        <v>12.5</v>
      </c>
      <c r="V3125" s="1">
        <v>954.3790849673203</v>
      </c>
      <c r="W3125" s="1">
        <v>5</v>
      </c>
    </row>
    <row r="3126" spans="1:23" x14ac:dyDescent="0.2">
      <c r="A3126">
        <v>2020</v>
      </c>
      <c r="B3126" t="s">
        <v>23</v>
      </c>
      <c r="C3126" t="s">
        <v>272</v>
      </c>
      <c r="D3126">
        <v>141</v>
      </c>
      <c r="E3126">
        <v>1</v>
      </c>
      <c r="F3126">
        <v>2</v>
      </c>
      <c r="G3126" t="s">
        <v>166</v>
      </c>
      <c r="H3126" s="1">
        <v>8</v>
      </c>
      <c r="I3126" s="1">
        <v>64</v>
      </c>
      <c r="J3126" s="1">
        <v>68</v>
      </c>
      <c r="K3126" s="1">
        <f t="shared" si="160"/>
        <v>4</v>
      </c>
      <c r="L3126" s="1">
        <v>114</v>
      </c>
      <c r="M3126" s="1">
        <v>26</v>
      </c>
      <c r="N3126" s="1">
        <v>2</v>
      </c>
      <c r="O3126" s="1">
        <v>4</v>
      </c>
      <c r="P3126" s="1">
        <v>4</v>
      </c>
      <c r="Q3126" s="2">
        <v>0.10199999999999999</v>
      </c>
      <c r="R3126" s="1">
        <v>3</v>
      </c>
      <c r="S3126" s="1">
        <f t="shared" si="161"/>
        <v>0.75</v>
      </c>
      <c r="T3126" s="1">
        <v>5</v>
      </c>
      <c r="U3126" s="1">
        <v>12.5</v>
      </c>
      <c r="V3126" s="1">
        <v>373.33333333333326</v>
      </c>
      <c r="W3126" s="1">
        <v>4</v>
      </c>
    </row>
    <row r="3127" spans="1:23" x14ac:dyDescent="0.2">
      <c r="A3127">
        <v>2020</v>
      </c>
      <c r="B3127" t="s">
        <v>23</v>
      </c>
      <c r="C3127" t="s">
        <v>272</v>
      </c>
      <c r="D3127">
        <v>141</v>
      </c>
      <c r="E3127">
        <v>2</v>
      </c>
      <c r="F3127">
        <v>12</v>
      </c>
      <c r="G3127" t="s">
        <v>166</v>
      </c>
      <c r="H3127">
        <v>11</v>
      </c>
      <c r="I3127">
        <v>56</v>
      </c>
      <c r="J3127">
        <v>61</v>
      </c>
      <c r="K3127">
        <v>5</v>
      </c>
      <c r="L3127">
        <v>123</v>
      </c>
      <c r="M3127">
        <v>40</v>
      </c>
      <c r="N3127">
        <v>3</v>
      </c>
      <c r="O3127">
        <v>3</v>
      </c>
      <c r="P3127">
        <v>10</v>
      </c>
      <c r="Q3127">
        <v>1.2569999999999999</v>
      </c>
      <c r="R3127">
        <v>12</v>
      </c>
      <c r="S3127">
        <v>1.2</v>
      </c>
      <c r="T3127">
        <v>2</v>
      </c>
      <c r="U3127">
        <v>12.5</v>
      </c>
      <c r="V3127">
        <v>4600.7843137254904</v>
      </c>
      <c r="W3127">
        <v>1</v>
      </c>
    </row>
    <row r="3128" spans="1:23" x14ac:dyDescent="0.2">
      <c r="A3128">
        <v>2020</v>
      </c>
      <c r="B3128" t="s">
        <v>23</v>
      </c>
      <c r="C3128" t="s">
        <v>272</v>
      </c>
      <c r="D3128">
        <v>142</v>
      </c>
      <c r="E3128">
        <v>1</v>
      </c>
      <c r="F3128">
        <v>10</v>
      </c>
      <c r="G3128" t="s">
        <v>167</v>
      </c>
      <c r="H3128">
        <v>8</v>
      </c>
      <c r="I3128">
        <v>57</v>
      </c>
      <c r="J3128">
        <v>62</v>
      </c>
      <c r="K3128">
        <v>5</v>
      </c>
      <c r="L3128">
        <v>88</v>
      </c>
      <c r="M3128">
        <v>22</v>
      </c>
      <c r="N3128">
        <v>4</v>
      </c>
      <c r="O3128">
        <v>5</v>
      </c>
      <c r="P3128">
        <v>4</v>
      </c>
      <c r="Q3128">
        <v>0.81200000000000006</v>
      </c>
      <c r="R3128">
        <v>3</v>
      </c>
      <c r="S3128">
        <v>0.75</v>
      </c>
      <c r="T3128">
        <v>3</v>
      </c>
      <c r="U3128">
        <v>12.5</v>
      </c>
      <c r="V3128">
        <v>2972.0261437908503</v>
      </c>
      <c r="W3128">
        <v>2</v>
      </c>
    </row>
    <row r="3129" spans="1:23" x14ac:dyDescent="0.2">
      <c r="A3129">
        <v>2020</v>
      </c>
      <c r="B3129" t="s">
        <v>23</v>
      </c>
      <c r="C3129" t="s">
        <v>272</v>
      </c>
      <c r="D3129">
        <v>142</v>
      </c>
      <c r="E3129">
        <v>2</v>
      </c>
      <c r="F3129">
        <v>10</v>
      </c>
      <c r="G3129" t="s">
        <v>167</v>
      </c>
      <c r="H3129" s="1">
        <v>7</v>
      </c>
      <c r="I3129" s="1">
        <v>62</v>
      </c>
      <c r="J3129" s="1">
        <v>67</v>
      </c>
      <c r="K3129" s="1">
        <f>J3129-I3129</f>
        <v>5</v>
      </c>
      <c r="L3129" s="1">
        <v>103</v>
      </c>
      <c r="M3129" s="1">
        <v>82</v>
      </c>
      <c r="N3129" s="1">
        <v>2</v>
      </c>
      <c r="O3129" s="1">
        <v>3.5</v>
      </c>
      <c r="P3129" s="1">
        <v>7</v>
      </c>
      <c r="Q3129" s="2">
        <v>8.9099999999999999E-2</v>
      </c>
      <c r="R3129" s="1">
        <v>2</v>
      </c>
      <c r="S3129" s="1">
        <f>R3129/P3129</f>
        <v>0.2857142857142857</v>
      </c>
      <c r="T3129" s="1">
        <v>5</v>
      </c>
      <c r="U3129" s="1">
        <v>12.5</v>
      </c>
      <c r="V3129" s="1">
        <v>326.11764705882354</v>
      </c>
      <c r="W3129" s="1">
        <v>2</v>
      </c>
    </row>
    <row r="3130" spans="1:23" x14ac:dyDescent="0.2">
      <c r="A3130">
        <v>2020</v>
      </c>
      <c r="B3130" t="s">
        <v>23</v>
      </c>
      <c r="C3130" t="s">
        <v>272</v>
      </c>
      <c r="D3130">
        <v>143</v>
      </c>
      <c r="E3130">
        <v>1</v>
      </c>
      <c r="F3130">
        <v>14</v>
      </c>
      <c r="G3130" t="s">
        <v>168</v>
      </c>
      <c r="H3130">
        <v>3</v>
      </c>
      <c r="I3130">
        <v>64</v>
      </c>
      <c r="J3130">
        <v>67</v>
      </c>
      <c r="K3130">
        <v>3</v>
      </c>
      <c r="L3130">
        <v>90</v>
      </c>
      <c r="M3130">
        <v>51</v>
      </c>
      <c r="N3130">
        <v>1.5</v>
      </c>
      <c r="O3130">
        <v>2</v>
      </c>
      <c r="P3130">
        <v>3</v>
      </c>
      <c r="Q3130">
        <v>0.5</v>
      </c>
      <c r="R3130">
        <v>3</v>
      </c>
      <c r="S3130">
        <v>1</v>
      </c>
      <c r="T3130">
        <v>2.5</v>
      </c>
      <c r="U3130">
        <v>12.5</v>
      </c>
      <c r="V3130">
        <v>1830.0653594771243</v>
      </c>
      <c r="W3130">
        <v>1</v>
      </c>
    </row>
    <row r="3131" spans="1:23" x14ac:dyDescent="0.2">
      <c r="A3131">
        <v>2020</v>
      </c>
      <c r="B3131" t="s">
        <v>23</v>
      </c>
      <c r="C3131" t="s">
        <v>272</v>
      </c>
      <c r="D3131">
        <v>143</v>
      </c>
      <c r="E3131">
        <v>2</v>
      </c>
      <c r="F3131">
        <v>8</v>
      </c>
      <c r="G3131" t="s">
        <v>168</v>
      </c>
      <c r="H3131" s="1">
        <v>11</v>
      </c>
      <c r="I3131" s="1">
        <v>62</v>
      </c>
      <c r="J3131" s="1">
        <v>67</v>
      </c>
      <c r="K3131" s="1">
        <f>J3131-I3131</f>
        <v>5</v>
      </c>
      <c r="L3131" s="1">
        <v>95</v>
      </c>
      <c r="M3131" s="1">
        <v>71</v>
      </c>
      <c r="N3131" s="1">
        <v>2</v>
      </c>
      <c r="O3131" s="1">
        <v>3.5</v>
      </c>
      <c r="P3131" s="1">
        <f>H3131</f>
        <v>11</v>
      </c>
      <c r="Q3131" s="2">
        <v>0.15975</v>
      </c>
      <c r="R3131" s="1">
        <v>11</v>
      </c>
      <c r="S3131" s="1">
        <f>R3131/P3131</f>
        <v>1</v>
      </c>
      <c r="T3131" s="1">
        <v>4</v>
      </c>
      <c r="U3131" s="1">
        <v>12.5</v>
      </c>
      <c r="V3131" s="1">
        <v>584.7058823529411</v>
      </c>
      <c r="W3131" s="1">
        <v>4</v>
      </c>
    </row>
    <row r="3132" spans="1:23" x14ac:dyDescent="0.2">
      <c r="A3132">
        <v>2020</v>
      </c>
      <c r="B3132" t="s">
        <v>23</v>
      </c>
      <c r="C3132" t="s">
        <v>272</v>
      </c>
      <c r="D3132">
        <v>144</v>
      </c>
      <c r="E3132">
        <v>1</v>
      </c>
      <c r="F3132">
        <v>13</v>
      </c>
      <c r="G3132" t="s">
        <v>169</v>
      </c>
      <c r="H3132">
        <v>8</v>
      </c>
      <c r="I3132">
        <v>60</v>
      </c>
      <c r="J3132">
        <v>66</v>
      </c>
      <c r="K3132">
        <v>6</v>
      </c>
      <c r="L3132">
        <v>100</v>
      </c>
      <c r="M3132">
        <v>51</v>
      </c>
      <c r="N3132">
        <v>2</v>
      </c>
      <c r="O3132">
        <v>4</v>
      </c>
      <c r="P3132">
        <v>3</v>
      </c>
      <c r="Q3132">
        <v>7.640000000000001E-2</v>
      </c>
      <c r="R3132">
        <v>1</v>
      </c>
      <c r="S3132">
        <v>0.33333333333333331</v>
      </c>
      <c r="T3132">
        <v>2</v>
      </c>
      <c r="U3132">
        <v>12.5</v>
      </c>
      <c r="V3132">
        <v>279.63398692810455</v>
      </c>
      <c r="W3132">
        <v>2</v>
      </c>
    </row>
    <row r="3133" spans="1:23" x14ac:dyDescent="0.2">
      <c r="A3133">
        <v>2020</v>
      </c>
      <c r="B3133" t="s">
        <v>23</v>
      </c>
      <c r="C3133" t="s">
        <v>272</v>
      </c>
      <c r="D3133">
        <v>144</v>
      </c>
      <c r="E3133">
        <v>2</v>
      </c>
      <c r="F3133">
        <v>12</v>
      </c>
      <c r="G3133" t="s">
        <v>169</v>
      </c>
      <c r="H3133">
        <v>10</v>
      </c>
      <c r="I3133">
        <v>58</v>
      </c>
      <c r="J3133">
        <v>60</v>
      </c>
      <c r="K3133">
        <v>2</v>
      </c>
      <c r="L3133">
        <v>132</v>
      </c>
      <c r="M3133">
        <v>18</v>
      </c>
      <c r="N3133">
        <v>2.5</v>
      </c>
      <c r="O3133">
        <v>3</v>
      </c>
      <c r="P3133">
        <v>10</v>
      </c>
      <c r="Q3133">
        <v>0.8</v>
      </c>
      <c r="R3133">
        <v>10</v>
      </c>
      <c r="S3133">
        <v>1</v>
      </c>
      <c r="T3133">
        <v>3</v>
      </c>
      <c r="U3133">
        <v>12.5</v>
      </c>
      <c r="V3133">
        <v>2928.1045751633987</v>
      </c>
      <c r="W3133">
        <v>1</v>
      </c>
    </row>
    <row r="3134" spans="1:23" x14ac:dyDescent="0.2">
      <c r="A3134">
        <v>2020</v>
      </c>
      <c r="B3134" t="s">
        <v>23</v>
      </c>
      <c r="C3134" t="s">
        <v>272</v>
      </c>
      <c r="D3134">
        <v>145</v>
      </c>
      <c r="E3134">
        <v>1</v>
      </c>
      <c r="F3134">
        <v>8</v>
      </c>
      <c r="G3134" t="s">
        <v>170</v>
      </c>
      <c r="H3134">
        <v>15</v>
      </c>
      <c r="I3134">
        <v>53</v>
      </c>
      <c r="J3134">
        <v>57</v>
      </c>
      <c r="K3134">
        <v>4</v>
      </c>
      <c r="L3134">
        <v>153</v>
      </c>
      <c r="M3134">
        <v>69</v>
      </c>
      <c r="N3134">
        <v>2</v>
      </c>
      <c r="O3134">
        <v>1.5</v>
      </c>
      <c r="P3134">
        <v>14</v>
      </c>
      <c r="Q3134">
        <v>1.5</v>
      </c>
      <c r="R3134">
        <v>12</v>
      </c>
      <c r="S3134">
        <v>0.8571428571428571</v>
      </c>
      <c r="T3134">
        <v>2</v>
      </c>
      <c r="U3134">
        <v>10.5</v>
      </c>
      <c r="V3134">
        <v>5615.6862745098042</v>
      </c>
      <c r="W3134">
        <v>2</v>
      </c>
    </row>
    <row r="3135" spans="1:23" x14ac:dyDescent="0.2">
      <c r="A3135">
        <v>2020</v>
      </c>
      <c r="B3135" t="s">
        <v>23</v>
      </c>
      <c r="C3135" t="s">
        <v>272</v>
      </c>
      <c r="D3135">
        <v>145</v>
      </c>
      <c r="E3135">
        <v>2</v>
      </c>
      <c r="F3135">
        <v>4</v>
      </c>
      <c r="G3135" t="s">
        <v>170</v>
      </c>
      <c r="H3135" s="1">
        <v>11</v>
      </c>
      <c r="I3135" s="1">
        <v>57</v>
      </c>
      <c r="J3135" s="1">
        <v>61</v>
      </c>
      <c r="K3135" s="1">
        <f>J3135-I3135</f>
        <v>4</v>
      </c>
      <c r="L3135" s="1">
        <v>182</v>
      </c>
      <c r="M3135" s="1">
        <v>63</v>
      </c>
      <c r="N3135" s="1">
        <v>2</v>
      </c>
      <c r="O3135" s="1">
        <v>3.5</v>
      </c>
      <c r="P3135" s="1">
        <v>9</v>
      </c>
      <c r="Q3135" s="2">
        <v>0.13872000000000001</v>
      </c>
      <c r="R3135" s="1">
        <v>7</v>
      </c>
      <c r="S3135" s="1">
        <f>R3135/P3135</f>
        <v>0.77777777777777779</v>
      </c>
      <c r="T3135" s="1">
        <v>5</v>
      </c>
      <c r="U3135" s="1">
        <v>12.5</v>
      </c>
      <c r="V3135" s="1">
        <v>507.73333333333335</v>
      </c>
      <c r="W3135" s="1">
        <v>5</v>
      </c>
    </row>
    <row r="3136" spans="1:23" x14ac:dyDescent="0.2">
      <c r="A3136">
        <v>2020</v>
      </c>
      <c r="B3136" t="s">
        <v>23</v>
      </c>
      <c r="C3136" t="s">
        <v>272</v>
      </c>
      <c r="D3136">
        <v>146</v>
      </c>
      <c r="E3136">
        <v>1</v>
      </c>
      <c r="F3136">
        <v>4</v>
      </c>
      <c r="G3136" t="s">
        <v>171</v>
      </c>
      <c r="H3136">
        <v>16</v>
      </c>
      <c r="I3136">
        <v>59</v>
      </c>
      <c r="J3136">
        <v>64</v>
      </c>
      <c r="K3136">
        <v>5</v>
      </c>
      <c r="L3136">
        <v>173</v>
      </c>
      <c r="M3136">
        <v>85</v>
      </c>
      <c r="N3136">
        <v>2</v>
      </c>
      <c r="O3136">
        <v>2.5</v>
      </c>
      <c r="P3136">
        <v>8</v>
      </c>
      <c r="Q3136">
        <v>0.4</v>
      </c>
      <c r="R3136">
        <v>8</v>
      </c>
      <c r="S3136">
        <v>1</v>
      </c>
      <c r="T3136">
        <v>3</v>
      </c>
      <c r="U3136">
        <v>8.3000000000000007</v>
      </c>
      <c r="V3136">
        <v>1534.3267973856209</v>
      </c>
      <c r="W3136">
        <v>2</v>
      </c>
    </row>
    <row r="3137" spans="1:23" x14ac:dyDescent="0.2">
      <c r="A3137">
        <v>2020</v>
      </c>
      <c r="B3137" t="s">
        <v>23</v>
      </c>
      <c r="C3137" t="s">
        <v>272</v>
      </c>
      <c r="D3137">
        <v>146</v>
      </c>
      <c r="E3137">
        <v>2</v>
      </c>
      <c r="F3137">
        <v>15</v>
      </c>
      <c r="G3137" t="s">
        <v>171</v>
      </c>
      <c r="H3137">
        <v>10</v>
      </c>
      <c r="I3137">
        <v>60</v>
      </c>
      <c r="J3137">
        <v>62</v>
      </c>
      <c r="K3137">
        <v>2</v>
      </c>
      <c r="L3137">
        <v>145</v>
      </c>
      <c r="M3137">
        <v>83</v>
      </c>
      <c r="N3137">
        <v>1.5</v>
      </c>
      <c r="O3137">
        <v>2</v>
      </c>
      <c r="P3137">
        <v>9</v>
      </c>
      <c r="Q3137">
        <v>1</v>
      </c>
      <c r="R3137">
        <v>9</v>
      </c>
      <c r="S3137">
        <v>1</v>
      </c>
      <c r="T3137">
        <v>2.5</v>
      </c>
      <c r="U3137">
        <v>12.5</v>
      </c>
      <c r="V3137">
        <v>3660.1307189542486</v>
      </c>
      <c r="W3137">
        <v>2</v>
      </c>
    </row>
    <row r="3138" spans="1:23" x14ac:dyDescent="0.2">
      <c r="A3138">
        <v>2020</v>
      </c>
      <c r="B3138" t="s">
        <v>23</v>
      </c>
      <c r="C3138" t="s">
        <v>272</v>
      </c>
      <c r="D3138">
        <v>147</v>
      </c>
      <c r="E3138">
        <v>1</v>
      </c>
      <c r="F3138">
        <v>1</v>
      </c>
      <c r="G3138" t="s">
        <v>172</v>
      </c>
      <c r="H3138">
        <v>4</v>
      </c>
      <c r="I3138">
        <v>59</v>
      </c>
      <c r="J3138">
        <v>62</v>
      </c>
      <c r="K3138">
        <v>3</v>
      </c>
      <c r="L3138">
        <v>167</v>
      </c>
      <c r="M3138">
        <v>82</v>
      </c>
      <c r="N3138">
        <v>1.5</v>
      </c>
      <c r="O3138">
        <v>2</v>
      </c>
      <c r="P3138">
        <v>4</v>
      </c>
      <c r="Q3138">
        <v>0.5</v>
      </c>
      <c r="R3138">
        <v>4</v>
      </c>
      <c r="S3138">
        <v>1</v>
      </c>
      <c r="T3138">
        <v>2.5</v>
      </c>
      <c r="U3138">
        <v>12.5</v>
      </c>
      <c r="V3138">
        <v>1830.0653594771243</v>
      </c>
      <c r="W3138">
        <v>1</v>
      </c>
    </row>
    <row r="3139" spans="1:23" x14ac:dyDescent="0.2">
      <c r="A3139">
        <v>2020</v>
      </c>
      <c r="B3139" t="s">
        <v>23</v>
      </c>
      <c r="C3139" t="s">
        <v>272</v>
      </c>
      <c r="D3139">
        <v>147</v>
      </c>
      <c r="E3139">
        <v>2</v>
      </c>
      <c r="F3139">
        <v>9</v>
      </c>
      <c r="G3139" t="s">
        <v>172</v>
      </c>
      <c r="H3139" s="1">
        <v>5</v>
      </c>
      <c r="I3139" s="1">
        <v>68</v>
      </c>
      <c r="J3139" s="1">
        <v>73</v>
      </c>
      <c r="K3139" s="1">
        <f>J3139-I3139</f>
        <v>5</v>
      </c>
      <c r="L3139" s="1">
        <v>118</v>
      </c>
      <c r="M3139" s="1">
        <v>42</v>
      </c>
      <c r="N3139" s="1">
        <v>1.5</v>
      </c>
      <c r="O3139" s="1">
        <v>4</v>
      </c>
      <c r="P3139" s="1">
        <v>2</v>
      </c>
      <c r="Q3139" s="2">
        <v>0.108</v>
      </c>
      <c r="R3139" s="1">
        <v>2</v>
      </c>
      <c r="S3139" s="1">
        <f>R3139/P3139</f>
        <v>1</v>
      </c>
      <c r="T3139" s="1">
        <v>5</v>
      </c>
      <c r="U3139" s="1">
        <v>12.5</v>
      </c>
      <c r="V3139" s="1">
        <v>395.29411764705878</v>
      </c>
      <c r="W3139" s="1">
        <v>4</v>
      </c>
    </row>
    <row r="3140" spans="1:23" x14ac:dyDescent="0.2">
      <c r="A3140">
        <v>2020</v>
      </c>
      <c r="B3140" t="s">
        <v>23</v>
      </c>
      <c r="C3140" t="s">
        <v>272</v>
      </c>
      <c r="D3140">
        <v>148</v>
      </c>
      <c r="E3140">
        <v>1</v>
      </c>
      <c r="F3140">
        <v>11</v>
      </c>
      <c r="G3140" t="s">
        <v>173</v>
      </c>
      <c r="H3140">
        <v>13</v>
      </c>
      <c r="I3140">
        <v>54</v>
      </c>
      <c r="J3140">
        <v>58</v>
      </c>
      <c r="K3140">
        <v>4</v>
      </c>
      <c r="L3140">
        <v>158</v>
      </c>
      <c r="M3140">
        <v>72</v>
      </c>
      <c r="N3140">
        <v>2</v>
      </c>
      <c r="O3140">
        <v>1.5</v>
      </c>
      <c r="P3140">
        <v>10</v>
      </c>
      <c r="Q3140">
        <v>1.1000000000000001</v>
      </c>
      <c r="R3140">
        <v>9</v>
      </c>
      <c r="S3140">
        <v>0.9</v>
      </c>
      <c r="T3140">
        <v>2</v>
      </c>
      <c r="U3140">
        <v>9.9</v>
      </c>
      <c r="V3140">
        <v>4145.7777777777774</v>
      </c>
      <c r="W3140">
        <v>1</v>
      </c>
    </row>
    <row r="3141" spans="1:23" x14ac:dyDescent="0.2">
      <c r="A3141">
        <v>2020</v>
      </c>
      <c r="B3141" t="s">
        <v>23</v>
      </c>
      <c r="C3141" t="s">
        <v>272</v>
      </c>
      <c r="D3141">
        <v>148</v>
      </c>
      <c r="E3141">
        <v>2</v>
      </c>
      <c r="F3141">
        <v>7</v>
      </c>
      <c r="G3141" t="s">
        <v>173</v>
      </c>
      <c r="H3141" s="1">
        <v>10</v>
      </c>
      <c r="I3141" s="1">
        <v>61</v>
      </c>
      <c r="J3141" s="1">
        <v>64</v>
      </c>
      <c r="K3141" s="1">
        <f>J3141-I3141</f>
        <v>3</v>
      </c>
      <c r="L3141" s="1">
        <v>162</v>
      </c>
      <c r="M3141" s="1">
        <v>49</v>
      </c>
      <c r="N3141" s="1">
        <v>2</v>
      </c>
      <c r="O3141" s="1">
        <v>4.5</v>
      </c>
      <c r="P3141" s="1">
        <v>5</v>
      </c>
      <c r="Q3141" s="2">
        <v>0.222</v>
      </c>
      <c r="R3141" s="1">
        <v>5</v>
      </c>
      <c r="S3141" s="1">
        <f>R3141/P3141</f>
        <v>1</v>
      </c>
      <c r="T3141" s="1">
        <v>5</v>
      </c>
      <c r="U3141" s="1">
        <v>12.5</v>
      </c>
      <c r="V3141" s="1">
        <v>812.54901960784309</v>
      </c>
      <c r="W3141" s="1">
        <v>4</v>
      </c>
    </row>
    <row r="3142" spans="1:23" x14ac:dyDescent="0.2">
      <c r="A3142">
        <v>2020</v>
      </c>
      <c r="B3142" t="s">
        <v>23</v>
      </c>
      <c r="C3142" t="s">
        <v>272</v>
      </c>
      <c r="D3142">
        <v>149</v>
      </c>
      <c r="E3142">
        <v>1</v>
      </c>
      <c r="F3142">
        <v>9</v>
      </c>
      <c r="G3142" t="s">
        <v>174</v>
      </c>
      <c r="H3142" s="1">
        <v>4</v>
      </c>
      <c r="I3142" s="1">
        <v>67</v>
      </c>
      <c r="J3142" s="1">
        <v>72</v>
      </c>
      <c r="K3142" s="1">
        <f>J3142-I3142</f>
        <v>5</v>
      </c>
      <c r="L3142" s="1">
        <v>138</v>
      </c>
      <c r="M3142" s="1">
        <v>110</v>
      </c>
      <c r="N3142" s="1">
        <v>2</v>
      </c>
      <c r="O3142" s="1">
        <v>2</v>
      </c>
      <c r="P3142" s="1">
        <f>H3142</f>
        <v>4</v>
      </c>
      <c r="Q3142" s="2">
        <v>4.2000000000000003E-2</v>
      </c>
      <c r="R3142" s="1">
        <v>2</v>
      </c>
      <c r="S3142" s="1">
        <f>R3142/P3142</f>
        <v>0.5</v>
      </c>
      <c r="T3142" s="1">
        <v>5</v>
      </c>
      <c r="U3142" s="1">
        <v>12.5</v>
      </c>
      <c r="V3142" s="1">
        <v>153.72549019607843</v>
      </c>
      <c r="W3142" s="1">
        <v>3</v>
      </c>
    </row>
    <row r="3143" spans="1:23" x14ac:dyDescent="0.2">
      <c r="A3143">
        <v>2020</v>
      </c>
      <c r="B3143" t="s">
        <v>23</v>
      </c>
      <c r="C3143" t="s">
        <v>272</v>
      </c>
      <c r="D3143">
        <v>149</v>
      </c>
      <c r="E3143">
        <v>2</v>
      </c>
      <c r="F3143">
        <v>8</v>
      </c>
      <c r="G3143" t="s">
        <v>174</v>
      </c>
      <c r="H3143" s="1">
        <v>11</v>
      </c>
      <c r="I3143" s="1">
        <v>56</v>
      </c>
      <c r="J3143" s="1">
        <v>60</v>
      </c>
      <c r="K3143" s="1">
        <f>J3143-I3143</f>
        <v>4</v>
      </c>
      <c r="L3143" s="1">
        <v>145</v>
      </c>
      <c r="M3143" s="1">
        <v>76</v>
      </c>
      <c r="N3143" s="1">
        <v>2</v>
      </c>
      <c r="O3143" s="1">
        <v>2.5</v>
      </c>
      <c r="P3143" s="1">
        <f>H3143-2</f>
        <v>9</v>
      </c>
      <c r="Q3143" s="2">
        <v>3.6899999999999995E-2</v>
      </c>
      <c r="R3143" s="1">
        <v>8</v>
      </c>
      <c r="S3143" s="1">
        <f>R3143/P3143</f>
        <v>0.88888888888888884</v>
      </c>
      <c r="T3143" s="1">
        <v>5</v>
      </c>
      <c r="U3143" s="1">
        <v>12.5</v>
      </c>
      <c r="V3143" s="1">
        <v>135.05882352941177</v>
      </c>
      <c r="W3143" s="1">
        <v>2</v>
      </c>
    </row>
    <row r="3144" spans="1:23" x14ac:dyDescent="0.2">
      <c r="A3144">
        <v>2020</v>
      </c>
      <c r="B3144" t="s">
        <v>23</v>
      </c>
      <c r="C3144" t="s">
        <v>272</v>
      </c>
      <c r="D3144">
        <v>150</v>
      </c>
      <c r="E3144">
        <v>1</v>
      </c>
      <c r="F3144">
        <v>5</v>
      </c>
      <c r="G3144" t="s">
        <v>175</v>
      </c>
      <c r="H3144">
        <v>2</v>
      </c>
      <c r="I3144">
        <v>58</v>
      </c>
      <c r="J3144">
        <v>60</v>
      </c>
      <c r="K3144">
        <v>2</v>
      </c>
      <c r="L3144">
        <v>130</v>
      </c>
      <c r="M3144">
        <v>66</v>
      </c>
      <c r="N3144">
        <v>1.5</v>
      </c>
      <c r="O3144">
        <v>3</v>
      </c>
      <c r="P3144">
        <v>2</v>
      </c>
      <c r="Q3144">
        <v>0.15</v>
      </c>
      <c r="R3144">
        <v>3</v>
      </c>
      <c r="S3144">
        <v>1.5</v>
      </c>
      <c r="T3144">
        <v>3</v>
      </c>
      <c r="U3144">
        <v>12.5</v>
      </c>
      <c r="V3144">
        <v>549.01960784313724</v>
      </c>
      <c r="W3144">
        <v>1</v>
      </c>
    </row>
    <row r="3145" spans="1:23" x14ac:dyDescent="0.2">
      <c r="A3145">
        <v>2020</v>
      </c>
      <c r="B3145" t="s">
        <v>23</v>
      </c>
      <c r="C3145" t="s">
        <v>272</v>
      </c>
      <c r="D3145">
        <v>150</v>
      </c>
      <c r="E3145">
        <v>2</v>
      </c>
      <c r="F3145">
        <v>15</v>
      </c>
      <c r="G3145" t="s">
        <v>175</v>
      </c>
      <c r="H3145">
        <v>9</v>
      </c>
      <c r="I3145">
        <v>55</v>
      </c>
      <c r="J3145">
        <v>58</v>
      </c>
      <c r="K3145">
        <v>3</v>
      </c>
      <c r="L3145">
        <v>175</v>
      </c>
      <c r="M3145">
        <v>98</v>
      </c>
      <c r="N3145">
        <v>2</v>
      </c>
      <c r="O3145">
        <v>2</v>
      </c>
      <c r="P3145">
        <v>7</v>
      </c>
      <c r="Q3145">
        <v>0.3</v>
      </c>
      <c r="R3145">
        <v>6</v>
      </c>
      <c r="S3145">
        <v>0.8571428571428571</v>
      </c>
      <c r="T3145">
        <v>2</v>
      </c>
      <c r="U3145">
        <v>7.9</v>
      </c>
      <c r="V3145">
        <v>1155.7647058823529</v>
      </c>
      <c r="W3145">
        <v>2</v>
      </c>
    </row>
    <row r="3146" spans="1:23" x14ac:dyDescent="0.2">
      <c r="A3146">
        <v>2020</v>
      </c>
      <c r="B3146" t="s">
        <v>23</v>
      </c>
      <c r="C3146" t="s">
        <v>272</v>
      </c>
      <c r="D3146">
        <v>151</v>
      </c>
      <c r="E3146">
        <v>1</v>
      </c>
      <c r="F3146">
        <v>6</v>
      </c>
      <c r="G3146" t="s">
        <v>176</v>
      </c>
      <c r="H3146" s="1">
        <v>8</v>
      </c>
      <c r="I3146" s="1">
        <v>67</v>
      </c>
      <c r="J3146" s="1">
        <v>70</v>
      </c>
      <c r="K3146" s="1">
        <f>J3146-I3146</f>
        <v>3</v>
      </c>
      <c r="L3146" s="1">
        <v>161</v>
      </c>
      <c r="M3146" s="1">
        <v>83</v>
      </c>
      <c r="N3146" s="1">
        <v>2</v>
      </c>
      <c r="O3146" s="1">
        <v>2.5</v>
      </c>
      <c r="P3146" s="1">
        <f>H3146-2</f>
        <v>6</v>
      </c>
      <c r="Q3146" s="2">
        <v>0.18</v>
      </c>
      <c r="R3146" s="1">
        <v>4</v>
      </c>
      <c r="S3146" s="1">
        <f>R3146/P3146</f>
        <v>0.66666666666666663</v>
      </c>
      <c r="T3146" s="1">
        <v>5</v>
      </c>
      <c r="U3146" s="1">
        <v>12.5</v>
      </c>
      <c r="V3146" s="1">
        <v>658.82352941176464</v>
      </c>
      <c r="W3146" s="1">
        <v>4</v>
      </c>
    </row>
    <row r="3147" spans="1:23" x14ac:dyDescent="0.2">
      <c r="A3147">
        <v>2020</v>
      </c>
      <c r="B3147" t="s">
        <v>23</v>
      </c>
      <c r="C3147" t="s">
        <v>272</v>
      </c>
      <c r="D3147">
        <v>151</v>
      </c>
      <c r="E3147">
        <v>2</v>
      </c>
      <c r="F3147">
        <v>13</v>
      </c>
      <c r="G3147" t="s">
        <v>176</v>
      </c>
      <c r="H3147" s="1">
        <v>8</v>
      </c>
      <c r="I3147" s="1">
        <v>67</v>
      </c>
      <c r="J3147" s="1">
        <v>70</v>
      </c>
      <c r="K3147" s="1">
        <f>J3147-I3147</f>
        <v>3</v>
      </c>
      <c r="L3147" s="1">
        <v>104</v>
      </c>
      <c r="M3147" s="1">
        <v>25</v>
      </c>
      <c r="N3147" s="1">
        <v>2</v>
      </c>
      <c r="O3147" s="1">
        <v>4</v>
      </c>
      <c r="P3147" s="1">
        <v>4</v>
      </c>
      <c r="Q3147" s="2">
        <v>0.16400000000000001</v>
      </c>
      <c r="R3147" s="1">
        <v>3</v>
      </c>
      <c r="S3147" s="1">
        <f>R3147/P3147</f>
        <v>0.75</v>
      </c>
      <c r="T3147" s="1">
        <v>5</v>
      </c>
      <c r="U3147" s="1">
        <v>12.5</v>
      </c>
      <c r="V3147" s="1">
        <v>600.26143790849665</v>
      </c>
      <c r="W3147" s="1">
        <v>4</v>
      </c>
    </row>
    <row r="3148" spans="1:23" x14ac:dyDescent="0.2">
      <c r="A3148">
        <v>2020</v>
      </c>
      <c r="B3148" t="s">
        <v>23</v>
      </c>
      <c r="C3148" t="s">
        <v>272</v>
      </c>
      <c r="D3148">
        <v>152</v>
      </c>
      <c r="E3148">
        <v>1</v>
      </c>
      <c r="F3148">
        <v>1</v>
      </c>
      <c r="G3148" t="s">
        <v>177</v>
      </c>
      <c r="H3148">
        <v>5</v>
      </c>
      <c r="I3148">
        <v>59</v>
      </c>
      <c r="J3148">
        <v>62</v>
      </c>
      <c r="K3148">
        <v>3</v>
      </c>
      <c r="L3148">
        <v>135</v>
      </c>
      <c r="M3148">
        <v>60</v>
      </c>
      <c r="N3148">
        <v>1.5</v>
      </c>
      <c r="O3148">
        <v>2.5</v>
      </c>
      <c r="P3148">
        <v>5</v>
      </c>
      <c r="Q3148">
        <v>0.3</v>
      </c>
      <c r="R3148">
        <v>4</v>
      </c>
      <c r="S3148">
        <v>0.8</v>
      </c>
      <c r="T3148">
        <v>3</v>
      </c>
      <c r="U3148">
        <v>12.5</v>
      </c>
      <c r="V3148">
        <v>1098.0392156862745</v>
      </c>
      <c r="W3148">
        <v>1</v>
      </c>
    </row>
    <row r="3149" spans="1:23" x14ac:dyDescent="0.2">
      <c r="A3149">
        <v>2020</v>
      </c>
      <c r="B3149" t="s">
        <v>23</v>
      </c>
      <c r="C3149" t="s">
        <v>272</v>
      </c>
      <c r="D3149">
        <v>152</v>
      </c>
      <c r="E3149">
        <v>2</v>
      </c>
      <c r="F3149">
        <v>14</v>
      </c>
      <c r="G3149" t="s">
        <v>177</v>
      </c>
      <c r="H3149">
        <v>4</v>
      </c>
      <c r="I3149">
        <v>59</v>
      </c>
      <c r="J3149">
        <v>63</v>
      </c>
      <c r="K3149">
        <v>4</v>
      </c>
      <c r="L3149">
        <v>110</v>
      </c>
      <c r="M3149">
        <v>46</v>
      </c>
      <c r="N3149">
        <v>1.5</v>
      </c>
      <c r="O3149">
        <v>2</v>
      </c>
      <c r="P3149">
        <v>4</v>
      </c>
      <c r="Q3149">
        <v>0.6</v>
      </c>
      <c r="R3149">
        <v>4</v>
      </c>
      <c r="S3149">
        <v>1</v>
      </c>
      <c r="T3149">
        <v>2.5</v>
      </c>
      <c r="U3149">
        <v>12.5</v>
      </c>
      <c r="V3149">
        <v>2196.0784313725489</v>
      </c>
      <c r="W3149">
        <v>1</v>
      </c>
    </row>
    <row r="3150" spans="1:23" x14ac:dyDescent="0.2">
      <c r="A3150">
        <v>2020</v>
      </c>
      <c r="B3150" t="s">
        <v>23</v>
      </c>
      <c r="C3150" t="s">
        <v>272</v>
      </c>
      <c r="D3150">
        <v>153</v>
      </c>
      <c r="E3150">
        <v>1</v>
      </c>
      <c r="F3150">
        <v>11</v>
      </c>
      <c r="G3150" t="s">
        <v>178</v>
      </c>
      <c r="H3150" s="1">
        <v>11</v>
      </c>
      <c r="I3150" s="1">
        <v>62</v>
      </c>
      <c r="J3150" s="1">
        <v>67</v>
      </c>
      <c r="K3150" s="1">
        <f>J3150-I3150</f>
        <v>5</v>
      </c>
      <c r="L3150" s="1">
        <v>135</v>
      </c>
      <c r="M3150" s="1">
        <v>88</v>
      </c>
      <c r="N3150" s="1">
        <v>2</v>
      </c>
      <c r="O3150" s="1">
        <v>2</v>
      </c>
      <c r="P3150" s="1">
        <v>7</v>
      </c>
      <c r="Q3150" s="2">
        <v>0.24817499999999998</v>
      </c>
      <c r="R3150" s="1">
        <v>8</v>
      </c>
      <c r="S3150" s="1">
        <f>R3150/P3150</f>
        <v>1.1428571428571428</v>
      </c>
      <c r="T3150" s="1">
        <v>5</v>
      </c>
      <c r="U3150" s="1">
        <v>12.5</v>
      </c>
      <c r="V3150" s="1">
        <v>908.35294117647061</v>
      </c>
      <c r="W3150" s="1">
        <v>7</v>
      </c>
    </row>
    <row r="3151" spans="1:23" x14ac:dyDescent="0.2">
      <c r="A3151">
        <v>2020</v>
      </c>
      <c r="B3151" t="s">
        <v>23</v>
      </c>
      <c r="C3151" t="s">
        <v>272</v>
      </c>
      <c r="D3151">
        <v>153</v>
      </c>
      <c r="E3151">
        <v>2</v>
      </c>
      <c r="F3151">
        <v>11</v>
      </c>
      <c r="G3151" t="s">
        <v>178</v>
      </c>
      <c r="H3151" s="1">
        <v>12</v>
      </c>
      <c r="I3151" s="1">
        <v>67</v>
      </c>
      <c r="J3151" s="1">
        <v>70</v>
      </c>
      <c r="K3151" s="1">
        <f>J3151-I3151</f>
        <v>3</v>
      </c>
      <c r="L3151" s="1">
        <v>135</v>
      </c>
      <c r="M3151" s="1">
        <v>62</v>
      </c>
      <c r="N3151" s="1">
        <v>3</v>
      </c>
      <c r="O3151" s="1">
        <v>4</v>
      </c>
      <c r="P3151" s="1">
        <v>12</v>
      </c>
      <c r="Q3151" s="2">
        <v>0.50800000000000001</v>
      </c>
      <c r="R3151" s="1">
        <v>3</v>
      </c>
      <c r="S3151" s="1">
        <f>R3151/P3151</f>
        <v>0.25</v>
      </c>
      <c r="T3151" s="1">
        <v>5</v>
      </c>
      <c r="U3151" s="1">
        <v>12.5</v>
      </c>
      <c r="V3151" s="1">
        <v>1859.3464052287584</v>
      </c>
      <c r="W3151" s="1">
        <v>5</v>
      </c>
    </row>
    <row r="3152" spans="1:23" x14ac:dyDescent="0.2">
      <c r="A3152">
        <v>2020</v>
      </c>
      <c r="B3152" t="s">
        <v>23</v>
      </c>
      <c r="C3152" t="s">
        <v>272</v>
      </c>
      <c r="D3152">
        <v>154</v>
      </c>
      <c r="E3152">
        <v>1</v>
      </c>
      <c r="F3152">
        <v>7</v>
      </c>
      <c r="G3152" t="s">
        <v>179</v>
      </c>
      <c r="H3152">
        <v>13</v>
      </c>
      <c r="I3152">
        <v>55</v>
      </c>
      <c r="J3152">
        <v>57</v>
      </c>
      <c r="K3152">
        <v>2</v>
      </c>
      <c r="L3152">
        <v>187</v>
      </c>
      <c r="M3152">
        <v>85</v>
      </c>
      <c r="N3152">
        <v>2</v>
      </c>
      <c r="O3152">
        <v>2.5</v>
      </c>
      <c r="P3152">
        <v>12</v>
      </c>
      <c r="Q3152">
        <v>1</v>
      </c>
      <c r="R3152">
        <v>12</v>
      </c>
      <c r="S3152">
        <v>1</v>
      </c>
      <c r="T3152">
        <v>3</v>
      </c>
      <c r="U3152">
        <v>12.5</v>
      </c>
      <c r="V3152">
        <v>3660.1307189542486</v>
      </c>
      <c r="W3152">
        <v>2</v>
      </c>
    </row>
    <row r="3153" spans="1:23" x14ac:dyDescent="0.2">
      <c r="A3153">
        <v>2020</v>
      </c>
      <c r="B3153" t="s">
        <v>23</v>
      </c>
      <c r="C3153" t="s">
        <v>272</v>
      </c>
      <c r="D3153">
        <v>154</v>
      </c>
      <c r="E3153">
        <v>2</v>
      </c>
      <c r="F3153">
        <v>1</v>
      </c>
      <c r="G3153" t="s">
        <v>179</v>
      </c>
      <c r="H3153" s="1">
        <v>2</v>
      </c>
      <c r="I3153" s="1">
        <v>67</v>
      </c>
      <c r="J3153" s="1">
        <v>68</v>
      </c>
      <c r="K3153" s="1">
        <f>J3153-I3153</f>
        <v>1</v>
      </c>
      <c r="L3153" s="1">
        <v>55</v>
      </c>
      <c r="M3153" s="1">
        <v>15</v>
      </c>
      <c r="N3153" s="1">
        <v>1.5</v>
      </c>
      <c r="O3153" s="1">
        <v>5</v>
      </c>
      <c r="P3153" s="1">
        <v>2</v>
      </c>
      <c r="Q3153" s="2">
        <v>3.7999999999999999E-2</v>
      </c>
      <c r="R3153" s="1">
        <v>2</v>
      </c>
      <c r="S3153" s="1">
        <f>R3153/P3153</f>
        <v>1</v>
      </c>
      <c r="T3153" s="1">
        <v>5</v>
      </c>
      <c r="U3153" s="1">
        <v>12.5</v>
      </c>
      <c r="V3153" s="1">
        <v>139.08496732026143</v>
      </c>
      <c r="W3153" s="1">
        <v>6</v>
      </c>
    </row>
    <row r="3154" spans="1:23" x14ac:dyDescent="0.2">
      <c r="A3154">
        <v>2020</v>
      </c>
      <c r="B3154" t="s">
        <v>23</v>
      </c>
      <c r="C3154" t="s">
        <v>272</v>
      </c>
      <c r="D3154">
        <v>155</v>
      </c>
      <c r="E3154">
        <v>1</v>
      </c>
      <c r="F3154">
        <v>15</v>
      </c>
      <c r="G3154" t="s">
        <v>180</v>
      </c>
      <c r="H3154" s="1">
        <v>10</v>
      </c>
      <c r="I3154" s="1">
        <v>62</v>
      </c>
      <c r="J3154" s="1">
        <v>67</v>
      </c>
      <c r="K3154" s="1">
        <f>J3154-I3154</f>
        <v>5</v>
      </c>
      <c r="L3154" s="1">
        <v>100</v>
      </c>
      <c r="M3154" s="1">
        <v>32</v>
      </c>
      <c r="N3154" s="1">
        <v>2.5</v>
      </c>
      <c r="O3154" s="1">
        <v>5</v>
      </c>
      <c r="P3154" s="1">
        <v>6</v>
      </c>
      <c r="Q3154" s="2">
        <v>0.126</v>
      </c>
      <c r="R3154" s="1">
        <v>4</v>
      </c>
      <c r="S3154" s="1">
        <f>R3154/P3154</f>
        <v>0.66666666666666663</v>
      </c>
      <c r="T3154" s="1">
        <v>4</v>
      </c>
      <c r="U3154" s="1">
        <v>12.5</v>
      </c>
      <c r="V3154" s="1">
        <v>461.17647058823536</v>
      </c>
      <c r="W3154" s="1">
        <v>5</v>
      </c>
    </row>
    <row r="3155" spans="1:23" x14ac:dyDescent="0.2">
      <c r="A3155">
        <v>2020</v>
      </c>
      <c r="B3155" t="s">
        <v>23</v>
      </c>
      <c r="C3155" t="s">
        <v>272</v>
      </c>
      <c r="D3155">
        <v>155</v>
      </c>
      <c r="E3155">
        <v>2</v>
      </c>
      <c r="F3155">
        <v>10</v>
      </c>
      <c r="G3155" t="s">
        <v>180</v>
      </c>
      <c r="H3155" s="1">
        <v>1</v>
      </c>
      <c r="I3155" s="1">
        <v>64</v>
      </c>
      <c r="J3155" s="1">
        <v>69</v>
      </c>
      <c r="K3155" s="1">
        <f>J3155-I3155</f>
        <v>5</v>
      </c>
      <c r="L3155" s="1">
        <v>32</v>
      </c>
      <c r="M3155" s="1">
        <v>70</v>
      </c>
      <c r="N3155" s="1">
        <v>1</v>
      </c>
      <c r="O3155" s="1">
        <v>2.5</v>
      </c>
      <c r="P3155" s="1">
        <v>1</v>
      </c>
      <c r="Q3155" s="2">
        <v>4.9500000000000002E-2</v>
      </c>
      <c r="R3155" s="1">
        <v>1</v>
      </c>
      <c r="S3155" s="1">
        <f>R3155/P3155</f>
        <v>1</v>
      </c>
      <c r="T3155" s="1">
        <v>2</v>
      </c>
      <c r="U3155" s="1">
        <v>12.5</v>
      </c>
      <c r="V3155" s="1">
        <v>181.17647058823528</v>
      </c>
      <c r="W3155" s="1">
        <v>3</v>
      </c>
    </row>
    <row r="3156" spans="1:23" x14ac:dyDescent="0.2">
      <c r="A3156">
        <v>2020</v>
      </c>
      <c r="B3156" t="s">
        <v>23</v>
      </c>
      <c r="C3156" t="s">
        <v>272</v>
      </c>
      <c r="D3156">
        <v>156</v>
      </c>
      <c r="E3156">
        <v>1</v>
      </c>
      <c r="F3156">
        <v>6</v>
      </c>
      <c r="G3156" t="s">
        <v>181</v>
      </c>
      <c r="H3156">
        <v>4</v>
      </c>
      <c r="I3156">
        <v>59</v>
      </c>
      <c r="J3156">
        <v>62</v>
      </c>
      <c r="K3156">
        <v>3</v>
      </c>
      <c r="L3156">
        <v>167</v>
      </c>
      <c r="M3156">
        <v>75</v>
      </c>
      <c r="N3156">
        <v>1.5</v>
      </c>
      <c r="O3156">
        <v>2</v>
      </c>
      <c r="P3156">
        <v>4</v>
      </c>
      <c r="Q3156">
        <v>0.5</v>
      </c>
      <c r="R3156">
        <v>4</v>
      </c>
      <c r="S3156">
        <v>1</v>
      </c>
      <c r="T3156">
        <v>2.5</v>
      </c>
      <c r="U3156">
        <v>12.5</v>
      </c>
      <c r="V3156">
        <v>1830.0653594771243</v>
      </c>
      <c r="W3156">
        <v>1</v>
      </c>
    </row>
    <row r="3157" spans="1:23" x14ac:dyDescent="0.2">
      <c r="A3157">
        <v>2020</v>
      </c>
      <c r="B3157" t="s">
        <v>23</v>
      </c>
      <c r="C3157" t="s">
        <v>272</v>
      </c>
      <c r="D3157">
        <v>156</v>
      </c>
      <c r="E3157">
        <v>2</v>
      </c>
      <c r="F3157">
        <v>3</v>
      </c>
      <c r="G3157" t="s">
        <v>181</v>
      </c>
      <c r="H3157" s="1">
        <v>2</v>
      </c>
      <c r="I3157" s="1">
        <v>62</v>
      </c>
      <c r="J3157" s="1">
        <v>67</v>
      </c>
      <c r="K3157" s="1">
        <f>J3157-I3157</f>
        <v>5</v>
      </c>
      <c r="L3157" s="1">
        <v>146</v>
      </c>
      <c r="M3157" s="1">
        <v>95</v>
      </c>
      <c r="N3157" s="1">
        <v>2</v>
      </c>
      <c r="O3157" s="1">
        <v>2.5</v>
      </c>
      <c r="P3157" s="1">
        <f>H3157</f>
        <v>2</v>
      </c>
      <c r="Q3157" s="2">
        <v>5.7750000000000003E-2</v>
      </c>
      <c r="R3157" s="1">
        <v>2</v>
      </c>
      <c r="S3157" s="1">
        <f>R3157/P3157</f>
        <v>1</v>
      </c>
      <c r="T3157" s="1">
        <v>5</v>
      </c>
      <c r="U3157" s="1">
        <v>12.5</v>
      </c>
      <c r="V3157" s="1">
        <v>211.37254901960787</v>
      </c>
      <c r="W3157" s="1">
        <v>4</v>
      </c>
    </row>
    <row r="3158" spans="1:23" x14ac:dyDescent="0.2">
      <c r="A3158">
        <v>2020</v>
      </c>
      <c r="B3158" t="s">
        <v>23</v>
      </c>
      <c r="C3158" t="s">
        <v>272</v>
      </c>
      <c r="D3158">
        <v>157</v>
      </c>
      <c r="E3158">
        <v>1</v>
      </c>
      <c r="F3158">
        <v>10</v>
      </c>
      <c r="G3158" t="s">
        <v>182</v>
      </c>
      <c r="H3158">
        <v>5</v>
      </c>
      <c r="I3158">
        <v>55</v>
      </c>
      <c r="J3158">
        <v>58</v>
      </c>
      <c r="K3158">
        <v>3</v>
      </c>
      <c r="L3158">
        <v>142</v>
      </c>
      <c r="M3158">
        <v>67</v>
      </c>
      <c r="N3158">
        <v>3</v>
      </c>
      <c r="O3158">
        <v>4</v>
      </c>
      <c r="P3158">
        <v>4</v>
      </c>
      <c r="Q3158">
        <v>0.317</v>
      </c>
      <c r="R3158">
        <v>4</v>
      </c>
      <c r="S3158">
        <v>1</v>
      </c>
      <c r="T3158">
        <v>5</v>
      </c>
      <c r="U3158">
        <v>12.5</v>
      </c>
      <c r="V3158">
        <v>1160.2614379084966</v>
      </c>
      <c r="W3158">
        <v>1</v>
      </c>
    </row>
    <row r="3159" spans="1:23" x14ac:dyDescent="0.2">
      <c r="A3159">
        <v>2020</v>
      </c>
      <c r="B3159" t="s">
        <v>23</v>
      </c>
      <c r="C3159" t="s">
        <v>272</v>
      </c>
      <c r="D3159">
        <v>157</v>
      </c>
      <c r="E3159">
        <v>2</v>
      </c>
      <c r="F3159">
        <v>1</v>
      </c>
      <c r="G3159" t="s">
        <v>182</v>
      </c>
      <c r="H3159">
        <v>13</v>
      </c>
      <c r="I3159">
        <v>62</v>
      </c>
      <c r="J3159">
        <v>65</v>
      </c>
      <c r="K3159">
        <v>3</v>
      </c>
      <c r="L3159">
        <v>145</v>
      </c>
      <c r="M3159">
        <v>76</v>
      </c>
      <c r="N3159">
        <v>2</v>
      </c>
      <c r="O3159">
        <v>3</v>
      </c>
      <c r="P3159">
        <v>13</v>
      </c>
      <c r="Q3159">
        <v>1.5</v>
      </c>
      <c r="R3159">
        <v>13</v>
      </c>
      <c r="S3159">
        <v>1</v>
      </c>
      <c r="T3159">
        <v>3</v>
      </c>
      <c r="U3159">
        <v>12.5</v>
      </c>
      <c r="V3159">
        <v>5490.1960784313724</v>
      </c>
      <c r="W3159">
        <v>1</v>
      </c>
    </row>
    <row r="3160" spans="1:23" x14ac:dyDescent="0.2">
      <c r="A3160">
        <v>2020</v>
      </c>
      <c r="B3160" t="s">
        <v>23</v>
      </c>
      <c r="C3160" t="s">
        <v>272</v>
      </c>
      <c r="D3160">
        <v>158</v>
      </c>
      <c r="E3160">
        <v>1</v>
      </c>
      <c r="F3160">
        <v>1</v>
      </c>
      <c r="G3160" t="s">
        <v>183</v>
      </c>
      <c r="H3160" s="1">
        <v>6</v>
      </c>
      <c r="I3160" s="1">
        <v>70</v>
      </c>
      <c r="J3160" s="1">
        <v>72</v>
      </c>
      <c r="K3160" s="1">
        <f>J3160-I3160</f>
        <v>2</v>
      </c>
      <c r="L3160" s="1">
        <v>78</v>
      </c>
      <c r="M3160" s="1">
        <v>37</v>
      </c>
      <c r="N3160" s="1">
        <v>2.5</v>
      </c>
      <c r="O3160" s="1">
        <v>4</v>
      </c>
      <c r="P3160" s="1">
        <v>1</v>
      </c>
      <c r="Q3160" s="2">
        <v>0.05</v>
      </c>
      <c r="R3160" s="1">
        <v>1</v>
      </c>
      <c r="S3160" s="1">
        <f>R3160/P3160</f>
        <v>1</v>
      </c>
      <c r="T3160" s="1">
        <v>5</v>
      </c>
      <c r="U3160" s="1">
        <v>12.5</v>
      </c>
      <c r="V3160" s="1">
        <v>183.00653594771242</v>
      </c>
      <c r="W3160" s="1">
        <v>6</v>
      </c>
    </row>
    <row r="3161" spans="1:23" x14ac:dyDescent="0.2">
      <c r="A3161">
        <v>2020</v>
      </c>
      <c r="B3161" t="s">
        <v>23</v>
      </c>
      <c r="C3161" t="s">
        <v>272</v>
      </c>
      <c r="D3161">
        <v>158</v>
      </c>
      <c r="E3161">
        <v>2</v>
      </c>
      <c r="F3161">
        <v>1</v>
      </c>
      <c r="G3161" t="s">
        <v>183</v>
      </c>
      <c r="H3161" s="1">
        <v>4</v>
      </c>
      <c r="I3161" s="1">
        <v>62</v>
      </c>
      <c r="J3161" s="1">
        <v>65</v>
      </c>
      <c r="K3161" s="1">
        <f>J3161-I3161</f>
        <v>3</v>
      </c>
      <c r="L3161" s="1">
        <v>144</v>
      </c>
      <c r="M3161" s="1">
        <v>50</v>
      </c>
      <c r="N3161" s="1">
        <v>2</v>
      </c>
      <c r="O3161" s="1">
        <v>3.5</v>
      </c>
      <c r="P3161" s="1">
        <v>4</v>
      </c>
      <c r="Q3161" s="2">
        <v>0.32300000000000001</v>
      </c>
      <c r="R3161" s="1">
        <v>5</v>
      </c>
      <c r="S3161" s="1">
        <f>R3161/P3161</f>
        <v>1.25</v>
      </c>
      <c r="T3161" s="1">
        <v>4</v>
      </c>
      <c r="U3161" s="1">
        <v>12.5</v>
      </c>
      <c r="V3161" s="1">
        <v>1182.2222222222222</v>
      </c>
      <c r="W3161" s="1">
        <v>4</v>
      </c>
    </row>
    <row r="3162" spans="1:23" x14ac:dyDescent="0.2">
      <c r="A3162">
        <v>2020</v>
      </c>
      <c r="B3162" t="s">
        <v>23</v>
      </c>
      <c r="C3162" t="s">
        <v>272</v>
      </c>
      <c r="D3162">
        <v>159</v>
      </c>
      <c r="E3162">
        <v>1</v>
      </c>
      <c r="F3162">
        <v>6</v>
      </c>
      <c r="G3162" t="s">
        <v>184</v>
      </c>
      <c r="H3162" s="1">
        <v>4</v>
      </c>
      <c r="I3162" s="1">
        <v>67</v>
      </c>
      <c r="J3162" s="1">
        <v>70</v>
      </c>
      <c r="K3162" s="1">
        <f>J3162-I3162</f>
        <v>3</v>
      </c>
      <c r="L3162" s="1">
        <v>80</v>
      </c>
      <c r="M3162" s="1">
        <v>38</v>
      </c>
      <c r="N3162" s="1">
        <v>3</v>
      </c>
      <c r="O3162" s="1">
        <v>5</v>
      </c>
      <c r="P3162" s="1">
        <v>1</v>
      </c>
      <c r="Q3162" s="2">
        <v>6.5000000000000002E-2</v>
      </c>
      <c r="R3162" s="1">
        <v>1</v>
      </c>
      <c r="S3162" s="1">
        <f>R3162/P3162</f>
        <v>1</v>
      </c>
      <c r="T3162" s="1">
        <v>5</v>
      </c>
      <c r="U3162" s="1">
        <v>12.5</v>
      </c>
      <c r="V3162" s="1">
        <v>237.90849673202612</v>
      </c>
      <c r="W3162" s="1">
        <v>6</v>
      </c>
    </row>
    <row r="3163" spans="1:23" x14ac:dyDescent="0.2">
      <c r="A3163">
        <v>2020</v>
      </c>
      <c r="B3163" t="s">
        <v>23</v>
      </c>
      <c r="C3163" t="s">
        <v>272</v>
      </c>
      <c r="D3163">
        <v>159</v>
      </c>
      <c r="E3163">
        <v>2</v>
      </c>
      <c r="F3163">
        <v>1</v>
      </c>
      <c r="G3163" t="s">
        <v>184</v>
      </c>
      <c r="H3163" s="1">
        <v>15</v>
      </c>
      <c r="I3163" s="1">
        <v>64</v>
      </c>
      <c r="J3163" s="1">
        <v>68</v>
      </c>
      <c r="K3163" s="1">
        <f>J3163-I3163</f>
        <v>4</v>
      </c>
      <c r="L3163" s="1">
        <v>177</v>
      </c>
      <c r="M3163" s="1">
        <v>82</v>
      </c>
      <c r="N3163" s="1">
        <v>2</v>
      </c>
      <c r="O3163" s="1">
        <v>3.5</v>
      </c>
      <c r="P3163" s="1">
        <v>12</v>
      </c>
      <c r="Q3163" s="2">
        <v>0.63119999999999998</v>
      </c>
      <c r="R3163" s="1">
        <v>8</v>
      </c>
      <c r="S3163" s="1">
        <f>R3163/P3163</f>
        <v>0.66666666666666663</v>
      </c>
      <c r="T3163" s="1">
        <v>5</v>
      </c>
      <c r="U3163" s="1">
        <v>8.9</v>
      </c>
      <c r="V3163" s="1">
        <v>2405.3258039215684</v>
      </c>
      <c r="W3163" s="1">
        <v>6</v>
      </c>
    </row>
    <row r="3164" spans="1:23" x14ac:dyDescent="0.2">
      <c r="A3164">
        <v>2020</v>
      </c>
      <c r="B3164" t="s">
        <v>23</v>
      </c>
      <c r="C3164" t="s">
        <v>272</v>
      </c>
      <c r="D3164">
        <v>160</v>
      </c>
      <c r="E3164">
        <v>1</v>
      </c>
      <c r="F3164">
        <v>11</v>
      </c>
      <c r="G3164" t="s">
        <v>185</v>
      </c>
      <c r="H3164">
        <v>9</v>
      </c>
      <c r="I3164">
        <v>60</v>
      </c>
      <c r="J3164">
        <v>63</v>
      </c>
      <c r="K3164">
        <v>3</v>
      </c>
      <c r="L3164">
        <v>110</v>
      </c>
      <c r="M3164">
        <v>66</v>
      </c>
      <c r="N3164">
        <v>1.5</v>
      </c>
      <c r="O3164">
        <v>4</v>
      </c>
      <c r="P3164">
        <v>9</v>
      </c>
      <c r="Q3164">
        <v>1</v>
      </c>
      <c r="R3164">
        <v>10</v>
      </c>
      <c r="S3164">
        <v>1.1111111111111112</v>
      </c>
      <c r="T3164">
        <v>2</v>
      </c>
      <c r="U3164">
        <v>12.5</v>
      </c>
      <c r="V3164">
        <v>3660.1307189542486</v>
      </c>
      <c r="W3164">
        <v>1</v>
      </c>
    </row>
    <row r="3165" spans="1:23" x14ac:dyDescent="0.2">
      <c r="A3165">
        <v>2020</v>
      </c>
      <c r="B3165" t="s">
        <v>23</v>
      </c>
      <c r="C3165" t="s">
        <v>272</v>
      </c>
      <c r="D3165">
        <v>160</v>
      </c>
      <c r="E3165">
        <v>2</v>
      </c>
      <c r="F3165">
        <v>8</v>
      </c>
      <c r="G3165" t="s">
        <v>185</v>
      </c>
      <c r="H3165">
        <v>15</v>
      </c>
      <c r="I3165">
        <v>56</v>
      </c>
      <c r="J3165">
        <v>58</v>
      </c>
      <c r="K3165">
        <v>2</v>
      </c>
      <c r="L3165">
        <v>125</v>
      </c>
      <c r="M3165">
        <v>51</v>
      </c>
      <c r="N3165">
        <v>2</v>
      </c>
      <c r="O3165">
        <v>2</v>
      </c>
      <c r="P3165">
        <v>15</v>
      </c>
      <c r="Q3165">
        <v>0.5</v>
      </c>
      <c r="R3165">
        <v>10</v>
      </c>
      <c r="S3165">
        <v>0.66666666666666663</v>
      </c>
      <c r="T3165">
        <v>3</v>
      </c>
      <c r="U3165">
        <v>12.7</v>
      </c>
      <c r="V3165">
        <v>1825.8823529411764</v>
      </c>
      <c r="W3165">
        <v>2</v>
      </c>
    </row>
    <row r="3166" spans="1:23" x14ac:dyDescent="0.2">
      <c r="A3166">
        <v>2020</v>
      </c>
      <c r="B3166" t="s">
        <v>23</v>
      </c>
      <c r="C3166" t="s">
        <v>272</v>
      </c>
      <c r="D3166">
        <v>161</v>
      </c>
      <c r="E3166">
        <v>1</v>
      </c>
      <c r="F3166">
        <v>2</v>
      </c>
      <c r="G3166" t="s">
        <v>186</v>
      </c>
      <c r="H3166">
        <v>9</v>
      </c>
      <c r="I3166">
        <v>55</v>
      </c>
      <c r="J3166">
        <v>58</v>
      </c>
      <c r="K3166">
        <v>3</v>
      </c>
      <c r="L3166">
        <v>115</v>
      </c>
      <c r="M3166">
        <v>61</v>
      </c>
      <c r="N3166">
        <v>2</v>
      </c>
      <c r="O3166">
        <v>3</v>
      </c>
      <c r="P3166">
        <v>9</v>
      </c>
      <c r="Q3166">
        <v>0.6</v>
      </c>
      <c r="R3166">
        <v>9</v>
      </c>
      <c r="S3166">
        <v>1</v>
      </c>
      <c r="T3166">
        <v>2.5</v>
      </c>
      <c r="U3166">
        <v>12.5</v>
      </c>
      <c r="V3166">
        <v>2196.0784313725489</v>
      </c>
      <c r="W3166">
        <v>1</v>
      </c>
    </row>
    <row r="3167" spans="1:23" x14ac:dyDescent="0.2">
      <c r="A3167">
        <v>2020</v>
      </c>
      <c r="B3167" t="s">
        <v>23</v>
      </c>
      <c r="C3167" t="s">
        <v>272</v>
      </c>
      <c r="D3167">
        <v>161</v>
      </c>
      <c r="E3167">
        <v>2</v>
      </c>
      <c r="F3167">
        <v>15</v>
      </c>
      <c r="G3167" t="s">
        <v>186</v>
      </c>
      <c r="H3167" s="1">
        <v>7</v>
      </c>
      <c r="I3167" s="1">
        <v>63</v>
      </c>
      <c r="J3167" s="1">
        <v>67</v>
      </c>
      <c r="K3167" s="1">
        <f>J3167-I3167</f>
        <v>4</v>
      </c>
      <c r="L3167" s="1">
        <v>163</v>
      </c>
      <c r="M3167" s="1">
        <v>85</v>
      </c>
      <c r="N3167" s="1">
        <v>2</v>
      </c>
      <c r="O3167" s="1">
        <v>3.5</v>
      </c>
      <c r="P3167" s="1">
        <v>2</v>
      </c>
      <c r="Q3167" s="2">
        <v>0.17247999999999999</v>
      </c>
      <c r="R3167" s="1">
        <v>3</v>
      </c>
      <c r="S3167" s="1">
        <f>R3167/P3167</f>
        <v>1.5</v>
      </c>
      <c r="T3167" s="1">
        <v>5</v>
      </c>
      <c r="U3167" s="1">
        <v>12.5</v>
      </c>
      <c r="V3167" s="1">
        <v>631.29934640522879</v>
      </c>
      <c r="W3167" s="1">
        <v>5</v>
      </c>
    </row>
    <row r="3168" spans="1:23" x14ac:dyDescent="0.2">
      <c r="A3168">
        <v>2020</v>
      </c>
      <c r="B3168" t="s">
        <v>23</v>
      </c>
      <c r="C3168" t="s">
        <v>272</v>
      </c>
      <c r="D3168">
        <v>162</v>
      </c>
      <c r="E3168">
        <v>1</v>
      </c>
      <c r="F3168">
        <v>13</v>
      </c>
      <c r="G3168" t="s">
        <v>187</v>
      </c>
      <c r="H3168">
        <v>9</v>
      </c>
      <c r="I3168">
        <v>50</v>
      </c>
      <c r="J3168">
        <v>51</v>
      </c>
      <c r="K3168">
        <v>1</v>
      </c>
      <c r="L3168">
        <v>167</v>
      </c>
      <c r="M3168">
        <v>65</v>
      </c>
      <c r="N3168">
        <v>1</v>
      </c>
      <c r="O3168">
        <v>2.5</v>
      </c>
      <c r="P3168">
        <v>3</v>
      </c>
      <c r="Q3168">
        <v>0.1</v>
      </c>
      <c r="R3168">
        <v>3</v>
      </c>
      <c r="S3168">
        <v>1</v>
      </c>
      <c r="T3168">
        <v>5</v>
      </c>
      <c r="U3168">
        <v>11</v>
      </c>
      <c r="V3168">
        <v>372.28758169934639</v>
      </c>
      <c r="W3168">
        <v>2</v>
      </c>
    </row>
    <row r="3169" spans="1:23" x14ac:dyDescent="0.2">
      <c r="A3169">
        <v>2020</v>
      </c>
      <c r="B3169" t="s">
        <v>23</v>
      </c>
      <c r="C3169" t="s">
        <v>272</v>
      </c>
      <c r="D3169">
        <v>162</v>
      </c>
      <c r="E3169">
        <v>2</v>
      </c>
      <c r="F3169">
        <v>9</v>
      </c>
      <c r="G3169" t="s">
        <v>187</v>
      </c>
      <c r="H3169">
        <v>11</v>
      </c>
      <c r="I3169">
        <v>52</v>
      </c>
      <c r="J3169">
        <v>53</v>
      </c>
      <c r="K3169">
        <v>1</v>
      </c>
      <c r="L3169">
        <v>175</v>
      </c>
      <c r="M3169">
        <v>95</v>
      </c>
      <c r="N3169">
        <v>2</v>
      </c>
      <c r="O3169">
        <v>2.5</v>
      </c>
      <c r="P3169">
        <v>13</v>
      </c>
      <c r="Q3169">
        <v>0.7</v>
      </c>
      <c r="R3169">
        <v>12</v>
      </c>
      <c r="S3169">
        <v>0.92307692307692313</v>
      </c>
      <c r="T3169">
        <v>2</v>
      </c>
      <c r="U3169">
        <v>11.2</v>
      </c>
      <c r="V3169">
        <v>2600.1568627450979</v>
      </c>
      <c r="W3169">
        <v>2</v>
      </c>
    </row>
    <row r="3170" spans="1:23" x14ac:dyDescent="0.2">
      <c r="A3170">
        <v>2020</v>
      </c>
      <c r="B3170" t="s">
        <v>23</v>
      </c>
      <c r="C3170" t="s">
        <v>272</v>
      </c>
      <c r="D3170">
        <v>163</v>
      </c>
      <c r="E3170">
        <v>1</v>
      </c>
      <c r="F3170">
        <v>11</v>
      </c>
      <c r="G3170" t="s">
        <v>188</v>
      </c>
      <c r="H3170" s="1">
        <v>4</v>
      </c>
      <c r="I3170" s="1">
        <v>66</v>
      </c>
      <c r="J3170" s="1">
        <v>70</v>
      </c>
      <c r="K3170" s="1">
        <f t="shared" ref="K3170:K3179" si="162">J3170-I3170</f>
        <v>4</v>
      </c>
      <c r="L3170" s="1">
        <v>117</v>
      </c>
      <c r="M3170" s="1">
        <v>39</v>
      </c>
      <c r="N3170" s="1">
        <v>1.5</v>
      </c>
      <c r="O3170" s="1">
        <v>4.5</v>
      </c>
      <c r="P3170" s="1">
        <v>3</v>
      </c>
      <c r="Q3170" s="2">
        <v>0.12</v>
      </c>
      <c r="R3170" s="1">
        <v>3</v>
      </c>
      <c r="S3170" s="1">
        <f t="shared" ref="S3170:S3179" si="163">R3170/P3170</f>
        <v>1</v>
      </c>
      <c r="T3170" s="1">
        <v>4</v>
      </c>
      <c r="U3170" s="1">
        <v>12.5</v>
      </c>
      <c r="V3170" s="1">
        <v>439.21568627450984</v>
      </c>
      <c r="W3170" s="1">
        <v>4</v>
      </c>
    </row>
    <row r="3171" spans="1:23" x14ac:dyDescent="0.2">
      <c r="A3171">
        <v>2020</v>
      </c>
      <c r="B3171" t="s">
        <v>23</v>
      </c>
      <c r="C3171" t="s">
        <v>272</v>
      </c>
      <c r="D3171">
        <v>163</v>
      </c>
      <c r="E3171">
        <v>2</v>
      </c>
      <c r="F3171">
        <v>9</v>
      </c>
      <c r="G3171" t="s">
        <v>188</v>
      </c>
      <c r="H3171" s="1">
        <v>12</v>
      </c>
      <c r="I3171" s="1">
        <v>66</v>
      </c>
      <c r="J3171" s="1">
        <v>69</v>
      </c>
      <c r="K3171" s="1">
        <f t="shared" si="162"/>
        <v>3</v>
      </c>
      <c r="L3171" s="1">
        <v>153</v>
      </c>
      <c r="M3171" s="1">
        <v>82</v>
      </c>
      <c r="N3171" s="1">
        <v>2</v>
      </c>
      <c r="O3171" s="1">
        <v>3</v>
      </c>
      <c r="P3171" s="1">
        <f>H3171</f>
        <v>12</v>
      </c>
      <c r="Q3171" s="2">
        <v>9.7875000000000004E-2</v>
      </c>
      <c r="R3171" s="1">
        <v>12</v>
      </c>
      <c r="S3171" s="1">
        <f t="shared" si="163"/>
        <v>1</v>
      </c>
      <c r="T3171" s="1">
        <v>5</v>
      </c>
      <c r="U3171" s="1">
        <v>12.5</v>
      </c>
      <c r="V3171" s="1">
        <v>358.23529411764707</v>
      </c>
      <c r="W3171" s="1">
        <v>5</v>
      </c>
    </row>
    <row r="3172" spans="1:23" x14ac:dyDescent="0.2">
      <c r="A3172">
        <v>2020</v>
      </c>
      <c r="B3172" t="s">
        <v>23</v>
      </c>
      <c r="C3172" t="s">
        <v>272</v>
      </c>
      <c r="D3172">
        <v>164</v>
      </c>
      <c r="E3172">
        <v>1</v>
      </c>
      <c r="F3172">
        <v>8</v>
      </c>
      <c r="G3172" t="s">
        <v>189</v>
      </c>
      <c r="H3172" s="1">
        <v>8</v>
      </c>
      <c r="I3172" s="1">
        <v>66</v>
      </c>
      <c r="J3172" s="1">
        <v>71</v>
      </c>
      <c r="K3172" s="1">
        <f t="shared" si="162"/>
        <v>5</v>
      </c>
      <c r="L3172" s="1">
        <v>116</v>
      </c>
      <c r="M3172" s="1">
        <v>42</v>
      </c>
      <c r="N3172" s="1">
        <v>2</v>
      </c>
      <c r="O3172" s="1">
        <v>4.5</v>
      </c>
      <c r="P3172" s="1">
        <v>5</v>
      </c>
      <c r="Q3172" s="2">
        <v>9.1999999999999998E-2</v>
      </c>
      <c r="R3172" s="1">
        <v>5</v>
      </c>
      <c r="S3172" s="1">
        <f t="shared" si="163"/>
        <v>1</v>
      </c>
      <c r="T3172" s="1">
        <v>5</v>
      </c>
      <c r="U3172" s="1">
        <v>12.5</v>
      </c>
      <c r="V3172" s="1">
        <v>336.73202614379085</v>
      </c>
      <c r="W3172" s="1">
        <v>5</v>
      </c>
    </row>
    <row r="3173" spans="1:23" x14ac:dyDescent="0.2">
      <c r="A3173">
        <v>2020</v>
      </c>
      <c r="B3173" t="s">
        <v>23</v>
      </c>
      <c r="C3173" t="s">
        <v>272</v>
      </c>
      <c r="D3173">
        <v>164</v>
      </c>
      <c r="E3173">
        <v>2</v>
      </c>
      <c r="F3173">
        <v>5</v>
      </c>
      <c r="G3173" t="s">
        <v>189</v>
      </c>
      <c r="H3173" s="1">
        <v>10</v>
      </c>
      <c r="I3173" s="1">
        <v>69</v>
      </c>
      <c r="J3173" s="1">
        <v>74</v>
      </c>
      <c r="K3173" s="1">
        <f t="shared" si="162"/>
        <v>5</v>
      </c>
      <c r="L3173" s="1">
        <v>104</v>
      </c>
      <c r="M3173" s="1">
        <v>32</v>
      </c>
      <c r="N3173" s="1">
        <v>3</v>
      </c>
      <c r="O3173" s="1">
        <v>5</v>
      </c>
      <c r="P3173" s="1">
        <v>1</v>
      </c>
      <c r="Q3173" s="2">
        <v>1.4999999999999999E-2</v>
      </c>
      <c r="R3173" s="1">
        <v>1</v>
      </c>
      <c r="S3173" s="1">
        <f t="shared" si="163"/>
        <v>1</v>
      </c>
      <c r="T3173" s="1">
        <v>5</v>
      </c>
      <c r="U3173" s="1">
        <v>12.5</v>
      </c>
      <c r="V3173" s="1">
        <v>54.901960784313729</v>
      </c>
      <c r="W3173" s="1">
        <v>5</v>
      </c>
    </row>
    <row r="3174" spans="1:23" x14ac:dyDescent="0.2">
      <c r="A3174">
        <v>2020</v>
      </c>
      <c r="B3174" t="s">
        <v>23</v>
      </c>
      <c r="C3174" t="s">
        <v>272</v>
      </c>
      <c r="D3174">
        <v>165</v>
      </c>
      <c r="E3174">
        <v>1</v>
      </c>
      <c r="F3174">
        <v>12</v>
      </c>
      <c r="G3174" t="s">
        <v>190</v>
      </c>
      <c r="H3174" s="3">
        <v>11</v>
      </c>
      <c r="I3174" s="3">
        <v>66</v>
      </c>
      <c r="J3174" s="3">
        <v>69</v>
      </c>
      <c r="K3174" s="3">
        <f t="shared" si="162"/>
        <v>3</v>
      </c>
      <c r="L3174" s="3">
        <v>160</v>
      </c>
      <c r="M3174" s="3">
        <v>62</v>
      </c>
      <c r="N3174" s="3">
        <v>2</v>
      </c>
      <c r="O3174" s="3">
        <v>3.5</v>
      </c>
      <c r="P3174" s="3">
        <f>H3174-1</f>
        <v>10</v>
      </c>
      <c r="Q3174" s="4">
        <v>0.13</v>
      </c>
      <c r="R3174" s="3">
        <v>9</v>
      </c>
      <c r="S3174" s="3">
        <f t="shared" si="163"/>
        <v>0.9</v>
      </c>
      <c r="T3174" s="3">
        <v>5</v>
      </c>
      <c r="U3174" s="3">
        <v>12.5</v>
      </c>
      <c r="V3174" s="3">
        <v>475.81699346405225</v>
      </c>
      <c r="W3174" s="3">
        <v>3</v>
      </c>
    </row>
    <row r="3175" spans="1:23" x14ac:dyDescent="0.2">
      <c r="A3175">
        <v>2020</v>
      </c>
      <c r="B3175" t="s">
        <v>23</v>
      </c>
      <c r="C3175" t="s">
        <v>272</v>
      </c>
      <c r="D3175">
        <v>165</v>
      </c>
      <c r="E3175">
        <v>2</v>
      </c>
      <c r="F3175">
        <v>7</v>
      </c>
      <c r="G3175" t="s">
        <v>190</v>
      </c>
      <c r="H3175" s="1">
        <v>13</v>
      </c>
      <c r="I3175" s="1">
        <v>72</v>
      </c>
      <c r="J3175" s="1">
        <v>76</v>
      </c>
      <c r="K3175" s="1">
        <f t="shared" si="162"/>
        <v>4</v>
      </c>
      <c r="L3175" s="1">
        <v>140</v>
      </c>
      <c r="M3175" s="1">
        <v>46</v>
      </c>
      <c r="N3175" s="1">
        <v>2.5</v>
      </c>
      <c r="O3175" s="1">
        <v>3</v>
      </c>
      <c r="P3175" s="1">
        <v>10</v>
      </c>
      <c r="Q3175" s="2">
        <v>0.33119999999999999</v>
      </c>
      <c r="R3175" s="1">
        <v>9</v>
      </c>
      <c r="S3175" s="1">
        <f t="shared" si="163"/>
        <v>0.9</v>
      </c>
      <c r="T3175" s="1">
        <v>3</v>
      </c>
      <c r="U3175" s="1">
        <v>12.5</v>
      </c>
      <c r="V3175" s="1">
        <v>1212.2352941176471</v>
      </c>
      <c r="W3175" s="1">
        <v>5</v>
      </c>
    </row>
    <row r="3176" spans="1:23" x14ac:dyDescent="0.2">
      <c r="A3176">
        <v>2020</v>
      </c>
      <c r="B3176" t="s">
        <v>23</v>
      </c>
      <c r="C3176" t="s">
        <v>272</v>
      </c>
      <c r="D3176">
        <v>166</v>
      </c>
      <c r="E3176">
        <v>1</v>
      </c>
      <c r="F3176">
        <v>5</v>
      </c>
      <c r="G3176" t="s">
        <v>191</v>
      </c>
      <c r="H3176" s="1">
        <v>6</v>
      </c>
      <c r="I3176" s="1">
        <v>66</v>
      </c>
      <c r="J3176" s="1">
        <v>69</v>
      </c>
      <c r="K3176" s="1">
        <f t="shared" si="162"/>
        <v>3</v>
      </c>
      <c r="L3176" s="1">
        <v>172</v>
      </c>
      <c r="M3176" s="1">
        <v>85</v>
      </c>
      <c r="N3176" s="1">
        <v>2</v>
      </c>
      <c r="O3176" s="1">
        <v>2.5</v>
      </c>
      <c r="P3176" s="1">
        <v>6</v>
      </c>
      <c r="Q3176" s="2">
        <v>0.44900000000000001</v>
      </c>
      <c r="R3176" s="1">
        <v>7</v>
      </c>
      <c r="S3176" s="1">
        <f t="shared" si="163"/>
        <v>1.1666666666666667</v>
      </c>
      <c r="T3176" s="1">
        <v>3.5</v>
      </c>
      <c r="U3176" s="1">
        <v>12.5</v>
      </c>
      <c r="V3176" s="1">
        <v>1643.3986928104575</v>
      </c>
      <c r="W3176" s="1">
        <v>3</v>
      </c>
    </row>
    <row r="3177" spans="1:23" x14ac:dyDescent="0.2">
      <c r="A3177">
        <v>2020</v>
      </c>
      <c r="B3177" t="s">
        <v>23</v>
      </c>
      <c r="C3177" t="s">
        <v>272</v>
      </c>
      <c r="D3177">
        <v>166</v>
      </c>
      <c r="E3177">
        <v>2</v>
      </c>
      <c r="F3177">
        <v>7</v>
      </c>
      <c r="G3177" t="s">
        <v>191</v>
      </c>
      <c r="H3177" s="1">
        <v>12</v>
      </c>
      <c r="I3177" s="1">
        <v>67</v>
      </c>
      <c r="J3177" s="1">
        <v>70</v>
      </c>
      <c r="K3177" s="1">
        <f t="shared" si="162"/>
        <v>3</v>
      </c>
      <c r="L3177" s="1">
        <v>194</v>
      </c>
      <c r="M3177" s="1">
        <v>97</v>
      </c>
      <c r="N3177" s="1">
        <v>2</v>
      </c>
      <c r="O3177" s="1">
        <v>3.5</v>
      </c>
      <c r="P3177" s="1">
        <v>10</v>
      </c>
      <c r="Q3177" s="2">
        <v>0.61820000000000008</v>
      </c>
      <c r="R3177" s="1">
        <v>7</v>
      </c>
      <c r="S3177" s="1">
        <f t="shared" si="163"/>
        <v>0.7</v>
      </c>
      <c r="T3177" s="1">
        <v>5</v>
      </c>
      <c r="U3177" s="1">
        <v>12.5</v>
      </c>
      <c r="V3177" s="1">
        <v>2262.6928104575172</v>
      </c>
      <c r="W3177" s="1">
        <v>6</v>
      </c>
    </row>
    <row r="3178" spans="1:23" x14ac:dyDescent="0.2">
      <c r="A3178">
        <v>2020</v>
      </c>
      <c r="B3178" t="s">
        <v>23</v>
      </c>
      <c r="C3178" t="s">
        <v>272</v>
      </c>
      <c r="D3178">
        <v>167</v>
      </c>
      <c r="E3178">
        <v>1</v>
      </c>
      <c r="F3178">
        <v>5</v>
      </c>
      <c r="G3178" t="s">
        <v>192</v>
      </c>
      <c r="H3178" s="1">
        <v>13</v>
      </c>
      <c r="I3178" s="1">
        <v>61</v>
      </c>
      <c r="J3178" s="1">
        <v>64</v>
      </c>
      <c r="K3178" s="1">
        <f t="shared" si="162"/>
        <v>3</v>
      </c>
      <c r="L3178" s="1">
        <v>155</v>
      </c>
      <c r="M3178" s="1">
        <v>83</v>
      </c>
      <c r="N3178" s="1">
        <v>2</v>
      </c>
      <c r="O3178" s="1">
        <v>3</v>
      </c>
      <c r="P3178" s="1">
        <v>10</v>
      </c>
      <c r="Q3178" s="2">
        <v>0.30404999999999993</v>
      </c>
      <c r="R3178" s="1">
        <v>10</v>
      </c>
      <c r="S3178" s="1">
        <f t="shared" si="163"/>
        <v>1</v>
      </c>
      <c r="T3178" s="1">
        <v>5</v>
      </c>
      <c r="U3178" s="1">
        <v>9.1999999999999993</v>
      </c>
      <c r="V3178" s="1">
        <v>1154.8335686274504</v>
      </c>
      <c r="W3178" s="1">
        <v>5</v>
      </c>
    </row>
    <row r="3179" spans="1:23" x14ac:dyDescent="0.2">
      <c r="A3179">
        <v>2020</v>
      </c>
      <c r="B3179" t="s">
        <v>23</v>
      </c>
      <c r="C3179" t="s">
        <v>272</v>
      </c>
      <c r="D3179">
        <v>167</v>
      </c>
      <c r="E3179">
        <v>2</v>
      </c>
      <c r="F3179">
        <v>8</v>
      </c>
      <c r="G3179" t="s">
        <v>192</v>
      </c>
      <c r="H3179" s="1">
        <v>11</v>
      </c>
      <c r="I3179" s="1">
        <v>61</v>
      </c>
      <c r="J3179" s="1">
        <v>64</v>
      </c>
      <c r="K3179" s="1">
        <f t="shared" si="162"/>
        <v>3</v>
      </c>
      <c r="L3179" s="1">
        <v>148</v>
      </c>
      <c r="M3179" s="1">
        <v>77</v>
      </c>
      <c r="N3179" s="1">
        <v>2</v>
      </c>
      <c r="O3179" s="1">
        <v>3.5</v>
      </c>
      <c r="P3179" s="1">
        <v>8</v>
      </c>
      <c r="Q3179" s="2">
        <v>0.03</v>
      </c>
      <c r="R3179" s="1">
        <v>2</v>
      </c>
      <c r="S3179" s="1">
        <f t="shared" si="163"/>
        <v>0.25</v>
      </c>
      <c r="T3179" s="1">
        <v>5</v>
      </c>
      <c r="U3179" s="1">
        <v>12.5</v>
      </c>
      <c r="V3179" s="1">
        <v>109.80392156862746</v>
      </c>
      <c r="W3179" s="1">
        <v>5</v>
      </c>
    </row>
    <row r="3180" spans="1:23" x14ac:dyDescent="0.2">
      <c r="A3180">
        <v>2020</v>
      </c>
      <c r="B3180" t="s">
        <v>23</v>
      </c>
      <c r="C3180" t="s">
        <v>272</v>
      </c>
      <c r="D3180">
        <v>168</v>
      </c>
      <c r="E3180">
        <v>1</v>
      </c>
      <c r="F3180">
        <v>12</v>
      </c>
      <c r="G3180" t="s">
        <v>193</v>
      </c>
      <c r="H3180">
        <v>9</v>
      </c>
      <c r="I3180">
        <v>60</v>
      </c>
      <c r="J3180">
        <v>63</v>
      </c>
      <c r="K3180">
        <v>3</v>
      </c>
      <c r="L3180">
        <v>102</v>
      </c>
      <c r="M3180">
        <v>22</v>
      </c>
      <c r="N3180">
        <v>1</v>
      </c>
      <c r="O3180">
        <v>2</v>
      </c>
      <c r="P3180">
        <v>9</v>
      </c>
      <c r="Q3180">
        <v>0.222</v>
      </c>
      <c r="R3180">
        <v>9</v>
      </c>
      <c r="S3180">
        <v>1</v>
      </c>
      <c r="T3180">
        <v>3</v>
      </c>
      <c r="U3180">
        <v>12.5</v>
      </c>
      <c r="V3180">
        <v>812.54901960784309</v>
      </c>
      <c r="W3180">
        <v>1</v>
      </c>
    </row>
    <row r="3181" spans="1:23" x14ac:dyDescent="0.2">
      <c r="A3181">
        <v>2020</v>
      </c>
      <c r="B3181" t="s">
        <v>23</v>
      </c>
      <c r="C3181" t="s">
        <v>272</v>
      </c>
      <c r="D3181">
        <v>168</v>
      </c>
      <c r="E3181">
        <v>2</v>
      </c>
      <c r="F3181">
        <v>10</v>
      </c>
      <c r="G3181" t="s">
        <v>193</v>
      </c>
      <c r="H3181" s="1">
        <v>8</v>
      </c>
      <c r="I3181" s="1">
        <v>65</v>
      </c>
      <c r="J3181" s="1">
        <v>66</v>
      </c>
      <c r="K3181" s="1">
        <f>J3181-I3181</f>
        <v>1</v>
      </c>
      <c r="L3181" s="1">
        <v>126</v>
      </c>
      <c r="M3181" s="1">
        <v>37</v>
      </c>
      <c r="N3181" s="1">
        <v>3</v>
      </c>
      <c r="O3181" s="1">
        <v>4</v>
      </c>
      <c r="P3181" s="1">
        <v>7</v>
      </c>
      <c r="Q3181" s="2">
        <v>0.20200000000000001</v>
      </c>
      <c r="R3181" s="1">
        <v>5</v>
      </c>
      <c r="S3181" s="1">
        <f>R3181/P3181</f>
        <v>0.7142857142857143</v>
      </c>
      <c r="T3181" s="1">
        <v>4</v>
      </c>
      <c r="U3181" s="1">
        <v>12.5</v>
      </c>
      <c r="V3181" s="1">
        <v>739.34640522875816</v>
      </c>
      <c r="W3181" s="1">
        <v>5</v>
      </c>
    </row>
    <row r="3182" spans="1:23" x14ac:dyDescent="0.2">
      <c r="A3182">
        <v>2020</v>
      </c>
      <c r="B3182" t="s">
        <v>23</v>
      </c>
      <c r="C3182" t="s">
        <v>272</v>
      </c>
      <c r="D3182">
        <v>169</v>
      </c>
      <c r="E3182">
        <v>1</v>
      </c>
      <c r="F3182">
        <v>13</v>
      </c>
      <c r="G3182" t="s">
        <v>194</v>
      </c>
      <c r="H3182" s="1">
        <v>3</v>
      </c>
      <c r="I3182" s="1">
        <v>67</v>
      </c>
      <c r="J3182" s="1">
        <v>69</v>
      </c>
      <c r="K3182" s="1">
        <f>J3182-I3182</f>
        <v>2</v>
      </c>
      <c r="L3182" s="1">
        <v>67</v>
      </c>
      <c r="M3182" s="1">
        <v>38</v>
      </c>
      <c r="N3182" s="1">
        <v>2</v>
      </c>
      <c r="O3182" s="1">
        <v>3.5</v>
      </c>
      <c r="P3182" s="1">
        <v>2</v>
      </c>
      <c r="Q3182" s="2">
        <v>9.0400000000000008E-2</v>
      </c>
      <c r="R3182" s="1">
        <v>3</v>
      </c>
      <c r="S3182" s="1">
        <f>R3182/P3182</f>
        <v>1.5</v>
      </c>
      <c r="T3182" s="1">
        <v>5</v>
      </c>
      <c r="U3182" s="1">
        <v>12.5</v>
      </c>
      <c r="V3182" s="1">
        <v>330.87581699346413</v>
      </c>
      <c r="W3182" s="1">
        <v>5</v>
      </c>
    </row>
    <row r="3183" spans="1:23" x14ac:dyDescent="0.2">
      <c r="A3183">
        <v>2020</v>
      </c>
      <c r="B3183" t="s">
        <v>23</v>
      </c>
      <c r="C3183" t="s">
        <v>272</v>
      </c>
      <c r="D3183">
        <v>169</v>
      </c>
      <c r="E3183">
        <v>2</v>
      </c>
      <c r="F3183">
        <v>13</v>
      </c>
      <c r="G3183" t="s">
        <v>194</v>
      </c>
      <c r="H3183" s="1">
        <v>10</v>
      </c>
      <c r="I3183" s="1">
        <v>68</v>
      </c>
      <c r="J3183" s="1">
        <v>71</v>
      </c>
      <c r="K3183" s="1">
        <f>J3183-I3183</f>
        <v>3</v>
      </c>
      <c r="L3183" s="1">
        <v>181</v>
      </c>
      <c r="M3183" s="1">
        <v>87</v>
      </c>
      <c r="N3183" s="1">
        <v>2</v>
      </c>
      <c r="O3183" s="1">
        <v>2.5</v>
      </c>
      <c r="P3183" s="1">
        <v>9</v>
      </c>
      <c r="Q3183" s="2">
        <v>0.78</v>
      </c>
      <c r="R3183" s="1">
        <v>9</v>
      </c>
      <c r="S3183" s="1">
        <f>R3183/P3183</f>
        <v>1</v>
      </c>
      <c r="T3183" s="1">
        <v>3</v>
      </c>
      <c r="U3183" s="1">
        <v>12.5</v>
      </c>
      <c r="V3183" s="1">
        <v>2854.9019607843138</v>
      </c>
      <c r="W3183" s="1">
        <v>5</v>
      </c>
    </row>
    <row r="3184" spans="1:23" x14ac:dyDescent="0.2">
      <c r="A3184">
        <v>2020</v>
      </c>
      <c r="B3184" t="s">
        <v>23</v>
      </c>
      <c r="C3184" t="s">
        <v>272</v>
      </c>
      <c r="D3184">
        <v>170</v>
      </c>
      <c r="E3184">
        <v>1</v>
      </c>
      <c r="F3184">
        <v>12</v>
      </c>
      <c r="G3184" t="s">
        <v>195</v>
      </c>
      <c r="H3184">
        <v>12</v>
      </c>
      <c r="I3184">
        <v>63</v>
      </c>
      <c r="J3184">
        <v>65</v>
      </c>
      <c r="K3184">
        <v>2</v>
      </c>
      <c r="L3184">
        <v>150</v>
      </c>
      <c r="M3184">
        <v>70</v>
      </c>
      <c r="N3184">
        <v>1.5</v>
      </c>
      <c r="O3184">
        <v>3.5</v>
      </c>
      <c r="P3184">
        <v>12</v>
      </c>
      <c r="Q3184">
        <v>0.7</v>
      </c>
      <c r="R3184">
        <v>10</v>
      </c>
      <c r="S3184">
        <v>0.83333333333333337</v>
      </c>
      <c r="T3184">
        <v>3.5</v>
      </c>
      <c r="U3184">
        <v>12.5</v>
      </c>
      <c r="V3184">
        <v>2562.0915032679736</v>
      </c>
      <c r="W3184">
        <v>2</v>
      </c>
    </row>
    <row r="3185" spans="1:23" x14ac:dyDescent="0.2">
      <c r="A3185">
        <v>2020</v>
      </c>
      <c r="B3185" t="s">
        <v>23</v>
      </c>
      <c r="C3185" t="s">
        <v>272</v>
      </c>
      <c r="D3185">
        <v>170</v>
      </c>
      <c r="E3185">
        <v>2</v>
      </c>
      <c r="F3185">
        <v>6</v>
      </c>
      <c r="G3185" t="s">
        <v>195</v>
      </c>
      <c r="H3185" s="1">
        <v>10</v>
      </c>
      <c r="I3185" s="1">
        <v>66</v>
      </c>
      <c r="J3185" s="1">
        <v>71</v>
      </c>
      <c r="K3185" s="1">
        <f>J3185-I3185</f>
        <v>5</v>
      </c>
      <c r="L3185" s="1">
        <v>157</v>
      </c>
      <c r="M3185" s="1">
        <v>93</v>
      </c>
      <c r="N3185" s="1">
        <v>2</v>
      </c>
      <c r="O3185" s="1">
        <v>3.5</v>
      </c>
      <c r="P3185" s="1">
        <f>H3185-1</f>
        <v>9</v>
      </c>
      <c r="Q3185" s="2">
        <v>0.156</v>
      </c>
      <c r="R3185" s="1">
        <v>7</v>
      </c>
      <c r="S3185" s="1">
        <f>R3185/P3185</f>
        <v>0.77777777777777779</v>
      </c>
      <c r="T3185" s="1">
        <v>5</v>
      </c>
      <c r="U3185" s="1">
        <v>12.5</v>
      </c>
      <c r="V3185" s="1">
        <v>570.98039215686276</v>
      </c>
      <c r="W3185" s="1">
        <v>7</v>
      </c>
    </row>
    <row r="3186" spans="1:23" x14ac:dyDescent="0.2">
      <c r="A3186">
        <v>2020</v>
      </c>
      <c r="B3186" t="s">
        <v>23</v>
      </c>
      <c r="C3186" t="s">
        <v>272</v>
      </c>
      <c r="D3186">
        <v>171</v>
      </c>
      <c r="E3186">
        <v>1</v>
      </c>
      <c r="F3186">
        <v>3</v>
      </c>
      <c r="G3186" t="s">
        <v>196</v>
      </c>
      <c r="H3186" s="1">
        <v>2</v>
      </c>
      <c r="I3186" s="1">
        <v>65</v>
      </c>
      <c r="J3186" s="1">
        <v>67</v>
      </c>
      <c r="K3186" s="1">
        <f>J3186-I3186</f>
        <v>2</v>
      </c>
      <c r="L3186" s="1">
        <v>57</v>
      </c>
      <c r="M3186" s="1">
        <v>10</v>
      </c>
      <c r="N3186" s="1">
        <v>3</v>
      </c>
      <c r="O3186" s="1">
        <v>5</v>
      </c>
      <c r="P3186" s="1">
        <v>1</v>
      </c>
      <c r="Q3186" s="2">
        <v>6.2E-2</v>
      </c>
      <c r="R3186" s="1">
        <v>1</v>
      </c>
      <c r="S3186" s="1">
        <f>R3186/P3186</f>
        <v>1</v>
      </c>
      <c r="T3186" s="1">
        <v>5</v>
      </c>
      <c r="U3186" s="1">
        <v>12.5</v>
      </c>
      <c r="V3186" s="1">
        <v>226.92810457516339</v>
      </c>
      <c r="W3186" s="1">
        <v>6</v>
      </c>
    </row>
    <row r="3187" spans="1:23" x14ac:dyDescent="0.2">
      <c r="A3187">
        <v>2020</v>
      </c>
      <c r="B3187" t="s">
        <v>23</v>
      </c>
      <c r="C3187" t="s">
        <v>272</v>
      </c>
      <c r="D3187">
        <v>171</v>
      </c>
      <c r="E3187">
        <v>2</v>
      </c>
      <c r="F3187">
        <v>2</v>
      </c>
      <c r="G3187" t="s">
        <v>196</v>
      </c>
      <c r="H3187">
        <v>2</v>
      </c>
      <c r="I3187">
        <v>56</v>
      </c>
      <c r="J3187">
        <v>58</v>
      </c>
      <c r="K3187">
        <v>2</v>
      </c>
      <c r="L3187">
        <v>154</v>
      </c>
      <c r="M3187">
        <v>76</v>
      </c>
      <c r="N3187">
        <v>2.5</v>
      </c>
      <c r="O3187">
        <v>3</v>
      </c>
      <c r="P3187">
        <v>2</v>
      </c>
      <c r="Q3187">
        <v>0.2</v>
      </c>
      <c r="R3187">
        <v>2</v>
      </c>
      <c r="S3187">
        <v>1</v>
      </c>
      <c r="T3187">
        <v>3</v>
      </c>
      <c r="U3187">
        <v>12.5</v>
      </c>
      <c r="V3187">
        <v>732.02614379084969</v>
      </c>
      <c r="W3187">
        <v>1</v>
      </c>
    </row>
    <row r="3188" spans="1:23" x14ac:dyDescent="0.2">
      <c r="A3188">
        <v>2020</v>
      </c>
      <c r="B3188" t="s">
        <v>23</v>
      </c>
      <c r="C3188" t="s">
        <v>272</v>
      </c>
      <c r="D3188">
        <v>172</v>
      </c>
      <c r="E3188">
        <v>1</v>
      </c>
      <c r="F3188">
        <v>15</v>
      </c>
      <c r="G3188" t="s">
        <v>197</v>
      </c>
      <c r="H3188" s="1">
        <v>15</v>
      </c>
      <c r="I3188" s="1">
        <v>67</v>
      </c>
      <c r="J3188" s="1">
        <v>69</v>
      </c>
      <c r="K3188" s="1">
        <f>J3188-I3188</f>
        <v>2</v>
      </c>
      <c r="L3188" s="1">
        <v>173</v>
      </c>
      <c r="M3188" s="1">
        <v>112</v>
      </c>
      <c r="N3188" s="1">
        <v>2</v>
      </c>
      <c r="O3188" s="1">
        <v>3.5</v>
      </c>
      <c r="P3188" s="1">
        <v>14</v>
      </c>
      <c r="Q3188" s="2">
        <v>0.18</v>
      </c>
      <c r="R3188" s="1">
        <v>8</v>
      </c>
      <c r="S3188" s="1">
        <f>R3188/P3188</f>
        <v>0.5714285714285714</v>
      </c>
      <c r="T3188" s="1">
        <v>3</v>
      </c>
      <c r="U3188" s="1">
        <v>12.5</v>
      </c>
      <c r="V3188" s="1">
        <v>658.82352941176464</v>
      </c>
      <c r="W3188" s="1">
        <v>4</v>
      </c>
    </row>
    <row r="3189" spans="1:23" x14ac:dyDescent="0.2">
      <c r="A3189">
        <v>2020</v>
      </c>
      <c r="B3189" t="s">
        <v>23</v>
      </c>
      <c r="C3189" t="s">
        <v>272</v>
      </c>
      <c r="D3189">
        <v>172</v>
      </c>
      <c r="E3189">
        <v>2</v>
      </c>
      <c r="F3189">
        <v>1</v>
      </c>
      <c r="G3189" t="s">
        <v>197</v>
      </c>
      <c r="H3189" s="1">
        <v>3</v>
      </c>
      <c r="I3189" s="1">
        <v>65</v>
      </c>
      <c r="J3189" s="1">
        <v>66</v>
      </c>
      <c r="K3189" s="1">
        <f>J3189-I3189</f>
        <v>1</v>
      </c>
      <c r="L3189" s="1">
        <v>87</v>
      </c>
      <c r="M3189" s="1">
        <v>45</v>
      </c>
      <c r="N3189" s="1">
        <v>1.5</v>
      </c>
      <c r="O3189" s="1">
        <v>4</v>
      </c>
      <c r="P3189" s="1">
        <v>2</v>
      </c>
      <c r="Q3189" s="2">
        <v>7.3999999999999996E-2</v>
      </c>
      <c r="R3189" s="1">
        <v>1</v>
      </c>
      <c r="S3189" s="1">
        <f>R3189/P3189</f>
        <v>0.5</v>
      </c>
      <c r="T3189" s="1">
        <v>4</v>
      </c>
      <c r="U3189" s="1">
        <v>12.5</v>
      </c>
      <c r="V3189" s="1">
        <v>270.84967320261438</v>
      </c>
      <c r="W3189" s="1">
        <v>4</v>
      </c>
    </row>
    <row r="3190" spans="1:23" x14ac:dyDescent="0.2">
      <c r="A3190">
        <v>2020</v>
      </c>
      <c r="B3190" t="s">
        <v>23</v>
      </c>
      <c r="C3190" t="s">
        <v>272</v>
      </c>
      <c r="D3190">
        <v>173</v>
      </c>
      <c r="E3190">
        <v>1</v>
      </c>
      <c r="F3190">
        <v>7</v>
      </c>
      <c r="G3190" t="s">
        <v>198</v>
      </c>
      <c r="H3190">
        <v>7</v>
      </c>
      <c r="I3190">
        <v>50</v>
      </c>
      <c r="J3190">
        <v>53</v>
      </c>
      <c r="K3190">
        <v>3</v>
      </c>
      <c r="L3190">
        <v>56</v>
      </c>
      <c r="M3190">
        <v>8</v>
      </c>
      <c r="N3190">
        <v>4</v>
      </c>
      <c r="O3190">
        <v>4</v>
      </c>
      <c r="P3190">
        <v>4</v>
      </c>
      <c r="Q3190">
        <v>0.309</v>
      </c>
      <c r="R3190">
        <v>1</v>
      </c>
      <c r="S3190">
        <v>0.25</v>
      </c>
      <c r="T3190">
        <v>3</v>
      </c>
      <c r="U3190">
        <v>12.5</v>
      </c>
      <c r="V3190">
        <v>1130.9803921568628</v>
      </c>
      <c r="W3190">
        <v>1</v>
      </c>
    </row>
    <row r="3191" spans="1:23" x14ac:dyDescent="0.2">
      <c r="A3191">
        <v>2020</v>
      </c>
      <c r="B3191" t="s">
        <v>23</v>
      </c>
      <c r="C3191" t="s">
        <v>272</v>
      </c>
      <c r="D3191">
        <v>173</v>
      </c>
      <c r="E3191">
        <v>2</v>
      </c>
      <c r="F3191">
        <v>5</v>
      </c>
      <c r="G3191" t="s">
        <v>198</v>
      </c>
      <c r="H3191" s="1">
        <v>13</v>
      </c>
      <c r="I3191" s="1">
        <v>64</v>
      </c>
      <c r="J3191" s="1">
        <v>69</v>
      </c>
      <c r="K3191" s="1">
        <f>J3191-I3191</f>
        <v>5</v>
      </c>
      <c r="L3191" s="1">
        <v>143</v>
      </c>
      <c r="M3191" s="1">
        <v>60</v>
      </c>
      <c r="N3191" s="1">
        <v>2</v>
      </c>
      <c r="O3191" s="1">
        <v>3.5</v>
      </c>
      <c r="P3191" s="1">
        <f>H3191-1</f>
        <v>12</v>
      </c>
      <c r="Q3191" s="2">
        <v>0.28000000000000003</v>
      </c>
      <c r="R3191" s="1">
        <v>10</v>
      </c>
      <c r="S3191" s="1">
        <f>R3191/P3191</f>
        <v>0.83333333333333337</v>
      </c>
      <c r="T3191" s="1">
        <v>5</v>
      </c>
      <c r="U3191" s="1">
        <v>12.5</v>
      </c>
      <c r="V3191" s="1">
        <v>1024.8366013071898</v>
      </c>
      <c r="W3191" s="1">
        <v>5</v>
      </c>
    </row>
    <row r="3192" spans="1:23" x14ac:dyDescent="0.2">
      <c r="A3192">
        <v>2020</v>
      </c>
      <c r="B3192" t="s">
        <v>23</v>
      </c>
      <c r="C3192" t="s">
        <v>272</v>
      </c>
      <c r="D3192">
        <v>174</v>
      </c>
      <c r="E3192">
        <v>1</v>
      </c>
      <c r="F3192">
        <v>2</v>
      </c>
      <c r="G3192" t="s">
        <v>199</v>
      </c>
      <c r="H3192">
        <v>12</v>
      </c>
      <c r="I3192">
        <v>55</v>
      </c>
      <c r="J3192">
        <v>57</v>
      </c>
      <c r="K3192">
        <v>2</v>
      </c>
      <c r="L3192">
        <v>150</v>
      </c>
      <c r="M3192">
        <v>60</v>
      </c>
      <c r="N3192">
        <v>2.5</v>
      </c>
      <c r="O3192">
        <v>2</v>
      </c>
      <c r="P3192">
        <v>12</v>
      </c>
      <c r="Q3192">
        <v>0.7</v>
      </c>
      <c r="R3192">
        <v>12</v>
      </c>
      <c r="S3192">
        <v>1</v>
      </c>
      <c r="T3192">
        <v>3</v>
      </c>
      <c r="U3192">
        <v>12.5</v>
      </c>
      <c r="V3192">
        <v>2562.0915032679736</v>
      </c>
      <c r="W3192">
        <v>1</v>
      </c>
    </row>
    <row r="3193" spans="1:23" x14ac:dyDescent="0.2">
      <c r="A3193">
        <v>2020</v>
      </c>
      <c r="B3193" t="s">
        <v>23</v>
      </c>
      <c r="C3193" t="s">
        <v>272</v>
      </c>
      <c r="D3193">
        <v>174</v>
      </c>
      <c r="E3193">
        <v>2</v>
      </c>
      <c r="F3193">
        <v>2</v>
      </c>
      <c r="G3193" t="s">
        <v>199</v>
      </c>
      <c r="H3193" s="1">
        <v>8</v>
      </c>
      <c r="I3193" s="1">
        <v>69</v>
      </c>
      <c r="J3193" s="1">
        <v>74</v>
      </c>
      <c r="K3193" s="1">
        <f>J3193-I3193</f>
        <v>5</v>
      </c>
      <c r="L3193" s="1">
        <v>147</v>
      </c>
      <c r="M3193" s="1">
        <v>80</v>
      </c>
      <c r="N3193" s="1">
        <v>2</v>
      </c>
      <c r="O3193" s="1">
        <v>3.5</v>
      </c>
      <c r="P3193" s="1">
        <v>6</v>
      </c>
      <c r="Q3193" s="2">
        <v>0.22040000000000001</v>
      </c>
      <c r="R3193" s="1">
        <v>5</v>
      </c>
      <c r="S3193" s="1">
        <f>R3193/P3193</f>
        <v>0.83333333333333337</v>
      </c>
      <c r="T3193" s="1">
        <v>5</v>
      </c>
      <c r="U3193" s="1">
        <v>12.5</v>
      </c>
      <c r="V3193" s="1">
        <v>806.69281045751632</v>
      </c>
      <c r="W3193" s="1">
        <v>5</v>
      </c>
    </row>
    <row r="3194" spans="1:23" x14ac:dyDescent="0.2">
      <c r="A3194">
        <v>2020</v>
      </c>
      <c r="B3194" t="s">
        <v>23</v>
      </c>
      <c r="C3194" t="s">
        <v>272</v>
      </c>
      <c r="D3194">
        <v>175</v>
      </c>
      <c r="E3194">
        <v>1</v>
      </c>
      <c r="F3194">
        <v>6</v>
      </c>
      <c r="G3194" t="s">
        <v>200</v>
      </c>
      <c r="H3194" s="1">
        <v>3</v>
      </c>
      <c r="I3194" s="1">
        <v>60</v>
      </c>
      <c r="J3194" s="1">
        <v>63</v>
      </c>
      <c r="K3194" s="1">
        <f>J3194-I3194</f>
        <v>3</v>
      </c>
      <c r="L3194" s="1">
        <v>136</v>
      </c>
      <c r="M3194" s="1">
        <v>32</v>
      </c>
      <c r="N3194" s="1">
        <v>1.5</v>
      </c>
      <c r="O3194" s="1">
        <v>3.5</v>
      </c>
      <c r="P3194" s="1">
        <v>3</v>
      </c>
      <c r="Q3194" s="2">
        <v>0.185</v>
      </c>
      <c r="R3194" s="1">
        <v>4</v>
      </c>
      <c r="S3194" s="1">
        <f>R3194/P3194</f>
        <v>1.3333333333333333</v>
      </c>
      <c r="T3194" s="1">
        <v>3.5</v>
      </c>
      <c r="U3194" s="1">
        <v>12.5</v>
      </c>
      <c r="V3194" s="1">
        <v>677.12418300653599</v>
      </c>
      <c r="W3194" s="1">
        <v>2</v>
      </c>
    </row>
    <row r="3195" spans="1:23" x14ac:dyDescent="0.2">
      <c r="A3195">
        <v>2020</v>
      </c>
      <c r="B3195" t="s">
        <v>23</v>
      </c>
      <c r="C3195" t="s">
        <v>272</v>
      </c>
      <c r="D3195">
        <v>175</v>
      </c>
      <c r="E3195">
        <v>2</v>
      </c>
      <c r="F3195">
        <v>14</v>
      </c>
      <c r="G3195" t="s">
        <v>200</v>
      </c>
      <c r="H3195">
        <v>9</v>
      </c>
      <c r="I3195">
        <v>59</v>
      </c>
      <c r="J3195">
        <v>62</v>
      </c>
      <c r="K3195">
        <v>3</v>
      </c>
      <c r="L3195">
        <v>149</v>
      </c>
      <c r="M3195">
        <v>57</v>
      </c>
      <c r="N3195">
        <v>1.5</v>
      </c>
      <c r="O3195">
        <v>2.5</v>
      </c>
      <c r="P3195">
        <v>9</v>
      </c>
      <c r="Q3195">
        <v>0.7</v>
      </c>
      <c r="R3195">
        <v>8</v>
      </c>
      <c r="S3195">
        <v>0.88888888888888884</v>
      </c>
      <c r="T3195" t="s">
        <v>273</v>
      </c>
      <c r="U3195">
        <v>12.5</v>
      </c>
      <c r="V3195">
        <v>2562.0915032679736</v>
      </c>
      <c r="W3195">
        <v>2</v>
      </c>
    </row>
    <row r="3196" spans="1:23" x14ac:dyDescent="0.2">
      <c r="A3196">
        <v>2020</v>
      </c>
      <c r="B3196" t="s">
        <v>23</v>
      </c>
      <c r="C3196" t="s">
        <v>272</v>
      </c>
      <c r="D3196">
        <v>176</v>
      </c>
      <c r="E3196">
        <v>1</v>
      </c>
      <c r="F3196">
        <v>8</v>
      </c>
      <c r="G3196" t="s">
        <v>201</v>
      </c>
      <c r="H3196">
        <v>16</v>
      </c>
      <c r="I3196">
        <v>56</v>
      </c>
      <c r="J3196">
        <v>60</v>
      </c>
      <c r="K3196">
        <v>4</v>
      </c>
      <c r="L3196">
        <v>197</v>
      </c>
      <c r="M3196">
        <v>98</v>
      </c>
      <c r="N3196">
        <v>1</v>
      </c>
      <c r="O3196">
        <v>1.5</v>
      </c>
      <c r="P3196">
        <v>14</v>
      </c>
      <c r="Q3196">
        <v>1</v>
      </c>
      <c r="R3196">
        <v>13</v>
      </c>
      <c r="S3196">
        <v>0.9285714285714286</v>
      </c>
      <c r="T3196">
        <v>2</v>
      </c>
      <c r="U3196">
        <v>10.6</v>
      </c>
      <c r="V3196">
        <v>3739.6078431372548</v>
      </c>
      <c r="W3196">
        <v>1</v>
      </c>
    </row>
    <row r="3197" spans="1:23" x14ac:dyDescent="0.2">
      <c r="A3197">
        <v>2020</v>
      </c>
      <c r="B3197" t="s">
        <v>23</v>
      </c>
      <c r="C3197" t="s">
        <v>272</v>
      </c>
      <c r="D3197">
        <v>176</v>
      </c>
      <c r="E3197">
        <v>2</v>
      </c>
      <c r="F3197">
        <v>8</v>
      </c>
      <c r="G3197" t="s">
        <v>201</v>
      </c>
      <c r="H3197">
        <v>12</v>
      </c>
      <c r="I3197">
        <v>58</v>
      </c>
      <c r="J3197">
        <v>60</v>
      </c>
      <c r="K3197">
        <v>2</v>
      </c>
      <c r="L3197">
        <v>104</v>
      </c>
      <c r="M3197">
        <v>22</v>
      </c>
      <c r="N3197">
        <v>2</v>
      </c>
      <c r="O3197">
        <v>3</v>
      </c>
      <c r="P3197">
        <v>12</v>
      </c>
      <c r="Q3197">
        <v>1.4</v>
      </c>
      <c r="R3197">
        <v>13</v>
      </c>
      <c r="S3197">
        <v>1.0833333333333333</v>
      </c>
      <c r="T3197">
        <v>3</v>
      </c>
      <c r="U3197">
        <v>12.5</v>
      </c>
      <c r="V3197">
        <v>5124.1830065359472</v>
      </c>
      <c r="W3197">
        <v>1</v>
      </c>
    </row>
    <row r="3198" spans="1:23" x14ac:dyDescent="0.2">
      <c r="A3198">
        <v>2020</v>
      </c>
      <c r="B3198" t="s">
        <v>23</v>
      </c>
      <c r="C3198" t="s">
        <v>272</v>
      </c>
      <c r="D3198">
        <v>177</v>
      </c>
      <c r="E3198">
        <v>1</v>
      </c>
      <c r="F3198">
        <v>4</v>
      </c>
      <c r="G3198" t="s">
        <v>202</v>
      </c>
      <c r="H3198" s="1">
        <v>8</v>
      </c>
      <c r="I3198" s="1">
        <v>69</v>
      </c>
      <c r="J3198" s="1">
        <v>70</v>
      </c>
      <c r="K3198" s="1">
        <f>J3198-I3198</f>
        <v>1</v>
      </c>
      <c r="L3198" s="1">
        <v>153</v>
      </c>
      <c r="M3198" s="1">
        <v>84</v>
      </c>
      <c r="N3198" s="1">
        <v>2</v>
      </c>
      <c r="O3198" s="1">
        <v>3.5</v>
      </c>
      <c r="P3198" s="1">
        <f>H3198-2</f>
        <v>6</v>
      </c>
      <c r="Q3198" s="2">
        <v>0.255</v>
      </c>
      <c r="R3198" s="1">
        <v>4</v>
      </c>
      <c r="S3198" s="1">
        <f>R3198/P3198</f>
        <v>0.66666666666666663</v>
      </c>
      <c r="T3198" s="1">
        <v>4</v>
      </c>
      <c r="U3198" s="1">
        <v>12.5</v>
      </c>
      <c r="V3198" s="1">
        <v>933.33333333333337</v>
      </c>
      <c r="W3198" s="1">
        <v>3</v>
      </c>
    </row>
    <row r="3199" spans="1:23" x14ac:dyDescent="0.2">
      <c r="A3199">
        <v>2020</v>
      </c>
      <c r="B3199" t="s">
        <v>23</v>
      </c>
      <c r="C3199" t="s">
        <v>272</v>
      </c>
      <c r="D3199">
        <v>177</v>
      </c>
      <c r="E3199">
        <v>2</v>
      </c>
      <c r="F3199">
        <v>2</v>
      </c>
      <c r="G3199" t="s">
        <v>202</v>
      </c>
      <c r="H3199">
        <v>5</v>
      </c>
      <c r="I3199">
        <v>63</v>
      </c>
      <c r="J3199">
        <v>67</v>
      </c>
      <c r="K3199">
        <v>4</v>
      </c>
      <c r="L3199">
        <v>115</v>
      </c>
      <c r="M3199">
        <v>61</v>
      </c>
      <c r="N3199">
        <v>2</v>
      </c>
      <c r="O3199">
        <v>3</v>
      </c>
      <c r="P3199">
        <v>5</v>
      </c>
      <c r="Q3199">
        <v>0.5</v>
      </c>
      <c r="R3199">
        <v>5</v>
      </c>
      <c r="S3199">
        <v>1</v>
      </c>
      <c r="T3199">
        <v>3</v>
      </c>
      <c r="U3199">
        <v>12.5</v>
      </c>
      <c r="V3199">
        <v>1830.0653594771243</v>
      </c>
      <c r="W3199">
        <v>1</v>
      </c>
    </row>
    <row r="3200" spans="1:23" x14ac:dyDescent="0.2">
      <c r="A3200">
        <v>2020</v>
      </c>
      <c r="B3200" t="s">
        <v>23</v>
      </c>
      <c r="C3200" t="s">
        <v>272</v>
      </c>
      <c r="D3200">
        <v>178</v>
      </c>
      <c r="E3200">
        <v>1</v>
      </c>
      <c r="F3200">
        <v>9</v>
      </c>
      <c r="G3200" t="s">
        <v>203</v>
      </c>
      <c r="H3200">
        <v>4</v>
      </c>
      <c r="I3200">
        <v>58</v>
      </c>
      <c r="J3200">
        <v>60</v>
      </c>
      <c r="K3200">
        <v>2</v>
      </c>
      <c r="L3200">
        <v>92</v>
      </c>
      <c r="M3200">
        <v>22</v>
      </c>
      <c r="N3200">
        <v>2</v>
      </c>
      <c r="O3200">
        <v>3</v>
      </c>
      <c r="P3200">
        <v>4</v>
      </c>
      <c r="Q3200">
        <v>0.2</v>
      </c>
      <c r="R3200">
        <v>4</v>
      </c>
      <c r="S3200">
        <v>1</v>
      </c>
      <c r="T3200">
        <v>2.5</v>
      </c>
      <c r="U3200">
        <v>12.5</v>
      </c>
      <c r="V3200">
        <v>732.02614379084969</v>
      </c>
      <c r="W3200">
        <v>1</v>
      </c>
    </row>
    <row r="3201" spans="1:23" x14ac:dyDescent="0.2">
      <c r="A3201">
        <v>2020</v>
      </c>
      <c r="B3201" t="s">
        <v>23</v>
      </c>
      <c r="C3201" t="s">
        <v>272</v>
      </c>
      <c r="D3201">
        <v>178</v>
      </c>
      <c r="E3201">
        <v>2</v>
      </c>
      <c r="F3201">
        <v>12</v>
      </c>
      <c r="G3201" t="s">
        <v>203</v>
      </c>
      <c r="H3201" s="1">
        <v>3</v>
      </c>
      <c r="I3201" s="1">
        <v>68</v>
      </c>
      <c r="J3201" s="1">
        <v>72</v>
      </c>
      <c r="K3201" s="1">
        <f>J3201-I3201</f>
        <v>4</v>
      </c>
      <c r="L3201" s="1">
        <v>221</v>
      </c>
      <c r="M3201" s="1">
        <v>109</v>
      </c>
      <c r="N3201" s="1">
        <v>3</v>
      </c>
      <c r="O3201" s="1">
        <v>4</v>
      </c>
      <c r="P3201" s="1">
        <v>2</v>
      </c>
      <c r="Q3201" s="2">
        <v>7.4999999999999997E-2</v>
      </c>
      <c r="R3201" s="1">
        <v>3</v>
      </c>
      <c r="S3201" s="1">
        <f>R3201/P3201</f>
        <v>1.5</v>
      </c>
      <c r="T3201" s="1">
        <v>4</v>
      </c>
      <c r="U3201" s="1">
        <v>12.5</v>
      </c>
      <c r="V3201" s="1">
        <v>274.50980392156862</v>
      </c>
      <c r="W3201" s="1">
        <v>2</v>
      </c>
    </row>
    <row r="3202" spans="1:23" x14ac:dyDescent="0.2">
      <c r="A3202">
        <v>2020</v>
      </c>
      <c r="B3202" t="s">
        <v>23</v>
      </c>
      <c r="C3202" t="s">
        <v>272</v>
      </c>
      <c r="D3202">
        <v>179</v>
      </c>
      <c r="E3202">
        <v>1</v>
      </c>
      <c r="F3202">
        <v>14</v>
      </c>
      <c r="G3202" t="s">
        <v>204</v>
      </c>
      <c r="H3202" s="1">
        <v>9</v>
      </c>
      <c r="I3202" s="1">
        <v>62</v>
      </c>
      <c r="J3202" s="1">
        <v>66</v>
      </c>
      <c r="K3202" s="1">
        <f>J3202-I3202</f>
        <v>4</v>
      </c>
      <c r="L3202" s="1">
        <v>138</v>
      </c>
      <c r="M3202" s="1">
        <v>78</v>
      </c>
      <c r="N3202" s="1">
        <v>2</v>
      </c>
      <c r="O3202" s="1">
        <v>2.5</v>
      </c>
      <c r="P3202" s="1">
        <v>4</v>
      </c>
      <c r="Q3202" s="2">
        <v>0.11519999999999998</v>
      </c>
      <c r="R3202" s="1">
        <v>4</v>
      </c>
      <c r="S3202" s="1">
        <f>R3202/P3202</f>
        <v>1</v>
      </c>
      <c r="T3202" s="1">
        <v>5</v>
      </c>
      <c r="U3202" s="1">
        <v>12.5</v>
      </c>
      <c r="V3202" s="1">
        <v>421.64705882352945</v>
      </c>
      <c r="W3202" s="1">
        <v>6</v>
      </c>
    </row>
    <row r="3203" spans="1:23" x14ac:dyDescent="0.2">
      <c r="A3203">
        <v>2020</v>
      </c>
      <c r="B3203" t="s">
        <v>23</v>
      </c>
      <c r="C3203" t="s">
        <v>272</v>
      </c>
      <c r="D3203">
        <v>179</v>
      </c>
      <c r="E3203">
        <v>2</v>
      </c>
      <c r="F3203">
        <v>11</v>
      </c>
      <c r="G3203" t="s">
        <v>204</v>
      </c>
      <c r="H3203" s="1">
        <v>6</v>
      </c>
      <c r="I3203" s="1">
        <v>62</v>
      </c>
      <c r="J3203" s="1">
        <v>65</v>
      </c>
      <c r="K3203" s="1">
        <f>J3203-I3203</f>
        <v>3</v>
      </c>
      <c r="L3203" s="1">
        <v>112</v>
      </c>
      <c r="M3203" s="1">
        <v>51</v>
      </c>
      <c r="N3203" s="1">
        <v>2</v>
      </c>
      <c r="O3203" s="1">
        <v>3</v>
      </c>
      <c r="P3203" s="1">
        <v>6</v>
      </c>
      <c r="Q3203" s="2">
        <v>0.33500000000000002</v>
      </c>
      <c r="R3203" s="1">
        <v>6</v>
      </c>
      <c r="S3203" s="1">
        <f>R3203/P3203</f>
        <v>1</v>
      </c>
      <c r="T3203" s="1">
        <v>3</v>
      </c>
      <c r="U3203" s="1">
        <v>12.5</v>
      </c>
      <c r="V3203" s="1">
        <v>1226.1437908496732</v>
      </c>
      <c r="W3203" s="1">
        <v>3</v>
      </c>
    </row>
    <row r="3204" spans="1:23" x14ac:dyDescent="0.2">
      <c r="A3204">
        <v>2020</v>
      </c>
      <c r="B3204" t="s">
        <v>23</v>
      </c>
      <c r="C3204" t="s">
        <v>272</v>
      </c>
      <c r="D3204">
        <v>180</v>
      </c>
      <c r="E3204">
        <v>1</v>
      </c>
      <c r="F3204">
        <v>6</v>
      </c>
      <c r="G3204" t="s">
        <v>205</v>
      </c>
      <c r="H3204">
        <v>16</v>
      </c>
      <c r="I3204">
        <v>54</v>
      </c>
      <c r="J3204">
        <v>56</v>
      </c>
      <c r="K3204">
        <v>2</v>
      </c>
      <c r="L3204">
        <v>178</v>
      </c>
      <c r="M3204">
        <v>85</v>
      </c>
      <c r="N3204">
        <v>2</v>
      </c>
      <c r="O3204">
        <v>2</v>
      </c>
      <c r="P3204">
        <v>6</v>
      </c>
      <c r="Q3204">
        <v>0.5</v>
      </c>
      <c r="R3204">
        <v>6</v>
      </c>
      <c r="S3204">
        <v>1</v>
      </c>
      <c r="T3204">
        <v>3</v>
      </c>
      <c r="U3204">
        <v>10.1</v>
      </c>
      <c r="V3204">
        <v>1880.2614379084969</v>
      </c>
      <c r="W3204">
        <v>2</v>
      </c>
    </row>
    <row r="3205" spans="1:23" x14ac:dyDescent="0.2">
      <c r="A3205">
        <v>2020</v>
      </c>
      <c r="B3205" t="s">
        <v>23</v>
      </c>
      <c r="C3205" t="s">
        <v>272</v>
      </c>
      <c r="D3205">
        <v>180</v>
      </c>
      <c r="E3205">
        <v>2</v>
      </c>
      <c r="F3205">
        <v>6</v>
      </c>
      <c r="G3205" t="s">
        <v>205</v>
      </c>
      <c r="H3205">
        <v>12</v>
      </c>
      <c r="I3205">
        <v>53</v>
      </c>
      <c r="J3205">
        <v>54</v>
      </c>
      <c r="K3205">
        <v>1</v>
      </c>
      <c r="L3205">
        <v>148</v>
      </c>
      <c r="M3205">
        <v>54</v>
      </c>
      <c r="N3205">
        <v>1</v>
      </c>
      <c r="O3205">
        <v>1.5</v>
      </c>
      <c r="P3205">
        <v>11</v>
      </c>
      <c r="Q3205">
        <v>1</v>
      </c>
      <c r="R3205">
        <v>15</v>
      </c>
      <c r="S3205">
        <v>1.3636363636363635</v>
      </c>
      <c r="T3205">
        <v>3</v>
      </c>
      <c r="U3205">
        <v>10.8</v>
      </c>
      <c r="V3205">
        <v>3731.2418300653599</v>
      </c>
      <c r="W3205">
        <v>1</v>
      </c>
    </row>
    <row r="3206" spans="1:23" x14ac:dyDescent="0.2">
      <c r="A3206">
        <v>2020</v>
      </c>
      <c r="B3206" t="s">
        <v>23</v>
      </c>
      <c r="C3206" t="s">
        <v>272</v>
      </c>
      <c r="D3206">
        <v>181</v>
      </c>
      <c r="E3206">
        <v>1</v>
      </c>
      <c r="F3206">
        <v>2</v>
      </c>
      <c r="G3206" t="s">
        <v>206</v>
      </c>
      <c r="H3206" s="1">
        <v>8</v>
      </c>
      <c r="I3206" s="1">
        <v>62</v>
      </c>
      <c r="J3206" s="1">
        <v>67</v>
      </c>
      <c r="K3206" s="1">
        <f>J3206-I3206</f>
        <v>5</v>
      </c>
      <c r="L3206" s="1">
        <v>60</v>
      </c>
      <c r="M3206" s="1">
        <v>25</v>
      </c>
      <c r="N3206" s="1">
        <v>1.5</v>
      </c>
      <c r="O3206" s="1">
        <v>5</v>
      </c>
      <c r="P3206" s="1">
        <v>7</v>
      </c>
      <c r="Q3206" s="2">
        <v>0.224</v>
      </c>
      <c r="R3206" s="1">
        <v>6</v>
      </c>
      <c r="S3206" s="1">
        <f>R3206/P3206</f>
        <v>0.8571428571428571</v>
      </c>
      <c r="T3206" s="1">
        <v>4.5</v>
      </c>
      <c r="U3206" s="1">
        <v>12.5</v>
      </c>
      <c r="V3206" s="1">
        <v>819.86928104575168</v>
      </c>
      <c r="W3206" s="1">
        <v>5</v>
      </c>
    </row>
    <row r="3207" spans="1:23" x14ac:dyDescent="0.2">
      <c r="A3207">
        <v>2020</v>
      </c>
      <c r="B3207" t="s">
        <v>23</v>
      </c>
      <c r="C3207" t="s">
        <v>272</v>
      </c>
      <c r="D3207">
        <v>181</v>
      </c>
      <c r="E3207">
        <v>2</v>
      </c>
      <c r="F3207">
        <v>2</v>
      </c>
      <c r="G3207" t="s">
        <v>206</v>
      </c>
      <c r="H3207" s="1">
        <v>8</v>
      </c>
      <c r="I3207" s="1">
        <v>67</v>
      </c>
      <c r="J3207" s="1">
        <v>72</v>
      </c>
      <c r="K3207" s="1">
        <f>J3207-I3207</f>
        <v>5</v>
      </c>
      <c r="L3207" s="1">
        <v>116</v>
      </c>
      <c r="M3207" s="1">
        <v>41</v>
      </c>
      <c r="N3207" s="1">
        <v>2</v>
      </c>
      <c r="O3207" s="1">
        <v>4.5</v>
      </c>
      <c r="P3207" s="1">
        <v>6</v>
      </c>
      <c r="Q3207" s="2">
        <v>0.13500000000000001</v>
      </c>
      <c r="R3207" s="1">
        <v>5</v>
      </c>
      <c r="S3207" s="1">
        <f>R3207/P3207</f>
        <v>0.83333333333333337</v>
      </c>
      <c r="T3207" s="1">
        <v>3</v>
      </c>
      <c r="U3207" s="1">
        <v>12.5</v>
      </c>
      <c r="V3207" s="1">
        <v>494.11764705882354</v>
      </c>
      <c r="W3207" s="1">
        <v>5</v>
      </c>
    </row>
    <row r="3208" spans="1:23" x14ac:dyDescent="0.2">
      <c r="A3208">
        <v>2020</v>
      </c>
      <c r="B3208" t="s">
        <v>23</v>
      </c>
      <c r="C3208" t="s">
        <v>272</v>
      </c>
      <c r="D3208">
        <v>182</v>
      </c>
      <c r="E3208">
        <v>1</v>
      </c>
      <c r="F3208">
        <v>7</v>
      </c>
      <c r="G3208" t="s">
        <v>207</v>
      </c>
      <c r="H3208">
        <v>4</v>
      </c>
      <c r="I3208">
        <v>63</v>
      </c>
      <c r="J3208">
        <v>65</v>
      </c>
      <c r="K3208">
        <v>2</v>
      </c>
      <c r="L3208">
        <v>145</v>
      </c>
      <c r="M3208">
        <v>80</v>
      </c>
      <c r="N3208">
        <v>1.5</v>
      </c>
      <c r="O3208">
        <v>2</v>
      </c>
      <c r="P3208">
        <v>4</v>
      </c>
      <c r="Q3208">
        <v>0.7</v>
      </c>
      <c r="R3208">
        <v>4</v>
      </c>
      <c r="S3208">
        <v>1</v>
      </c>
      <c r="T3208">
        <v>2.5</v>
      </c>
      <c r="U3208">
        <v>12.5</v>
      </c>
      <c r="V3208">
        <v>2562.0915032679736</v>
      </c>
      <c r="W3208">
        <v>1</v>
      </c>
    </row>
    <row r="3209" spans="1:23" x14ac:dyDescent="0.2">
      <c r="A3209">
        <v>2020</v>
      </c>
      <c r="B3209" t="s">
        <v>23</v>
      </c>
      <c r="C3209" t="s">
        <v>272</v>
      </c>
      <c r="D3209">
        <v>182</v>
      </c>
      <c r="E3209">
        <v>2</v>
      </c>
      <c r="F3209">
        <v>9</v>
      </c>
      <c r="G3209" t="s">
        <v>207</v>
      </c>
      <c r="H3209" s="1">
        <v>11</v>
      </c>
      <c r="I3209" s="1">
        <v>62</v>
      </c>
      <c r="J3209" s="1">
        <v>67</v>
      </c>
      <c r="K3209" s="1">
        <f>J3209-I3209</f>
        <v>5</v>
      </c>
      <c r="L3209" s="1">
        <v>123</v>
      </c>
      <c r="M3209" s="1">
        <v>55</v>
      </c>
      <c r="N3209" s="1">
        <v>2</v>
      </c>
      <c r="O3209" s="1">
        <v>3.5</v>
      </c>
      <c r="P3209" s="1">
        <v>10</v>
      </c>
      <c r="Q3209" s="2">
        <v>0.21080000000000002</v>
      </c>
      <c r="R3209" s="1">
        <v>5</v>
      </c>
      <c r="S3209" s="1">
        <f>R3209/P3209</f>
        <v>0.5</v>
      </c>
      <c r="T3209" s="1">
        <v>5</v>
      </c>
      <c r="U3209" s="1">
        <v>12.5</v>
      </c>
      <c r="V3209" s="1">
        <v>771.55555555555554</v>
      </c>
      <c r="W3209" s="1">
        <v>4</v>
      </c>
    </row>
    <row r="3210" spans="1:23" x14ac:dyDescent="0.2">
      <c r="A3210">
        <v>2020</v>
      </c>
      <c r="B3210" t="s">
        <v>23</v>
      </c>
      <c r="C3210" t="s">
        <v>272</v>
      </c>
      <c r="D3210">
        <v>183</v>
      </c>
      <c r="E3210">
        <v>1</v>
      </c>
      <c r="F3210">
        <v>8</v>
      </c>
      <c r="G3210" t="s">
        <v>208</v>
      </c>
      <c r="H3210">
        <v>12</v>
      </c>
      <c r="I3210">
        <v>55</v>
      </c>
      <c r="J3210">
        <v>57</v>
      </c>
      <c r="K3210">
        <v>2</v>
      </c>
      <c r="L3210">
        <v>170</v>
      </c>
      <c r="M3210">
        <v>61</v>
      </c>
      <c r="N3210">
        <v>1.5</v>
      </c>
      <c r="O3210">
        <v>2.5</v>
      </c>
      <c r="P3210">
        <v>12</v>
      </c>
      <c r="Q3210">
        <v>1</v>
      </c>
      <c r="R3210">
        <v>10</v>
      </c>
      <c r="S3210">
        <v>0.83333333333333337</v>
      </c>
      <c r="T3210" t="s">
        <v>273</v>
      </c>
      <c r="U3210">
        <v>12.5</v>
      </c>
      <c r="V3210">
        <v>3660.1307189542486</v>
      </c>
      <c r="W3210">
        <v>2</v>
      </c>
    </row>
    <row r="3211" spans="1:23" x14ac:dyDescent="0.2">
      <c r="A3211">
        <v>2020</v>
      </c>
      <c r="B3211" t="s">
        <v>23</v>
      </c>
      <c r="C3211" t="s">
        <v>272</v>
      </c>
      <c r="D3211">
        <v>183</v>
      </c>
      <c r="E3211">
        <v>2</v>
      </c>
      <c r="F3211">
        <v>10</v>
      </c>
      <c r="G3211" t="s">
        <v>208</v>
      </c>
      <c r="H3211" s="1">
        <v>8</v>
      </c>
      <c r="I3211" s="1">
        <v>68</v>
      </c>
      <c r="J3211" s="1">
        <v>70</v>
      </c>
      <c r="K3211" s="1">
        <f>J3211-I3211</f>
        <v>2</v>
      </c>
      <c r="L3211" s="1">
        <v>158</v>
      </c>
      <c r="M3211" s="1">
        <v>79</v>
      </c>
      <c r="N3211" s="1">
        <v>2</v>
      </c>
      <c r="O3211" s="1">
        <v>3.5</v>
      </c>
      <c r="P3211" s="1">
        <v>8</v>
      </c>
      <c r="Q3211" s="2">
        <v>0.13950000000000001</v>
      </c>
      <c r="R3211" s="1">
        <v>5</v>
      </c>
      <c r="S3211" s="1">
        <f>R3211/P3211</f>
        <v>0.625</v>
      </c>
      <c r="T3211" s="1">
        <v>4</v>
      </c>
      <c r="U3211" s="1">
        <v>7.9</v>
      </c>
      <c r="V3211" s="1">
        <v>537.43058823529418</v>
      </c>
      <c r="W3211" s="1">
        <v>3</v>
      </c>
    </row>
    <row r="3212" spans="1:23" x14ac:dyDescent="0.2">
      <c r="A3212">
        <v>2020</v>
      </c>
      <c r="B3212" t="s">
        <v>23</v>
      </c>
      <c r="C3212" t="s">
        <v>272</v>
      </c>
      <c r="D3212">
        <v>184</v>
      </c>
      <c r="E3212">
        <v>1</v>
      </c>
      <c r="F3212">
        <v>5</v>
      </c>
      <c r="G3212" t="s">
        <v>209</v>
      </c>
      <c r="H3212" s="1">
        <v>5</v>
      </c>
      <c r="I3212" s="1">
        <v>61</v>
      </c>
      <c r="J3212" s="1">
        <v>66</v>
      </c>
      <c r="K3212" s="1">
        <f>J3212-I3212</f>
        <v>5</v>
      </c>
      <c r="L3212" s="1">
        <v>157</v>
      </c>
      <c r="M3212" s="1">
        <v>90</v>
      </c>
      <c r="N3212" s="1">
        <v>2</v>
      </c>
      <c r="O3212" s="1">
        <v>3</v>
      </c>
      <c r="P3212" s="1">
        <v>5</v>
      </c>
      <c r="Q3212" s="2">
        <v>0.65200000000000002</v>
      </c>
      <c r="R3212" s="1">
        <v>3</v>
      </c>
      <c r="S3212" s="1">
        <f>R3212/P3212</f>
        <v>0.6</v>
      </c>
      <c r="T3212" s="1">
        <v>4</v>
      </c>
      <c r="U3212" s="1">
        <v>8</v>
      </c>
      <c r="V3212" s="1">
        <v>2509.134640522876</v>
      </c>
      <c r="W3212" s="1">
        <v>4</v>
      </c>
    </row>
    <row r="3213" spans="1:23" x14ac:dyDescent="0.2">
      <c r="A3213">
        <v>2020</v>
      </c>
      <c r="B3213" t="s">
        <v>23</v>
      </c>
      <c r="C3213" t="s">
        <v>272</v>
      </c>
      <c r="D3213">
        <v>184</v>
      </c>
      <c r="E3213">
        <v>2</v>
      </c>
      <c r="F3213">
        <v>5</v>
      </c>
      <c r="G3213" t="s">
        <v>209</v>
      </c>
      <c r="H3213" s="1">
        <v>10</v>
      </c>
      <c r="I3213" s="1">
        <v>62</v>
      </c>
      <c r="J3213" s="1">
        <v>67</v>
      </c>
      <c r="K3213" s="1">
        <f>J3213-I3213</f>
        <v>5</v>
      </c>
      <c r="L3213" s="1">
        <v>123</v>
      </c>
      <c r="M3213" s="1">
        <v>55</v>
      </c>
      <c r="N3213" s="1">
        <v>3</v>
      </c>
      <c r="O3213" s="1">
        <v>4</v>
      </c>
      <c r="P3213" s="1">
        <v>6</v>
      </c>
      <c r="Q3213" s="2">
        <v>0.16</v>
      </c>
      <c r="R3213" s="1">
        <v>4</v>
      </c>
      <c r="S3213" s="1">
        <f>R3213/P3213</f>
        <v>0.66666666666666663</v>
      </c>
      <c r="T3213" s="1">
        <v>5</v>
      </c>
      <c r="U3213" s="1">
        <v>12.5</v>
      </c>
      <c r="V3213" s="1">
        <v>585.62091503267982</v>
      </c>
      <c r="W3213" s="1">
        <v>6</v>
      </c>
    </row>
    <row r="3214" spans="1:23" x14ac:dyDescent="0.2">
      <c r="A3214">
        <v>2020</v>
      </c>
      <c r="B3214" t="s">
        <v>23</v>
      </c>
      <c r="C3214" t="s">
        <v>272</v>
      </c>
      <c r="D3214">
        <v>185</v>
      </c>
      <c r="E3214">
        <v>1</v>
      </c>
      <c r="F3214">
        <v>1</v>
      </c>
      <c r="G3214" t="s">
        <v>210</v>
      </c>
      <c r="H3214">
        <v>14</v>
      </c>
      <c r="I3214">
        <v>55</v>
      </c>
      <c r="J3214">
        <v>59</v>
      </c>
      <c r="K3214">
        <v>4</v>
      </c>
      <c r="L3214">
        <v>86</v>
      </c>
      <c r="M3214">
        <v>35</v>
      </c>
      <c r="N3214">
        <v>2</v>
      </c>
      <c r="O3214">
        <v>2</v>
      </c>
      <c r="P3214">
        <v>14</v>
      </c>
      <c r="Q3214">
        <v>1.68</v>
      </c>
      <c r="R3214">
        <v>16</v>
      </c>
      <c r="S3214">
        <v>1.1428571428571428</v>
      </c>
      <c r="T3214">
        <v>3</v>
      </c>
      <c r="U3214">
        <v>12.5</v>
      </c>
      <c r="V3214">
        <v>6149.0196078431372</v>
      </c>
      <c r="W3214">
        <v>1</v>
      </c>
    </row>
    <row r="3215" spans="1:23" x14ac:dyDescent="0.2">
      <c r="A3215">
        <v>2020</v>
      </c>
      <c r="B3215" t="s">
        <v>23</v>
      </c>
      <c r="C3215" t="s">
        <v>272</v>
      </c>
      <c r="D3215">
        <v>185</v>
      </c>
      <c r="E3215">
        <v>2</v>
      </c>
      <c r="F3215">
        <v>13</v>
      </c>
      <c r="G3215" t="s">
        <v>210</v>
      </c>
      <c r="H3215">
        <v>16</v>
      </c>
      <c r="I3215">
        <v>55</v>
      </c>
      <c r="J3215">
        <v>58</v>
      </c>
      <c r="K3215">
        <v>3</v>
      </c>
      <c r="L3215">
        <v>150</v>
      </c>
      <c r="M3215">
        <v>65</v>
      </c>
      <c r="N3215">
        <v>2</v>
      </c>
      <c r="O3215">
        <v>2</v>
      </c>
      <c r="P3215">
        <v>10</v>
      </c>
      <c r="Q3215">
        <v>0.5</v>
      </c>
      <c r="R3215">
        <v>9</v>
      </c>
      <c r="S3215">
        <v>0.9</v>
      </c>
      <c r="T3215">
        <v>2</v>
      </c>
      <c r="U3215">
        <v>9.1999999999999993</v>
      </c>
      <c r="V3215">
        <v>1899.0849673202615</v>
      </c>
      <c r="W3215">
        <v>1</v>
      </c>
    </row>
    <row r="3216" spans="1:23" x14ac:dyDescent="0.2">
      <c r="A3216">
        <v>2020</v>
      </c>
      <c r="B3216" t="s">
        <v>23</v>
      </c>
      <c r="C3216" t="s">
        <v>272</v>
      </c>
      <c r="D3216">
        <v>186</v>
      </c>
      <c r="E3216">
        <v>1</v>
      </c>
      <c r="F3216">
        <v>13</v>
      </c>
      <c r="G3216" t="s">
        <v>211</v>
      </c>
      <c r="H3216" s="1">
        <v>9</v>
      </c>
      <c r="I3216" s="1">
        <v>67</v>
      </c>
      <c r="J3216" s="1">
        <v>70</v>
      </c>
      <c r="K3216" s="1">
        <f>J3216-I3216</f>
        <v>3</v>
      </c>
      <c r="L3216" s="1">
        <v>146</v>
      </c>
      <c r="M3216" s="1">
        <v>75</v>
      </c>
      <c r="N3216" s="1">
        <v>2</v>
      </c>
      <c r="O3216" s="1">
        <v>3</v>
      </c>
      <c r="P3216" s="1">
        <v>9</v>
      </c>
      <c r="Q3216" s="2">
        <v>0.38</v>
      </c>
      <c r="R3216" s="1">
        <v>6</v>
      </c>
      <c r="S3216" s="1">
        <f>R3216/P3216</f>
        <v>0.66666666666666663</v>
      </c>
      <c r="T3216" s="1">
        <v>5</v>
      </c>
      <c r="U3216" s="1">
        <v>12.5</v>
      </c>
      <c r="V3216" s="1">
        <v>1390.8496732026144</v>
      </c>
      <c r="W3216" s="1">
        <v>5</v>
      </c>
    </row>
    <row r="3217" spans="1:23" x14ac:dyDescent="0.2">
      <c r="A3217">
        <v>2020</v>
      </c>
      <c r="B3217" t="s">
        <v>23</v>
      </c>
      <c r="C3217" t="s">
        <v>272</v>
      </c>
      <c r="D3217">
        <v>186</v>
      </c>
      <c r="E3217">
        <v>2</v>
      </c>
      <c r="F3217">
        <v>8</v>
      </c>
      <c r="G3217" t="s">
        <v>211</v>
      </c>
      <c r="H3217">
        <v>8</v>
      </c>
      <c r="I3217">
        <v>55</v>
      </c>
      <c r="J3217">
        <v>58</v>
      </c>
      <c r="K3217">
        <v>3</v>
      </c>
      <c r="L3217">
        <v>130</v>
      </c>
      <c r="M3217">
        <v>56</v>
      </c>
      <c r="N3217">
        <v>2</v>
      </c>
      <c r="O3217">
        <v>2</v>
      </c>
      <c r="P3217">
        <v>8</v>
      </c>
      <c r="Q3217">
        <v>1.2</v>
      </c>
      <c r="R3217">
        <v>8</v>
      </c>
      <c r="S3217">
        <v>1</v>
      </c>
      <c r="T3217">
        <v>3</v>
      </c>
      <c r="U3217">
        <v>12.5</v>
      </c>
      <c r="V3217">
        <v>4392.1568627450979</v>
      </c>
      <c r="W3217">
        <v>1</v>
      </c>
    </row>
    <row r="3218" spans="1:23" x14ac:dyDescent="0.2">
      <c r="A3218">
        <v>2020</v>
      </c>
      <c r="B3218" t="s">
        <v>23</v>
      </c>
      <c r="C3218" t="s">
        <v>272</v>
      </c>
      <c r="D3218">
        <v>187</v>
      </c>
      <c r="E3218">
        <v>1</v>
      </c>
      <c r="F3218">
        <v>2</v>
      </c>
      <c r="G3218" t="s">
        <v>212</v>
      </c>
      <c r="H3218" s="1">
        <v>10</v>
      </c>
      <c r="I3218" s="1">
        <v>62</v>
      </c>
      <c r="J3218" s="1">
        <v>66</v>
      </c>
      <c r="K3218" s="1">
        <f>J3218-I3218</f>
        <v>4</v>
      </c>
      <c r="L3218" s="1">
        <v>210</v>
      </c>
      <c r="M3218" s="1">
        <v>103</v>
      </c>
      <c r="N3218" s="1">
        <v>1</v>
      </c>
      <c r="O3218" s="1">
        <v>1.5</v>
      </c>
      <c r="P3218" s="1">
        <v>10</v>
      </c>
      <c r="Q3218" s="2">
        <v>1.8360000000000001</v>
      </c>
      <c r="R3218" s="1">
        <v>10</v>
      </c>
      <c r="S3218" s="1">
        <f>R3218/P3218</f>
        <v>1</v>
      </c>
      <c r="T3218" s="1">
        <v>2</v>
      </c>
      <c r="U3218" s="1">
        <v>7.9</v>
      </c>
      <c r="V3218" s="1">
        <v>7073.2800000000007</v>
      </c>
      <c r="W3218" s="1">
        <v>3</v>
      </c>
    </row>
    <row r="3219" spans="1:23" x14ac:dyDescent="0.2">
      <c r="A3219">
        <v>2020</v>
      </c>
      <c r="B3219" t="s">
        <v>23</v>
      </c>
      <c r="C3219" t="s">
        <v>272</v>
      </c>
      <c r="D3219">
        <v>187</v>
      </c>
      <c r="E3219">
        <v>2</v>
      </c>
      <c r="F3219">
        <v>12</v>
      </c>
      <c r="G3219" t="s">
        <v>212</v>
      </c>
      <c r="H3219">
        <v>8</v>
      </c>
      <c r="I3219">
        <v>55</v>
      </c>
      <c r="J3219">
        <v>57</v>
      </c>
      <c r="K3219">
        <v>2</v>
      </c>
      <c r="L3219">
        <v>171</v>
      </c>
      <c r="M3219">
        <v>81</v>
      </c>
      <c r="N3219">
        <v>1.5</v>
      </c>
      <c r="O3219">
        <v>4</v>
      </c>
      <c r="P3219">
        <v>8</v>
      </c>
      <c r="Q3219">
        <v>0.6</v>
      </c>
      <c r="R3219">
        <v>10</v>
      </c>
      <c r="S3219">
        <v>1.25</v>
      </c>
      <c r="T3219">
        <v>2</v>
      </c>
      <c r="U3219">
        <v>12.5</v>
      </c>
      <c r="V3219">
        <v>2196.0784313725489</v>
      </c>
      <c r="W3219">
        <v>1</v>
      </c>
    </row>
    <row r="3220" spans="1:23" x14ac:dyDescent="0.2">
      <c r="A3220">
        <v>2020</v>
      </c>
      <c r="B3220" t="s">
        <v>23</v>
      </c>
      <c r="C3220" t="s">
        <v>272</v>
      </c>
      <c r="D3220">
        <v>188</v>
      </c>
      <c r="E3220">
        <v>1</v>
      </c>
      <c r="F3220">
        <v>12</v>
      </c>
      <c r="G3220" t="s">
        <v>213</v>
      </c>
      <c r="H3220" s="1">
        <v>8</v>
      </c>
      <c r="I3220" s="1">
        <v>64</v>
      </c>
      <c r="J3220" s="1">
        <v>67</v>
      </c>
      <c r="K3220" s="1">
        <f>J3220-I3220</f>
        <v>3</v>
      </c>
      <c r="L3220" s="1">
        <v>141</v>
      </c>
      <c r="M3220" s="1">
        <v>70</v>
      </c>
      <c r="N3220" s="1">
        <v>3</v>
      </c>
      <c r="O3220" s="1">
        <v>1</v>
      </c>
      <c r="P3220" s="1">
        <v>8</v>
      </c>
      <c r="Q3220" s="2">
        <v>5.7375000000000002E-2</v>
      </c>
      <c r="R3220" s="1">
        <v>4</v>
      </c>
      <c r="S3220" s="1">
        <f>R3220/P3220</f>
        <v>0.5</v>
      </c>
      <c r="T3220" s="1">
        <v>4</v>
      </c>
      <c r="U3220" s="1">
        <v>12.5</v>
      </c>
      <c r="V3220" s="1">
        <v>210</v>
      </c>
      <c r="W3220" s="1">
        <v>2</v>
      </c>
    </row>
    <row r="3221" spans="1:23" x14ac:dyDescent="0.2">
      <c r="A3221">
        <v>2020</v>
      </c>
      <c r="B3221" t="s">
        <v>23</v>
      </c>
      <c r="C3221" t="s">
        <v>272</v>
      </c>
      <c r="D3221">
        <v>188</v>
      </c>
      <c r="E3221">
        <v>2</v>
      </c>
      <c r="F3221">
        <v>10</v>
      </c>
      <c r="G3221" t="s">
        <v>213</v>
      </c>
      <c r="H3221">
        <v>8</v>
      </c>
      <c r="I3221">
        <v>62</v>
      </c>
      <c r="J3221">
        <v>65</v>
      </c>
      <c r="K3221">
        <v>3</v>
      </c>
      <c r="L3221">
        <v>155</v>
      </c>
      <c r="M3221">
        <v>90</v>
      </c>
      <c r="N3221">
        <v>2</v>
      </c>
      <c r="O3221">
        <v>3</v>
      </c>
      <c r="P3221">
        <v>8</v>
      </c>
      <c r="Q3221">
        <v>0.7</v>
      </c>
      <c r="R3221">
        <v>8</v>
      </c>
      <c r="S3221">
        <v>1</v>
      </c>
      <c r="T3221">
        <v>2.5</v>
      </c>
      <c r="U3221">
        <v>12.5</v>
      </c>
      <c r="V3221">
        <v>2562.0915032679736</v>
      </c>
      <c r="W3221">
        <v>1</v>
      </c>
    </row>
    <row r="3222" spans="1:23" x14ac:dyDescent="0.2">
      <c r="A3222">
        <v>2020</v>
      </c>
      <c r="B3222" t="s">
        <v>23</v>
      </c>
      <c r="C3222" t="s">
        <v>272</v>
      </c>
      <c r="D3222">
        <v>189</v>
      </c>
      <c r="E3222">
        <v>1</v>
      </c>
      <c r="F3222">
        <v>1</v>
      </c>
      <c r="G3222" t="s">
        <v>214</v>
      </c>
      <c r="H3222" s="1">
        <v>10</v>
      </c>
      <c r="I3222" s="1">
        <v>63</v>
      </c>
      <c r="J3222" s="1">
        <v>68</v>
      </c>
      <c r="K3222" s="1">
        <f t="shared" ref="K3222:K3231" si="164">J3222-I3222</f>
        <v>5</v>
      </c>
      <c r="L3222" s="1">
        <v>174</v>
      </c>
      <c r="M3222" s="1">
        <v>69</v>
      </c>
      <c r="N3222" s="1">
        <v>2</v>
      </c>
      <c r="O3222" s="1">
        <v>3.5</v>
      </c>
      <c r="P3222" s="1">
        <v>5</v>
      </c>
      <c r="Q3222" s="2">
        <v>8.2000000000000003E-2</v>
      </c>
      <c r="R3222" s="1">
        <v>1</v>
      </c>
      <c r="S3222" s="1">
        <f t="shared" ref="S3222:S3231" si="165">R3222/P3222</f>
        <v>0.2</v>
      </c>
      <c r="T3222" s="1">
        <v>2</v>
      </c>
      <c r="U3222" s="1">
        <v>12.5</v>
      </c>
      <c r="V3222" s="1">
        <v>300.13071895424832</v>
      </c>
      <c r="W3222" s="1">
        <v>4</v>
      </c>
    </row>
    <row r="3223" spans="1:23" x14ac:dyDescent="0.2">
      <c r="A3223">
        <v>2020</v>
      </c>
      <c r="B3223" t="s">
        <v>23</v>
      </c>
      <c r="C3223" t="s">
        <v>272</v>
      </c>
      <c r="D3223">
        <v>189</v>
      </c>
      <c r="E3223">
        <v>2</v>
      </c>
      <c r="F3223">
        <v>3</v>
      </c>
      <c r="G3223" t="s">
        <v>214</v>
      </c>
      <c r="H3223" s="1">
        <v>12</v>
      </c>
      <c r="I3223" s="1">
        <v>64</v>
      </c>
      <c r="J3223" s="1">
        <v>66</v>
      </c>
      <c r="K3223" s="1">
        <f t="shared" si="164"/>
        <v>2</v>
      </c>
      <c r="L3223" s="1">
        <v>133</v>
      </c>
      <c r="M3223" s="1">
        <v>82</v>
      </c>
      <c r="N3223" s="1">
        <v>2</v>
      </c>
      <c r="O3223" s="1">
        <v>3</v>
      </c>
      <c r="P3223" s="1">
        <v>10</v>
      </c>
      <c r="Q3223" s="2">
        <v>1.8281249999999999E-2</v>
      </c>
      <c r="R3223" s="1">
        <v>7</v>
      </c>
      <c r="S3223" s="1">
        <f t="shared" si="165"/>
        <v>0.7</v>
      </c>
      <c r="T3223" s="1">
        <v>5</v>
      </c>
      <c r="U3223" s="1">
        <v>12.5</v>
      </c>
      <c r="V3223" s="1">
        <v>66.911764705882362</v>
      </c>
      <c r="W3223" s="1">
        <v>5</v>
      </c>
    </row>
    <row r="3224" spans="1:23" x14ac:dyDescent="0.2">
      <c r="A3224">
        <v>2020</v>
      </c>
      <c r="B3224" t="s">
        <v>23</v>
      </c>
      <c r="C3224" t="s">
        <v>272</v>
      </c>
      <c r="D3224">
        <v>190</v>
      </c>
      <c r="E3224">
        <v>1</v>
      </c>
      <c r="F3224">
        <v>12</v>
      </c>
      <c r="G3224" t="s">
        <v>215</v>
      </c>
      <c r="H3224" s="1">
        <v>12</v>
      </c>
      <c r="I3224" s="1">
        <v>66</v>
      </c>
      <c r="J3224" s="1">
        <v>71</v>
      </c>
      <c r="K3224" s="1">
        <f t="shared" si="164"/>
        <v>5</v>
      </c>
      <c r="L3224" s="1">
        <v>141</v>
      </c>
      <c r="M3224" s="1">
        <v>47</v>
      </c>
      <c r="N3224" s="1">
        <v>3.5</v>
      </c>
      <c r="O3224" s="1">
        <v>4</v>
      </c>
      <c r="P3224" s="1">
        <v>10</v>
      </c>
      <c r="Q3224" s="2">
        <v>0.60499999999999998</v>
      </c>
      <c r="R3224" s="1">
        <v>10</v>
      </c>
      <c r="S3224" s="1">
        <f t="shared" si="165"/>
        <v>1</v>
      </c>
      <c r="T3224" s="1">
        <v>2</v>
      </c>
      <c r="U3224" s="1">
        <v>12.5</v>
      </c>
      <c r="V3224" s="1">
        <v>2214.3790849673201</v>
      </c>
      <c r="W3224" s="1">
        <v>3</v>
      </c>
    </row>
    <row r="3225" spans="1:23" x14ac:dyDescent="0.2">
      <c r="A3225">
        <v>2020</v>
      </c>
      <c r="B3225" t="s">
        <v>23</v>
      </c>
      <c r="C3225" t="s">
        <v>272</v>
      </c>
      <c r="D3225">
        <v>190</v>
      </c>
      <c r="E3225">
        <v>2</v>
      </c>
      <c r="F3225">
        <v>14</v>
      </c>
      <c r="G3225" t="s">
        <v>215</v>
      </c>
      <c r="H3225" s="1">
        <v>7</v>
      </c>
      <c r="I3225" s="1">
        <v>68</v>
      </c>
      <c r="J3225" s="1">
        <v>71</v>
      </c>
      <c r="K3225" s="1">
        <f t="shared" si="164"/>
        <v>3</v>
      </c>
      <c r="L3225" s="1">
        <v>153</v>
      </c>
      <c r="M3225" s="1">
        <v>62</v>
      </c>
      <c r="N3225" s="1">
        <v>2</v>
      </c>
      <c r="O3225" s="1">
        <v>3.5</v>
      </c>
      <c r="P3225" s="1">
        <v>7</v>
      </c>
      <c r="Q3225" s="2">
        <v>0.25129999999999997</v>
      </c>
      <c r="R3225" s="1">
        <v>6</v>
      </c>
      <c r="S3225" s="1">
        <f t="shared" si="165"/>
        <v>0.8571428571428571</v>
      </c>
      <c r="T3225" s="1">
        <v>4</v>
      </c>
      <c r="U3225" s="1">
        <v>12.5</v>
      </c>
      <c r="V3225" s="1">
        <v>919.79084967320262</v>
      </c>
      <c r="W3225" s="1">
        <v>3</v>
      </c>
    </row>
    <row r="3226" spans="1:23" x14ac:dyDescent="0.2">
      <c r="A3226">
        <v>2020</v>
      </c>
      <c r="B3226" t="s">
        <v>23</v>
      </c>
      <c r="C3226" t="s">
        <v>272</v>
      </c>
      <c r="D3226">
        <v>191</v>
      </c>
      <c r="E3226">
        <v>1</v>
      </c>
      <c r="F3226">
        <v>7</v>
      </c>
      <c r="G3226" t="s">
        <v>216</v>
      </c>
      <c r="H3226" s="1">
        <v>11</v>
      </c>
      <c r="I3226" s="1">
        <v>57</v>
      </c>
      <c r="J3226" s="1">
        <v>61</v>
      </c>
      <c r="K3226" s="1">
        <f t="shared" si="164"/>
        <v>4</v>
      </c>
      <c r="L3226" s="1">
        <v>152</v>
      </c>
      <c r="M3226" s="1">
        <v>73</v>
      </c>
      <c r="N3226" s="1">
        <v>2</v>
      </c>
      <c r="O3226" s="1">
        <v>3.5</v>
      </c>
      <c r="P3226" s="1">
        <v>6</v>
      </c>
      <c r="Q3226" s="2">
        <v>8.1314999999999998E-2</v>
      </c>
      <c r="R3226" s="1">
        <v>7</v>
      </c>
      <c r="S3226" s="1">
        <f t="shared" si="165"/>
        <v>1.1666666666666667</v>
      </c>
      <c r="T3226" s="1">
        <v>5</v>
      </c>
      <c r="U3226" s="1">
        <v>12.5</v>
      </c>
      <c r="V3226" s="1">
        <v>297.62352941176471</v>
      </c>
      <c r="W3226" s="1">
        <v>5</v>
      </c>
    </row>
    <row r="3227" spans="1:23" x14ac:dyDescent="0.2">
      <c r="A3227">
        <v>2020</v>
      </c>
      <c r="B3227" t="s">
        <v>23</v>
      </c>
      <c r="C3227" t="s">
        <v>272</v>
      </c>
      <c r="D3227">
        <v>191</v>
      </c>
      <c r="E3227">
        <v>2</v>
      </c>
      <c r="F3227">
        <v>9</v>
      </c>
      <c r="G3227" t="s">
        <v>216</v>
      </c>
      <c r="H3227" s="1">
        <v>8</v>
      </c>
      <c r="I3227" s="1">
        <v>62</v>
      </c>
      <c r="J3227" s="1">
        <v>67</v>
      </c>
      <c r="K3227" s="1">
        <f t="shared" si="164"/>
        <v>5</v>
      </c>
      <c r="L3227" s="1">
        <v>70</v>
      </c>
      <c r="M3227" s="1">
        <v>11</v>
      </c>
      <c r="N3227" s="1">
        <v>2</v>
      </c>
      <c r="O3227" s="1">
        <v>5</v>
      </c>
      <c r="P3227" s="1">
        <v>2</v>
      </c>
      <c r="Q3227" s="2">
        <v>3.7999999999999999E-2</v>
      </c>
      <c r="R3227" s="1">
        <v>1</v>
      </c>
      <c r="S3227" s="1">
        <f t="shared" si="165"/>
        <v>0.5</v>
      </c>
      <c r="T3227" s="1">
        <v>5</v>
      </c>
      <c r="U3227" s="1">
        <v>12.5</v>
      </c>
      <c r="V3227" s="1">
        <v>139.08496732026143</v>
      </c>
      <c r="W3227" s="1">
        <v>5</v>
      </c>
    </row>
    <row r="3228" spans="1:23" x14ac:dyDescent="0.2">
      <c r="A3228">
        <v>2020</v>
      </c>
      <c r="B3228" t="s">
        <v>23</v>
      </c>
      <c r="C3228" t="s">
        <v>272</v>
      </c>
      <c r="D3228">
        <v>192</v>
      </c>
      <c r="E3228">
        <v>1</v>
      </c>
      <c r="F3228">
        <v>1</v>
      </c>
      <c r="G3228" t="s">
        <v>217</v>
      </c>
      <c r="H3228" s="1">
        <v>14</v>
      </c>
      <c r="I3228" s="1">
        <v>55</v>
      </c>
      <c r="J3228" s="1">
        <v>59</v>
      </c>
      <c r="K3228" s="1">
        <f t="shared" si="164"/>
        <v>4</v>
      </c>
      <c r="L3228" s="1">
        <v>139</v>
      </c>
      <c r="M3228" s="1">
        <v>51</v>
      </c>
      <c r="N3228" s="1">
        <v>3</v>
      </c>
      <c r="O3228" s="1">
        <v>4.5</v>
      </c>
      <c r="P3228" s="1">
        <v>8</v>
      </c>
      <c r="Q3228" s="2">
        <v>0.25800000000000001</v>
      </c>
      <c r="R3228" s="1">
        <v>7</v>
      </c>
      <c r="S3228" s="1">
        <f t="shared" si="165"/>
        <v>0.875</v>
      </c>
      <c r="T3228" s="1">
        <v>3</v>
      </c>
      <c r="U3228" s="1">
        <v>12.5</v>
      </c>
      <c r="V3228" s="1">
        <v>944.31372549019602</v>
      </c>
      <c r="W3228" s="1">
        <v>4</v>
      </c>
    </row>
    <row r="3229" spans="1:23" x14ac:dyDescent="0.2">
      <c r="A3229">
        <v>2020</v>
      </c>
      <c r="B3229" t="s">
        <v>23</v>
      </c>
      <c r="C3229" t="s">
        <v>272</v>
      </c>
      <c r="D3229">
        <v>192</v>
      </c>
      <c r="E3229">
        <v>2</v>
      </c>
      <c r="F3229">
        <v>9</v>
      </c>
      <c r="G3229" t="s">
        <v>217</v>
      </c>
      <c r="H3229" s="1">
        <v>7</v>
      </c>
      <c r="I3229" s="1">
        <v>62</v>
      </c>
      <c r="J3229" s="1">
        <v>67</v>
      </c>
      <c r="K3229" s="1">
        <f t="shared" si="164"/>
        <v>5</v>
      </c>
      <c r="L3229" s="1">
        <v>103</v>
      </c>
      <c r="M3229" s="1">
        <v>82</v>
      </c>
      <c r="N3229" s="1">
        <v>2</v>
      </c>
      <c r="O3229" s="1">
        <v>3.5</v>
      </c>
      <c r="P3229" s="1">
        <v>7</v>
      </c>
      <c r="Q3229" s="2">
        <v>8.9099999999999999E-2</v>
      </c>
      <c r="R3229" s="1">
        <v>2</v>
      </c>
      <c r="S3229" s="1">
        <f t="shared" si="165"/>
        <v>0.2857142857142857</v>
      </c>
      <c r="T3229" s="1">
        <v>5</v>
      </c>
      <c r="U3229" s="1">
        <v>12.5</v>
      </c>
      <c r="V3229" s="1">
        <v>326.11764705882354</v>
      </c>
      <c r="W3229" s="1">
        <v>2</v>
      </c>
    </row>
    <row r="3230" spans="1:23" x14ac:dyDescent="0.2">
      <c r="A3230">
        <v>2020</v>
      </c>
      <c r="B3230" t="s">
        <v>23</v>
      </c>
      <c r="C3230" t="s">
        <v>272</v>
      </c>
      <c r="D3230">
        <v>193</v>
      </c>
      <c r="E3230">
        <v>1</v>
      </c>
      <c r="F3230">
        <v>6</v>
      </c>
      <c r="G3230" t="s">
        <v>218</v>
      </c>
      <c r="H3230" s="1">
        <v>7</v>
      </c>
      <c r="I3230" s="1">
        <v>69</v>
      </c>
      <c r="J3230" s="1">
        <v>70</v>
      </c>
      <c r="K3230" s="1">
        <f t="shared" si="164"/>
        <v>1</v>
      </c>
      <c r="L3230" s="1">
        <v>107</v>
      </c>
      <c r="M3230" s="1">
        <v>36</v>
      </c>
      <c r="N3230" s="1">
        <v>3</v>
      </c>
      <c r="O3230" s="1">
        <v>4.5</v>
      </c>
      <c r="P3230" s="1">
        <v>5</v>
      </c>
      <c r="Q3230" s="2">
        <v>0.122</v>
      </c>
      <c r="R3230" s="1">
        <v>5</v>
      </c>
      <c r="S3230" s="1">
        <f t="shared" si="165"/>
        <v>1</v>
      </c>
      <c r="T3230" s="1">
        <v>4.5</v>
      </c>
      <c r="U3230" s="1">
        <v>12.5</v>
      </c>
      <c r="V3230" s="1">
        <v>446.53594771241831</v>
      </c>
      <c r="W3230" s="1">
        <v>5</v>
      </c>
    </row>
    <row r="3231" spans="1:23" x14ac:dyDescent="0.2">
      <c r="A3231">
        <v>2020</v>
      </c>
      <c r="B3231" t="s">
        <v>23</v>
      </c>
      <c r="C3231" t="s">
        <v>272</v>
      </c>
      <c r="D3231">
        <v>193</v>
      </c>
      <c r="E3231">
        <v>2</v>
      </c>
      <c r="F3231">
        <v>3</v>
      </c>
      <c r="G3231" t="s">
        <v>218</v>
      </c>
      <c r="H3231" s="1">
        <v>7</v>
      </c>
      <c r="I3231" s="1">
        <v>72</v>
      </c>
      <c r="J3231" s="1">
        <v>76</v>
      </c>
      <c r="K3231" s="1">
        <f t="shared" si="164"/>
        <v>4</v>
      </c>
      <c r="L3231" s="1">
        <v>185</v>
      </c>
      <c r="M3231" s="1">
        <v>75</v>
      </c>
      <c r="N3231" s="1">
        <v>2</v>
      </c>
      <c r="O3231" s="1">
        <v>2</v>
      </c>
      <c r="P3231" s="1">
        <v>7</v>
      </c>
      <c r="Q3231" s="2">
        <v>0.26156000000000001</v>
      </c>
      <c r="R3231" s="1">
        <v>5</v>
      </c>
      <c r="S3231" s="1">
        <f t="shared" si="165"/>
        <v>0.7142857142857143</v>
      </c>
      <c r="T3231" s="1">
        <v>5</v>
      </c>
      <c r="U3231" s="1">
        <v>12.5</v>
      </c>
      <c r="V3231" s="1">
        <v>957.34379084967338</v>
      </c>
      <c r="W3231" s="1">
        <v>4</v>
      </c>
    </row>
    <row r="3232" spans="1:23" x14ac:dyDescent="0.2">
      <c r="A3232">
        <v>2020</v>
      </c>
      <c r="B3232" t="s">
        <v>23</v>
      </c>
      <c r="C3232" t="s">
        <v>272</v>
      </c>
      <c r="D3232">
        <v>194</v>
      </c>
      <c r="E3232">
        <v>1</v>
      </c>
      <c r="F3232">
        <v>14</v>
      </c>
      <c r="G3232" t="s">
        <v>219</v>
      </c>
      <c r="H3232">
        <v>2</v>
      </c>
      <c r="I3232">
        <v>56</v>
      </c>
      <c r="J3232">
        <v>60</v>
      </c>
      <c r="K3232">
        <v>4</v>
      </c>
      <c r="L3232">
        <v>71</v>
      </c>
      <c r="M3232">
        <v>23</v>
      </c>
      <c r="N3232">
        <v>2.5</v>
      </c>
      <c r="O3232">
        <v>2</v>
      </c>
      <c r="P3232">
        <v>2</v>
      </c>
      <c r="Q3232">
        <v>0.2</v>
      </c>
      <c r="R3232">
        <v>2</v>
      </c>
      <c r="S3232">
        <v>1</v>
      </c>
      <c r="T3232">
        <v>3</v>
      </c>
      <c r="U3232">
        <v>12.5</v>
      </c>
      <c r="V3232">
        <v>732.02614379084969</v>
      </c>
      <c r="W3232">
        <v>1</v>
      </c>
    </row>
    <row r="3233" spans="1:23" x14ac:dyDescent="0.2">
      <c r="A3233">
        <v>2020</v>
      </c>
      <c r="B3233" t="s">
        <v>23</v>
      </c>
      <c r="C3233" t="s">
        <v>272</v>
      </c>
      <c r="D3233">
        <v>194</v>
      </c>
      <c r="E3233">
        <v>2</v>
      </c>
      <c r="F3233">
        <v>9</v>
      </c>
      <c r="G3233" t="s">
        <v>219</v>
      </c>
      <c r="H3233" s="1">
        <v>8</v>
      </c>
      <c r="I3233" s="1">
        <v>66</v>
      </c>
      <c r="J3233" s="1">
        <v>70</v>
      </c>
      <c r="K3233" s="1">
        <f>J3233-I3233</f>
        <v>4</v>
      </c>
      <c r="L3233" s="1">
        <v>56</v>
      </c>
      <c r="M3233" s="1">
        <v>30</v>
      </c>
      <c r="N3233" s="1">
        <v>3</v>
      </c>
      <c r="O3233" s="1">
        <v>5</v>
      </c>
      <c r="P3233" s="1">
        <v>6</v>
      </c>
      <c r="Q3233" s="2">
        <v>8.1500000000000003E-2</v>
      </c>
      <c r="R3233" s="1">
        <v>4</v>
      </c>
      <c r="S3233" s="1">
        <f>R3233/P3233</f>
        <v>0.66666666666666663</v>
      </c>
      <c r="T3233" s="1">
        <v>5</v>
      </c>
      <c r="U3233" s="1">
        <v>12.5</v>
      </c>
      <c r="V3233" s="1">
        <v>298.30065359477123</v>
      </c>
      <c r="W3233" s="1">
        <v>6</v>
      </c>
    </row>
    <row r="3234" spans="1:23" x14ac:dyDescent="0.2">
      <c r="A3234">
        <v>2020</v>
      </c>
      <c r="B3234" t="s">
        <v>23</v>
      </c>
      <c r="C3234" t="s">
        <v>272</v>
      </c>
      <c r="D3234">
        <v>195</v>
      </c>
      <c r="E3234">
        <v>1</v>
      </c>
      <c r="F3234">
        <v>6</v>
      </c>
      <c r="G3234" t="s">
        <v>220</v>
      </c>
      <c r="H3234">
        <v>4</v>
      </c>
      <c r="I3234">
        <v>56</v>
      </c>
      <c r="J3234">
        <v>60</v>
      </c>
      <c r="K3234">
        <v>4</v>
      </c>
      <c r="L3234">
        <v>122</v>
      </c>
      <c r="M3234">
        <v>27</v>
      </c>
      <c r="N3234">
        <v>3</v>
      </c>
      <c r="O3234">
        <v>3</v>
      </c>
      <c r="P3234">
        <v>4</v>
      </c>
      <c r="Q3234">
        <v>0.24199999999999999</v>
      </c>
      <c r="R3234">
        <v>3</v>
      </c>
      <c r="S3234">
        <v>0.75</v>
      </c>
      <c r="T3234">
        <v>2</v>
      </c>
      <c r="U3234">
        <v>12.5</v>
      </c>
      <c r="V3234">
        <v>885.75163398692814</v>
      </c>
      <c r="W3234">
        <v>2</v>
      </c>
    </row>
    <row r="3235" spans="1:23" x14ac:dyDescent="0.2">
      <c r="A3235">
        <v>2020</v>
      </c>
      <c r="B3235" t="s">
        <v>23</v>
      </c>
      <c r="C3235" t="s">
        <v>272</v>
      </c>
      <c r="D3235">
        <v>195</v>
      </c>
      <c r="E3235">
        <v>2</v>
      </c>
      <c r="F3235">
        <v>2</v>
      </c>
      <c r="G3235" t="s">
        <v>220</v>
      </c>
      <c r="H3235" s="1">
        <v>11</v>
      </c>
      <c r="I3235" s="1">
        <v>62</v>
      </c>
      <c r="J3235" s="1">
        <v>67</v>
      </c>
      <c r="K3235" s="1">
        <f>J3235-I3235</f>
        <v>5</v>
      </c>
      <c r="L3235" s="1">
        <v>178</v>
      </c>
      <c r="M3235" s="1">
        <v>63</v>
      </c>
      <c r="N3235" s="1">
        <v>2</v>
      </c>
      <c r="O3235" s="1">
        <v>3.5</v>
      </c>
      <c r="P3235" s="1">
        <f>H3235</f>
        <v>11</v>
      </c>
      <c r="Q3235" s="2">
        <v>0.21</v>
      </c>
      <c r="R3235" s="1">
        <v>10</v>
      </c>
      <c r="S3235" s="1">
        <f>R3235/P3235</f>
        <v>0.90909090909090906</v>
      </c>
      <c r="T3235" s="1">
        <v>5</v>
      </c>
      <c r="U3235" s="1">
        <v>12.5</v>
      </c>
      <c r="V3235" s="1">
        <v>768.62745098039215</v>
      </c>
      <c r="W3235" s="1">
        <v>6</v>
      </c>
    </row>
    <row r="3236" spans="1:23" x14ac:dyDescent="0.2">
      <c r="A3236">
        <v>2020</v>
      </c>
      <c r="B3236" t="s">
        <v>23</v>
      </c>
      <c r="C3236" t="s">
        <v>272</v>
      </c>
      <c r="D3236">
        <v>196</v>
      </c>
      <c r="E3236">
        <v>1</v>
      </c>
      <c r="F3236">
        <v>3</v>
      </c>
      <c r="G3236" t="s">
        <v>221</v>
      </c>
      <c r="H3236">
        <v>13</v>
      </c>
      <c r="I3236">
        <v>53</v>
      </c>
      <c r="J3236">
        <v>56</v>
      </c>
      <c r="K3236">
        <v>3</v>
      </c>
      <c r="L3236">
        <v>118</v>
      </c>
      <c r="M3236">
        <v>74</v>
      </c>
      <c r="N3236">
        <v>2</v>
      </c>
      <c r="O3236">
        <v>2</v>
      </c>
      <c r="P3236">
        <v>11</v>
      </c>
      <c r="Q3236">
        <v>0.7</v>
      </c>
      <c r="R3236">
        <v>10</v>
      </c>
      <c r="S3236">
        <v>0.90909090909090906</v>
      </c>
      <c r="T3236">
        <v>4</v>
      </c>
      <c r="U3236">
        <v>10.3</v>
      </c>
      <c r="V3236">
        <v>2626.5098039215686</v>
      </c>
      <c r="W3236">
        <v>1</v>
      </c>
    </row>
    <row r="3237" spans="1:23" x14ac:dyDescent="0.2">
      <c r="A3237">
        <v>2020</v>
      </c>
      <c r="B3237" t="s">
        <v>23</v>
      </c>
      <c r="C3237" t="s">
        <v>272</v>
      </c>
      <c r="D3237">
        <v>196</v>
      </c>
      <c r="E3237">
        <v>2</v>
      </c>
      <c r="F3237">
        <v>10</v>
      </c>
      <c r="G3237" t="s">
        <v>221</v>
      </c>
      <c r="H3237" s="1">
        <v>6</v>
      </c>
      <c r="I3237" s="1">
        <v>63</v>
      </c>
      <c r="J3237" s="1">
        <v>68</v>
      </c>
      <c r="K3237" s="1">
        <f>J3237-I3237</f>
        <v>5</v>
      </c>
      <c r="L3237" s="1">
        <v>158</v>
      </c>
      <c r="M3237" s="1">
        <v>108</v>
      </c>
      <c r="N3237" s="1">
        <v>2</v>
      </c>
      <c r="O3237" s="1">
        <v>2.5</v>
      </c>
      <c r="P3237" s="1">
        <v>5</v>
      </c>
      <c r="Q3237" s="2">
        <v>0.25267499999999998</v>
      </c>
      <c r="R3237" s="1">
        <v>5</v>
      </c>
      <c r="S3237" s="1">
        <f>R3237/P3237</f>
        <v>1</v>
      </c>
      <c r="T3237" s="1">
        <v>5</v>
      </c>
      <c r="U3237" s="1">
        <v>12.5</v>
      </c>
      <c r="V3237" s="1">
        <v>924.82352941176475</v>
      </c>
      <c r="W3237" s="1">
        <v>4</v>
      </c>
    </row>
    <row r="3238" spans="1:23" x14ac:dyDescent="0.2">
      <c r="A3238">
        <v>2020</v>
      </c>
      <c r="B3238" t="s">
        <v>23</v>
      </c>
      <c r="C3238" t="s">
        <v>272</v>
      </c>
      <c r="D3238">
        <v>197</v>
      </c>
      <c r="E3238">
        <v>1</v>
      </c>
      <c r="F3238">
        <v>13</v>
      </c>
      <c r="G3238" t="s">
        <v>222</v>
      </c>
      <c r="H3238" s="1">
        <v>3</v>
      </c>
      <c r="I3238" s="1">
        <v>60</v>
      </c>
      <c r="J3238" s="1">
        <v>65</v>
      </c>
      <c r="K3238" s="1">
        <f>J3238-I3238</f>
        <v>5</v>
      </c>
      <c r="L3238" s="1">
        <v>138</v>
      </c>
      <c r="M3238" s="1">
        <v>93</v>
      </c>
      <c r="N3238" s="1">
        <v>2</v>
      </c>
      <c r="O3238" s="1">
        <v>2.5</v>
      </c>
      <c r="P3238" s="1">
        <f>H3238-1</f>
        <v>2</v>
      </c>
      <c r="Q3238" s="2">
        <v>0.14324999999999999</v>
      </c>
      <c r="R3238" s="1">
        <v>3</v>
      </c>
      <c r="S3238" s="1">
        <f>R3238/P3238</f>
        <v>1.5</v>
      </c>
      <c r="T3238" s="1">
        <v>2</v>
      </c>
      <c r="U3238" s="1">
        <v>12.5</v>
      </c>
      <c r="V3238" s="1">
        <v>524.31372549019613</v>
      </c>
      <c r="W3238" s="1">
        <v>3</v>
      </c>
    </row>
    <row r="3239" spans="1:23" x14ac:dyDescent="0.2">
      <c r="A3239">
        <v>2020</v>
      </c>
      <c r="B3239" t="s">
        <v>23</v>
      </c>
      <c r="C3239" t="s">
        <v>272</v>
      </c>
      <c r="D3239">
        <v>197</v>
      </c>
      <c r="E3239">
        <v>2</v>
      </c>
      <c r="F3239">
        <v>8</v>
      </c>
      <c r="G3239" t="s">
        <v>222</v>
      </c>
      <c r="H3239" s="1">
        <v>11</v>
      </c>
      <c r="I3239" s="1">
        <v>63</v>
      </c>
      <c r="J3239" s="1">
        <v>66</v>
      </c>
      <c r="K3239" s="1">
        <f>J3239-I3239</f>
        <v>3</v>
      </c>
      <c r="L3239" s="1">
        <v>155</v>
      </c>
      <c r="M3239" s="1">
        <v>92</v>
      </c>
      <c r="N3239" s="1">
        <v>2</v>
      </c>
      <c r="O3239" s="1">
        <v>2.5</v>
      </c>
      <c r="P3239" s="1">
        <v>11</v>
      </c>
      <c r="Q3239" s="2">
        <v>0.81576000000000004</v>
      </c>
      <c r="R3239" s="1">
        <v>9</v>
      </c>
      <c r="S3239" s="1">
        <f>R3239/P3239</f>
        <v>0.81818181818181823</v>
      </c>
      <c r="T3239" s="1">
        <v>4</v>
      </c>
      <c r="U3239" s="1">
        <v>12.5</v>
      </c>
      <c r="V3239" s="1">
        <v>2985.7882352941178</v>
      </c>
      <c r="W3239" s="1">
        <v>4</v>
      </c>
    </row>
    <row r="3240" spans="1:23" x14ac:dyDescent="0.2">
      <c r="A3240">
        <v>2020</v>
      </c>
      <c r="B3240" t="s">
        <v>23</v>
      </c>
      <c r="C3240" t="s">
        <v>272</v>
      </c>
      <c r="D3240">
        <v>198</v>
      </c>
      <c r="E3240">
        <v>1</v>
      </c>
      <c r="F3240">
        <v>5</v>
      </c>
      <c r="G3240" t="s">
        <v>223</v>
      </c>
      <c r="H3240">
        <v>4</v>
      </c>
      <c r="I3240">
        <v>64</v>
      </c>
      <c r="J3240">
        <v>67</v>
      </c>
      <c r="K3240">
        <v>3</v>
      </c>
      <c r="L3240">
        <v>150</v>
      </c>
      <c r="M3240">
        <v>60</v>
      </c>
      <c r="N3240">
        <v>1.5</v>
      </c>
      <c r="O3240">
        <v>3.5</v>
      </c>
      <c r="P3240">
        <v>4</v>
      </c>
      <c r="Q3240">
        <v>0.4</v>
      </c>
      <c r="R3240">
        <v>3</v>
      </c>
      <c r="S3240">
        <v>0.75</v>
      </c>
      <c r="T3240">
        <v>2.5</v>
      </c>
      <c r="U3240">
        <v>12.5</v>
      </c>
      <c r="V3240">
        <v>1464.0522875816994</v>
      </c>
      <c r="W3240">
        <v>2</v>
      </c>
    </row>
    <row r="3241" spans="1:23" x14ac:dyDescent="0.2">
      <c r="A3241">
        <v>2020</v>
      </c>
      <c r="B3241" t="s">
        <v>23</v>
      </c>
      <c r="C3241" t="s">
        <v>272</v>
      </c>
      <c r="D3241">
        <v>198</v>
      </c>
      <c r="E3241">
        <v>2</v>
      </c>
      <c r="F3241">
        <v>14</v>
      </c>
      <c r="G3241" t="s">
        <v>223</v>
      </c>
      <c r="H3241" s="1">
        <v>6</v>
      </c>
      <c r="I3241" s="1">
        <v>67</v>
      </c>
      <c r="J3241" s="1">
        <v>72</v>
      </c>
      <c r="K3241" s="1">
        <f>J3241-I3241</f>
        <v>5</v>
      </c>
      <c r="L3241" s="1">
        <v>112</v>
      </c>
      <c r="M3241" s="1">
        <v>46</v>
      </c>
      <c r="N3241" s="1">
        <v>2</v>
      </c>
      <c r="O3241" s="1">
        <v>4.5</v>
      </c>
      <c r="P3241" s="1">
        <v>5</v>
      </c>
      <c r="Q3241" s="2">
        <v>0.26200000000000001</v>
      </c>
      <c r="R3241" s="1">
        <v>4</v>
      </c>
      <c r="S3241" s="1">
        <f>R3241/P3241</f>
        <v>0.8</v>
      </c>
      <c r="T3241" s="1">
        <v>4</v>
      </c>
      <c r="U3241" s="1">
        <v>12.5</v>
      </c>
      <c r="V3241" s="1">
        <v>958.95424836601296</v>
      </c>
      <c r="W3241" s="1">
        <v>4</v>
      </c>
    </row>
    <row r="3242" spans="1:23" x14ac:dyDescent="0.2">
      <c r="A3242">
        <v>2020</v>
      </c>
      <c r="B3242" t="s">
        <v>23</v>
      </c>
      <c r="C3242" t="s">
        <v>272</v>
      </c>
      <c r="D3242">
        <v>199</v>
      </c>
      <c r="E3242">
        <v>1</v>
      </c>
      <c r="F3242">
        <v>6</v>
      </c>
      <c r="G3242" t="s">
        <v>224</v>
      </c>
      <c r="H3242" s="1">
        <v>3</v>
      </c>
      <c r="I3242" s="1">
        <v>58</v>
      </c>
      <c r="J3242" s="1">
        <v>63</v>
      </c>
      <c r="K3242" s="1">
        <f>J3242-I3242</f>
        <v>5</v>
      </c>
      <c r="L3242" s="1">
        <v>107</v>
      </c>
      <c r="M3242" s="1">
        <v>43</v>
      </c>
      <c r="N3242" s="1">
        <v>3</v>
      </c>
      <c r="O3242" s="1">
        <v>4</v>
      </c>
      <c r="P3242" s="1">
        <v>3</v>
      </c>
      <c r="Q3242" s="2">
        <v>0.5</v>
      </c>
      <c r="R3242" s="1">
        <v>4</v>
      </c>
      <c r="S3242" s="1">
        <f>R3242/P3242</f>
        <v>1.3333333333333333</v>
      </c>
      <c r="T3242" s="1">
        <v>2.5</v>
      </c>
      <c r="U3242" s="1">
        <v>12.5</v>
      </c>
      <c r="V3242" s="1">
        <v>1830.0653594771243</v>
      </c>
      <c r="W3242" s="1">
        <v>4</v>
      </c>
    </row>
    <row r="3243" spans="1:23" x14ac:dyDescent="0.2">
      <c r="A3243">
        <v>2020</v>
      </c>
      <c r="B3243" t="s">
        <v>23</v>
      </c>
      <c r="C3243" t="s">
        <v>272</v>
      </c>
      <c r="D3243">
        <v>199</v>
      </c>
      <c r="E3243">
        <v>2</v>
      </c>
      <c r="F3243">
        <v>5</v>
      </c>
      <c r="G3243" t="s">
        <v>224</v>
      </c>
      <c r="H3243">
        <v>15</v>
      </c>
      <c r="I3243">
        <v>50</v>
      </c>
      <c r="J3243">
        <v>54</v>
      </c>
      <c r="K3243">
        <v>4</v>
      </c>
      <c r="L3243">
        <v>152</v>
      </c>
      <c r="M3243">
        <v>58</v>
      </c>
      <c r="N3243">
        <v>2</v>
      </c>
      <c r="O3243">
        <v>2.5</v>
      </c>
      <c r="P3243">
        <v>14</v>
      </c>
      <c r="Q3243">
        <v>0.5</v>
      </c>
      <c r="R3243">
        <v>14</v>
      </c>
      <c r="S3243">
        <v>1</v>
      </c>
      <c r="T3243">
        <v>2</v>
      </c>
      <c r="U3243">
        <v>10.6</v>
      </c>
      <c r="V3243">
        <v>1869.8039215686274</v>
      </c>
      <c r="W3243">
        <v>1</v>
      </c>
    </row>
    <row r="3244" spans="1:23" x14ac:dyDescent="0.2">
      <c r="A3244">
        <v>2020</v>
      </c>
      <c r="B3244" t="s">
        <v>23</v>
      </c>
      <c r="C3244" t="s">
        <v>272</v>
      </c>
      <c r="D3244">
        <v>200</v>
      </c>
      <c r="E3244">
        <v>1</v>
      </c>
      <c r="F3244">
        <v>13</v>
      </c>
      <c r="G3244" t="s">
        <v>225</v>
      </c>
      <c r="H3244">
        <v>1</v>
      </c>
      <c r="I3244">
        <v>59</v>
      </c>
      <c r="J3244">
        <v>62</v>
      </c>
      <c r="K3244">
        <v>3</v>
      </c>
      <c r="L3244">
        <v>125</v>
      </c>
      <c r="M3244">
        <v>51</v>
      </c>
      <c r="N3244">
        <v>1.5</v>
      </c>
      <c r="O3244">
        <v>3.5</v>
      </c>
      <c r="P3244">
        <v>1</v>
      </c>
      <c r="Q3244">
        <v>0.2</v>
      </c>
      <c r="R3244">
        <v>1</v>
      </c>
      <c r="S3244">
        <v>1</v>
      </c>
      <c r="T3244">
        <v>3.5</v>
      </c>
      <c r="U3244">
        <v>12.5</v>
      </c>
      <c r="V3244">
        <v>732.02614379084969</v>
      </c>
      <c r="W3244">
        <v>1</v>
      </c>
    </row>
    <row r="3245" spans="1:23" x14ac:dyDescent="0.2">
      <c r="A3245">
        <v>2020</v>
      </c>
      <c r="B3245" t="s">
        <v>23</v>
      </c>
      <c r="C3245" t="s">
        <v>272</v>
      </c>
      <c r="D3245">
        <v>200</v>
      </c>
      <c r="E3245">
        <v>2</v>
      </c>
      <c r="F3245">
        <v>2</v>
      </c>
      <c r="G3245" t="s">
        <v>225</v>
      </c>
      <c r="H3245" s="1">
        <v>4</v>
      </c>
      <c r="I3245" s="1">
        <v>66</v>
      </c>
      <c r="J3245" s="1">
        <v>71</v>
      </c>
      <c r="K3245" s="1">
        <f>J3245-I3245</f>
        <v>5</v>
      </c>
      <c r="L3245" s="1">
        <v>152</v>
      </c>
      <c r="M3245" s="1">
        <v>77</v>
      </c>
      <c r="N3245" s="1">
        <v>2</v>
      </c>
      <c r="O3245" s="1">
        <v>2.5</v>
      </c>
      <c r="P3245" s="1">
        <v>4</v>
      </c>
      <c r="Q3245" s="2">
        <v>0.5464</v>
      </c>
      <c r="R3245" s="1">
        <v>4</v>
      </c>
      <c r="S3245" s="1">
        <f>R3245/P3245</f>
        <v>1</v>
      </c>
      <c r="T3245" s="1">
        <v>4</v>
      </c>
      <c r="U3245" s="1">
        <v>11.6</v>
      </c>
      <c r="V3245" s="1">
        <v>2020.4657777777782</v>
      </c>
      <c r="W3245" s="1">
        <v>4</v>
      </c>
    </row>
    <row r="3246" spans="1:23" x14ac:dyDescent="0.2">
      <c r="A3246">
        <v>2020</v>
      </c>
      <c r="B3246" t="s">
        <v>23</v>
      </c>
      <c r="C3246" t="s">
        <v>272</v>
      </c>
      <c r="D3246">
        <v>201</v>
      </c>
      <c r="E3246">
        <v>1</v>
      </c>
      <c r="F3246">
        <v>2</v>
      </c>
      <c r="G3246" t="s">
        <v>226</v>
      </c>
      <c r="H3246">
        <v>12</v>
      </c>
      <c r="I3246">
        <v>55</v>
      </c>
      <c r="J3246">
        <v>57</v>
      </c>
      <c r="K3246">
        <v>2</v>
      </c>
      <c r="L3246">
        <v>157</v>
      </c>
      <c r="M3246">
        <v>77</v>
      </c>
      <c r="N3246">
        <v>2</v>
      </c>
      <c r="O3246">
        <v>2.5</v>
      </c>
      <c r="P3246">
        <v>12</v>
      </c>
      <c r="Q3246">
        <v>1.3</v>
      </c>
      <c r="R3246">
        <v>10</v>
      </c>
      <c r="S3246">
        <v>0.83333333333333337</v>
      </c>
      <c r="T3246">
        <v>2</v>
      </c>
      <c r="U3246">
        <v>12.6</v>
      </c>
      <c r="V3246">
        <v>4752.7320261437908</v>
      </c>
      <c r="W3246">
        <v>2</v>
      </c>
    </row>
    <row r="3247" spans="1:23" x14ac:dyDescent="0.2">
      <c r="A3247">
        <v>2020</v>
      </c>
      <c r="B3247" t="s">
        <v>23</v>
      </c>
      <c r="C3247" t="s">
        <v>272</v>
      </c>
      <c r="D3247">
        <v>201</v>
      </c>
      <c r="E3247">
        <v>2</v>
      </c>
      <c r="F3247">
        <v>15</v>
      </c>
      <c r="G3247" t="s">
        <v>226</v>
      </c>
      <c r="H3247" s="1">
        <v>8</v>
      </c>
      <c r="I3247" s="1">
        <v>61</v>
      </c>
      <c r="J3247" s="1">
        <v>66</v>
      </c>
      <c r="K3247" s="1">
        <f>J3247-I3247</f>
        <v>5</v>
      </c>
      <c r="L3247" s="1">
        <v>93</v>
      </c>
      <c r="M3247" s="1">
        <v>53</v>
      </c>
      <c r="N3247" s="1">
        <v>2</v>
      </c>
      <c r="O3247" s="1">
        <v>4</v>
      </c>
      <c r="P3247" s="1">
        <v>6</v>
      </c>
      <c r="Q3247" s="2">
        <v>0.26</v>
      </c>
      <c r="R3247" s="1">
        <v>5</v>
      </c>
      <c r="S3247" s="1">
        <f>R3247/P3247</f>
        <v>0.83333333333333337</v>
      </c>
      <c r="T3247" s="1">
        <v>2.5</v>
      </c>
      <c r="U3247" s="1">
        <v>12.5</v>
      </c>
      <c r="V3247" s="1">
        <v>951.63398692810449</v>
      </c>
      <c r="W3247" s="1">
        <v>2</v>
      </c>
    </row>
    <row r="3248" spans="1:23" x14ac:dyDescent="0.2">
      <c r="A3248">
        <v>2020</v>
      </c>
      <c r="B3248" t="s">
        <v>23</v>
      </c>
      <c r="C3248" t="s">
        <v>272</v>
      </c>
      <c r="D3248">
        <v>202</v>
      </c>
      <c r="E3248">
        <v>1</v>
      </c>
      <c r="F3248">
        <v>10</v>
      </c>
      <c r="G3248" t="s">
        <v>227</v>
      </c>
      <c r="H3248" s="1">
        <v>10</v>
      </c>
      <c r="I3248" s="1">
        <v>62</v>
      </c>
      <c r="J3248" s="1">
        <v>68</v>
      </c>
      <c r="K3248" s="1">
        <f>J3248-I3248</f>
        <v>6</v>
      </c>
      <c r="L3248" s="1">
        <v>146</v>
      </c>
      <c r="M3248" s="1">
        <v>88</v>
      </c>
      <c r="N3248" s="1">
        <v>2</v>
      </c>
      <c r="O3248" s="1">
        <v>3.5</v>
      </c>
      <c r="P3248" s="1">
        <f>H3248-2</f>
        <v>8</v>
      </c>
      <c r="Q3248" s="2">
        <v>0.19125</v>
      </c>
      <c r="R3248" s="1">
        <v>8</v>
      </c>
      <c r="S3248" s="1">
        <f>R3248/P3248</f>
        <v>1</v>
      </c>
      <c r="T3248" s="1">
        <v>5</v>
      </c>
      <c r="U3248" s="1">
        <v>12.5</v>
      </c>
      <c r="V3248" s="1">
        <v>700</v>
      </c>
      <c r="W3248" s="1">
        <v>4</v>
      </c>
    </row>
    <row r="3249" spans="1:23" x14ac:dyDescent="0.2">
      <c r="A3249">
        <v>2020</v>
      </c>
      <c r="B3249" t="s">
        <v>23</v>
      </c>
      <c r="C3249" t="s">
        <v>272</v>
      </c>
      <c r="D3249">
        <v>202</v>
      </c>
      <c r="E3249">
        <v>2</v>
      </c>
      <c r="F3249">
        <v>15</v>
      </c>
      <c r="G3249" t="s">
        <v>227</v>
      </c>
      <c r="H3249">
        <v>14</v>
      </c>
      <c r="I3249">
        <v>53</v>
      </c>
      <c r="J3249">
        <v>55</v>
      </c>
      <c r="K3249">
        <v>2</v>
      </c>
      <c r="L3249">
        <v>156</v>
      </c>
      <c r="M3249">
        <v>85</v>
      </c>
      <c r="N3249">
        <v>2</v>
      </c>
      <c r="O3249">
        <v>2.5</v>
      </c>
      <c r="P3249">
        <v>11</v>
      </c>
      <c r="Q3249">
        <v>0.5</v>
      </c>
      <c r="R3249">
        <v>11</v>
      </c>
      <c r="S3249">
        <v>1</v>
      </c>
      <c r="T3249">
        <v>3</v>
      </c>
      <c r="U3249">
        <v>9.6</v>
      </c>
      <c r="V3249">
        <v>1890.7189542483659</v>
      </c>
      <c r="W3249">
        <v>2</v>
      </c>
    </row>
    <row r="3250" spans="1:23" x14ac:dyDescent="0.2">
      <c r="A3250">
        <v>2020</v>
      </c>
      <c r="B3250" t="s">
        <v>23</v>
      </c>
      <c r="C3250" t="s">
        <v>272</v>
      </c>
      <c r="D3250">
        <v>203</v>
      </c>
      <c r="E3250">
        <v>1</v>
      </c>
      <c r="F3250">
        <v>5</v>
      </c>
      <c r="G3250" t="s">
        <v>228</v>
      </c>
      <c r="H3250">
        <v>15</v>
      </c>
      <c r="I3250">
        <v>55</v>
      </c>
      <c r="J3250">
        <v>58</v>
      </c>
      <c r="K3250">
        <v>3</v>
      </c>
      <c r="L3250">
        <v>161</v>
      </c>
      <c r="M3250">
        <v>86</v>
      </c>
      <c r="N3250">
        <v>2</v>
      </c>
      <c r="O3250">
        <v>1.5</v>
      </c>
      <c r="P3250">
        <v>15</v>
      </c>
      <c r="Q3250">
        <v>1.6</v>
      </c>
      <c r="R3250">
        <v>15</v>
      </c>
      <c r="S3250">
        <v>1</v>
      </c>
      <c r="T3250">
        <v>1</v>
      </c>
      <c r="U3250">
        <v>12.5</v>
      </c>
      <c r="V3250">
        <v>5856.2091503267975</v>
      </c>
      <c r="W3250">
        <v>2</v>
      </c>
    </row>
    <row r="3251" spans="1:23" x14ac:dyDescent="0.2">
      <c r="A3251">
        <v>2020</v>
      </c>
      <c r="B3251" t="s">
        <v>23</v>
      </c>
      <c r="C3251" t="s">
        <v>272</v>
      </c>
      <c r="D3251">
        <v>203</v>
      </c>
      <c r="E3251">
        <v>2</v>
      </c>
      <c r="F3251">
        <v>7</v>
      </c>
      <c r="G3251" t="s">
        <v>228</v>
      </c>
      <c r="H3251">
        <v>12</v>
      </c>
      <c r="I3251">
        <v>53</v>
      </c>
      <c r="J3251">
        <v>55</v>
      </c>
      <c r="K3251">
        <v>2</v>
      </c>
      <c r="L3251">
        <v>150</v>
      </c>
      <c r="M3251">
        <v>98</v>
      </c>
      <c r="N3251">
        <v>2</v>
      </c>
      <c r="O3251">
        <v>1.5</v>
      </c>
      <c r="P3251">
        <v>11</v>
      </c>
      <c r="Q3251">
        <v>0.8</v>
      </c>
      <c r="R3251">
        <v>10</v>
      </c>
      <c r="S3251">
        <v>0.90909090909090906</v>
      </c>
      <c r="T3251">
        <v>3</v>
      </c>
      <c r="U3251">
        <v>9.8000000000000007</v>
      </c>
      <c r="V3251">
        <v>3018.4575163398699</v>
      </c>
      <c r="W3251">
        <v>2</v>
      </c>
    </row>
    <row r="3252" spans="1:23" x14ac:dyDescent="0.2">
      <c r="A3252">
        <v>2020</v>
      </c>
      <c r="B3252" t="s">
        <v>23</v>
      </c>
      <c r="C3252" t="s">
        <v>272</v>
      </c>
      <c r="D3252">
        <v>204</v>
      </c>
      <c r="E3252">
        <v>1</v>
      </c>
      <c r="F3252">
        <v>9</v>
      </c>
      <c r="G3252" t="s">
        <v>229</v>
      </c>
      <c r="H3252" s="1">
        <v>4</v>
      </c>
      <c r="I3252" s="1">
        <v>66</v>
      </c>
      <c r="J3252" s="1">
        <v>70</v>
      </c>
      <c r="K3252" s="1">
        <f t="shared" ref="K3252:K3263" si="166">J3252-I3252</f>
        <v>4</v>
      </c>
      <c r="L3252" s="1">
        <v>129</v>
      </c>
      <c r="M3252" s="1">
        <v>41</v>
      </c>
      <c r="N3252" s="1">
        <v>2</v>
      </c>
      <c r="O3252" s="1">
        <v>3</v>
      </c>
      <c r="P3252" s="1">
        <v>4</v>
      </c>
      <c r="Q3252" s="2">
        <v>0.25600000000000001</v>
      </c>
      <c r="R3252" s="1">
        <v>5</v>
      </c>
      <c r="S3252" s="1">
        <f t="shared" ref="S3252:S3263" si="167">R3252/P3252</f>
        <v>1.25</v>
      </c>
      <c r="T3252" s="1">
        <v>3</v>
      </c>
      <c r="U3252" s="1">
        <v>12.5</v>
      </c>
      <c r="V3252" s="1">
        <v>936.99346405228766</v>
      </c>
      <c r="W3252" s="1">
        <v>4</v>
      </c>
    </row>
    <row r="3253" spans="1:23" x14ac:dyDescent="0.2">
      <c r="A3253">
        <v>2020</v>
      </c>
      <c r="B3253" t="s">
        <v>23</v>
      </c>
      <c r="C3253" t="s">
        <v>272</v>
      </c>
      <c r="D3253">
        <v>204</v>
      </c>
      <c r="E3253">
        <v>2</v>
      </c>
      <c r="F3253">
        <v>15</v>
      </c>
      <c r="G3253" t="s">
        <v>229</v>
      </c>
      <c r="H3253" s="1">
        <v>13</v>
      </c>
      <c r="I3253" s="1">
        <v>62</v>
      </c>
      <c r="J3253" s="1">
        <v>65</v>
      </c>
      <c r="K3253" s="1">
        <f t="shared" si="166"/>
        <v>3</v>
      </c>
      <c r="L3253" s="1">
        <v>167</v>
      </c>
      <c r="M3253" s="1">
        <v>85</v>
      </c>
      <c r="N3253" s="1">
        <v>2</v>
      </c>
      <c r="O3253" s="1">
        <v>3.5</v>
      </c>
      <c r="P3253" s="1">
        <v>10</v>
      </c>
      <c r="Q3253" s="2">
        <v>0.11594999999999998</v>
      </c>
      <c r="R3253" s="1">
        <v>5</v>
      </c>
      <c r="S3253" s="1">
        <f t="shared" si="167"/>
        <v>0.5</v>
      </c>
      <c r="T3253" s="1">
        <v>5</v>
      </c>
      <c r="U3253" s="1">
        <v>12.5</v>
      </c>
      <c r="V3253" s="1">
        <v>424.39215686274508</v>
      </c>
      <c r="W3253" s="1">
        <v>4</v>
      </c>
    </row>
    <row r="3254" spans="1:23" x14ac:dyDescent="0.2">
      <c r="A3254">
        <v>2020</v>
      </c>
      <c r="B3254" t="s">
        <v>23</v>
      </c>
      <c r="C3254" t="s">
        <v>272</v>
      </c>
      <c r="D3254">
        <v>205</v>
      </c>
      <c r="E3254">
        <v>1</v>
      </c>
      <c r="F3254">
        <v>14</v>
      </c>
      <c r="G3254" t="s">
        <v>230</v>
      </c>
      <c r="H3254" s="1">
        <v>12</v>
      </c>
      <c r="I3254" s="1">
        <v>69</v>
      </c>
      <c r="J3254" s="1">
        <v>74</v>
      </c>
      <c r="K3254" s="1">
        <f t="shared" si="166"/>
        <v>5</v>
      </c>
      <c r="L3254" s="1">
        <v>132</v>
      </c>
      <c r="M3254" s="1">
        <v>88</v>
      </c>
      <c r="N3254" s="1">
        <v>2</v>
      </c>
      <c r="O3254" s="1">
        <v>2.5</v>
      </c>
      <c r="P3254" s="1">
        <f>H3254</f>
        <v>12</v>
      </c>
      <c r="Q3254" s="2">
        <v>0.129</v>
      </c>
      <c r="R3254" s="1">
        <v>9</v>
      </c>
      <c r="S3254" s="1">
        <f t="shared" si="167"/>
        <v>0.75</v>
      </c>
      <c r="T3254" s="1">
        <v>3</v>
      </c>
      <c r="U3254" s="1">
        <v>12.5</v>
      </c>
      <c r="V3254" s="1">
        <v>472.15686274509801</v>
      </c>
      <c r="W3254" s="1">
        <v>4</v>
      </c>
    </row>
    <row r="3255" spans="1:23" x14ac:dyDescent="0.2">
      <c r="A3255">
        <v>2020</v>
      </c>
      <c r="B3255" t="s">
        <v>23</v>
      </c>
      <c r="C3255" t="s">
        <v>272</v>
      </c>
      <c r="D3255">
        <v>205</v>
      </c>
      <c r="E3255">
        <v>2</v>
      </c>
      <c r="F3255">
        <v>11</v>
      </c>
      <c r="G3255" t="s">
        <v>230</v>
      </c>
      <c r="H3255" s="1">
        <v>9</v>
      </c>
      <c r="I3255" s="1">
        <v>66</v>
      </c>
      <c r="J3255" s="1">
        <v>70</v>
      </c>
      <c r="K3255" s="1">
        <f t="shared" si="166"/>
        <v>4</v>
      </c>
      <c r="L3255" s="1">
        <v>84</v>
      </c>
      <c r="M3255" s="1">
        <v>31</v>
      </c>
      <c r="N3255" s="1">
        <v>1.5</v>
      </c>
      <c r="O3255" s="1">
        <v>4.5</v>
      </c>
      <c r="P3255" s="1">
        <v>6</v>
      </c>
      <c r="Q3255" s="2">
        <v>0.16250000000000001</v>
      </c>
      <c r="R3255" s="1">
        <v>5</v>
      </c>
      <c r="S3255" s="1">
        <f t="shared" si="167"/>
        <v>0.83333333333333337</v>
      </c>
      <c r="T3255" s="1">
        <v>3</v>
      </c>
      <c r="U3255" s="1">
        <v>12.5</v>
      </c>
      <c r="V3255" s="1">
        <v>594.77124183006538</v>
      </c>
      <c r="W3255" s="1">
        <v>5</v>
      </c>
    </row>
    <row r="3256" spans="1:23" x14ac:dyDescent="0.2">
      <c r="A3256">
        <v>2020</v>
      </c>
      <c r="B3256" t="s">
        <v>23</v>
      </c>
      <c r="C3256" t="s">
        <v>272</v>
      </c>
      <c r="D3256">
        <v>206</v>
      </c>
      <c r="E3256">
        <v>1</v>
      </c>
      <c r="F3256">
        <v>3</v>
      </c>
      <c r="G3256" t="s">
        <v>231</v>
      </c>
      <c r="H3256" s="1">
        <v>15</v>
      </c>
      <c r="I3256" s="1">
        <v>58</v>
      </c>
      <c r="J3256" s="1">
        <v>61</v>
      </c>
      <c r="K3256" s="1">
        <f t="shared" si="166"/>
        <v>3</v>
      </c>
      <c r="L3256" s="1">
        <v>187</v>
      </c>
      <c r="M3256" s="1">
        <v>90</v>
      </c>
      <c r="N3256" s="1">
        <v>2</v>
      </c>
      <c r="O3256" s="1">
        <v>2</v>
      </c>
      <c r="P3256" s="1">
        <v>13</v>
      </c>
      <c r="Q3256" s="2">
        <v>2.6646000000000005</v>
      </c>
      <c r="R3256" s="1">
        <v>14</v>
      </c>
      <c r="S3256" s="1">
        <f t="shared" si="167"/>
        <v>1.0769230769230769</v>
      </c>
      <c r="T3256" s="1">
        <v>3</v>
      </c>
      <c r="U3256" s="1">
        <v>7.1</v>
      </c>
      <c r="V3256" s="1">
        <v>10354.670431372553</v>
      </c>
      <c r="W3256" s="1">
        <v>5</v>
      </c>
    </row>
    <row r="3257" spans="1:23" x14ac:dyDescent="0.2">
      <c r="A3257">
        <v>2020</v>
      </c>
      <c r="B3257" t="s">
        <v>23</v>
      </c>
      <c r="C3257" t="s">
        <v>272</v>
      </c>
      <c r="D3257">
        <v>206</v>
      </c>
      <c r="E3257">
        <v>2</v>
      </c>
      <c r="F3257">
        <v>12</v>
      </c>
      <c r="G3257" t="s">
        <v>231</v>
      </c>
      <c r="H3257" s="1">
        <v>10</v>
      </c>
      <c r="I3257" s="1">
        <v>63</v>
      </c>
      <c r="J3257" s="1">
        <v>67</v>
      </c>
      <c r="K3257" s="1">
        <f t="shared" si="166"/>
        <v>4</v>
      </c>
      <c r="L3257" s="1">
        <v>128</v>
      </c>
      <c r="M3257" s="1">
        <v>50</v>
      </c>
      <c r="N3257" s="1">
        <v>2</v>
      </c>
      <c r="O3257" s="1">
        <v>5</v>
      </c>
      <c r="P3257" s="1">
        <v>1</v>
      </c>
      <c r="Q3257" s="2">
        <v>8.9999999999999993E-3</v>
      </c>
      <c r="R3257" s="1">
        <v>1</v>
      </c>
      <c r="S3257" s="1">
        <f t="shared" si="167"/>
        <v>1</v>
      </c>
      <c r="T3257" s="1">
        <v>5</v>
      </c>
      <c r="U3257" s="1">
        <v>12.5</v>
      </c>
      <c r="V3257" s="1">
        <v>32.941176470588239</v>
      </c>
      <c r="W3257" s="1">
        <v>7</v>
      </c>
    </row>
    <row r="3258" spans="1:23" x14ac:dyDescent="0.2">
      <c r="A3258">
        <v>2020</v>
      </c>
      <c r="B3258" t="s">
        <v>23</v>
      </c>
      <c r="C3258" t="s">
        <v>272</v>
      </c>
      <c r="D3258">
        <v>207</v>
      </c>
      <c r="E3258">
        <v>1</v>
      </c>
      <c r="F3258">
        <v>15</v>
      </c>
      <c r="G3258" t="s">
        <v>232</v>
      </c>
      <c r="H3258" s="1">
        <v>4</v>
      </c>
      <c r="I3258" s="1">
        <v>65</v>
      </c>
      <c r="J3258" s="1">
        <v>70</v>
      </c>
      <c r="K3258" s="1">
        <f t="shared" si="166"/>
        <v>5</v>
      </c>
      <c r="L3258" s="1">
        <v>128</v>
      </c>
      <c r="M3258" s="1">
        <v>55</v>
      </c>
      <c r="N3258" s="1">
        <v>2.5</v>
      </c>
      <c r="O3258" s="1">
        <v>2.5</v>
      </c>
      <c r="P3258" s="1">
        <v>4</v>
      </c>
      <c r="Q3258" s="2">
        <v>0.33700000000000002</v>
      </c>
      <c r="R3258" s="1">
        <v>4</v>
      </c>
      <c r="S3258" s="1">
        <f t="shared" si="167"/>
        <v>1</v>
      </c>
      <c r="T3258" s="1">
        <v>2</v>
      </c>
      <c r="U3258" s="1">
        <v>12.5</v>
      </c>
      <c r="V3258" s="1">
        <v>1233.4640522875818</v>
      </c>
      <c r="W3258" s="1">
        <v>2</v>
      </c>
    </row>
    <row r="3259" spans="1:23" x14ac:dyDescent="0.2">
      <c r="A3259">
        <v>2020</v>
      </c>
      <c r="B3259" t="s">
        <v>23</v>
      </c>
      <c r="C3259" t="s">
        <v>272</v>
      </c>
      <c r="D3259">
        <v>207</v>
      </c>
      <c r="E3259">
        <v>2</v>
      </c>
      <c r="F3259">
        <v>12</v>
      </c>
      <c r="G3259" t="s">
        <v>232</v>
      </c>
      <c r="H3259" s="1">
        <v>3</v>
      </c>
      <c r="I3259" s="1">
        <v>59</v>
      </c>
      <c r="J3259" s="1">
        <v>64</v>
      </c>
      <c r="K3259" s="1">
        <f t="shared" si="166"/>
        <v>5</v>
      </c>
      <c r="L3259" s="1">
        <v>65</v>
      </c>
      <c r="M3259" s="1">
        <v>25</v>
      </c>
      <c r="N3259" s="1">
        <v>3</v>
      </c>
      <c r="O3259" s="1">
        <v>4</v>
      </c>
      <c r="P3259" s="1">
        <v>2</v>
      </c>
      <c r="Q3259" s="2">
        <v>0.10199999999999999</v>
      </c>
      <c r="R3259" s="1">
        <v>2</v>
      </c>
      <c r="S3259" s="1">
        <f t="shared" si="167"/>
        <v>1</v>
      </c>
      <c r="T3259" s="1">
        <v>5</v>
      </c>
      <c r="U3259" s="1">
        <v>12.5</v>
      </c>
      <c r="V3259" s="1">
        <v>373.33333333333326</v>
      </c>
      <c r="W3259" s="1">
        <v>5</v>
      </c>
    </row>
    <row r="3260" spans="1:23" x14ac:dyDescent="0.2">
      <c r="A3260">
        <v>2020</v>
      </c>
      <c r="B3260" t="s">
        <v>23</v>
      </c>
      <c r="C3260" t="s">
        <v>272</v>
      </c>
      <c r="D3260">
        <v>208</v>
      </c>
      <c r="E3260">
        <v>1</v>
      </c>
      <c r="F3260">
        <v>2</v>
      </c>
      <c r="G3260" t="s">
        <v>233</v>
      </c>
      <c r="H3260" s="1">
        <v>6</v>
      </c>
      <c r="I3260" s="1">
        <v>64</v>
      </c>
      <c r="J3260" s="1">
        <v>68</v>
      </c>
      <c r="K3260" s="1">
        <f t="shared" si="166"/>
        <v>4</v>
      </c>
      <c r="L3260" s="1">
        <v>207</v>
      </c>
      <c r="M3260" s="1">
        <v>108</v>
      </c>
      <c r="N3260" s="1">
        <v>2</v>
      </c>
      <c r="O3260" s="1">
        <v>2</v>
      </c>
      <c r="P3260" s="1">
        <v>6</v>
      </c>
      <c r="Q3260" s="2">
        <v>0.57199999999999995</v>
      </c>
      <c r="R3260" s="1">
        <v>5</v>
      </c>
      <c r="S3260" s="1">
        <f t="shared" si="167"/>
        <v>0.83333333333333337</v>
      </c>
      <c r="T3260" s="1">
        <v>3</v>
      </c>
      <c r="U3260" s="1">
        <v>11.3</v>
      </c>
      <c r="V3260" s="1">
        <v>2122.306928104575</v>
      </c>
      <c r="W3260" s="1">
        <v>4</v>
      </c>
    </row>
    <row r="3261" spans="1:23" x14ac:dyDescent="0.2">
      <c r="A3261">
        <v>2020</v>
      </c>
      <c r="B3261" t="s">
        <v>23</v>
      </c>
      <c r="C3261" t="s">
        <v>272</v>
      </c>
      <c r="D3261">
        <v>208</v>
      </c>
      <c r="E3261">
        <v>2</v>
      </c>
      <c r="F3261">
        <v>7</v>
      </c>
      <c r="G3261" t="s">
        <v>233</v>
      </c>
      <c r="H3261" s="1">
        <v>12</v>
      </c>
      <c r="I3261" s="1">
        <v>63</v>
      </c>
      <c r="J3261" s="1">
        <v>66</v>
      </c>
      <c r="K3261" s="1">
        <f t="shared" si="166"/>
        <v>3</v>
      </c>
      <c r="L3261" s="1">
        <v>118</v>
      </c>
      <c r="M3261" s="1">
        <v>43</v>
      </c>
      <c r="N3261" s="1">
        <v>2</v>
      </c>
      <c r="O3261" s="1">
        <v>3.5</v>
      </c>
      <c r="P3261" s="1">
        <f>H3261</f>
        <v>12</v>
      </c>
      <c r="Q3261" s="2">
        <v>0.46462500000000001</v>
      </c>
      <c r="R3261" s="1">
        <v>9</v>
      </c>
      <c r="S3261" s="1">
        <f t="shared" si="167"/>
        <v>0.75</v>
      </c>
      <c r="T3261" s="1">
        <v>5</v>
      </c>
      <c r="U3261" s="1">
        <v>12.5</v>
      </c>
      <c r="V3261" s="1">
        <v>1700.5882352941178</v>
      </c>
      <c r="W3261" s="1">
        <v>3</v>
      </c>
    </row>
    <row r="3262" spans="1:23" x14ac:dyDescent="0.2">
      <c r="A3262">
        <v>2020</v>
      </c>
      <c r="B3262" t="s">
        <v>23</v>
      </c>
      <c r="C3262" t="s">
        <v>272</v>
      </c>
      <c r="D3262">
        <v>209</v>
      </c>
      <c r="E3262">
        <v>1</v>
      </c>
      <c r="F3262">
        <v>13</v>
      </c>
      <c r="G3262" t="s">
        <v>234</v>
      </c>
      <c r="H3262" s="1">
        <v>5</v>
      </c>
      <c r="I3262" s="1">
        <v>61</v>
      </c>
      <c r="J3262" s="1">
        <v>63</v>
      </c>
      <c r="K3262" s="1">
        <f t="shared" si="166"/>
        <v>2</v>
      </c>
      <c r="L3262" s="1">
        <v>125</v>
      </c>
      <c r="M3262" s="1">
        <v>57</v>
      </c>
      <c r="N3262" s="1">
        <v>2</v>
      </c>
      <c r="O3262" s="1">
        <v>3</v>
      </c>
      <c r="P3262" s="1">
        <v>5</v>
      </c>
      <c r="Q3262" s="2">
        <v>0.34100000000000003</v>
      </c>
      <c r="R3262" s="1">
        <v>7</v>
      </c>
      <c r="S3262" s="1">
        <f t="shared" si="167"/>
        <v>1.4</v>
      </c>
      <c r="T3262" s="1">
        <v>3</v>
      </c>
      <c r="U3262" s="1">
        <v>12.5</v>
      </c>
      <c r="V3262" s="1">
        <v>1248.1045751633985</v>
      </c>
      <c r="W3262" s="1">
        <v>2</v>
      </c>
    </row>
    <row r="3263" spans="1:23" x14ac:dyDescent="0.2">
      <c r="A3263">
        <v>2020</v>
      </c>
      <c r="B3263" t="s">
        <v>23</v>
      </c>
      <c r="C3263" t="s">
        <v>272</v>
      </c>
      <c r="D3263">
        <v>209</v>
      </c>
      <c r="E3263">
        <v>2</v>
      </c>
      <c r="F3263">
        <v>7</v>
      </c>
      <c r="G3263" t="s">
        <v>234</v>
      </c>
      <c r="H3263" s="1">
        <v>4</v>
      </c>
      <c r="I3263" s="1">
        <v>61</v>
      </c>
      <c r="J3263" s="1">
        <v>64</v>
      </c>
      <c r="K3263" s="1">
        <f t="shared" si="166"/>
        <v>3</v>
      </c>
      <c r="L3263" s="1">
        <v>127</v>
      </c>
      <c r="M3263" s="1">
        <v>53</v>
      </c>
      <c r="N3263" s="1">
        <v>2</v>
      </c>
      <c r="O3263" s="1">
        <v>4</v>
      </c>
      <c r="P3263" s="1">
        <f>H3263</f>
        <v>4</v>
      </c>
      <c r="Q3263" s="2">
        <v>0.1125</v>
      </c>
      <c r="R3263" s="1">
        <v>2</v>
      </c>
      <c r="S3263" s="1">
        <f t="shared" si="167"/>
        <v>0.5</v>
      </c>
      <c r="T3263" s="1">
        <v>5</v>
      </c>
      <c r="U3263" s="1">
        <v>12.5</v>
      </c>
      <c r="V3263" s="1">
        <v>411.76470588235293</v>
      </c>
      <c r="W3263" s="1">
        <v>6</v>
      </c>
    </row>
    <row r="3264" spans="1:23" x14ac:dyDescent="0.2">
      <c r="A3264">
        <v>2020</v>
      </c>
      <c r="B3264" t="s">
        <v>23</v>
      </c>
      <c r="C3264" t="s">
        <v>272</v>
      </c>
      <c r="D3264">
        <v>210</v>
      </c>
      <c r="E3264">
        <v>1</v>
      </c>
      <c r="F3264">
        <v>14</v>
      </c>
      <c r="G3264" t="s">
        <v>235</v>
      </c>
      <c r="H3264">
        <v>6</v>
      </c>
      <c r="I3264">
        <v>55</v>
      </c>
      <c r="J3264">
        <v>57</v>
      </c>
      <c r="K3264">
        <v>2</v>
      </c>
      <c r="L3264">
        <v>186</v>
      </c>
      <c r="M3264">
        <v>67</v>
      </c>
      <c r="N3264">
        <v>2</v>
      </c>
      <c r="O3264">
        <v>3</v>
      </c>
      <c r="P3264">
        <v>6</v>
      </c>
      <c r="Q3264">
        <v>0.8</v>
      </c>
      <c r="R3264">
        <v>8</v>
      </c>
      <c r="S3264">
        <v>1.3333333333333333</v>
      </c>
      <c r="T3264">
        <v>2</v>
      </c>
      <c r="U3264">
        <v>12.5</v>
      </c>
      <c r="V3264">
        <v>2928.1045751633987</v>
      </c>
      <c r="W3264">
        <v>1</v>
      </c>
    </row>
    <row r="3265" spans="1:23" x14ac:dyDescent="0.2">
      <c r="A3265">
        <v>2020</v>
      </c>
      <c r="B3265" t="s">
        <v>23</v>
      </c>
      <c r="C3265" t="s">
        <v>272</v>
      </c>
      <c r="D3265">
        <v>210</v>
      </c>
      <c r="E3265">
        <v>2</v>
      </c>
      <c r="F3265">
        <v>5</v>
      </c>
      <c r="G3265" t="s">
        <v>235</v>
      </c>
      <c r="H3265">
        <v>2</v>
      </c>
      <c r="I3265">
        <v>53</v>
      </c>
      <c r="J3265">
        <v>57</v>
      </c>
      <c r="K3265">
        <v>4</v>
      </c>
      <c r="L3265">
        <v>113</v>
      </c>
      <c r="M3265">
        <v>29</v>
      </c>
      <c r="N3265">
        <v>3</v>
      </c>
      <c r="O3265">
        <v>3</v>
      </c>
      <c r="P3265">
        <v>2</v>
      </c>
      <c r="Q3265">
        <v>0.14499999999999999</v>
      </c>
      <c r="R3265">
        <v>3</v>
      </c>
      <c r="S3265">
        <v>1.5</v>
      </c>
      <c r="T3265">
        <v>3</v>
      </c>
      <c r="U3265">
        <v>12.5</v>
      </c>
      <c r="V3265">
        <v>530.718954248366</v>
      </c>
      <c r="W3265">
        <v>2</v>
      </c>
    </row>
    <row r="3266" spans="1:23" x14ac:dyDescent="0.2">
      <c r="A3266">
        <v>2020</v>
      </c>
      <c r="B3266" t="s">
        <v>23</v>
      </c>
      <c r="C3266" t="s">
        <v>272</v>
      </c>
      <c r="D3266">
        <v>211</v>
      </c>
      <c r="E3266">
        <v>1</v>
      </c>
      <c r="F3266">
        <v>15</v>
      </c>
      <c r="G3266" t="s">
        <v>236</v>
      </c>
      <c r="H3266">
        <v>11</v>
      </c>
      <c r="I3266">
        <v>60</v>
      </c>
      <c r="J3266">
        <v>62</v>
      </c>
      <c r="K3266">
        <v>2</v>
      </c>
      <c r="L3266">
        <v>180</v>
      </c>
      <c r="M3266">
        <v>68</v>
      </c>
      <c r="N3266">
        <v>1</v>
      </c>
      <c r="O3266">
        <v>2</v>
      </c>
      <c r="P3266">
        <v>11</v>
      </c>
      <c r="Q3266">
        <v>1.8939999999999999</v>
      </c>
      <c r="R3266">
        <v>11</v>
      </c>
      <c r="S3266">
        <v>1</v>
      </c>
      <c r="T3266">
        <v>3</v>
      </c>
      <c r="U3266">
        <v>12.5</v>
      </c>
      <c r="V3266">
        <v>6932.2875816993464</v>
      </c>
      <c r="W3266">
        <v>1</v>
      </c>
    </row>
    <row r="3267" spans="1:23" x14ac:dyDescent="0.2">
      <c r="A3267">
        <v>2020</v>
      </c>
      <c r="B3267" t="s">
        <v>23</v>
      </c>
      <c r="C3267" t="s">
        <v>272</v>
      </c>
      <c r="D3267">
        <v>211</v>
      </c>
      <c r="E3267">
        <v>2</v>
      </c>
      <c r="F3267">
        <v>15</v>
      </c>
      <c r="G3267" t="s">
        <v>236</v>
      </c>
      <c r="H3267" s="1">
        <v>2</v>
      </c>
      <c r="I3267" s="1">
        <v>66</v>
      </c>
      <c r="J3267" s="1">
        <v>71</v>
      </c>
      <c r="K3267" s="1">
        <f>J3267-I3267</f>
        <v>5</v>
      </c>
      <c r="L3267" s="1">
        <v>141</v>
      </c>
      <c r="M3267" s="1">
        <v>57</v>
      </c>
      <c r="N3267" s="1">
        <v>1.5</v>
      </c>
      <c r="O3267" s="1">
        <v>3</v>
      </c>
      <c r="P3267" s="1">
        <v>2</v>
      </c>
      <c r="Q3267" s="2">
        <v>0.1</v>
      </c>
      <c r="R3267" s="1">
        <v>3</v>
      </c>
      <c r="S3267" s="1">
        <f>R3267/P3267</f>
        <v>1.5</v>
      </c>
      <c r="T3267" s="1">
        <v>3.5</v>
      </c>
      <c r="U3267" s="1">
        <v>12.5</v>
      </c>
      <c r="V3267" s="1">
        <v>366.01307189542484</v>
      </c>
      <c r="W3267" s="1">
        <v>3</v>
      </c>
    </row>
    <row r="3268" spans="1:23" x14ac:dyDescent="0.2">
      <c r="A3268">
        <v>2020</v>
      </c>
      <c r="B3268" t="s">
        <v>23</v>
      </c>
      <c r="C3268" t="s">
        <v>272</v>
      </c>
      <c r="D3268">
        <v>212</v>
      </c>
      <c r="E3268">
        <v>1</v>
      </c>
      <c r="F3268">
        <v>9</v>
      </c>
      <c r="G3268" t="s">
        <v>237</v>
      </c>
      <c r="H3268" s="1">
        <v>11</v>
      </c>
      <c r="I3268" s="1">
        <v>66</v>
      </c>
      <c r="J3268" s="1">
        <v>67</v>
      </c>
      <c r="K3268" s="1">
        <f>J3268-I3268</f>
        <v>1</v>
      </c>
      <c r="L3268" s="1">
        <v>133</v>
      </c>
      <c r="M3268" s="1">
        <v>58</v>
      </c>
      <c r="N3268" s="1">
        <v>2</v>
      </c>
      <c r="O3268" s="1">
        <v>5</v>
      </c>
      <c r="P3268" s="1">
        <v>7</v>
      </c>
      <c r="Q3268" s="2">
        <v>0.16800000000000001</v>
      </c>
      <c r="R3268" s="1">
        <v>4</v>
      </c>
      <c r="S3268" s="1">
        <f>R3268/P3268</f>
        <v>0.5714285714285714</v>
      </c>
      <c r="T3268" s="1">
        <v>5</v>
      </c>
      <c r="U3268" s="1">
        <v>12.5</v>
      </c>
      <c r="V3268" s="1">
        <v>614.9019607843137</v>
      </c>
      <c r="W3268" s="1">
        <v>5</v>
      </c>
    </row>
    <row r="3269" spans="1:23" x14ac:dyDescent="0.2">
      <c r="A3269">
        <v>2020</v>
      </c>
      <c r="B3269" t="s">
        <v>23</v>
      </c>
      <c r="C3269" t="s">
        <v>272</v>
      </c>
      <c r="D3269">
        <v>212</v>
      </c>
      <c r="E3269">
        <v>2</v>
      </c>
      <c r="F3269">
        <v>9</v>
      </c>
      <c r="G3269" t="s">
        <v>237</v>
      </c>
      <c r="H3269">
        <v>16</v>
      </c>
      <c r="I3269">
        <v>52</v>
      </c>
      <c r="J3269">
        <v>55</v>
      </c>
      <c r="K3269">
        <v>3</v>
      </c>
      <c r="L3269">
        <v>165</v>
      </c>
      <c r="M3269">
        <v>87</v>
      </c>
      <c r="N3269">
        <v>1</v>
      </c>
      <c r="O3269">
        <v>1.5</v>
      </c>
      <c r="P3269">
        <v>14</v>
      </c>
      <c r="Q3269">
        <v>1.4</v>
      </c>
      <c r="R3269">
        <v>14</v>
      </c>
      <c r="S3269">
        <v>1</v>
      </c>
      <c r="T3269">
        <v>2</v>
      </c>
      <c r="U3269">
        <v>12.5</v>
      </c>
      <c r="V3269">
        <v>5124.1830065359472</v>
      </c>
      <c r="W3269">
        <v>1</v>
      </c>
    </row>
    <row r="3270" spans="1:23" x14ac:dyDescent="0.2">
      <c r="A3270">
        <v>2020</v>
      </c>
      <c r="B3270" t="s">
        <v>23</v>
      </c>
      <c r="C3270" t="s">
        <v>272</v>
      </c>
      <c r="D3270">
        <v>213</v>
      </c>
      <c r="E3270">
        <v>1</v>
      </c>
      <c r="F3270">
        <v>3</v>
      </c>
      <c r="G3270" t="s">
        <v>238</v>
      </c>
      <c r="H3270" s="1">
        <v>12</v>
      </c>
      <c r="I3270" s="1">
        <v>63</v>
      </c>
      <c r="J3270" s="1">
        <v>68</v>
      </c>
      <c r="K3270" s="1">
        <f>J3270-I3270</f>
        <v>5</v>
      </c>
      <c r="L3270" s="1">
        <v>148</v>
      </c>
      <c r="M3270" s="1">
        <v>95</v>
      </c>
      <c r="N3270" s="1">
        <v>1</v>
      </c>
      <c r="O3270" s="1">
        <v>2.5</v>
      </c>
      <c r="P3270" s="1">
        <v>10</v>
      </c>
      <c r="Q3270" s="2">
        <v>0.61575000000000002</v>
      </c>
      <c r="R3270" s="1">
        <v>10</v>
      </c>
      <c r="S3270" s="1">
        <f>R3270/P3270</f>
        <v>1</v>
      </c>
      <c r="T3270" s="1">
        <v>2</v>
      </c>
      <c r="U3270" s="1">
        <v>12.5</v>
      </c>
      <c r="V3270" s="1">
        <v>2253.7254901960787</v>
      </c>
      <c r="W3270" s="1">
        <v>3</v>
      </c>
    </row>
    <row r="3271" spans="1:23" x14ac:dyDescent="0.2">
      <c r="A3271">
        <v>2020</v>
      </c>
      <c r="B3271" t="s">
        <v>23</v>
      </c>
      <c r="C3271" t="s">
        <v>272</v>
      </c>
      <c r="D3271">
        <v>213</v>
      </c>
      <c r="E3271">
        <v>2</v>
      </c>
      <c r="F3271">
        <v>5</v>
      </c>
      <c r="G3271" t="s">
        <v>238</v>
      </c>
      <c r="H3271" s="1">
        <v>8</v>
      </c>
      <c r="I3271" s="1">
        <v>61</v>
      </c>
      <c r="J3271" s="1">
        <v>66</v>
      </c>
      <c r="K3271" s="1">
        <f>J3271-I3271</f>
        <v>5</v>
      </c>
      <c r="L3271" s="1">
        <v>58</v>
      </c>
      <c r="M3271" s="1">
        <v>31</v>
      </c>
      <c r="N3271" s="1">
        <v>2.5</v>
      </c>
      <c r="O3271" s="1">
        <v>4.5</v>
      </c>
      <c r="P3271" s="1">
        <v>5</v>
      </c>
      <c r="Q3271" s="2">
        <v>9.5000000000000001E-2</v>
      </c>
      <c r="R3271" s="1">
        <v>4</v>
      </c>
      <c r="S3271" s="1">
        <f>R3271/P3271</f>
        <v>0.8</v>
      </c>
      <c r="T3271" s="1">
        <v>4</v>
      </c>
      <c r="U3271" s="1">
        <v>12.5</v>
      </c>
      <c r="V3271" s="1">
        <v>347.71241830065361</v>
      </c>
      <c r="W3271" s="1">
        <v>5</v>
      </c>
    </row>
    <row r="3272" spans="1:23" x14ac:dyDescent="0.2">
      <c r="A3272">
        <v>2020</v>
      </c>
      <c r="B3272" t="s">
        <v>23</v>
      </c>
      <c r="C3272" t="s">
        <v>272</v>
      </c>
      <c r="D3272">
        <v>214</v>
      </c>
      <c r="E3272">
        <v>1</v>
      </c>
      <c r="F3272">
        <v>5</v>
      </c>
      <c r="G3272" t="s">
        <v>239</v>
      </c>
      <c r="H3272" s="1">
        <v>2</v>
      </c>
      <c r="I3272" s="1">
        <v>65</v>
      </c>
      <c r="J3272" s="1">
        <v>70</v>
      </c>
      <c r="K3272" s="1">
        <f>J3272-I3272</f>
        <v>5</v>
      </c>
      <c r="L3272" s="1">
        <v>122</v>
      </c>
      <c r="M3272" s="1">
        <v>68</v>
      </c>
      <c r="N3272" s="1">
        <v>2</v>
      </c>
      <c r="O3272" s="1">
        <v>3.5</v>
      </c>
      <c r="P3272" s="1">
        <v>3</v>
      </c>
      <c r="Q3272" s="2">
        <v>6.6799999999999998E-2</v>
      </c>
      <c r="R3272" s="1">
        <v>1</v>
      </c>
      <c r="S3272" s="1">
        <f>R3272/P3272</f>
        <v>0.33333333333333331</v>
      </c>
      <c r="T3272" s="1">
        <v>2</v>
      </c>
      <c r="U3272" s="1">
        <v>12.5</v>
      </c>
      <c r="V3272" s="1">
        <v>244.4967320261438</v>
      </c>
      <c r="W3272" s="1">
        <v>4</v>
      </c>
    </row>
    <row r="3273" spans="1:23" x14ac:dyDescent="0.2">
      <c r="A3273">
        <v>2020</v>
      </c>
      <c r="B3273" t="s">
        <v>23</v>
      </c>
      <c r="C3273" t="s">
        <v>272</v>
      </c>
      <c r="D3273">
        <v>214</v>
      </c>
      <c r="E3273">
        <v>2</v>
      </c>
      <c r="F3273">
        <v>3</v>
      </c>
      <c r="G3273" t="s">
        <v>239</v>
      </c>
      <c r="H3273">
        <v>13</v>
      </c>
      <c r="I3273">
        <v>56</v>
      </c>
      <c r="J3273">
        <v>60</v>
      </c>
      <c r="K3273">
        <v>4</v>
      </c>
      <c r="L3273">
        <v>66</v>
      </c>
      <c r="M3273">
        <v>24</v>
      </c>
      <c r="N3273">
        <v>2</v>
      </c>
      <c r="O3273">
        <v>2</v>
      </c>
      <c r="P3273">
        <v>13</v>
      </c>
      <c r="Q3273">
        <v>1.4179999999999999</v>
      </c>
      <c r="R3273">
        <v>13</v>
      </c>
      <c r="S3273">
        <v>1</v>
      </c>
      <c r="T3273">
        <v>3</v>
      </c>
      <c r="U3273">
        <v>12.5</v>
      </c>
      <c r="V3273">
        <v>5190.0653594771247</v>
      </c>
      <c r="W3273">
        <v>2</v>
      </c>
    </row>
    <row r="3274" spans="1:23" x14ac:dyDescent="0.2">
      <c r="A3274">
        <v>2020</v>
      </c>
      <c r="B3274" t="s">
        <v>23</v>
      </c>
      <c r="C3274" t="s">
        <v>272</v>
      </c>
      <c r="D3274">
        <v>215</v>
      </c>
      <c r="E3274">
        <v>1</v>
      </c>
      <c r="F3274">
        <v>12</v>
      </c>
      <c r="G3274" t="s">
        <v>240</v>
      </c>
      <c r="H3274" s="1">
        <v>6</v>
      </c>
      <c r="I3274" s="1">
        <v>63</v>
      </c>
      <c r="J3274" s="1">
        <v>67</v>
      </c>
      <c r="K3274" s="1">
        <f>J3274-I3274</f>
        <v>4</v>
      </c>
      <c r="L3274" s="1">
        <v>133</v>
      </c>
      <c r="M3274" s="1">
        <v>55</v>
      </c>
      <c r="N3274" s="1">
        <v>2</v>
      </c>
      <c r="O3274" s="1">
        <v>4</v>
      </c>
      <c r="P3274" s="1">
        <v>5</v>
      </c>
      <c r="Q3274" s="2">
        <v>0.12</v>
      </c>
      <c r="R3274" s="1">
        <v>5</v>
      </c>
      <c r="S3274" s="1">
        <f>R3274/P3274</f>
        <v>1</v>
      </c>
      <c r="T3274" s="1">
        <v>4</v>
      </c>
      <c r="U3274" s="1">
        <v>12.5</v>
      </c>
      <c r="V3274" s="1">
        <v>439.21568627450984</v>
      </c>
      <c r="W3274" s="1">
        <v>4</v>
      </c>
    </row>
    <row r="3275" spans="1:23" x14ac:dyDescent="0.2">
      <c r="A3275">
        <v>2020</v>
      </c>
      <c r="B3275" t="s">
        <v>23</v>
      </c>
      <c r="C3275" t="s">
        <v>272</v>
      </c>
      <c r="D3275">
        <v>215</v>
      </c>
      <c r="E3275">
        <v>2</v>
      </c>
      <c r="F3275">
        <v>14</v>
      </c>
      <c r="G3275" t="s">
        <v>240</v>
      </c>
      <c r="H3275" s="1">
        <v>1</v>
      </c>
      <c r="I3275" s="1">
        <v>67</v>
      </c>
      <c r="J3275" s="1">
        <v>70</v>
      </c>
      <c r="K3275" s="1">
        <f>J3275-I3275</f>
        <v>3</v>
      </c>
      <c r="L3275" s="1">
        <v>103</v>
      </c>
      <c r="M3275" s="1">
        <v>40</v>
      </c>
      <c r="N3275" s="1">
        <v>2</v>
      </c>
      <c r="O3275" s="1">
        <v>3.5</v>
      </c>
      <c r="P3275" s="1">
        <f>H3275</f>
        <v>1</v>
      </c>
      <c r="Q3275" s="2">
        <v>3.7499999999999999E-2</v>
      </c>
      <c r="R3275" s="1">
        <v>1</v>
      </c>
      <c r="S3275" s="1">
        <f>R3275/P3275</f>
        <v>1</v>
      </c>
      <c r="T3275" s="1">
        <v>5</v>
      </c>
      <c r="U3275" s="1">
        <v>12.5</v>
      </c>
      <c r="V3275" s="1">
        <v>137.25490196078431</v>
      </c>
      <c r="W3275" s="1">
        <v>3</v>
      </c>
    </row>
    <row r="3276" spans="1:23" x14ac:dyDescent="0.2">
      <c r="A3276">
        <v>2020</v>
      </c>
      <c r="B3276" t="s">
        <v>23</v>
      </c>
      <c r="C3276" t="s">
        <v>272</v>
      </c>
      <c r="D3276">
        <v>216</v>
      </c>
      <c r="E3276">
        <v>1</v>
      </c>
      <c r="F3276">
        <v>5</v>
      </c>
      <c r="G3276" t="s">
        <v>241</v>
      </c>
      <c r="H3276" s="1">
        <v>11</v>
      </c>
      <c r="I3276" s="1">
        <v>55</v>
      </c>
      <c r="J3276" s="1">
        <v>58</v>
      </c>
      <c r="K3276" s="1">
        <f>J3276-I3276</f>
        <v>3</v>
      </c>
      <c r="L3276" s="1">
        <v>93</v>
      </c>
      <c r="M3276" s="1">
        <v>41</v>
      </c>
      <c r="N3276" s="1">
        <v>2.5</v>
      </c>
      <c r="O3276" s="1">
        <v>4</v>
      </c>
      <c r="P3276" s="1">
        <v>6</v>
      </c>
      <c r="Q3276" s="2">
        <v>0.22</v>
      </c>
      <c r="R3276" s="1">
        <v>5</v>
      </c>
      <c r="S3276" s="1">
        <f>R3276/P3276</f>
        <v>0.83333333333333337</v>
      </c>
      <c r="T3276" s="1">
        <v>3.5</v>
      </c>
      <c r="U3276" s="1">
        <v>12.5</v>
      </c>
      <c r="V3276" s="1">
        <v>805.22875816993462</v>
      </c>
      <c r="W3276" s="1">
        <v>4</v>
      </c>
    </row>
    <row r="3277" spans="1:23" x14ac:dyDescent="0.2">
      <c r="A3277">
        <v>2020</v>
      </c>
      <c r="B3277" t="s">
        <v>23</v>
      </c>
      <c r="C3277" t="s">
        <v>272</v>
      </c>
      <c r="D3277">
        <v>216</v>
      </c>
      <c r="E3277">
        <v>2</v>
      </c>
      <c r="F3277">
        <v>4</v>
      </c>
      <c r="G3277" t="s">
        <v>241</v>
      </c>
      <c r="H3277" s="1">
        <v>8</v>
      </c>
      <c r="I3277" s="1">
        <v>66</v>
      </c>
      <c r="J3277" s="1">
        <v>70</v>
      </c>
      <c r="K3277" s="1">
        <f>J3277-I3277</f>
        <v>4</v>
      </c>
      <c r="L3277" s="1">
        <v>128</v>
      </c>
      <c r="M3277" s="1">
        <v>51</v>
      </c>
      <c r="N3277" s="1">
        <v>2</v>
      </c>
      <c r="O3277" s="1">
        <v>4</v>
      </c>
      <c r="P3277" s="1">
        <v>5</v>
      </c>
      <c r="Q3277" s="2">
        <v>0.151</v>
      </c>
      <c r="R3277" s="1">
        <v>3</v>
      </c>
      <c r="S3277" s="1">
        <f>R3277/P3277</f>
        <v>0.6</v>
      </c>
      <c r="T3277" s="1">
        <v>3.5</v>
      </c>
      <c r="U3277" s="1">
        <v>12.5</v>
      </c>
      <c r="V3277" s="1">
        <v>552.67973856209153</v>
      </c>
      <c r="W3277" s="1">
        <v>6</v>
      </c>
    </row>
    <row r="3278" spans="1:23" x14ac:dyDescent="0.2">
      <c r="A3278">
        <v>2020</v>
      </c>
      <c r="B3278" t="s">
        <v>23</v>
      </c>
      <c r="C3278" t="s">
        <v>272</v>
      </c>
      <c r="D3278">
        <v>217</v>
      </c>
      <c r="E3278">
        <v>1</v>
      </c>
      <c r="F3278">
        <v>8</v>
      </c>
      <c r="G3278" t="s">
        <v>242</v>
      </c>
      <c r="H3278" s="1">
        <v>6</v>
      </c>
      <c r="I3278" s="1">
        <v>65</v>
      </c>
      <c r="J3278" s="1">
        <v>70</v>
      </c>
      <c r="K3278" s="1">
        <f>J3278-I3278</f>
        <v>5</v>
      </c>
      <c r="L3278" s="1">
        <v>83</v>
      </c>
      <c r="M3278" s="1">
        <v>35</v>
      </c>
      <c r="N3278" s="1">
        <v>2</v>
      </c>
      <c r="O3278" s="1">
        <v>3.5</v>
      </c>
      <c r="P3278" s="1">
        <v>5</v>
      </c>
      <c r="Q3278" s="2">
        <v>0.14499999999999999</v>
      </c>
      <c r="R3278" s="1">
        <v>2</v>
      </c>
      <c r="S3278" s="1">
        <f>R3278/P3278</f>
        <v>0.4</v>
      </c>
      <c r="T3278" s="1">
        <v>4</v>
      </c>
      <c r="U3278" s="1">
        <v>12.5</v>
      </c>
      <c r="V3278" s="1">
        <v>530.718954248366</v>
      </c>
      <c r="W3278" s="1">
        <v>4</v>
      </c>
    </row>
    <row r="3279" spans="1:23" x14ac:dyDescent="0.2">
      <c r="A3279">
        <v>2020</v>
      </c>
      <c r="B3279" t="s">
        <v>23</v>
      </c>
      <c r="C3279" t="s">
        <v>272</v>
      </c>
      <c r="D3279">
        <v>217</v>
      </c>
      <c r="E3279">
        <v>2</v>
      </c>
      <c r="F3279">
        <v>7</v>
      </c>
      <c r="G3279" t="s">
        <v>242</v>
      </c>
      <c r="H3279">
        <v>16</v>
      </c>
      <c r="I3279">
        <v>56</v>
      </c>
      <c r="J3279">
        <v>58</v>
      </c>
      <c r="K3279">
        <v>2</v>
      </c>
      <c r="L3279">
        <v>171</v>
      </c>
      <c r="M3279">
        <v>69</v>
      </c>
      <c r="N3279">
        <v>2</v>
      </c>
      <c r="O3279">
        <v>2</v>
      </c>
      <c r="P3279">
        <v>14</v>
      </c>
      <c r="Q3279">
        <v>0.9</v>
      </c>
      <c r="R3279">
        <v>13</v>
      </c>
      <c r="S3279">
        <v>0.9285714285714286</v>
      </c>
      <c r="T3279">
        <v>3</v>
      </c>
      <c r="U3279">
        <v>8.9</v>
      </c>
      <c r="V3279">
        <v>3429.6470588235297</v>
      </c>
      <c r="W3279">
        <v>2</v>
      </c>
    </row>
    <row r="3280" spans="1:23" x14ac:dyDescent="0.2">
      <c r="A3280">
        <v>2020</v>
      </c>
      <c r="B3280" t="s">
        <v>23</v>
      </c>
      <c r="C3280" t="s">
        <v>272</v>
      </c>
      <c r="D3280">
        <v>218</v>
      </c>
      <c r="E3280">
        <v>1</v>
      </c>
      <c r="F3280">
        <v>11</v>
      </c>
      <c r="G3280" t="s">
        <v>243</v>
      </c>
      <c r="H3280" s="1">
        <v>4</v>
      </c>
      <c r="I3280" s="1">
        <v>65</v>
      </c>
      <c r="J3280" s="1">
        <v>70</v>
      </c>
      <c r="K3280" s="1">
        <f>J3280-I3280</f>
        <v>5</v>
      </c>
      <c r="L3280" s="1">
        <v>151</v>
      </c>
      <c r="M3280" s="1">
        <v>70</v>
      </c>
      <c r="N3280" s="1">
        <v>2</v>
      </c>
      <c r="O3280" s="1">
        <v>2.5</v>
      </c>
      <c r="P3280" s="1">
        <v>3</v>
      </c>
      <c r="Q3280" s="2">
        <v>0.37162499999999998</v>
      </c>
      <c r="R3280" s="1">
        <v>3</v>
      </c>
      <c r="S3280" s="1">
        <f>R3280/P3280</f>
        <v>1</v>
      </c>
      <c r="T3280" s="1">
        <v>3</v>
      </c>
      <c r="U3280" s="1">
        <v>12.5</v>
      </c>
      <c r="V3280" s="1">
        <v>1360.1960784313726</v>
      </c>
      <c r="W3280" s="1">
        <v>4</v>
      </c>
    </row>
    <row r="3281" spans="1:23" x14ac:dyDescent="0.2">
      <c r="A3281">
        <v>2020</v>
      </c>
      <c r="B3281" t="s">
        <v>23</v>
      </c>
      <c r="C3281" t="s">
        <v>272</v>
      </c>
      <c r="D3281">
        <v>218</v>
      </c>
      <c r="E3281">
        <v>2</v>
      </c>
      <c r="F3281">
        <v>6</v>
      </c>
      <c r="G3281" t="s">
        <v>243</v>
      </c>
      <c r="H3281">
        <v>9</v>
      </c>
      <c r="I3281">
        <v>64</v>
      </c>
      <c r="J3281">
        <v>67</v>
      </c>
      <c r="K3281">
        <v>3</v>
      </c>
      <c r="L3281">
        <v>110</v>
      </c>
      <c r="M3281">
        <v>66</v>
      </c>
      <c r="N3281">
        <v>1.5</v>
      </c>
      <c r="O3281">
        <v>2.5</v>
      </c>
      <c r="P3281">
        <v>9</v>
      </c>
      <c r="Q3281">
        <v>1.2</v>
      </c>
      <c r="R3281">
        <v>10</v>
      </c>
      <c r="S3281">
        <v>1.1111111111111112</v>
      </c>
      <c r="T3281" t="s">
        <v>273</v>
      </c>
      <c r="U3281">
        <v>12.5</v>
      </c>
      <c r="V3281">
        <v>4392.1568627450979</v>
      </c>
      <c r="W3281">
        <v>1</v>
      </c>
    </row>
    <row r="3282" spans="1:23" x14ac:dyDescent="0.2">
      <c r="A3282">
        <v>2020</v>
      </c>
      <c r="B3282" t="s">
        <v>23</v>
      </c>
      <c r="C3282" t="s">
        <v>272</v>
      </c>
      <c r="D3282">
        <v>219</v>
      </c>
      <c r="E3282">
        <v>1</v>
      </c>
      <c r="F3282">
        <v>14</v>
      </c>
      <c r="G3282" t="s">
        <v>244</v>
      </c>
      <c r="H3282" s="3">
        <v>2</v>
      </c>
      <c r="I3282" s="3">
        <v>70</v>
      </c>
      <c r="J3282" s="3">
        <v>72</v>
      </c>
      <c r="K3282" s="3">
        <f>J3282-I3282</f>
        <v>2</v>
      </c>
      <c r="L3282" s="3">
        <v>158</v>
      </c>
      <c r="M3282" s="3">
        <v>77</v>
      </c>
      <c r="N3282" s="3">
        <v>2</v>
      </c>
      <c r="O3282" s="3">
        <v>2.5</v>
      </c>
      <c r="P3282" s="3">
        <v>8</v>
      </c>
      <c r="Q3282" s="4">
        <v>0.33</v>
      </c>
      <c r="R3282" s="3">
        <v>6</v>
      </c>
      <c r="S3282" s="3">
        <f>R3282/P3282</f>
        <v>0.75</v>
      </c>
      <c r="T3282" s="3">
        <v>4</v>
      </c>
      <c r="U3282" s="3">
        <v>12.5</v>
      </c>
      <c r="V3282" s="3">
        <v>1207.8431372549019</v>
      </c>
      <c r="W3282" s="3">
        <v>5</v>
      </c>
    </row>
    <row r="3283" spans="1:23" x14ac:dyDescent="0.2">
      <c r="A3283">
        <v>2020</v>
      </c>
      <c r="B3283" t="s">
        <v>23</v>
      </c>
      <c r="C3283" t="s">
        <v>272</v>
      </c>
      <c r="D3283">
        <v>219</v>
      </c>
      <c r="E3283">
        <v>2</v>
      </c>
      <c r="F3283">
        <v>13</v>
      </c>
      <c r="G3283" t="s">
        <v>244</v>
      </c>
      <c r="H3283">
        <v>1</v>
      </c>
      <c r="I3283">
        <v>64</v>
      </c>
      <c r="J3283">
        <v>67</v>
      </c>
      <c r="K3283">
        <v>3</v>
      </c>
      <c r="L3283">
        <v>122</v>
      </c>
      <c r="M3283">
        <v>55</v>
      </c>
      <c r="N3283">
        <v>2</v>
      </c>
      <c r="O3283">
        <v>3</v>
      </c>
      <c r="P3283">
        <v>1</v>
      </c>
      <c r="Q3283">
        <v>0.1</v>
      </c>
      <c r="R3283">
        <v>1</v>
      </c>
      <c r="S3283">
        <v>1</v>
      </c>
      <c r="T3283">
        <v>3</v>
      </c>
      <c r="U3283">
        <v>12.5</v>
      </c>
      <c r="V3283">
        <v>366.01307189542484</v>
      </c>
      <c r="W3283">
        <v>2</v>
      </c>
    </row>
    <row r="3284" spans="1:23" x14ac:dyDescent="0.2">
      <c r="A3284">
        <v>2020</v>
      </c>
      <c r="B3284" t="s">
        <v>23</v>
      </c>
      <c r="C3284" t="s">
        <v>272</v>
      </c>
      <c r="D3284">
        <v>220</v>
      </c>
      <c r="E3284">
        <v>1</v>
      </c>
      <c r="F3284">
        <v>8</v>
      </c>
      <c r="G3284" t="s">
        <v>245</v>
      </c>
      <c r="H3284" s="1">
        <v>12</v>
      </c>
      <c r="I3284" s="1">
        <v>58</v>
      </c>
      <c r="J3284" s="1">
        <v>63</v>
      </c>
      <c r="K3284" s="1">
        <f>J3284-I3284</f>
        <v>5</v>
      </c>
      <c r="L3284" s="1">
        <v>120</v>
      </c>
      <c r="M3284" s="1">
        <v>67</v>
      </c>
      <c r="N3284" s="1">
        <v>3</v>
      </c>
      <c r="O3284" s="1">
        <v>3.5</v>
      </c>
      <c r="P3284" s="1">
        <v>8</v>
      </c>
      <c r="Q3284" s="2">
        <v>0.80840000000000001</v>
      </c>
      <c r="R3284" s="1">
        <v>5</v>
      </c>
      <c r="S3284" s="1">
        <f>R3284/P3284</f>
        <v>0.625</v>
      </c>
      <c r="T3284" s="1">
        <v>5</v>
      </c>
      <c r="U3284" s="1">
        <v>12.5</v>
      </c>
      <c r="V3284" s="1">
        <v>2958.8496732026142</v>
      </c>
      <c r="W3284" s="1">
        <v>3</v>
      </c>
    </row>
    <row r="3285" spans="1:23" x14ac:dyDescent="0.2">
      <c r="A3285">
        <v>2020</v>
      </c>
      <c r="B3285" t="s">
        <v>23</v>
      </c>
      <c r="C3285" t="s">
        <v>272</v>
      </c>
      <c r="D3285">
        <v>220</v>
      </c>
      <c r="E3285">
        <v>2</v>
      </c>
      <c r="F3285">
        <v>1</v>
      </c>
      <c r="G3285" t="s">
        <v>245</v>
      </c>
      <c r="H3285">
        <v>12</v>
      </c>
      <c r="I3285">
        <v>58</v>
      </c>
      <c r="J3285">
        <v>60</v>
      </c>
      <c r="K3285">
        <v>2</v>
      </c>
      <c r="L3285">
        <v>112</v>
      </c>
      <c r="M3285">
        <v>22</v>
      </c>
      <c r="N3285">
        <v>2</v>
      </c>
      <c r="O3285">
        <v>3</v>
      </c>
      <c r="P3285">
        <v>12</v>
      </c>
      <c r="Q3285">
        <v>0.3</v>
      </c>
      <c r="R3285">
        <v>10</v>
      </c>
      <c r="S3285">
        <v>0.83333333333333337</v>
      </c>
      <c r="T3285">
        <v>3</v>
      </c>
      <c r="U3285">
        <v>12.5</v>
      </c>
      <c r="V3285">
        <v>1098.0392156862745</v>
      </c>
      <c r="W3285">
        <v>1</v>
      </c>
    </row>
    <row r="3286" spans="1:23" x14ac:dyDescent="0.2">
      <c r="A3286">
        <v>2020</v>
      </c>
      <c r="B3286" t="s">
        <v>23</v>
      </c>
      <c r="C3286" t="s">
        <v>272</v>
      </c>
      <c r="D3286">
        <v>221</v>
      </c>
      <c r="E3286">
        <v>1</v>
      </c>
      <c r="F3286">
        <v>9</v>
      </c>
      <c r="G3286" t="s">
        <v>246</v>
      </c>
      <c r="H3286" s="1">
        <v>14</v>
      </c>
      <c r="I3286" s="1">
        <v>66</v>
      </c>
      <c r="J3286" s="1">
        <v>70</v>
      </c>
      <c r="K3286" s="1">
        <f>J3286-I3286</f>
        <v>4</v>
      </c>
      <c r="L3286" s="1">
        <v>112</v>
      </c>
      <c r="M3286" s="1">
        <v>55</v>
      </c>
      <c r="N3286" s="1">
        <v>2</v>
      </c>
      <c r="O3286" s="1">
        <v>3.5</v>
      </c>
      <c r="P3286" s="1">
        <v>10</v>
      </c>
      <c r="Q3286" s="2">
        <v>0.189</v>
      </c>
      <c r="R3286" s="1">
        <v>10</v>
      </c>
      <c r="S3286" s="1">
        <f>R3286/P3286</f>
        <v>1</v>
      </c>
      <c r="T3286" s="1">
        <v>5</v>
      </c>
      <c r="U3286" s="1">
        <v>12.5</v>
      </c>
      <c r="V3286" s="1">
        <v>691.76470588235293</v>
      </c>
      <c r="W3286" s="1">
        <v>5</v>
      </c>
    </row>
    <row r="3287" spans="1:23" x14ac:dyDescent="0.2">
      <c r="A3287">
        <v>2020</v>
      </c>
      <c r="B3287" t="s">
        <v>23</v>
      </c>
      <c r="C3287" t="s">
        <v>272</v>
      </c>
      <c r="D3287">
        <v>221</v>
      </c>
      <c r="E3287">
        <v>2</v>
      </c>
      <c r="F3287">
        <v>6</v>
      </c>
      <c r="G3287" t="s">
        <v>246</v>
      </c>
      <c r="H3287">
        <v>9</v>
      </c>
      <c r="I3287">
        <v>55</v>
      </c>
      <c r="J3287">
        <v>57</v>
      </c>
      <c r="K3287">
        <v>2</v>
      </c>
      <c r="L3287">
        <v>162</v>
      </c>
      <c r="M3287">
        <v>64</v>
      </c>
      <c r="N3287">
        <v>2</v>
      </c>
      <c r="O3287">
        <v>3</v>
      </c>
      <c r="P3287">
        <v>9</v>
      </c>
      <c r="Q3287">
        <v>1</v>
      </c>
      <c r="R3287">
        <v>8</v>
      </c>
      <c r="S3287">
        <v>0.88888888888888884</v>
      </c>
      <c r="T3287">
        <v>2.5</v>
      </c>
      <c r="U3287">
        <v>12.5</v>
      </c>
      <c r="V3287">
        <v>3660.1307189542486</v>
      </c>
      <c r="W3287">
        <v>1</v>
      </c>
    </row>
    <row r="3288" spans="1:23" x14ac:dyDescent="0.2">
      <c r="A3288">
        <v>2020</v>
      </c>
      <c r="B3288" t="s">
        <v>23</v>
      </c>
      <c r="C3288" t="s">
        <v>272</v>
      </c>
      <c r="D3288">
        <v>222</v>
      </c>
      <c r="E3288">
        <v>1</v>
      </c>
      <c r="F3288">
        <v>13</v>
      </c>
      <c r="G3288" t="s">
        <v>247</v>
      </c>
      <c r="H3288" s="1">
        <v>6</v>
      </c>
      <c r="I3288" s="1">
        <v>69</v>
      </c>
      <c r="J3288" s="1">
        <v>74</v>
      </c>
      <c r="K3288" s="1">
        <f>J3288-I3288</f>
        <v>5</v>
      </c>
      <c r="L3288" s="1">
        <v>95</v>
      </c>
      <c r="M3288" s="1">
        <v>40</v>
      </c>
      <c r="N3288" s="1">
        <v>2</v>
      </c>
      <c r="O3288" s="1">
        <v>4</v>
      </c>
      <c r="P3288" s="1">
        <v>5</v>
      </c>
      <c r="Q3288" s="2">
        <v>0.16</v>
      </c>
      <c r="R3288" s="1">
        <v>5</v>
      </c>
      <c r="S3288" s="1">
        <f>R3288/P3288</f>
        <v>1</v>
      </c>
      <c r="T3288" s="1">
        <v>4.5</v>
      </c>
      <c r="U3288" s="1">
        <v>12.5</v>
      </c>
      <c r="V3288" s="1">
        <v>585.62091503267982</v>
      </c>
      <c r="W3288" s="1">
        <v>5</v>
      </c>
    </row>
    <row r="3289" spans="1:23" x14ac:dyDescent="0.2">
      <c r="A3289">
        <v>2020</v>
      </c>
      <c r="B3289" t="s">
        <v>23</v>
      </c>
      <c r="C3289" t="s">
        <v>272</v>
      </c>
      <c r="D3289">
        <v>222</v>
      </c>
      <c r="E3289">
        <v>2</v>
      </c>
      <c r="F3289">
        <v>4</v>
      </c>
      <c r="G3289" t="s">
        <v>247</v>
      </c>
      <c r="H3289">
        <v>8</v>
      </c>
      <c r="I3289">
        <v>60</v>
      </c>
      <c r="J3289">
        <v>66</v>
      </c>
      <c r="K3289">
        <v>6</v>
      </c>
      <c r="L3289">
        <v>120</v>
      </c>
      <c r="M3289">
        <v>55</v>
      </c>
      <c r="N3289">
        <v>2</v>
      </c>
      <c r="O3289">
        <v>4</v>
      </c>
      <c r="P3289">
        <v>3</v>
      </c>
      <c r="Q3289">
        <v>7.640000000000001E-2</v>
      </c>
      <c r="R3289">
        <v>1</v>
      </c>
      <c r="S3289">
        <v>0.33333333333333331</v>
      </c>
      <c r="T3289">
        <v>2</v>
      </c>
      <c r="U3289">
        <v>12.5</v>
      </c>
      <c r="V3289">
        <v>279.63398692810455</v>
      </c>
      <c r="W3289">
        <v>2</v>
      </c>
    </row>
    <row r="3290" spans="1:23" x14ac:dyDescent="0.2">
      <c r="A3290">
        <v>2020</v>
      </c>
      <c r="B3290" t="s">
        <v>23</v>
      </c>
      <c r="C3290" t="s">
        <v>272</v>
      </c>
      <c r="D3290">
        <v>223</v>
      </c>
      <c r="E3290">
        <v>1</v>
      </c>
      <c r="F3290">
        <v>12</v>
      </c>
      <c r="G3290" t="s">
        <v>248</v>
      </c>
      <c r="H3290" s="1">
        <v>6</v>
      </c>
      <c r="I3290" s="1">
        <v>67</v>
      </c>
      <c r="J3290" s="1">
        <v>70</v>
      </c>
      <c r="K3290" s="1">
        <f>J3290-I3290</f>
        <v>3</v>
      </c>
      <c r="L3290" s="1">
        <v>58</v>
      </c>
      <c r="M3290" s="1">
        <v>31</v>
      </c>
      <c r="N3290" s="1">
        <v>3</v>
      </c>
      <c r="O3290" s="1">
        <v>5</v>
      </c>
      <c r="P3290" s="1">
        <v>2</v>
      </c>
      <c r="Q3290" s="2">
        <v>0.13250000000000001</v>
      </c>
      <c r="R3290" s="1">
        <v>2</v>
      </c>
      <c r="S3290" s="1">
        <f>R3290/P3290</f>
        <v>1</v>
      </c>
      <c r="T3290" s="1">
        <v>5</v>
      </c>
      <c r="U3290" s="1">
        <v>12.5</v>
      </c>
      <c r="V3290" s="1">
        <v>484.96732026143792</v>
      </c>
      <c r="W3290" s="1">
        <v>6</v>
      </c>
    </row>
    <row r="3291" spans="1:23" x14ac:dyDescent="0.2">
      <c r="A3291">
        <v>2020</v>
      </c>
      <c r="B3291" t="s">
        <v>23</v>
      </c>
      <c r="C3291" t="s">
        <v>272</v>
      </c>
      <c r="D3291">
        <v>223</v>
      </c>
      <c r="E3291">
        <v>2</v>
      </c>
      <c r="F3291">
        <v>5</v>
      </c>
      <c r="G3291" t="s">
        <v>248</v>
      </c>
      <c r="H3291">
        <v>2</v>
      </c>
      <c r="I3291">
        <v>62</v>
      </c>
      <c r="J3291">
        <v>66</v>
      </c>
      <c r="K3291">
        <v>4</v>
      </c>
      <c r="L3291">
        <v>142</v>
      </c>
      <c r="M3291">
        <v>55</v>
      </c>
      <c r="N3291">
        <v>2</v>
      </c>
      <c r="O3291">
        <v>3</v>
      </c>
      <c r="P3291">
        <v>2</v>
      </c>
      <c r="Q3291">
        <v>0.1</v>
      </c>
      <c r="R3291">
        <v>2</v>
      </c>
      <c r="S3291">
        <v>1</v>
      </c>
      <c r="T3291">
        <v>2.5</v>
      </c>
      <c r="U3291">
        <v>12.5</v>
      </c>
      <c r="V3291">
        <v>366.01307189542484</v>
      </c>
      <c r="W3291">
        <v>1</v>
      </c>
    </row>
    <row r="3292" spans="1:23" x14ac:dyDescent="0.2">
      <c r="A3292">
        <v>2020</v>
      </c>
      <c r="B3292" t="s">
        <v>23</v>
      </c>
      <c r="C3292" t="s">
        <v>272</v>
      </c>
      <c r="D3292">
        <v>224</v>
      </c>
      <c r="E3292">
        <v>1</v>
      </c>
      <c r="F3292">
        <v>4</v>
      </c>
      <c r="G3292" t="s">
        <v>249</v>
      </c>
      <c r="H3292" s="3">
        <v>15</v>
      </c>
      <c r="I3292" s="3">
        <v>63</v>
      </c>
      <c r="J3292" s="3">
        <v>65</v>
      </c>
      <c r="K3292" s="3">
        <f t="shared" ref="K3292:K3297" si="168">J3292-I3292</f>
        <v>2</v>
      </c>
      <c r="L3292" s="3">
        <v>173</v>
      </c>
      <c r="M3292" s="3">
        <v>66</v>
      </c>
      <c r="N3292" s="3">
        <v>2</v>
      </c>
      <c r="O3292" s="3">
        <v>3.5</v>
      </c>
      <c r="P3292" s="3">
        <f>H3292</f>
        <v>15</v>
      </c>
      <c r="Q3292" s="4">
        <v>0.13950000000000001</v>
      </c>
      <c r="R3292" s="3">
        <v>13</v>
      </c>
      <c r="S3292" s="3">
        <f t="shared" ref="S3292:S3297" si="169">R3292/P3292</f>
        <v>0.8666666666666667</v>
      </c>
      <c r="T3292" s="3">
        <v>5</v>
      </c>
      <c r="U3292" s="3">
        <v>12.5</v>
      </c>
      <c r="V3292" s="3">
        <v>510.58823529411762</v>
      </c>
      <c r="W3292" s="3">
        <v>6</v>
      </c>
    </row>
    <row r="3293" spans="1:23" x14ac:dyDescent="0.2">
      <c r="A3293">
        <v>2020</v>
      </c>
      <c r="B3293" t="s">
        <v>23</v>
      </c>
      <c r="C3293" t="s">
        <v>272</v>
      </c>
      <c r="D3293">
        <v>224</v>
      </c>
      <c r="E3293">
        <v>2</v>
      </c>
      <c r="F3293">
        <v>14</v>
      </c>
      <c r="G3293" t="s">
        <v>249</v>
      </c>
      <c r="H3293" s="1">
        <v>14</v>
      </c>
      <c r="I3293" s="1">
        <v>65</v>
      </c>
      <c r="J3293" s="1">
        <v>69</v>
      </c>
      <c r="K3293" s="1">
        <f t="shared" si="168"/>
        <v>4</v>
      </c>
      <c r="L3293" s="1">
        <v>121</v>
      </c>
      <c r="M3293" s="1">
        <v>41</v>
      </c>
      <c r="N3293" s="1">
        <v>1.5</v>
      </c>
      <c r="O3293" s="1">
        <v>5</v>
      </c>
      <c r="P3293" s="1">
        <v>8</v>
      </c>
      <c r="Q3293" s="2">
        <v>0.17639999999999997</v>
      </c>
      <c r="R3293" s="1">
        <v>4</v>
      </c>
      <c r="S3293" s="1">
        <f t="shared" si="169"/>
        <v>0.5</v>
      </c>
      <c r="T3293" s="1">
        <v>5</v>
      </c>
      <c r="U3293" s="1">
        <v>12.5</v>
      </c>
      <c r="V3293" s="1">
        <v>645.64705882352928</v>
      </c>
      <c r="W3293" s="1">
        <v>7</v>
      </c>
    </row>
    <row r="3294" spans="1:23" x14ac:dyDescent="0.2">
      <c r="A3294">
        <v>2020</v>
      </c>
      <c r="B3294" t="s">
        <v>23</v>
      </c>
      <c r="C3294" t="s">
        <v>272</v>
      </c>
      <c r="D3294">
        <v>225</v>
      </c>
      <c r="E3294">
        <v>1</v>
      </c>
      <c r="F3294">
        <v>11</v>
      </c>
      <c r="G3294" t="s">
        <v>250</v>
      </c>
      <c r="H3294" s="1">
        <v>8</v>
      </c>
      <c r="I3294" s="1">
        <v>67</v>
      </c>
      <c r="J3294" s="1">
        <v>70</v>
      </c>
      <c r="K3294" s="1">
        <f t="shared" si="168"/>
        <v>3</v>
      </c>
      <c r="L3294" s="1">
        <v>152</v>
      </c>
      <c r="M3294" s="1">
        <v>66</v>
      </c>
      <c r="N3294" s="1">
        <v>1.5</v>
      </c>
      <c r="O3294" s="1">
        <v>4</v>
      </c>
      <c r="P3294" s="1">
        <v>7</v>
      </c>
      <c r="Q3294" s="2">
        <v>0.41499999999999998</v>
      </c>
      <c r="R3294" s="1">
        <v>4</v>
      </c>
      <c r="S3294" s="1">
        <f t="shared" si="169"/>
        <v>0.5714285714285714</v>
      </c>
      <c r="T3294" s="1">
        <v>2</v>
      </c>
      <c r="U3294" s="1">
        <v>12.5</v>
      </c>
      <c r="V3294" s="1">
        <v>1518.954248366013</v>
      </c>
      <c r="W3294" s="1">
        <v>6</v>
      </c>
    </row>
    <row r="3295" spans="1:23" x14ac:dyDescent="0.2">
      <c r="A3295">
        <v>2020</v>
      </c>
      <c r="B3295" t="s">
        <v>23</v>
      </c>
      <c r="C3295" t="s">
        <v>272</v>
      </c>
      <c r="D3295">
        <v>225</v>
      </c>
      <c r="E3295">
        <v>2</v>
      </c>
      <c r="F3295">
        <v>13</v>
      </c>
      <c r="G3295" t="s">
        <v>250</v>
      </c>
      <c r="H3295" s="1">
        <v>8</v>
      </c>
      <c r="I3295" s="1">
        <v>67</v>
      </c>
      <c r="J3295" s="1">
        <v>70</v>
      </c>
      <c r="K3295" s="1">
        <f t="shared" si="168"/>
        <v>3</v>
      </c>
      <c r="L3295" s="1">
        <v>104</v>
      </c>
      <c r="M3295" s="1">
        <v>25</v>
      </c>
      <c r="N3295" s="1">
        <v>2</v>
      </c>
      <c r="O3295" s="1">
        <v>4</v>
      </c>
      <c r="P3295" s="1">
        <v>4</v>
      </c>
      <c r="Q3295" s="2">
        <v>0.16400000000000001</v>
      </c>
      <c r="R3295" s="1">
        <v>3</v>
      </c>
      <c r="S3295" s="1">
        <f t="shared" si="169"/>
        <v>0.75</v>
      </c>
      <c r="T3295" s="1">
        <v>5</v>
      </c>
      <c r="U3295" s="1">
        <v>12.5</v>
      </c>
      <c r="V3295" s="1">
        <v>600.26143790849665</v>
      </c>
      <c r="W3295" s="1">
        <v>4</v>
      </c>
    </row>
    <row r="3296" spans="1:23" x14ac:dyDescent="0.2">
      <c r="A3296">
        <v>2020</v>
      </c>
      <c r="B3296" t="s">
        <v>23</v>
      </c>
      <c r="C3296" t="s">
        <v>272</v>
      </c>
      <c r="D3296">
        <v>226</v>
      </c>
      <c r="E3296">
        <v>1</v>
      </c>
      <c r="F3296">
        <v>7</v>
      </c>
      <c r="G3296" t="s">
        <v>251</v>
      </c>
      <c r="H3296" s="1">
        <v>7</v>
      </c>
      <c r="I3296" s="1">
        <v>68</v>
      </c>
      <c r="J3296" s="1">
        <v>71</v>
      </c>
      <c r="K3296" s="1">
        <f t="shared" si="168"/>
        <v>3</v>
      </c>
      <c r="L3296" s="1">
        <v>110</v>
      </c>
      <c r="M3296" s="1">
        <v>45</v>
      </c>
      <c r="N3296" s="1">
        <v>2.5</v>
      </c>
      <c r="O3296" s="1">
        <v>4</v>
      </c>
      <c r="P3296" s="1">
        <v>5</v>
      </c>
      <c r="Q3296" s="2">
        <v>0.15</v>
      </c>
      <c r="R3296" s="1">
        <v>4</v>
      </c>
      <c r="S3296" s="1">
        <f t="shared" si="169"/>
        <v>0.8</v>
      </c>
      <c r="T3296" s="1">
        <v>5</v>
      </c>
      <c r="U3296" s="1">
        <v>12.5</v>
      </c>
      <c r="V3296" s="1">
        <v>549.01960784313724</v>
      </c>
      <c r="W3296" s="1">
        <v>5</v>
      </c>
    </row>
    <row r="3297" spans="1:23" x14ac:dyDescent="0.2">
      <c r="A3297">
        <v>2020</v>
      </c>
      <c r="B3297" t="s">
        <v>23</v>
      </c>
      <c r="C3297" t="s">
        <v>272</v>
      </c>
      <c r="D3297">
        <v>226</v>
      </c>
      <c r="E3297">
        <v>2</v>
      </c>
      <c r="F3297">
        <v>2</v>
      </c>
      <c r="G3297" t="s">
        <v>251</v>
      </c>
      <c r="H3297" s="1">
        <v>10</v>
      </c>
      <c r="I3297" s="1">
        <v>61</v>
      </c>
      <c r="J3297" s="1">
        <v>65</v>
      </c>
      <c r="K3297" s="1">
        <f t="shared" si="168"/>
        <v>4</v>
      </c>
      <c r="L3297" s="1">
        <v>170</v>
      </c>
      <c r="M3297" s="1">
        <v>92</v>
      </c>
      <c r="N3297" s="1">
        <v>3</v>
      </c>
      <c r="O3297" s="1">
        <v>3.5</v>
      </c>
      <c r="P3297" s="1">
        <v>7</v>
      </c>
      <c r="Q3297" s="2">
        <v>0.50319999999999998</v>
      </c>
      <c r="R3297" s="1">
        <v>9</v>
      </c>
      <c r="S3297" s="1">
        <f t="shared" si="169"/>
        <v>1.2857142857142858</v>
      </c>
      <c r="T3297" s="1">
        <v>5</v>
      </c>
      <c r="U3297" s="1">
        <v>8.3000000000000007</v>
      </c>
      <c r="V3297" s="1">
        <v>1930.1831111111112</v>
      </c>
      <c r="W3297" s="1">
        <v>4</v>
      </c>
    </row>
    <row r="3298" spans="1:23" x14ac:dyDescent="0.2">
      <c r="A3298">
        <v>2020</v>
      </c>
      <c r="B3298" t="s">
        <v>23</v>
      </c>
      <c r="C3298" t="s">
        <v>272</v>
      </c>
      <c r="D3298">
        <v>227</v>
      </c>
      <c r="E3298">
        <v>1</v>
      </c>
      <c r="F3298">
        <v>1</v>
      </c>
      <c r="G3298" t="s">
        <v>252</v>
      </c>
      <c r="H3298">
        <v>12</v>
      </c>
      <c r="I3298">
        <v>55</v>
      </c>
      <c r="J3298">
        <v>59</v>
      </c>
      <c r="K3298">
        <v>4</v>
      </c>
      <c r="L3298">
        <v>166</v>
      </c>
      <c r="M3298">
        <v>39</v>
      </c>
      <c r="N3298">
        <v>3</v>
      </c>
      <c r="O3298">
        <v>3</v>
      </c>
      <c r="P3298">
        <v>10</v>
      </c>
      <c r="Q3298">
        <v>1.4410000000000001</v>
      </c>
      <c r="R3298">
        <v>13</v>
      </c>
      <c r="S3298">
        <v>1.3</v>
      </c>
      <c r="T3298">
        <v>3</v>
      </c>
      <c r="U3298">
        <v>12.5</v>
      </c>
      <c r="V3298">
        <v>5274.248366013072</v>
      </c>
      <c r="W3298">
        <v>1</v>
      </c>
    </row>
    <row r="3299" spans="1:23" x14ac:dyDescent="0.2">
      <c r="A3299">
        <v>2020</v>
      </c>
      <c r="B3299" t="s">
        <v>23</v>
      </c>
      <c r="C3299" t="s">
        <v>272</v>
      </c>
      <c r="D3299">
        <v>227</v>
      </c>
      <c r="E3299">
        <v>2</v>
      </c>
      <c r="F3299">
        <v>4</v>
      </c>
      <c r="G3299" t="s">
        <v>252</v>
      </c>
      <c r="H3299" s="1">
        <v>12</v>
      </c>
      <c r="I3299" s="1">
        <v>62</v>
      </c>
      <c r="J3299" s="1">
        <v>63</v>
      </c>
      <c r="K3299" s="1">
        <f t="shared" ref="K3299:K3304" si="170">J3299-I3299</f>
        <v>1</v>
      </c>
      <c r="L3299" s="1">
        <v>121</v>
      </c>
      <c r="M3299" s="1">
        <v>44</v>
      </c>
      <c r="N3299" s="1">
        <v>2</v>
      </c>
      <c r="O3299" s="1">
        <v>4</v>
      </c>
      <c r="P3299" s="1">
        <v>8</v>
      </c>
      <c r="Q3299" s="2">
        <v>0.23599999999999999</v>
      </c>
      <c r="R3299" s="1">
        <v>6</v>
      </c>
      <c r="S3299" s="1">
        <f t="shared" ref="S3299:S3304" si="171">R3299/P3299</f>
        <v>0.75</v>
      </c>
      <c r="T3299" s="1">
        <v>4</v>
      </c>
      <c r="U3299" s="1">
        <v>12.5</v>
      </c>
      <c r="V3299" s="1">
        <v>863.79084967320262</v>
      </c>
      <c r="W3299" s="1">
        <v>5</v>
      </c>
    </row>
    <row r="3300" spans="1:23" x14ac:dyDescent="0.2">
      <c r="A3300">
        <v>2020</v>
      </c>
      <c r="B3300" t="s">
        <v>23</v>
      </c>
      <c r="C3300" t="s">
        <v>272</v>
      </c>
      <c r="D3300">
        <v>228</v>
      </c>
      <c r="E3300">
        <v>1</v>
      </c>
      <c r="F3300">
        <v>8</v>
      </c>
      <c r="G3300" t="s">
        <v>253</v>
      </c>
      <c r="H3300" s="1">
        <v>7</v>
      </c>
      <c r="I3300" s="1">
        <v>66</v>
      </c>
      <c r="J3300" s="1">
        <v>70</v>
      </c>
      <c r="K3300" s="1">
        <f t="shared" si="170"/>
        <v>4</v>
      </c>
      <c r="L3300" s="1">
        <v>58</v>
      </c>
      <c r="M3300" s="1">
        <v>25</v>
      </c>
      <c r="N3300" s="1">
        <v>2</v>
      </c>
      <c r="O3300" s="1">
        <v>5</v>
      </c>
      <c r="P3300" s="1">
        <v>1</v>
      </c>
      <c r="Q3300" s="2">
        <v>8.2500000000000004E-2</v>
      </c>
      <c r="R3300" s="1">
        <v>1</v>
      </c>
      <c r="S3300" s="1">
        <f t="shared" si="171"/>
        <v>1</v>
      </c>
      <c r="T3300" s="1">
        <v>5</v>
      </c>
      <c r="U3300" s="1">
        <v>12.5</v>
      </c>
      <c r="V3300" s="1">
        <v>301.96078431372547</v>
      </c>
      <c r="W3300" s="1">
        <v>6</v>
      </c>
    </row>
    <row r="3301" spans="1:23" x14ac:dyDescent="0.2">
      <c r="A3301">
        <v>2020</v>
      </c>
      <c r="B3301" t="s">
        <v>23</v>
      </c>
      <c r="C3301" t="s">
        <v>272</v>
      </c>
      <c r="D3301">
        <v>228</v>
      </c>
      <c r="E3301">
        <v>2</v>
      </c>
      <c r="F3301">
        <v>11</v>
      </c>
      <c r="G3301" t="s">
        <v>253</v>
      </c>
      <c r="H3301" s="1">
        <v>3</v>
      </c>
      <c r="I3301" s="1">
        <v>68</v>
      </c>
      <c r="J3301" s="1">
        <v>71</v>
      </c>
      <c r="K3301" s="1">
        <f t="shared" si="170"/>
        <v>3</v>
      </c>
      <c r="L3301" s="1">
        <v>210</v>
      </c>
      <c r="M3301" s="1">
        <v>123</v>
      </c>
      <c r="N3301" s="1">
        <v>3</v>
      </c>
      <c r="O3301" s="1">
        <v>4</v>
      </c>
      <c r="P3301" s="1">
        <v>2</v>
      </c>
      <c r="Q3301" s="2">
        <v>0.20880000000000001</v>
      </c>
      <c r="R3301" s="1">
        <v>3</v>
      </c>
      <c r="S3301" s="1">
        <f t="shared" si="171"/>
        <v>1.5</v>
      </c>
      <c r="T3301" s="1">
        <v>4</v>
      </c>
      <c r="U3301" s="1">
        <v>12.5</v>
      </c>
      <c r="V3301" s="1">
        <v>764.23529411764707</v>
      </c>
      <c r="W3301" s="1">
        <v>2</v>
      </c>
    </row>
    <row r="3302" spans="1:23" x14ac:dyDescent="0.2">
      <c r="A3302">
        <v>2020</v>
      </c>
      <c r="B3302" t="s">
        <v>23</v>
      </c>
      <c r="C3302" t="s">
        <v>272</v>
      </c>
      <c r="D3302">
        <v>229</v>
      </c>
      <c r="E3302">
        <v>1</v>
      </c>
      <c r="F3302">
        <v>8</v>
      </c>
      <c r="G3302" t="s">
        <v>254</v>
      </c>
      <c r="H3302" s="1">
        <v>7</v>
      </c>
      <c r="I3302" s="1">
        <v>68</v>
      </c>
      <c r="J3302" s="1">
        <v>73</v>
      </c>
      <c r="K3302" s="1">
        <f t="shared" si="170"/>
        <v>5</v>
      </c>
      <c r="L3302" s="1">
        <v>147</v>
      </c>
      <c r="M3302" s="1">
        <v>65</v>
      </c>
      <c r="N3302" s="1">
        <v>2</v>
      </c>
      <c r="O3302" s="1">
        <v>3.5</v>
      </c>
      <c r="P3302" s="1">
        <v>7</v>
      </c>
      <c r="Q3302" s="2">
        <v>0.105</v>
      </c>
      <c r="R3302" s="1">
        <v>2</v>
      </c>
      <c r="S3302" s="1">
        <f t="shared" si="171"/>
        <v>0.2857142857142857</v>
      </c>
      <c r="T3302" s="1">
        <v>5</v>
      </c>
      <c r="U3302" s="1">
        <v>12.5</v>
      </c>
      <c r="V3302" s="1">
        <v>384.31372549019608</v>
      </c>
      <c r="W3302" s="1">
        <v>4</v>
      </c>
    </row>
    <row r="3303" spans="1:23" x14ac:dyDescent="0.2">
      <c r="A3303">
        <v>2020</v>
      </c>
      <c r="B3303" t="s">
        <v>23</v>
      </c>
      <c r="C3303" t="s">
        <v>272</v>
      </c>
      <c r="D3303">
        <v>229</v>
      </c>
      <c r="E3303">
        <v>2</v>
      </c>
      <c r="F3303">
        <v>11</v>
      </c>
      <c r="G3303" t="s">
        <v>254</v>
      </c>
      <c r="H3303" s="1">
        <v>13</v>
      </c>
      <c r="I3303" s="1">
        <v>62</v>
      </c>
      <c r="J3303" s="1">
        <v>65</v>
      </c>
      <c r="K3303" s="1">
        <f t="shared" si="170"/>
        <v>3</v>
      </c>
      <c r="L3303" s="1">
        <v>167</v>
      </c>
      <c r="M3303" s="1">
        <v>85</v>
      </c>
      <c r="N3303" s="1">
        <v>2</v>
      </c>
      <c r="O3303" s="1">
        <v>3.5</v>
      </c>
      <c r="P3303" s="1">
        <v>10</v>
      </c>
      <c r="Q3303" s="2">
        <v>0.11594999999999998</v>
      </c>
      <c r="R3303" s="1">
        <v>5</v>
      </c>
      <c r="S3303" s="1">
        <f t="shared" si="171"/>
        <v>0.5</v>
      </c>
      <c r="T3303" s="1">
        <v>5</v>
      </c>
      <c r="U3303" s="1">
        <v>12.5</v>
      </c>
      <c r="V3303" s="1">
        <v>424.39215686274508</v>
      </c>
      <c r="W3303" s="1">
        <v>4</v>
      </c>
    </row>
    <row r="3304" spans="1:23" x14ac:dyDescent="0.2">
      <c r="A3304">
        <v>2020</v>
      </c>
      <c r="B3304" t="s">
        <v>23</v>
      </c>
      <c r="C3304" t="s">
        <v>272</v>
      </c>
      <c r="D3304">
        <v>230</v>
      </c>
      <c r="E3304">
        <v>1</v>
      </c>
      <c r="F3304">
        <v>3</v>
      </c>
      <c r="G3304" t="s">
        <v>255</v>
      </c>
      <c r="H3304" s="1">
        <v>8</v>
      </c>
      <c r="I3304" s="1">
        <v>60</v>
      </c>
      <c r="J3304" s="1">
        <v>63</v>
      </c>
      <c r="K3304" s="1">
        <f t="shared" si="170"/>
        <v>3</v>
      </c>
      <c r="L3304" s="1">
        <v>148</v>
      </c>
      <c r="M3304" s="1">
        <v>67</v>
      </c>
      <c r="N3304" s="1">
        <v>2</v>
      </c>
      <c r="O3304" s="1">
        <v>3</v>
      </c>
      <c r="P3304" s="1">
        <v>6</v>
      </c>
      <c r="Q3304" s="2">
        <v>0.19439999999999999</v>
      </c>
      <c r="R3304" s="1">
        <v>7</v>
      </c>
      <c r="S3304" s="1">
        <f t="shared" si="171"/>
        <v>1.1666666666666667</v>
      </c>
      <c r="T3304" s="1">
        <v>5</v>
      </c>
      <c r="U3304" s="1">
        <v>12.5</v>
      </c>
      <c r="V3304" s="1">
        <v>711.52941176470574</v>
      </c>
      <c r="W3304" s="1">
        <v>6</v>
      </c>
    </row>
    <row r="3305" spans="1:23" x14ac:dyDescent="0.2">
      <c r="A3305">
        <v>2020</v>
      </c>
      <c r="B3305" t="s">
        <v>23</v>
      </c>
      <c r="C3305" t="s">
        <v>272</v>
      </c>
      <c r="D3305">
        <v>230</v>
      </c>
      <c r="E3305">
        <v>2</v>
      </c>
      <c r="F3305">
        <v>4</v>
      </c>
      <c r="G3305" t="s">
        <v>255</v>
      </c>
      <c r="H3305">
        <v>2</v>
      </c>
      <c r="I3305">
        <v>60</v>
      </c>
      <c r="J3305">
        <v>62</v>
      </c>
      <c r="K3305">
        <v>2</v>
      </c>
      <c r="L3305">
        <v>176</v>
      </c>
      <c r="M3305">
        <v>62</v>
      </c>
      <c r="N3305">
        <v>2</v>
      </c>
      <c r="O3305">
        <v>3</v>
      </c>
      <c r="P3305">
        <v>2</v>
      </c>
      <c r="Q3305">
        <v>0.4</v>
      </c>
      <c r="R3305">
        <v>2</v>
      </c>
      <c r="S3305">
        <v>1</v>
      </c>
      <c r="T3305">
        <v>3</v>
      </c>
      <c r="U3305">
        <v>12.5</v>
      </c>
      <c r="V3305">
        <v>1464.0522875816994</v>
      </c>
      <c r="W3305">
        <v>1</v>
      </c>
    </row>
    <row r="3306" spans="1:23" x14ac:dyDescent="0.2">
      <c r="A3306">
        <v>2020</v>
      </c>
      <c r="B3306" t="s">
        <v>23</v>
      </c>
      <c r="C3306" t="s">
        <v>272</v>
      </c>
      <c r="D3306">
        <v>231</v>
      </c>
      <c r="E3306">
        <v>1</v>
      </c>
      <c r="F3306">
        <v>15</v>
      </c>
      <c r="G3306" t="s">
        <v>256</v>
      </c>
      <c r="H3306" s="1">
        <v>5</v>
      </c>
      <c r="I3306" s="1">
        <v>61</v>
      </c>
      <c r="J3306" s="1">
        <v>64</v>
      </c>
      <c r="K3306" s="1">
        <f>J3306-I3306</f>
        <v>3</v>
      </c>
      <c r="L3306" s="1">
        <v>178</v>
      </c>
      <c r="M3306" s="1">
        <v>78</v>
      </c>
      <c r="N3306" s="1">
        <v>2</v>
      </c>
      <c r="O3306" s="1">
        <v>2.5</v>
      </c>
      <c r="P3306" s="1">
        <v>5</v>
      </c>
      <c r="Q3306" s="2">
        <v>0.59</v>
      </c>
      <c r="R3306" s="1">
        <v>6</v>
      </c>
      <c r="S3306" s="1">
        <f>R3306/P3306</f>
        <v>1.2</v>
      </c>
      <c r="T3306" s="1">
        <v>3</v>
      </c>
      <c r="U3306" s="1">
        <v>8.8000000000000007</v>
      </c>
      <c r="V3306" s="1">
        <v>2250.7921568627448</v>
      </c>
      <c r="W3306" s="1">
        <v>4</v>
      </c>
    </row>
    <row r="3307" spans="1:23" x14ac:dyDescent="0.2">
      <c r="A3307">
        <v>2020</v>
      </c>
      <c r="B3307" t="s">
        <v>23</v>
      </c>
      <c r="C3307" t="s">
        <v>272</v>
      </c>
      <c r="D3307">
        <v>231</v>
      </c>
      <c r="E3307">
        <v>2</v>
      </c>
      <c r="F3307">
        <v>2</v>
      </c>
      <c r="G3307" t="s">
        <v>256</v>
      </c>
      <c r="H3307" s="1">
        <v>8</v>
      </c>
      <c r="I3307" s="1">
        <v>66</v>
      </c>
      <c r="J3307" s="1">
        <v>71</v>
      </c>
      <c r="K3307" s="1">
        <f>J3307-I3307</f>
        <v>5</v>
      </c>
      <c r="L3307" s="1">
        <v>106</v>
      </c>
      <c r="M3307" s="1">
        <v>36</v>
      </c>
      <c r="N3307" s="1">
        <v>2</v>
      </c>
      <c r="O3307" s="1">
        <v>4.5</v>
      </c>
      <c r="P3307" s="1">
        <v>6</v>
      </c>
      <c r="Q3307" s="2">
        <v>0.14099999999999999</v>
      </c>
      <c r="R3307" s="1">
        <v>4</v>
      </c>
      <c r="S3307" s="1">
        <f>R3307/P3307</f>
        <v>0.66666666666666663</v>
      </c>
      <c r="T3307" s="1">
        <v>4</v>
      </c>
      <c r="U3307" s="1">
        <v>12.5</v>
      </c>
      <c r="V3307" s="1">
        <v>516.07843137254906</v>
      </c>
      <c r="W3307" s="1">
        <v>5</v>
      </c>
    </row>
    <row r="3308" spans="1:23" x14ac:dyDescent="0.2">
      <c r="A3308">
        <v>2020</v>
      </c>
      <c r="B3308" t="s">
        <v>23</v>
      </c>
      <c r="C3308" t="s">
        <v>272</v>
      </c>
      <c r="D3308">
        <v>232</v>
      </c>
      <c r="E3308">
        <v>1</v>
      </c>
      <c r="F3308">
        <v>9</v>
      </c>
      <c r="G3308" t="s">
        <v>257</v>
      </c>
      <c r="H3308">
        <v>11</v>
      </c>
      <c r="I3308">
        <v>56</v>
      </c>
      <c r="J3308">
        <v>60</v>
      </c>
      <c r="K3308">
        <v>4</v>
      </c>
      <c r="L3308">
        <v>130</v>
      </c>
      <c r="M3308">
        <v>53</v>
      </c>
      <c r="N3308">
        <v>1.5</v>
      </c>
      <c r="O3308">
        <v>3</v>
      </c>
      <c r="P3308">
        <v>10</v>
      </c>
      <c r="Q3308">
        <v>0.8</v>
      </c>
      <c r="R3308">
        <v>8</v>
      </c>
      <c r="S3308">
        <v>0.8</v>
      </c>
      <c r="T3308">
        <v>2.5</v>
      </c>
      <c r="U3308">
        <v>12.5</v>
      </c>
      <c r="V3308">
        <v>2928.1045751633987</v>
      </c>
      <c r="W3308">
        <v>2</v>
      </c>
    </row>
    <row r="3309" spans="1:23" x14ac:dyDescent="0.2">
      <c r="A3309">
        <v>2020</v>
      </c>
      <c r="B3309" t="s">
        <v>23</v>
      </c>
      <c r="C3309" t="s">
        <v>272</v>
      </c>
      <c r="D3309">
        <v>232</v>
      </c>
      <c r="E3309">
        <v>2</v>
      </c>
      <c r="F3309">
        <v>4</v>
      </c>
      <c r="G3309" t="s">
        <v>257</v>
      </c>
      <c r="H3309" s="1">
        <v>12</v>
      </c>
      <c r="I3309" s="1">
        <v>66</v>
      </c>
      <c r="J3309" s="1">
        <v>71</v>
      </c>
      <c r="K3309" s="1">
        <f>J3309-I3309</f>
        <v>5</v>
      </c>
      <c r="L3309" s="1">
        <v>141</v>
      </c>
      <c r="M3309" s="1">
        <v>47</v>
      </c>
      <c r="N3309" s="1">
        <v>3.5</v>
      </c>
      <c r="O3309" s="1">
        <v>4</v>
      </c>
      <c r="P3309" s="1">
        <v>10</v>
      </c>
      <c r="Q3309" s="2">
        <v>0.60499999999999998</v>
      </c>
      <c r="R3309" s="1">
        <v>10</v>
      </c>
      <c r="S3309" s="1">
        <f>R3309/P3309</f>
        <v>1</v>
      </c>
      <c r="T3309" s="1">
        <v>2</v>
      </c>
      <c r="U3309" s="1">
        <v>12.5</v>
      </c>
      <c r="V3309" s="1">
        <v>2214.3790849673201</v>
      </c>
      <c r="W3309" s="1">
        <v>3</v>
      </c>
    </row>
    <row r="3310" spans="1:23" x14ac:dyDescent="0.2">
      <c r="A3310">
        <v>2020</v>
      </c>
      <c r="B3310" t="s">
        <v>23</v>
      </c>
      <c r="C3310" t="s">
        <v>272</v>
      </c>
      <c r="D3310">
        <v>233</v>
      </c>
      <c r="E3310">
        <v>1</v>
      </c>
      <c r="F3310">
        <v>15</v>
      </c>
      <c r="G3310" t="s">
        <v>258</v>
      </c>
      <c r="H3310" s="3">
        <v>6</v>
      </c>
      <c r="I3310" s="3">
        <v>65</v>
      </c>
      <c r="J3310" s="3">
        <v>67</v>
      </c>
      <c r="K3310" s="3">
        <f>J3310-I3310</f>
        <v>2</v>
      </c>
      <c r="L3310" s="3">
        <v>121</v>
      </c>
      <c r="M3310" s="3">
        <v>55</v>
      </c>
      <c r="N3310" s="3">
        <v>2</v>
      </c>
      <c r="O3310" s="3">
        <v>4</v>
      </c>
      <c r="P3310" s="3">
        <v>5</v>
      </c>
      <c r="Q3310" s="4">
        <v>0.12</v>
      </c>
      <c r="R3310" s="3">
        <v>5</v>
      </c>
      <c r="S3310" s="3">
        <f>R3310/P3310</f>
        <v>1</v>
      </c>
      <c r="T3310" s="3">
        <v>4</v>
      </c>
      <c r="U3310" s="3">
        <v>12.5</v>
      </c>
      <c r="V3310" s="3">
        <v>439.21568627450984</v>
      </c>
      <c r="W3310" s="3">
        <v>4</v>
      </c>
    </row>
    <row r="3311" spans="1:23" x14ac:dyDescent="0.2">
      <c r="A3311">
        <v>2020</v>
      </c>
      <c r="B3311" t="s">
        <v>23</v>
      </c>
      <c r="C3311" t="s">
        <v>272</v>
      </c>
      <c r="D3311">
        <v>233</v>
      </c>
      <c r="E3311">
        <v>2</v>
      </c>
      <c r="F3311">
        <v>14</v>
      </c>
      <c r="G3311" t="s">
        <v>258</v>
      </c>
      <c r="H3311" s="1">
        <v>11</v>
      </c>
      <c r="I3311" s="1">
        <v>61</v>
      </c>
      <c r="J3311" s="1">
        <v>64</v>
      </c>
      <c r="K3311" s="1">
        <f>J3311-I3311</f>
        <v>3</v>
      </c>
      <c r="L3311" s="1">
        <v>148</v>
      </c>
      <c r="M3311" s="1">
        <v>77</v>
      </c>
      <c r="N3311" s="1">
        <v>2</v>
      </c>
      <c r="O3311" s="1">
        <v>3.5</v>
      </c>
      <c r="P3311" s="1">
        <v>8</v>
      </c>
      <c r="Q3311" s="2">
        <v>0.03</v>
      </c>
      <c r="R3311" s="1">
        <v>2</v>
      </c>
      <c r="S3311" s="1">
        <f>R3311/P3311</f>
        <v>0.25</v>
      </c>
      <c r="T3311" s="1">
        <v>5</v>
      </c>
      <c r="U3311" s="1">
        <v>12.5</v>
      </c>
      <c r="V3311" s="1">
        <v>109.80392156862746</v>
      </c>
      <c r="W3311" s="1">
        <v>5</v>
      </c>
    </row>
    <row r="3312" spans="1:23" x14ac:dyDescent="0.2">
      <c r="A3312">
        <v>2020</v>
      </c>
      <c r="B3312" t="s">
        <v>23</v>
      </c>
      <c r="C3312" t="s">
        <v>272</v>
      </c>
      <c r="D3312">
        <v>234</v>
      </c>
      <c r="E3312">
        <v>1</v>
      </c>
      <c r="F3312">
        <v>5</v>
      </c>
      <c r="G3312" t="s">
        <v>259</v>
      </c>
      <c r="H3312">
        <v>2</v>
      </c>
      <c r="I3312">
        <v>60</v>
      </c>
      <c r="J3312">
        <v>63</v>
      </c>
      <c r="K3312">
        <v>3</v>
      </c>
      <c r="L3312">
        <v>135</v>
      </c>
      <c r="M3312">
        <v>35</v>
      </c>
      <c r="N3312">
        <v>2</v>
      </c>
      <c r="O3312">
        <v>3</v>
      </c>
      <c r="P3312">
        <v>2</v>
      </c>
      <c r="Q3312">
        <v>0.2</v>
      </c>
      <c r="R3312">
        <v>2</v>
      </c>
      <c r="S3312">
        <v>1</v>
      </c>
      <c r="T3312">
        <v>2.5</v>
      </c>
      <c r="U3312">
        <v>12.5</v>
      </c>
      <c r="V3312">
        <v>732.02614379084969</v>
      </c>
      <c r="W3312">
        <v>2</v>
      </c>
    </row>
    <row r="3313" spans="1:23" x14ac:dyDescent="0.2">
      <c r="A3313">
        <v>2020</v>
      </c>
      <c r="B3313" t="s">
        <v>23</v>
      </c>
      <c r="C3313" t="s">
        <v>272</v>
      </c>
      <c r="D3313">
        <v>234</v>
      </c>
      <c r="E3313">
        <v>2</v>
      </c>
      <c r="F3313">
        <v>3</v>
      </c>
      <c r="G3313" t="s">
        <v>259</v>
      </c>
      <c r="H3313" s="1">
        <v>8</v>
      </c>
      <c r="I3313" s="1">
        <v>68</v>
      </c>
      <c r="J3313" s="1">
        <v>69</v>
      </c>
      <c r="K3313" s="1">
        <f>J3313-I3313</f>
        <v>1</v>
      </c>
      <c r="L3313" s="1">
        <v>152</v>
      </c>
      <c r="M3313" s="1">
        <v>60</v>
      </c>
      <c r="N3313" s="1">
        <v>2</v>
      </c>
      <c r="O3313" s="1">
        <v>3.5</v>
      </c>
      <c r="P3313" s="1">
        <v>6</v>
      </c>
      <c r="Q3313" s="2">
        <v>0.10349999999999999</v>
      </c>
      <c r="R3313" s="1">
        <v>2</v>
      </c>
      <c r="S3313" s="1">
        <f>R3313/P3313</f>
        <v>0.33333333333333331</v>
      </c>
      <c r="T3313" s="1">
        <v>5</v>
      </c>
      <c r="U3313" s="1">
        <v>12.5</v>
      </c>
      <c r="V3313" s="1">
        <v>378.8235294117647</v>
      </c>
      <c r="W3313" s="1">
        <v>5</v>
      </c>
    </row>
    <row r="3314" spans="1:23" x14ac:dyDescent="0.2">
      <c r="A3314">
        <v>2020</v>
      </c>
      <c r="B3314" t="s">
        <v>23</v>
      </c>
      <c r="C3314" t="s">
        <v>272</v>
      </c>
      <c r="D3314">
        <v>235</v>
      </c>
      <c r="E3314">
        <v>1</v>
      </c>
      <c r="F3314">
        <v>9</v>
      </c>
      <c r="G3314" t="s">
        <v>260</v>
      </c>
      <c r="H3314" s="1">
        <v>16</v>
      </c>
      <c r="I3314" s="1">
        <v>64</v>
      </c>
      <c r="J3314" s="1">
        <v>69</v>
      </c>
      <c r="K3314" s="1">
        <f>J3314-I3314</f>
        <v>5</v>
      </c>
      <c r="L3314" s="1">
        <v>120</v>
      </c>
      <c r="M3314" s="1">
        <v>78</v>
      </c>
      <c r="N3314" s="1">
        <v>2</v>
      </c>
      <c r="O3314" s="1">
        <v>3.5</v>
      </c>
      <c r="P3314" s="1">
        <f>H3314-2</f>
        <v>14</v>
      </c>
      <c r="Q3314" s="2">
        <v>0.23250000000000001</v>
      </c>
      <c r="R3314" s="1">
        <v>10</v>
      </c>
      <c r="S3314" s="1">
        <f>R3314/P3314</f>
        <v>0.7142857142857143</v>
      </c>
      <c r="T3314" s="1">
        <v>5</v>
      </c>
      <c r="U3314" s="1">
        <v>12.5</v>
      </c>
      <c r="V3314" s="1">
        <v>850.98039215686276</v>
      </c>
      <c r="W3314" s="1">
        <v>4</v>
      </c>
    </row>
    <row r="3315" spans="1:23" x14ac:dyDescent="0.2">
      <c r="A3315">
        <v>2020</v>
      </c>
      <c r="B3315" t="s">
        <v>23</v>
      </c>
      <c r="C3315" t="s">
        <v>272</v>
      </c>
      <c r="D3315">
        <v>235</v>
      </c>
      <c r="E3315">
        <v>2</v>
      </c>
      <c r="F3315">
        <v>10</v>
      </c>
      <c r="G3315" t="s">
        <v>260</v>
      </c>
      <c r="H3315" s="1">
        <v>4</v>
      </c>
      <c r="I3315" s="1">
        <v>59</v>
      </c>
      <c r="J3315" s="1">
        <v>63</v>
      </c>
      <c r="K3315" s="1">
        <f>J3315-I3315</f>
        <v>4</v>
      </c>
      <c r="L3315" s="1">
        <v>94</v>
      </c>
      <c r="M3315" s="1">
        <v>32</v>
      </c>
      <c r="N3315" s="1">
        <v>2</v>
      </c>
      <c r="O3315" s="1">
        <v>4</v>
      </c>
      <c r="P3315" s="1">
        <v>4</v>
      </c>
      <c r="Q3315" s="2">
        <v>0.16400000000000001</v>
      </c>
      <c r="R3315" s="1">
        <v>6</v>
      </c>
      <c r="S3315" s="1">
        <f>R3315/P3315</f>
        <v>1.5</v>
      </c>
      <c r="T3315" s="1">
        <v>2.5</v>
      </c>
      <c r="U3315" s="1">
        <v>12.5</v>
      </c>
      <c r="V3315" s="1">
        <v>600.26143790849665</v>
      </c>
      <c r="W3315" s="1">
        <v>2</v>
      </c>
    </row>
    <row r="3316" spans="1:23" x14ac:dyDescent="0.2">
      <c r="A3316">
        <v>2020</v>
      </c>
      <c r="B3316" t="s">
        <v>23</v>
      </c>
      <c r="C3316" t="s">
        <v>272</v>
      </c>
      <c r="D3316">
        <v>236</v>
      </c>
      <c r="E3316">
        <v>1</v>
      </c>
      <c r="F3316">
        <v>9</v>
      </c>
      <c r="G3316" t="s">
        <v>261</v>
      </c>
      <c r="H3316" s="1">
        <v>3</v>
      </c>
      <c r="I3316" s="1">
        <v>61</v>
      </c>
      <c r="J3316" s="1">
        <v>66</v>
      </c>
      <c r="K3316" s="1">
        <f>J3316-I3316</f>
        <v>5</v>
      </c>
      <c r="L3316" s="1">
        <v>163</v>
      </c>
      <c r="M3316" s="1">
        <v>92</v>
      </c>
      <c r="N3316" s="1">
        <v>2</v>
      </c>
      <c r="O3316" s="1">
        <v>2.5</v>
      </c>
      <c r="P3316" s="1">
        <v>3</v>
      </c>
      <c r="Q3316" s="2">
        <v>0.7407999999999999</v>
      </c>
      <c r="R3316" s="1">
        <v>3</v>
      </c>
      <c r="S3316" s="1">
        <f>R3316/P3316</f>
        <v>1</v>
      </c>
      <c r="T3316" s="1">
        <v>3</v>
      </c>
      <c r="U3316" s="1">
        <v>12.5</v>
      </c>
      <c r="V3316" s="1">
        <v>2711.4248366013071</v>
      </c>
      <c r="W3316" s="1">
        <v>3</v>
      </c>
    </row>
    <row r="3317" spans="1:23" x14ac:dyDescent="0.2">
      <c r="A3317">
        <v>2020</v>
      </c>
      <c r="B3317" t="s">
        <v>23</v>
      </c>
      <c r="C3317" t="s">
        <v>272</v>
      </c>
      <c r="D3317">
        <v>236</v>
      </c>
      <c r="E3317">
        <v>2</v>
      </c>
      <c r="F3317">
        <v>11</v>
      </c>
      <c r="G3317" t="s">
        <v>261</v>
      </c>
      <c r="H3317">
        <v>10</v>
      </c>
      <c r="I3317">
        <v>56</v>
      </c>
      <c r="J3317">
        <v>60</v>
      </c>
      <c r="K3317">
        <v>4</v>
      </c>
      <c r="L3317">
        <v>69</v>
      </c>
      <c r="M3317">
        <v>23</v>
      </c>
      <c r="N3317">
        <v>3</v>
      </c>
      <c r="O3317">
        <v>3</v>
      </c>
      <c r="P3317">
        <v>8</v>
      </c>
      <c r="Q3317">
        <v>1.492</v>
      </c>
      <c r="R3317">
        <v>8</v>
      </c>
      <c r="S3317">
        <v>1</v>
      </c>
      <c r="T3317">
        <v>2</v>
      </c>
      <c r="U3317">
        <v>12.5</v>
      </c>
      <c r="V3317">
        <v>5460.9150326797389</v>
      </c>
      <c r="W3317">
        <v>2</v>
      </c>
    </row>
    <row r="3318" spans="1:23" x14ac:dyDescent="0.2">
      <c r="A3318">
        <v>2020</v>
      </c>
      <c r="B3318" t="s">
        <v>23</v>
      </c>
      <c r="C3318" t="s">
        <v>272</v>
      </c>
      <c r="D3318">
        <v>237</v>
      </c>
      <c r="E3318">
        <v>1</v>
      </c>
      <c r="F3318">
        <v>15</v>
      </c>
      <c r="G3318" t="s">
        <v>262</v>
      </c>
      <c r="H3318">
        <v>14</v>
      </c>
      <c r="I3318">
        <v>55</v>
      </c>
      <c r="J3318">
        <v>57</v>
      </c>
      <c r="K3318">
        <v>2</v>
      </c>
      <c r="L3318">
        <v>143</v>
      </c>
      <c r="M3318">
        <v>83</v>
      </c>
      <c r="N3318">
        <v>2</v>
      </c>
      <c r="O3318">
        <v>2</v>
      </c>
      <c r="P3318">
        <v>10</v>
      </c>
      <c r="Q3318">
        <v>0.7</v>
      </c>
      <c r="R3318">
        <v>9</v>
      </c>
      <c r="S3318">
        <v>0.9</v>
      </c>
      <c r="T3318">
        <v>2</v>
      </c>
      <c r="U3318">
        <v>11.1</v>
      </c>
      <c r="V3318">
        <v>2603.0849673202615</v>
      </c>
      <c r="W3318">
        <v>2</v>
      </c>
    </row>
    <row r="3319" spans="1:23" x14ac:dyDescent="0.2">
      <c r="A3319">
        <v>2020</v>
      </c>
      <c r="B3319" t="s">
        <v>23</v>
      </c>
      <c r="C3319" t="s">
        <v>272</v>
      </c>
      <c r="D3319">
        <v>237</v>
      </c>
      <c r="E3319">
        <v>2</v>
      </c>
      <c r="F3319">
        <v>13</v>
      </c>
      <c r="G3319" t="s">
        <v>262</v>
      </c>
      <c r="H3319" s="1">
        <v>8</v>
      </c>
      <c r="I3319" s="1">
        <v>68</v>
      </c>
      <c r="J3319" s="1">
        <v>70</v>
      </c>
      <c r="K3319" s="1">
        <f t="shared" ref="K3319:K3325" si="172">J3319-I3319</f>
        <v>2</v>
      </c>
      <c r="L3319" s="1">
        <v>90</v>
      </c>
      <c r="M3319" s="1">
        <v>41</v>
      </c>
      <c r="N3319" s="1">
        <v>2</v>
      </c>
      <c r="O3319" s="1">
        <v>4</v>
      </c>
      <c r="P3319" s="1">
        <v>6</v>
      </c>
      <c r="Q3319" s="2">
        <v>0.17</v>
      </c>
      <c r="R3319" s="1">
        <v>5</v>
      </c>
      <c r="S3319" s="1">
        <f t="shared" ref="S3319:S3325" si="173">R3319/P3319</f>
        <v>0.83333333333333337</v>
      </c>
      <c r="T3319" s="1">
        <v>3.5</v>
      </c>
      <c r="U3319" s="1">
        <v>12.5</v>
      </c>
      <c r="V3319" s="1">
        <v>622.2222222222224</v>
      </c>
      <c r="W3319" s="1">
        <v>4</v>
      </c>
    </row>
    <row r="3320" spans="1:23" x14ac:dyDescent="0.2">
      <c r="A3320">
        <v>2021</v>
      </c>
      <c r="B3320" t="s">
        <v>23</v>
      </c>
      <c r="C3320" t="s">
        <v>272</v>
      </c>
      <c r="D3320">
        <v>1</v>
      </c>
      <c r="E3320">
        <v>1</v>
      </c>
      <c r="F3320">
        <v>9</v>
      </c>
      <c r="G3320" t="s">
        <v>25</v>
      </c>
      <c r="H3320" s="1">
        <v>13</v>
      </c>
      <c r="I3320" s="1">
        <v>69</v>
      </c>
      <c r="J3320" s="1">
        <v>74</v>
      </c>
      <c r="K3320" s="1">
        <f t="shared" si="172"/>
        <v>5</v>
      </c>
      <c r="L3320" s="1">
        <v>99</v>
      </c>
      <c r="M3320" s="1">
        <v>45</v>
      </c>
      <c r="N3320" s="1">
        <v>2.5</v>
      </c>
      <c r="O3320" s="1">
        <v>3</v>
      </c>
      <c r="P3320" s="1">
        <v>10</v>
      </c>
      <c r="Q3320" s="2">
        <v>0.316</v>
      </c>
      <c r="R3320" s="1">
        <v>9</v>
      </c>
      <c r="S3320" s="1">
        <f t="shared" si="173"/>
        <v>0.9</v>
      </c>
      <c r="T3320" s="1">
        <v>3</v>
      </c>
      <c r="U3320" s="1">
        <v>12.5</v>
      </c>
      <c r="V3320" s="1">
        <v>1156.6013071895425</v>
      </c>
      <c r="W3320" s="1">
        <v>5</v>
      </c>
    </row>
    <row r="3321" spans="1:23" x14ac:dyDescent="0.2">
      <c r="A3321">
        <v>2021</v>
      </c>
      <c r="B3321" t="s">
        <v>23</v>
      </c>
      <c r="C3321" t="s">
        <v>272</v>
      </c>
      <c r="D3321">
        <v>1</v>
      </c>
      <c r="E3321">
        <v>2</v>
      </c>
      <c r="F3321">
        <v>4</v>
      </c>
      <c r="G3321" t="s">
        <v>25</v>
      </c>
      <c r="H3321" s="1">
        <v>7</v>
      </c>
      <c r="I3321" s="1">
        <v>61</v>
      </c>
      <c r="J3321" s="1">
        <v>66</v>
      </c>
      <c r="K3321" s="1">
        <f t="shared" si="172"/>
        <v>5</v>
      </c>
      <c r="L3321" s="1">
        <v>195</v>
      </c>
      <c r="M3321" s="1">
        <v>130</v>
      </c>
      <c r="N3321" s="1">
        <v>2</v>
      </c>
      <c r="O3321" s="1">
        <v>2</v>
      </c>
      <c r="P3321" s="1">
        <v>6</v>
      </c>
      <c r="Q3321" s="2">
        <v>0.14699999999999999</v>
      </c>
      <c r="R3321" s="1">
        <v>7</v>
      </c>
      <c r="S3321" s="1">
        <f t="shared" si="173"/>
        <v>1.1666666666666667</v>
      </c>
      <c r="T3321" s="1">
        <v>2</v>
      </c>
      <c r="U3321" s="1">
        <v>9</v>
      </c>
      <c r="V3321" s="1">
        <v>559.56078431372543</v>
      </c>
      <c r="W3321" s="1">
        <v>4</v>
      </c>
    </row>
    <row r="3322" spans="1:23" x14ac:dyDescent="0.2">
      <c r="A3322">
        <v>2021</v>
      </c>
      <c r="B3322" t="s">
        <v>23</v>
      </c>
      <c r="C3322" t="s">
        <v>272</v>
      </c>
      <c r="D3322">
        <v>2</v>
      </c>
      <c r="E3322">
        <v>1</v>
      </c>
      <c r="F3322">
        <v>5</v>
      </c>
      <c r="G3322" t="s">
        <v>26</v>
      </c>
      <c r="H3322" s="1">
        <v>8</v>
      </c>
      <c r="I3322" s="1">
        <v>68</v>
      </c>
      <c r="J3322" s="1">
        <v>71</v>
      </c>
      <c r="K3322" s="1">
        <f t="shared" si="172"/>
        <v>3</v>
      </c>
      <c r="L3322" s="1">
        <v>137</v>
      </c>
      <c r="M3322" s="1">
        <v>58</v>
      </c>
      <c r="N3322" s="1">
        <v>1.5</v>
      </c>
      <c r="O3322" s="1">
        <v>4.5</v>
      </c>
      <c r="P3322" s="1">
        <v>6</v>
      </c>
      <c r="Q3322" s="2">
        <v>4.8500000000000001E-2</v>
      </c>
      <c r="R3322" s="1">
        <v>4</v>
      </c>
      <c r="S3322" s="1">
        <f t="shared" si="173"/>
        <v>0.66666666666666663</v>
      </c>
      <c r="T3322" s="1">
        <v>5</v>
      </c>
      <c r="U3322" s="1">
        <v>12.5</v>
      </c>
      <c r="V3322" s="1">
        <v>177.51633986928107</v>
      </c>
      <c r="W3322" s="1">
        <v>6</v>
      </c>
    </row>
    <row r="3323" spans="1:23" x14ac:dyDescent="0.2">
      <c r="A3323">
        <v>2021</v>
      </c>
      <c r="B3323" t="s">
        <v>23</v>
      </c>
      <c r="C3323" t="s">
        <v>272</v>
      </c>
      <c r="D3323">
        <v>2</v>
      </c>
      <c r="E3323">
        <v>2</v>
      </c>
      <c r="F3323">
        <v>5</v>
      </c>
      <c r="G3323" t="s">
        <v>26</v>
      </c>
      <c r="H3323" s="1">
        <v>12</v>
      </c>
      <c r="I3323" s="1">
        <v>70</v>
      </c>
      <c r="J3323" s="1">
        <v>72</v>
      </c>
      <c r="K3323" s="1">
        <f t="shared" si="172"/>
        <v>2</v>
      </c>
      <c r="L3323" s="1">
        <v>186</v>
      </c>
      <c r="M3323" s="1">
        <v>73</v>
      </c>
      <c r="N3323" s="1">
        <v>3</v>
      </c>
      <c r="O3323" s="1">
        <v>3.5</v>
      </c>
      <c r="P3323" s="1">
        <f>H3323-2</f>
        <v>10</v>
      </c>
      <c r="Q3323" s="2">
        <v>0.16650000000000001</v>
      </c>
      <c r="R3323" s="1">
        <v>7</v>
      </c>
      <c r="S3323" s="1">
        <f t="shared" si="173"/>
        <v>0.7</v>
      </c>
      <c r="T3323" s="1">
        <v>5</v>
      </c>
      <c r="U3323" s="1">
        <v>12.5</v>
      </c>
      <c r="V3323" s="1">
        <v>609.41176470588243</v>
      </c>
      <c r="W3323" s="1">
        <v>4</v>
      </c>
    </row>
    <row r="3324" spans="1:23" x14ac:dyDescent="0.2">
      <c r="A3324">
        <v>2021</v>
      </c>
      <c r="B3324" t="s">
        <v>23</v>
      </c>
      <c r="C3324" t="s">
        <v>272</v>
      </c>
      <c r="D3324">
        <v>3</v>
      </c>
      <c r="E3324">
        <v>1</v>
      </c>
      <c r="F3324">
        <v>6</v>
      </c>
      <c r="G3324" t="s">
        <v>27</v>
      </c>
      <c r="H3324" s="1">
        <v>10</v>
      </c>
      <c r="I3324" s="1">
        <v>68</v>
      </c>
      <c r="J3324" s="1">
        <v>71</v>
      </c>
      <c r="K3324" s="1">
        <f t="shared" si="172"/>
        <v>3</v>
      </c>
      <c r="L3324" s="1">
        <v>188</v>
      </c>
      <c r="M3324" s="1">
        <v>90</v>
      </c>
      <c r="N3324" s="1">
        <v>2</v>
      </c>
      <c r="O3324" s="1">
        <v>2</v>
      </c>
      <c r="P3324" s="1">
        <v>10</v>
      </c>
      <c r="Q3324" s="2">
        <v>1.448</v>
      </c>
      <c r="R3324" s="1">
        <v>10</v>
      </c>
      <c r="S3324" s="1">
        <f t="shared" si="173"/>
        <v>1</v>
      </c>
      <c r="T3324" s="1">
        <v>2</v>
      </c>
      <c r="U3324" s="1">
        <v>10.1</v>
      </c>
      <c r="V3324" s="1">
        <v>5445.2371241830078</v>
      </c>
      <c r="W3324" s="1">
        <v>3</v>
      </c>
    </row>
    <row r="3325" spans="1:23" x14ac:dyDescent="0.2">
      <c r="A3325">
        <v>2021</v>
      </c>
      <c r="B3325" t="s">
        <v>23</v>
      </c>
      <c r="C3325" t="s">
        <v>272</v>
      </c>
      <c r="D3325">
        <v>3</v>
      </c>
      <c r="E3325">
        <v>2</v>
      </c>
      <c r="F3325">
        <v>15</v>
      </c>
      <c r="G3325" t="s">
        <v>27</v>
      </c>
      <c r="H3325" s="1">
        <v>2</v>
      </c>
      <c r="I3325" s="1">
        <v>64</v>
      </c>
      <c r="J3325" s="1">
        <v>68</v>
      </c>
      <c r="K3325" s="1">
        <f t="shared" si="172"/>
        <v>4</v>
      </c>
      <c r="L3325" s="1">
        <v>191</v>
      </c>
      <c r="M3325" s="1">
        <v>102</v>
      </c>
      <c r="N3325" s="1">
        <v>2</v>
      </c>
      <c r="O3325" s="1">
        <v>2</v>
      </c>
      <c r="P3325" s="1">
        <f>H3325</f>
        <v>2</v>
      </c>
      <c r="Q3325" s="2">
        <v>1.6500000000000001E-2</v>
      </c>
      <c r="R3325" s="1">
        <v>2</v>
      </c>
      <c r="S3325" s="1">
        <f t="shared" si="173"/>
        <v>1</v>
      </c>
      <c r="T3325" s="1">
        <v>3</v>
      </c>
      <c r="U3325" s="1">
        <v>12.5</v>
      </c>
      <c r="V3325" s="1">
        <v>60.392156862745097</v>
      </c>
      <c r="W3325" s="1">
        <v>3</v>
      </c>
    </row>
    <row r="3326" spans="1:23" x14ac:dyDescent="0.2">
      <c r="A3326">
        <v>2021</v>
      </c>
      <c r="B3326" t="s">
        <v>23</v>
      </c>
      <c r="C3326" t="s">
        <v>272</v>
      </c>
      <c r="D3326">
        <v>4</v>
      </c>
      <c r="E3326">
        <v>1</v>
      </c>
      <c r="F3326">
        <v>11</v>
      </c>
      <c r="G3326" t="s">
        <v>28</v>
      </c>
      <c r="H3326">
        <v>10</v>
      </c>
      <c r="I3326">
        <v>59</v>
      </c>
      <c r="J3326">
        <v>62</v>
      </c>
      <c r="K3326">
        <v>3</v>
      </c>
      <c r="L3326">
        <v>145</v>
      </c>
      <c r="M3326">
        <v>55</v>
      </c>
      <c r="N3326">
        <v>2</v>
      </c>
      <c r="O3326">
        <v>3</v>
      </c>
      <c r="P3326">
        <v>10</v>
      </c>
      <c r="Q3326">
        <v>0.8</v>
      </c>
      <c r="R3326">
        <v>10</v>
      </c>
      <c r="S3326">
        <v>1</v>
      </c>
      <c r="T3326">
        <v>2.5</v>
      </c>
      <c r="U3326">
        <v>12.5</v>
      </c>
      <c r="V3326">
        <v>2928.1045751633987</v>
      </c>
      <c r="W3326">
        <v>1</v>
      </c>
    </row>
    <row r="3327" spans="1:23" x14ac:dyDescent="0.2">
      <c r="A3327">
        <v>2021</v>
      </c>
      <c r="B3327" t="s">
        <v>23</v>
      </c>
      <c r="C3327" t="s">
        <v>272</v>
      </c>
      <c r="D3327">
        <v>4</v>
      </c>
      <c r="E3327">
        <v>2</v>
      </c>
      <c r="F3327">
        <v>10</v>
      </c>
      <c r="G3327" t="s">
        <v>28</v>
      </c>
      <c r="H3327">
        <v>10</v>
      </c>
      <c r="I3327">
        <v>60</v>
      </c>
      <c r="J3327">
        <v>62</v>
      </c>
      <c r="K3327">
        <v>2</v>
      </c>
      <c r="L3327">
        <v>176</v>
      </c>
      <c r="M3327">
        <v>61</v>
      </c>
      <c r="N3327">
        <v>2</v>
      </c>
      <c r="O3327">
        <v>3</v>
      </c>
      <c r="P3327">
        <v>10</v>
      </c>
      <c r="Q3327">
        <v>1</v>
      </c>
      <c r="R3327">
        <v>11</v>
      </c>
      <c r="S3327">
        <v>1.1000000000000001</v>
      </c>
      <c r="T3327">
        <v>2.5</v>
      </c>
      <c r="U3327">
        <v>12.5</v>
      </c>
      <c r="V3327">
        <v>3660.1307189542486</v>
      </c>
      <c r="W3327">
        <v>2</v>
      </c>
    </row>
    <row r="3328" spans="1:23" x14ac:dyDescent="0.2">
      <c r="A3328">
        <v>2021</v>
      </c>
      <c r="B3328" t="s">
        <v>23</v>
      </c>
      <c r="C3328" t="s">
        <v>272</v>
      </c>
      <c r="D3328">
        <v>5</v>
      </c>
      <c r="E3328">
        <v>1</v>
      </c>
      <c r="F3328">
        <v>9</v>
      </c>
      <c r="G3328" t="s">
        <v>29</v>
      </c>
      <c r="H3328" s="1">
        <v>6</v>
      </c>
      <c r="I3328" s="1">
        <v>59</v>
      </c>
      <c r="J3328" s="1">
        <v>63</v>
      </c>
      <c r="K3328" s="1">
        <f t="shared" ref="K3328:K3343" si="174">J3328-I3328</f>
        <v>4</v>
      </c>
      <c r="L3328" s="1">
        <v>150</v>
      </c>
      <c r="M3328" s="1">
        <v>52</v>
      </c>
      <c r="N3328" s="1">
        <v>2</v>
      </c>
      <c r="O3328" s="1">
        <v>3</v>
      </c>
      <c r="P3328" s="1">
        <v>6</v>
      </c>
      <c r="Q3328" s="2">
        <v>0.441</v>
      </c>
      <c r="R3328" s="1">
        <v>6</v>
      </c>
      <c r="S3328" s="1">
        <f t="shared" ref="S3328:S3343" si="175">R3328/P3328</f>
        <v>1</v>
      </c>
      <c r="T3328" s="1">
        <v>3</v>
      </c>
      <c r="U3328" s="1">
        <v>12.5</v>
      </c>
      <c r="V3328" s="1">
        <v>1614.1176470588236</v>
      </c>
      <c r="W3328" s="1">
        <v>3</v>
      </c>
    </row>
    <row r="3329" spans="1:23" x14ac:dyDescent="0.2">
      <c r="A3329">
        <v>2021</v>
      </c>
      <c r="B3329" t="s">
        <v>23</v>
      </c>
      <c r="C3329" t="s">
        <v>272</v>
      </c>
      <c r="D3329">
        <v>5</v>
      </c>
      <c r="E3329">
        <v>2</v>
      </c>
      <c r="F3329">
        <v>3</v>
      </c>
      <c r="G3329" t="s">
        <v>29</v>
      </c>
      <c r="H3329" s="1">
        <v>11</v>
      </c>
      <c r="I3329" s="1">
        <v>66</v>
      </c>
      <c r="J3329" s="1">
        <v>69</v>
      </c>
      <c r="K3329" s="1">
        <f t="shared" si="174"/>
        <v>3</v>
      </c>
      <c r="L3329" s="1">
        <v>185</v>
      </c>
      <c r="M3329" s="1">
        <v>88</v>
      </c>
      <c r="N3329" s="1">
        <v>2</v>
      </c>
      <c r="O3329" s="1">
        <v>2.5</v>
      </c>
      <c r="P3329" s="1">
        <f>H3329-1</f>
        <v>10</v>
      </c>
      <c r="Q3329" s="2">
        <v>0.13</v>
      </c>
      <c r="R3329" s="1">
        <v>9</v>
      </c>
      <c r="S3329" s="1">
        <f t="shared" si="175"/>
        <v>0.9</v>
      </c>
      <c r="T3329" s="1">
        <v>5</v>
      </c>
      <c r="U3329" s="1">
        <v>12.5</v>
      </c>
      <c r="V3329" s="1">
        <v>475.81699346405225</v>
      </c>
      <c r="W3329" s="1">
        <v>5</v>
      </c>
    </row>
    <row r="3330" spans="1:23" x14ac:dyDescent="0.2">
      <c r="A3330">
        <v>2021</v>
      </c>
      <c r="B3330" t="s">
        <v>23</v>
      </c>
      <c r="C3330" t="s">
        <v>272</v>
      </c>
      <c r="D3330">
        <v>6</v>
      </c>
      <c r="E3330">
        <v>1</v>
      </c>
      <c r="F3330">
        <v>14</v>
      </c>
      <c r="G3330" t="s">
        <v>30</v>
      </c>
      <c r="H3330" s="1">
        <v>10</v>
      </c>
      <c r="I3330" s="1">
        <v>61</v>
      </c>
      <c r="J3330" s="1">
        <v>66</v>
      </c>
      <c r="K3330" s="1">
        <f t="shared" si="174"/>
        <v>5</v>
      </c>
      <c r="L3330" s="1">
        <v>130</v>
      </c>
      <c r="M3330" s="1">
        <v>81</v>
      </c>
      <c r="N3330" s="1">
        <v>2</v>
      </c>
      <c r="O3330" s="1">
        <v>2</v>
      </c>
      <c r="P3330" s="1">
        <f>H3330-2</f>
        <v>8</v>
      </c>
      <c r="Q3330" s="2">
        <v>1.65</v>
      </c>
      <c r="R3330" s="1">
        <v>10</v>
      </c>
      <c r="S3330" s="1">
        <f t="shared" si="175"/>
        <v>1.25</v>
      </c>
      <c r="T3330" s="1">
        <v>3</v>
      </c>
      <c r="U3330" s="1">
        <v>12.5</v>
      </c>
      <c r="V3330" s="1">
        <v>6039.2156862745096</v>
      </c>
      <c r="W3330" s="1">
        <v>3</v>
      </c>
    </row>
    <row r="3331" spans="1:23" x14ac:dyDescent="0.2">
      <c r="A3331">
        <v>2021</v>
      </c>
      <c r="B3331" t="s">
        <v>23</v>
      </c>
      <c r="C3331" t="s">
        <v>272</v>
      </c>
      <c r="D3331">
        <v>6</v>
      </c>
      <c r="E3331">
        <v>2</v>
      </c>
      <c r="F3331">
        <v>4</v>
      </c>
      <c r="G3331" t="s">
        <v>30</v>
      </c>
      <c r="H3331" s="1">
        <v>10</v>
      </c>
      <c r="I3331" s="1">
        <v>68</v>
      </c>
      <c r="J3331" s="1">
        <v>72</v>
      </c>
      <c r="K3331" s="1">
        <f t="shared" si="174"/>
        <v>4</v>
      </c>
      <c r="L3331" s="1">
        <v>161</v>
      </c>
      <c r="M3331" s="1">
        <v>90</v>
      </c>
      <c r="N3331" s="1">
        <v>2</v>
      </c>
      <c r="O3331" s="1">
        <v>3.5</v>
      </c>
      <c r="P3331" s="1">
        <v>10</v>
      </c>
      <c r="Q3331" s="2">
        <v>7.3650000000000007E-2</v>
      </c>
      <c r="R3331" s="1">
        <v>4</v>
      </c>
      <c r="S3331" s="1">
        <f t="shared" si="175"/>
        <v>0.4</v>
      </c>
      <c r="T3331" s="1">
        <v>5</v>
      </c>
      <c r="U3331" s="1">
        <v>12.5</v>
      </c>
      <c r="V3331" s="1">
        <v>269.56862745098044</v>
      </c>
      <c r="W3331" s="1">
        <v>4</v>
      </c>
    </row>
    <row r="3332" spans="1:23" x14ac:dyDescent="0.2">
      <c r="A3332">
        <v>2021</v>
      </c>
      <c r="B3332" t="s">
        <v>23</v>
      </c>
      <c r="C3332" t="s">
        <v>272</v>
      </c>
      <c r="D3332">
        <v>7</v>
      </c>
      <c r="E3332">
        <v>1</v>
      </c>
      <c r="F3332">
        <v>6</v>
      </c>
      <c r="G3332" t="s">
        <v>31</v>
      </c>
      <c r="H3332" s="1">
        <v>10</v>
      </c>
      <c r="I3332" s="1">
        <v>68</v>
      </c>
      <c r="J3332" s="1">
        <v>73</v>
      </c>
      <c r="K3332" s="1">
        <f t="shared" si="174"/>
        <v>5</v>
      </c>
      <c r="L3332" s="1">
        <v>147</v>
      </c>
      <c r="M3332" s="1">
        <v>65</v>
      </c>
      <c r="N3332" s="1">
        <v>3</v>
      </c>
      <c r="O3332" s="1">
        <v>4</v>
      </c>
      <c r="P3332" s="1">
        <v>6</v>
      </c>
      <c r="Q3332" s="2">
        <v>0.3412</v>
      </c>
      <c r="R3332" s="1">
        <v>8</v>
      </c>
      <c r="S3332" s="1">
        <f t="shared" si="175"/>
        <v>1.3333333333333333</v>
      </c>
      <c r="T3332" s="1">
        <v>5</v>
      </c>
      <c r="U3332" s="1">
        <v>12.5</v>
      </c>
      <c r="V3332" s="1">
        <v>1248.8366013071895</v>
      </c>
      <c r="W3332" s="1">
        <v>5</v>
      </c>
    </row>
    <row r="3333" spans="1:23" x14ac:dyDescent="0.2">
      <c r="A3333">
        <v>2021</v>
      </c>
      <c r="B3333" t="s">
        <v>23</v>
      </c>
      <c r="C3333" t="s">
        <v>272</v>
      </c>
      <c r="D3333">
        <v>7</v>
      </c>
      <c r="E3333">
        <v>2</v>
      </c>
      <c r="F3333">
        <v>8</v>
      </c>
      <c r="G3333" t="s">
        <v>31</v>
      </c>
      <c r="H3333" s="1">
        <v>12</v>
      </c>
      <c r="I3333" s="1">
        <v>61</v>
      </c>
      <c r="J3333" s="1">
        <v>66</v>
      </c>
      <c r="K3333" s="1">
        <f t="shared" si="174"/>
        <v>5</v>
      </c>
      <c r="L3333" s="1">
        <v>117</v>
      </c>
      <c r="M3333" s="1">
        <v>45</v>
      </c>
      <c r="N3333" s="1">
        <v>3.5</v>
      </c>
      <c r="O3333" s="1">
        <v>4.5</v>
      </c>
      <c r="P3333" s="1">
        <v>8</v>
      </c>
      <c r="Q3333" s="2">
        <v>0.222</v>
      </c>
      <c r="R3333" s="1">
        <v>7</v>
      </c>
      <c r="S3333" s="1">
        <f t="shared" si="175"/>
        <v>0.875</v>
      </c>
      <c r="T3333" s="1">
        <v>5</v>
      </c>
      <c r="U3333" s="1">
        <v>12.5</v>
      </c>
      <c r="V3333" s="1">
        <v>812.54901960784309</v>
      </c>
      <c r="W3333" s="1">
        <v>5</v>
      </c>
    </row>
    <row r="3334" spans="1:23" x14ac:dyDescent="0.2">
      <c r="A3334">
        <v>2021</v>
      </c>
      <c r="B3334" t="s">
        <v>23</v>
      </c>
      <c r="C3334" t="s">
        <v>272</v>
      </c>
      <c r="D3334">
        <v>8</v>
      </c>
      <c r="E3334">
        <v>1</v>
      </c>
      <c r="F3334">
        <v>14</v>
      </c>
      <c r="G3334" t="s">
        <v>32</v>
      </c>
      <c r="H3334" s="1">
        <v>8</v>
      </c>
      <c r="I3334" s="1">
        <v>65</v>
      </c>
      <c r="J3334" s="1">
        <v>70</v>
      </c>
      <c r="K3334" s="1">
        <f t="shared" si="174"/>
        <v>5</v>
      </c>
      <c r="L3334" s="1">
        <v>95</v>
      </c>
      <c r="M3334" s="1">
        <v>16</v>
      </c>
      <c r="N3334" s="1">
        <v>2</v>
      </c>
      <c r="O3334" s="1">
        <v>4</v>
      </c>
      <c r="P3334" s="1">
        <v>5</v>
      </c>
      <c r="Q3334" s="2">
        <v>0.11899999999999999</v>
      </c>
      <c r="R3334" s="1">
        <v>4</v>
      </c>
      <c r="S3334" s="1">
        <f t="shared" si="175"/>
        <v>0.8</v>
      </c>
      <c r="T3334" s="1">
        <v>5</v>
      </c>
      <c r="U3334" s="1">
        <v>12.5</v>
      </c>
      <c r="V3334" s="1">
        <v>435.55555555555554</v>
      </c>
      <c r="W3334" s="1">
        <v>5</v>
      </c>
    </row>
    <row r="3335" spans="1:23" x14ac:dyDescent="0.2">
      <c r="A3335">
        <v>2021</v>
      </c>
      <c r="B3335" t="s">
        <v>23</v>
      </c>
      <c r="C3335" t="s">
        <v>272</v>
      </c>
      <c r="D3335">
        <v>8</v>
      </c>
      <c r="E3335">
        <v>2</v>
      </c>
      <c r="F3335">
        <v>10</v>
      </c>
      <c r="G3335" t="s">
        <v>32</v>
      </c>
      <c r="H3335" s="1">
        <v>10</v>
      </c>
      <c r="I3335" s="1">
        <v>66</v>
      </c>
      <c r="J3335" s="1">
        <v>70</v>
      </c>
      <c r="K3335" s="1">
        <f t="shared" si="174"/>
        <v>4</v>
      </c>
      <c r="L3335" s="1">
        <v>158</v>
      </c>
      <c r="M3335" s="1">
        <v>78</v>
      </c>
      <c r="N3335" s="1">
        <v>2</v>
      </c>
      <c r="O3335" s="1">
        <v>3.5</v>
      </c>
      <c r="P3335" s="1">
        <v>10</v>
      </c>
      <c r="Q3335" s="2">
        <v>0.47299999999999998</v>
      </c>
      <c r="R3335" s="1">
        <v>8</v>
      </c>
      <c r="S3335" s="1">
        <f t="shared" si="175"/>
        <v>0.8</v>
      </c>
      <c r="T3335" s="1">
        <v>4</v>
      </c>
      <c r="U3335" s="1">
        <v>7.7</v>
      </c>
      <c r="V3335" s="1">
        <v>1826.2128104575163</v>
      </c>
      <c r="W3335" s="1">
        <v>4</v>
      </c>
    </row>
    <row r="3336" spans="1:23" x14ac:dyDescent="0.2">
      <c r="A3336">
        <v>2021</v>
      </c>
      <c r="B3336" t="s">
        <v>23</v>
      </c>
      <c r="C3336" t="s">
        <v>272</v>
      </c>
      <c r="D3336">
        <v>9</v>
      </c>
      <c r="E3336">
        <v>1</v>
      </c>
      <c r="F3336">
        <v>12</v>
      </c>
      <c r="G3336" t="s">
        <v>33</v>
      </c>
      <c r="H3336" s="1">
        <v>1</v>
      </c>
      <c r="I3336" s="1">
        <v>66</v>
      </c>
      <c r="J3336" s="1">
        <v>70</v>
      </c>
      <c r="K3336" s="1">
        <f t="shared" si="174"/>
        <v>4</v>
      </c>
      <c r="L3336" s="1">
        <v>77</v>
      </c>
      <c r="M3336" s="1">
        <v>40</v>
      </c>
      <c r="N3336" s="1">
        <v>2</v>
      </c>
      <c r="O3336" s="1">
        <v>2.5</v>
      </c>
      <c r="P3336" s="1">
        <v>1</v>
      </c>
      <c r="Q3336" s="2">
        <v>9.8799999999999999E-2</v>
      </c>
      <c r="R3336" s="1">
        <v>1</v>
      </c>
      <c r="S3336" s="1">
        <f t="shared" si="175"/>
        <v>1</v>
      </c>
      <c r="T3336" s="1">
        <v>3</v>
      </c>
      <c r="U3336" s="1">
        <v>8.9</v>
      </c>
      <c r="V3336" s="1">
        <v>376.49903267973855</v>
      </c>
      <c r="W3336" s="1">
        <v>3</v>
      </c>
    </row>
    <row r="3337" spans="1:23" x14ac:dyDescent="0.2">
      <c r="A3337">
        <v>2021</v>
      </c>
      <c r="B3337" t="s">
        <v>23</v>
      </c>
      <c r="C3337" t="s">
        <v>272</v>
      </c>
      <c r="D3337">
        <v>9</v>
      </c>
      <c r="E3337">
        <v>2</v>
      </c>
      <c r="F3337">
        <v>5</v>
      </c>
      <c r="G3337" t="s">
        <v>33</v>
      </c>
      <c r="H3337" s="1">
        <v>11</v>
      </c>
      <c r="I3337" s="1">
        <v>62</v>
      </c>
      <c r="J3337" s="1">
        <v>67</v>
      </c>
      <c r="K3337" s="1">
        <f t="shared" si="174"/>
        <v>5</v>
      </c>
      <c r="L3337" s="1">
        <v>107</v>
      </c>
      <c r="M3337" s="1">
        <v>73</v>
      </c>
      <c r="N3337" s="1">
        <v>2</v>
      </c>
      <c r="O3337" s="1">
        <v>3.5</v>
      </c>
      <c r="P3337" s="1">
        <v>10</v>
      </c>
      <c r="Q3337" s="2">
        <v>0.10640000000000001</v>
      </c>
      <c r="R3337" s="1">
        <v>3</v>
      </c>
      <c r="S3337" s="1">
        <f t="shared" si="175"/>
        <v>0.3</v>
      </c>
      <c r="T3337" s="1">
        <v>5</v>
      </c>
      <c r="U3337" s="1">
        <v>12.5</v>
      </c>
      <c r="V3337" s="1">
        <v>389.43790849673201</v>
      </c>
      <c r="W3337" s="1">
        <v>3</v>
      </c>
    </row>
    <row r="3338" spans="1:23" x14ac:dyDescent="0.2">
      <c r="A3338">
        <v>2021</v>
      </c>
      <c r="B3338" t="s">
        <v>23</v>
      </c>
      <c r="C3338" t="s">
        <v>272</v>
      </c>
      <c r="D3338">
        <v>10</v>
      </c>
      <c r="E3338">
        <v>1</v>
      </c>
      <c r="F3338">
        <v>7</v>
      </c>
      <c r="G3338" t="s">
        <v>34</v>
      </c>
      <c r="H3338" s="1">
        <v>8</v>
      </c>
      <c r="I3338" s="1">
        <v>61</v>
      </c>
      <c r="J3338" s="1">
        <v>66</v>
      </c>
      <c r="K3338" s="1">
        <f t="shared" si="174"/>
        <v>5</v>
      </c>
      <c r="L3338" s="1">
        <v>75</v>
      </c>
      <c r="M3338" s="1">
        <v>25</v>
      </c>
      <c r="N3338" s="1">
        <v>2.5</v>
      </c>
      <c r="O3338" s="1">
        <v>4.5</v>
      </c>
      <c r="P3338" s="1">
        <v>4</v>
      </c>
      <c r="Q3338" s="2">
        <v>0.158</v>
      </c>
      <c r="R3338" s="1">
        <v>4</v>
      </c>
      <c r="S3338" s="1">
        <f t="shared" si="175"/>
        <v>1</v>
      </c>
      <c r="T3338" s="1">
        <v>5</v>
      </c>
      <c r="U3338" s="1">
        <v>12.5</v>
      </c>
      <c r="V3338" s="1">
        <v>578.30065359477123</v>
      </c>
      <c r="W3338" s="1">
        <v>5</v>
      </c>
    </row>
    <row r="3339" spans="1:23" x14ac:dyDescent="0.2">
      <c r="A3339">
        <v>2021</v>
      </c>
      <c r="B3339" t="s">
        <v>23</v>
      </c>
      <c r="C3339" t="s">
        <v>272</v>
      </c>
      <c r="D3339">
        <v>10</v>
      </c>
      <c r="E3339">
        <v>2</v>
      </c>
      <c r="F3339">
        <v>8</v>
      </c>
      <c r="G3339" t="s">
        <v>34</v>
      </c>
      <c r="H3339" s="1">
        <v>3</v>
      </c>
      <c r="I3339" s="1">
        <v>67</v>
      </c>
      <c r="J3339" s="1">
        <v>69</v>
      </c>
      <c r="K3339" s="1">
        <f t="shared" si="174"/>
        <v>2</v>
      </c>
      <c r="L3339" s="1">
        <v>67</v>
      </c>
      <c r="M3339" s="1">
        <v>38</v>
      </c>
      <c r="N3339" s="1">
        <v>2</v>
      </c>
      <c r="O3339" s="1">
        <v>3.5</v>
      </c>
      <c r="P3339" s="1">
        <v>2</v>
      </c>
      <c r="Q3339" s="2">
        <v>9.0400000000000008E-2</v>
      </c>
      <c r="R3339" s="1">
        <v>3</v>
      </c>
      <c r="S3339" s="1">
        <f t="shared" si="175"/>
        <v>1.5</v>
      </c>
      <c r="T3339" s="1">
        <v>5</v>
      </c>
      <c r="U3339" s="1">
        <v>12.5</v>
      </c>
      <c r="V3339" s="1">
        <v>330.87581699346413</v>
      </c>
      <c r="W3339" s="1">
        <v>5</v>
      </c>
    </row>
    <row r="3340" spans="1:23" x14ac:dyDescent="0.2">
      <c r="A3340">
        <v>2021</v>
      </c>
      <c r="B3340" t="s">
        <v>23</v>
      </c>
      <c r="C3340" t="s">
        <v>272</v>
      </c>
      <c r="D3340">
        <v>11</v>
      </c>
      <c r="E3340">
        <v>1</v>
      </c>
      <c r="F3340">
        <v>6</v>
      </c>
      <c r="G3340" t="s">
        <v>35</v>
      </c>
      <c r="H3340" s="1">
        <v>9</v>
      </c>
      <c r="I3340" s="1">
        <v>67</v>
      </c>
      <c r="J3340" s="1">
        <v>72</v>
      </c>
      <c r="K3340" s="1">
        <f t="shared" si="174"/>
        <v>5</v>
      </c>
      <c r="L3340" s="1">
        <v>80</v>
      </c>
      <c r="M3340" s="1">
        <v>78</v>
      </c>
      <c r="N3340" s="1">
        <v>2</v>
      </c>
      <c r="O3340" s="1">
        <v>4</v>
      </c>
      <c r="P3340" s="1">
        <v>2</v>
      </c>
      <c r="Q3340" s="2">
        <v>7.5150000000000008E-2</v>
      </c>
      <c r="R3340" s="1">
        <v>2</v>
      </c>
      <c r="S3340" s="1">
        <f t="shared" si="175"/>
        <v>1</v>
      </c>
      <c r="T3340" s="1">
        <v>5</v>
      </c>
      <c r="U3340" s="1">
        <v>12.5</v>
      </c>
      <c r="V3340" s="1">
        <v>275.05882352941177</v>
      </c>
      <c r="W3340" s="1">
        <v>5</v>
      </c>
    </row>
    <row r="3341" spans="1:23" x14ac:dyDescent="0.2">
      <c r="A3341">
        <v>2021</v>
      </c>
      <c r="B3341" t="s">
        <v>23</v>
      </c>
      <c r="C3341" t="s">
        <v>272</v>
      </c>
      <c r="D3341">
        <v>11</v>
      </c>
      <c r="E3341">
        <v>2</v>
      </c>
      <c r="F3341">
        <v>15</v>
      </c>
      <c r="G3341" t="s">
        <v>35</v>
      </c>
      <c r="H3341" s="1">
        <v>7</v>
      </c>
      <c r="I3341" s="1">
        <v>63</v>
      </c>
      <c r="J3341" s="1">
        <v>68</v>
      </c>
      <c r="K3341" s="1">
        <f t="shared" si="174"/>
        <v>5</v>
      </c>
      <c r="L3341" s="1">
        <v>98</v>
      </c>
      <c r="M3341" s="1">
        <v>43</v>
      </c>
      <c r="N3341" s="1">
        <v>2</v>
      </c>
      <c r="O3341" s="1">
        <v>3.5</v>
      </c>
      <c r="P3341" s="1">
        <v>4</v>
      </c>
      <c r="Q3341" s="2">
        <v>7.2900000000000006E-2</v>
      </c>
      <c r="R3341" s="1">
        <v>5</v>
      </c>
      <c r="S3341" s="1">
        <f t="shared" si="175"/>
        <v>1.25</v>
      </c>
      <c r="T3341" s="1">
        <v>5</v>
      </c>
      <c r="U3341" s="1">
        <v>12.5</v>
      </c>
      <c r="V3341" s="1">
        <v>266.8235294117647</v>
      </c>
      <c r="W3341" s="1">
        <v>3</v>
      </c>
    </row>
    <row r="3342" spans="1:23" x14ac:dyDescent="0.2">
      <c r="A3342">
        <v>2021</v>
      </c>
      <c r="B3342" t="s">
        <v>23</v>
      </c>
      <c r="C3342" t="s">
        <v>272</v>
      </c>
      <c r="D3342">
        <v>12</v>
      </c>
      <c r="E3342">
        <v>1</v>
      </c>
      <c r="F3342">
        <v>11</v>
      </c>
      <c r="G3342" t="s">
        <v>36</v>
      </c>
      <c r="H3342" s="1">
        <v>12</v>
      </c>
      <c r="I3342" s="1">
        <v>59</v>
      </c>
      <c r="J3342" s="1">
        <v>64</v>
      </c>
      <c r="K3342" s="1">
        <f t="shared" si="174"/>
        <v>5</v>
      </c>
      <c r="L3342" s="1">
        <v>132</v>
      </c>
      <c r="M3342" s="1">
        <v>48</v>
      </c>
      <c r="N3342" s="1">
        <v>2.5</v>
      </c>
      <c r="O3342" s="1">
        <v>3.5</v>
      </c>
      <c r="P3342" s="1">
        <v>12</v>
      </c>
      <c r="Q3342" s="2">
        <v>1.024</v>
      </c>
      <c r="R3342" s="1">
        <v>12</v>
      </c>
      <c r="S3342" s="1">
        <f t="shared" si="175"/>
        <v>1</v>
      </c>
      <c r="T3342" s="1">
        <v>3.5</v>
      </c>
      <c r="U3342" s="1">
        <v>12.5</v>
      </c>
      <c r="V3342" s="1">
        <v>3747.9738562091507</v>
      </c>
      <c r="W3342" s="1">
        <v>5</v>
      </c>
    </row>
    <row r="3343" spans="1:23" x14ac:dyDescent="0.2">
      <c r="A3343">
        <v>2021</v>
      </c>
      <c r="B3343" t="s">
        <v>23</v>
      </c>
      <c r="C3343" t="s">
        <v>272</v>
      </c>
      <c r="D3343">
        <v>12</v>
      </c>
      <c r="E3343">
        <v>2</v>
      </c>
      <c r="F3343">
        <v>5</v>
      </c>
      <c r="G3343" t="s">
        <v>36</v>
      </c>
      <c r="H3343" s="1">
        <v>8</v>
      </c>
      <c r="I3343" s="1">
        <v>58</v>
      </c>
      <c r="J3343" s="1">
        <v>62</v>
      </c>
      <c r="K3343" s="1">
        <f t="shared" si="174"/>
        <v>4</v>
      </c>
      <c r="L3343" s="1">
        <v>118</v>
      </c>
      <c r="M3343" s="1">
        <v>45</v>
      </c>
      <c r="N3343" s="1">
        <v>1.5</v>
      </c>
      <c r="O3343" s="1">
        <v>4.5</v>
      </c>
      <c r="P3343" s="1">
        <v>5</v>
      </c>
      <c r="Q3343" s="2">
        <v>5.3999999999999999E-2</v>
      </c>
      <c r="R3343" s="1">
        <v>5</v>
      </c>
      <c r="S3343" s="1">
        <f t="shared" si="175"/>
        <v>1</v>
      </c>
      <c r="T3343" s="1">
        <v>5</v>
      </c>
      <c r="U3343" s="1">
        <v>12.5</v>
      </c>
      <c r="V3343" s="1">
        <v>197.64705882352939</v>
      </c>
      <c r="W3343" s="1">
        <v>4</v>
      </c>
    </row>
    <row r="3344" spans="1:23" x14ac:dyDescent="0.2">
      <c r="A3344">
        <v>2021</v>
      </c>
      <c r="B3344" t="s">
        <v>23</v>
      </c>
      <c r="C3344" t="s">
        <v>272</v>
      </c>
      <c r="D3344">
        <v>13</v>
      </c>
      <c r="E3344">
        <v>1</v>
      </c>
      <c r="F3344">
        <v>5</v>
      </c>
      <c r="G3344" t="s">
        <v>37</v>
      </c>
      <c r="H3344">
        <v>2</v>
      </c>
      <c r="I3344">
        <v>60</v>
      </c>
      <c r="J3344">
        <v>63</v>
      </c>
      <c r="K3344">
        <v>3</v>
      </c>
      <c r="L3344">
        <v>105</v>
      </c>
      <c r="M3344">
        <v>30</v>
      </c>
      <c r="N3344">
        <v>5</v>
      </c>
      <c r="O3344">
        <v>4</v>
      </c>
      <c r="P3344">
        <v>2</v>
      </c>
      <c r="Q3344">
        <v>0.27600000000000002</v>
      </c>
      <c r="R3344">
        <v>2</v>
      </c>
      <c r="S3344">
        <v>1</v>
      </c>
      <c r="T3344">
        <v>2</v>
      </c>
      <c r="U3344">
        <v>12.5</v>
      </c>
      <c r="V3344">
        <v>1010.1960784313728</v>
      </c>
      <c r="W3344">
        <v>2</v>
      </c>
    </row>
    <row r="3345" spans="1:23" x14ac:dyDescent="0.2">
      <c r="A3345">
        <v>2021</v>
      </c>
      <c r="B3345" t="s">
        <v>23</v>
      </c>
      <c r="C3345" t="s">
        <v>272</v>
      </c>
      <c r="D3345">
        <v>13</v>
      </c>
      <c r="E3345">
        <v>2</v>
      </c>
      <c r="F3345">
        <v>1</v>
      </c>
      <c r="G3345" t="s">
        <v>37</v>
      </c>
      <c r="H3345" s="1">
        <v>4</v>
      </c>
      <c r="I3345" s="1">
        <v>63</v>
      </c>
      <c r="J3345" s="1">
        <v>68</v>
      </c>
      <c r="K3345" s="1">
        <f>J3345-I3345</f>
        <v>5</v>
      </c>
      <c r="L3345" s="1">
        <v>130</v>
      </c>
      <c r="M3345" s="1">
        <v>68</v>
      </c>
      <c r="N3345" s="1">
        <v>3</v>
      </c>
      <c r="O3345" s="1">
        <v>3.5</v>
      </c>
      <c r="P3345" s="1">
        <v>3</v>
      </c>
      <c r="Q3345" s="2">
        <v>0.36</v>
      </c>
      <c r="R3345" s="1">
        <v>3</v>
      </c>
      <c r="S3345" s="1">
        <f>R3345/P3345</f>
        <v>1</v>
      </c>
      <c r="T3345" s="1">
        <v>4</v>
      </c>
      <c r="U3345" s="1">
        <v>7.9</v>
      </c>
      <c r="V3345" s="1">
        <v>1386.9176470588236</v>
      </c>
      <c r="W3345" s="1">
        <v>3</v>
      </c>
    </row>
    <row r="3346" spans="1:23" x14ac:dyDescent="0.2">
      <c r="A3346">
        <v>2021</v>
      </c>
      <c r="B3346" t="s">
        <v>23</v>
      </c>
      <c r="C3346" t="s">
        <v>272</v>
      </c>
      <c r="D3346">
        <v>14</v>
      </c>
      <c r="E3346">
        <v>1</v>
      </c>
      <c r="F3346">
        <v>15</v>
      </c>
      <c r="G3346" t="s">
        <v>38</v>
      </c>
      <c r="H3346" s="1">
        <v>8</v>
      </c>
      <c r="I3346" s="1">
        <v>64</v>
      </c>
      <c r="J3346" s="1">
        <v>68</v>
      </c>
      <c r="K3346" s="1">
        <f>J3346-I3346</f>
        <v>4</v>
      </c>
      <c r="L3346" s="1">
        <v>148</v>
      </c>
      <c r="M3346" s="1">
        <v>96</v>
      </c>
      <c r="N3346" s="1">
        <v>2</v>
      </c>
      <c r="O3346" s="1">
        <v>2.5</v>
      </c>
      <c r="P3346" s="1">
        <f>H3346-2</f>
        <v>6</v>
      </c>
      <c r="Q3346" s="2">
        <v>0.24</v>
      </c>
      <c r="R3346" s="1">
        <v>4</v>
      </c>
      <c r="S3346" s="1">
        <f>R3346/P3346</f>
        <v>0.66666666666666663</v>
      </c>
      <c r="T3346" s="1">
        <v>5</v>
      </c>
      <c r="U3346" s="1">
        <v>12.5</v>
      </c>
      <c r="V3346" s="1">
        <v>878.43137254901967</v>
      </c>
      <c r="W3346" s="1">
        <v>4</v>
      </c>
    </row>
    <row r="3347" spans="1:23" x14ac:dyDescent="0.2">
      <c r="A3347">
        <v>2021</v>
      </c>
      <c r="B3347" t="s">
        <v>23</v>
      </c>
      <c r="C3347" t="s">
        <v>272</v>
      </c>
      <c r="D3347">
        <v>14</v>
      </c>
      <c r="E3347">
        <v>2</v>
      </c>
      <c r="F3347">
        <v>15</v>
      </c>
      <c r="G3347" t="s">
        <v>38</v>
      </c>
      <c r="H3347">
        <v>4</v>
      </c>
      <c r="I3347">
        <v>63</v>
      </c>
      <c r="J3347">
        <v>65</v>
      </c>
      <c r="K3347">
        <v>2</v>
      </c>
      <c r="L3347">
        <v>130</v>
      </c>
      <c r="M3347">
        <v>70</v>
      </c>
      <c r="N3347">
        <v>1.5</v>
      </c>
      <c r="O3347">
        <v>3.5</v>
      </c>
      <c r="P3347">
        <v>4</v>
      </c>
      <c r="Q3347">
        <v>0.3</v>
      </c>
      <c r="R3347">
        <v>4</v>
      </c>
      <c r="S3347">
        <v>1</v>
      </c>
      <c r="T3347">
        <v>3.5</v>
      </c>
      <c r="U3347">
        <v>12.5</v>
      </c>
      <c r="V3347">
        <v>1098.0392156862745</v>
      </c>
      <c r="W3347">
        <v>1</v>
      </c>
    </row>
    <row r="3348" spans="1:23" x14ac:dyDescent="0.2">
      <c r="A3348">
        <v>2021</v>
      </c>
      <c r="B3348" t="s">
        <v>23</v>
      </c>
      <c r="C3348" t="s">
        <v>272</v>
      </c>
      <c r="D3348">
        <v>15</v>
      </c>
      <c r="E3348">
        <v>1</v>
      </c>
      <c r="F3348">
        <v>14</v>
      </c>
      <c r="G3348" t="s">
        <v>39</v>
      </c>
      <c r="H3348" s="1">
        <v>9</v>
      </c>
      <c r="I3348" s="1">
        <v>54</v>
      </c>
      <c r="J3348" s="1">
        <v>59</v>
      </c>
      <c r="K3348" s="1">
        <f>J3348-I3348</f>
        <v>5</v>
      </c>
      <c r="L3348" s="1">
        <v>117</v>
      </c>
      <c r="M3348" s="1">
        <v>58</v>
      </c>
      <c r="N3348" s="1">
        <v>1</v>
      </c>
      <c r="O3348" s="1">
        <v>2.5</v>
      </c>
      <c r="P3348" s="1">
        <v>9</v>
      </c>
      <c r="Q3348" s="2">
        <v>0.12</v>
      </c>
      <c r="R3348" s="1">
        <v>6</v>
      </c>
      <c r="S3348" s="1">
        <f>R3348/P3348</f>
        <v>0.66666666666666663</v>
      </c>
      <c r="T3348" s="1">
        <v>5</v>
      </c>
      <c r="U3348" s="1">
        <v>12.5</v>
      </c>
      <c r="V3348" s="1">
        <v>439.21568627450984</v>
      </c>
      <c r="W3348" s="1">
        <v>6</v>
      </c>
    </row>
    <row r="3349" spans="1:23" x14ac:dyDescent="0.2">
      <c r="A3349">
        <v>2021</v>
      </c>
      <c r="B3349" t="s">
        <v>23</v>
      </c>
      <c r="C3349" t="s">
        <v>272</v>
      </c>
      <c r="D3349">
        <v>15</v>
      </c>
      <c r="E3349">
        <v>2</v>
      </c>
      <c r="F3349">
        <v>13</v>
      </c>
      <c r="G3349" t="s">
        <v>39</v>
      </c>
      <c r="H3349" s="1">
        <v>15</v>
      </c>
      <c r="I3349" s="1">
        <v>60</v>
      </c>
      <c r="J3349" s="1">
        <v>64</v>
      </c>
      <c r="K3349" s="1">
        <f>J3349-I3349</f>
        <v>4</v>
      </c>
      <c r="L3349" s="1">
        <v>182</v>
      </c>
      <c r="M3349" s="1">
        <v>90</v>
      </c>
      <c r="N3349" s="1">
        <v>2</v>
      </c>
      <c r="O3349" s="1">
        <v>3.5</v>
      </c>
      <c r="P3349" s="1">
        <f>H3349</f>
        <v>15</v>
      </c>
      <c r="Q3349" s="2">
        <v>0.46934999999999999</v>
      </c>
      <c r="R3349" s="1">
        <v>10</v>
      </c>
      <c r="S3349" s="1">
        <f>R3349/P3349</f>
        <v>0.66666666666666663</v>
      </c>
      <c r="T3349" s="1">
        <v>5</v>
      </c>
      <c r="U3349" s="1">
        <v>12.5</v>
      </c>
      <c r="V3349" s="1">
        <v>1717.8823529411764</v>
      </c>
      <c r="W3349" s="1">
        <v>5</v>
      </c>
    </row>
    <row r="3350" spans="1:23" x14ac:dyDescent="0.2">
      <c r="A3350">
        <v>2021</v>
      </c>
      <c r="B3350" t="s">
        <v>23</v>
      </c>
      <c r="C3350" t="s">
        <v>272</v>
      </c>
      <c r="D3350">
        <v>16</v>
      </c>
      <c r="E3350">
        <v>1</v>
      </c>
      <c r="F3350">
        <v>5</v>
      </c>
      <c r="G3350" t="s">
        <v>40</v>
      </c>
      <c r="H3350">
        <v>14</v>
      </c>
      <c r="I3350">
        <v>56</v>
      </c>
      <c r="J3350">
        <v>60</v>
      </c>
      <c r="K3350">
        <v>4</v>
      </c>
      <c r="L3350">
        <v>187</v>
      </c>
      <c r="M3350">
        <v>47</v>
      </c>
      <c r="N3350">
        <v>2</v>
      </c>
      <c r="O3350">
        <v>2</v>
      </c>
      <c r="P3350">
        <v>9</v>
      </c>
      <c r="Q3350">
        <v>0.5</v>
      </c>
      <c r="R3350">
        <v>5</v>
      </c>
      <c r="S3350">
        <v>0.55555555555555558</v>
      </c>
      <c r="T3350">
        <v>4</v>
      </c>
      <c r="U3350">
        <v>8.6</v>
      </c>
      <c r="V3350">
        <v>1911.6339869281046</v>
      </c>
      <c r="W3350">
        <v>2</v>
      </c>
    </row>
    <row r="3351" spans="1:23" x14ac:dyDescent="0.2">
      <c r="A3351">
        <v>2021</v>
      </c>
      <c r="B3351" t="s">
        <v>23</v>
      </c>
      <c r="C3351" t="s">
        <v>272</v>
      </c>
      <c r="D3351">
        <v>16</v>
      </c>
      <c r="E3351">
        <v>2</v>
      </c>
      <c r="F3351">
        <v>9</v>
      </c>
      <c r="G3351" t="s">
        <v>40</v>
      </c>
      <c r="H3351" s="1">
        <v>9</v>
      </c>
      <c r="I3351" s="1">
        <v>66</v>
      </c>
      <c r="J3351" s="1">
        <v>68</v>
      </c>
      <c r="K3351" s="1">
        <f t="shared" ref="K3351:K3358" si="176">J3351-I3351</f>
        <v>2</v>
      </c>
      <c r="L3351" s="1">
        <v>130</v>
      </c>
      <c r="M3351" s="1">
        <v>77</v>
      </c>
      <c r="N3351" s="1">
        <v>3</v>
      </c>
      <c r="O3351" s="1">
        <v>3.5</v>
      </c>
      <c r="P3351" s="1">
        <v>7</v>
      </c>
      <c r="Q3351" s="2">
        <v>8.6099999999999996E-2</v>
      </c>
      <c r="R3351" s="1">
        <v>4</v>
      </c>
      <c r="S3351" s="1">
        <f t="shared" ref="S3351:S3358" si="177">R3351/P3351</f>
        <v>0.5714285714285714</v>
      </c>
      <c r="T3351" s="1">
        <v>5</v>
      </c>
      <c r="U3351" s="1">
        <v>12.5</v>
      </c>
      <c r="V3351" s="1">
        <v>315.13725490196077</v>
      </c>
      <c r="W3351" s="1">
        <v>6</v>
      </c>
    </row>
    <row r="3352" spans="1:23" x14ac:dyDescent="0.2">
      <c r="A3352">
        <v>2021</v>
      </c>
      <c r="B3352" t="s">
        <v>23</v>
      </c>
      <c r="C3352" t="s">
        <v>272</v>
      </c>
      <c r="D3352">
        <v>17</v>
      </c>
      <c r="E3352">
        <v>1</v>
      </c>
      <c r="F3352">
        <v>10</v>
      </c>
      <c r="G3352" t="s">
        <v>41</v>
      </c>
      <c r="H3352" s="1">
        <v>14</v>
      </c>
      <c r="I3352" s="1">
        <v>62</v>
      </c>
      <c r="J3352" s="1">
        <v>67</v>
      </c>
      <c r="K3352" s="1">
        <f t="shared" si="176"/>
        <v>5</v>
      </c>
      <c r="L3352" s="1">
        <v>132</v>
      </c>
      <c r="M3352" s="1">
        <v>83</v>
      </c>
      <c r="N3352" s="1">
        <v>2</v>
      </c>
      <c r="O3352" s="1">
        <v>3</v>
      </c>
      <c r="P3352" s="1">
        <f>H3352</f>
        <v>14</v>
      </c>
      <c r="Q3352" s="2">
        <v>0.42899999999999999</v>
      </c>
      <c r="R3352" s="1">
        <v>14</v>
      </c>
      <c r="S3352" s="1">
        <f t="shared" si="177"/>
        <v>1</v>
      </c>
      <c r="T3352" s="1">
        <v>5</v>
      </c>
      <c r="U3352" s="1">
        <v>12.5</v>
      </c>
      <c r="V3352" s="1">
        <v>1570.1960784313726</v>
      </c>
      <c r="W3352" s="1">
        <v>5</v>
      </c>
    </row>
    <row r="3353" spans="1:23" x14ac:dyDescent="0.2">
      <c r="A3353">
        <v>2021</v>
      </c>
      <c r="B3353" t="s">
        <v>23</v>
      </c>
      <c r="C3353" t="s">
        <v>272</v>
      </c>
      <c r="D3353">
        <v>17</v>
      </c>
      <c r="E3353">
        <v>2</v>
      </c>
      <c r="F3353">
        <v>1</v>
      </c>
      <c r="G3353" t="s">
        <v>41</v>
      </c>
      <c r="H3353" s="1">
        <v>6</v>
      </c>
      <c r="I3353" s="1">
        <v>63</v>
      </c>
      <c r="J3353" s="1">
        <v>67</v>
      </c>
      <c r="K3353" s="1">
        <f t="shared" si="176"/>
        <v>4</v>
      </c>
      <c r="L3353" s="1">
        <v>130</v>
      </c>
      <c r="M3353" s="1">
        <v>55</v>
      </c>
      <c r="N3353" s="1">
        <v>3</v>
      </c>
      <c r="O3353" s="1">
        <v>4</v>
      </c>
      <c r="P3353" s="1">
        <v>1</v>
      </c>
      <c r="Q3353" s="2">
        <v>1.2E-2</v>
      </c>
      <c r="R3353" s="1">
        <v>1</v>
      </c>
      <c r="S3353" s="1">
        <f t="shared" si="177"/>
        <v>1</v>
      </c>
      <c r="T3353" s="1">
        <v>5</v>
      </c>
      <c r="U3353" s="1">
        <v>12.5</v>
      </c>
      <c r="V3353" s="1">
        <v>43.921568627450981</v>
      </c>
      <c r="W3353" s="1">
        <v>6</v>
      </c>
    </row>
    <row r="3354" spans="1:23" x14ac:dyDescent="0.2">
      <c r="A3354">
        <v>2021</v>
      </c>
      <c r="B3354" t="s">
        <v>23</v>
      </c>
      <c r="C3354" t="s">
        <v>272</v>
      </c>
      <c r="D3354">
        <v>18</v>
      </c>
      <c r="E3354">
        <v>1</v>
      </c>
      <c r="F3354">
        <v>7</v>
      </c>
      <c r="G3354" t="s">
        <v>42</v>
      </c>
      <c r="H3354" s="1">
        <v>16</v>
      </c>
      <c r="I3354" s="1">
        <v>68</v>
      </c>
      <c r="J3354" s="1">
        <v>71</v>
      </c>
      <c r="K3354" s="1">
        <f t="shared" si="176"/>
        <v>3</v>
      </c>
      <c r="L3354" s="1">
        <v>138</v>
      </c>
      <c r="M3354" s="1">
        <v>102</v>
      </c>
      <c r="N3354" s="1">
        <v>2</v>
      </c>
      <c r="O3354" s="1">
        <v>3</v>
      </c>
      <c r="P3354" s="1">
        <v>16</v>
      </c>
      <c r="Q3354" s="2">
        <v>1.6</v>
      </c>
      <c r="R3354" s="1">
        <v>12</v>
      </c>
      <c r="S3354" s="1">
        <f t="shared" si="177"/>
        <v>0.75</v>
      </c>
      <c r="T3354" s="1">
        <v>2</v>
      </c>
      <c r="U3354" s="1">
        <v>12.5</v>
      </c>
      <c r="V3354" s="1">
        <v>5856.2091503267975</v>
      </c>
      <c r="W3354" s="1">
        <v>2</v>
      </c>
    </row>
    <row r="3355" spans="1:23" x14ac:dyDescent="0.2">
      <c r="A3355">
        <v>2021</v>
      </c>
      <c r="B3355" t="s">
        <v>23</v>
      </c>
      <c r="C3355" t="s">
        <v>272</v>
      </c>
      <c r="D3355">
        <v>18</v>
      </c>
      <c r="E3355">
        <v>2</v>
      </c>
      <c r="F3355">
        <v>7</v>
      </c>
      <c r="G3355" t="s">
        <v>42</v>
      </c>
      <c r="H3355" s="1">
        <v>10</v>
      </c>
      <c r="I3355" s="1">
        <v>61</v>
      </c>
      <c r="J3355" s="1">
        <v>64</v>
      </c>
      <c r="K3355" s="1">
        <f t="shared" si="176"/>
        <v>3</v>
      </c>
      <c r="L3355" s="1">
        <v>162</v>
      </c>
      <c r="M3355" s="1">
        <v>49</v>
      </c>
      <c r="N3355" s="1">
        <v>2</v>
      </c>
      <c r="O3355" s="1">
        <v>4.5</v>
      </c>
      <c r="P3355" s="1">
        <v>5</v>
      </c>
      <c r="Q3355" s="2">
        <v>0.222</v>
      </c>
      <c r="R3355" s="1">
        <v>5</v>
      </c>
      <c r="S3355" s="1">
        <f t="shared" si="177"/>
        <v>1</v>
      </c>
      <c r="T3355" s="1">
        <v>5</v>
      </c>
      <c r="U3355" s="1">
        <v>12.5</v>
      </c>
      <c r="V3355" s="1">
        <v>812.54901960784309</v>
      </c>
      <c r="W3355" s="1">
        <v>4</v>
      </c>
    </row>
    <row r="3356" spans="1:23" x14ac:dyDescent="0.2">
      <c r="A3356">
        <v>2021</v>
      </c>
      <c r="B3356" t="s">
        <v>23</v>
      </c>
      <c r="C3356" t="s">
        <v>272</v>
      </c>
      <c r="D3356">
        <v>19</v>
      </c>
      <c r="E3356">
        <v>1</v>
      </c>
      <c r="F3356">
        <v>6</v>
      </c>
      <c r="G3356" t="s">
        <v>263</v>
      </c>
      <c r="H3356" s="3">
        <v>2</v>
      </c>
      <c r="I3356" s="3">
        <v>62</v>
      </c>
      <c r="J3356" s="3">
        <v>64</v>
      </c>
      <c r="K3356" s="3">
        <f t="shared" si="176"/>
        <v>2</v>
      </c>
      <c r="L3356" s="3">
        <v>53</v>
      </c>
      <c r="M3356" s="3">
        <v>30</v>
      </c>
      <c r="N3356" s="3">
        <v>4</v>
      </c>
      <c r="O3356" s="3">
        <v>5</v>
      </c>
      <c r="P3356" s="3">
        <v>1</v>
      </c>
      <c r="Q3356" s="4">
        <v>0.02</v>
      </c>
      <c r="R3356" s="3">
        <v>1</v>
      </c>
      <c r="S3356" s="3">
        <f t="shared" si="177"/>
        <v>1</v>
      </c>
      <c r="T3356" s="3">
        <v>5</v>
      </c>
      <c r="U3356" s="3">
        <v>12.5</v>
      </c>
      <c r="V3356" s="3">
        <v>73.202614379084977</v>
      </c>
      <c r="W3356" s="3">
        <v>8</v>
      </c>
    </row>
    <row r="3357" spans="1:23" x14ac:dyDescent="0.2">
      <c r="A3357">
        <v>2021</v>
      </c>
      <c r="B3357" t="s">
        <v>23</v>
      </c>
      <c r="C3357" t="s">
        <v>272</v>
      </c>
      <c r="D3357">
        <v>19</v>
      </c>
      <c r="E3357">
        <v>2</v>
      </c>
      <c r="F3357">
        <v>10</v>
      </c>
      <c r="G3357" t="s">
        <v>263</v>
      </c>
      <c r="H3357" s="1">
        <v>7</v>
      </c>
      <c r="I3357" s="1">
        <v>65</v>
      </c>
      <c r="J3357" s="1">
        <v>69</v>
      </c>
      <c r="K3357" s="1">
        <f t="shared" si="176"/>
        <v>4</v>
      </c>
      <c r="L3357" s="1">
        <v>183</v>
      </c>
      <c r="M3357" s="1">
        <v>62</v>
      </c>
      <c r="N3357" s="1">
        <v>2</v>
      </c>
      <c r="O3357" s="1">
        <v>3.5</v>
      </c>
      <c r="P3357" s="1">
        <v>7</v>
      </c>
      <c r="Q3357" s="2">
        <v>0.17419999999999999</v>
      </c>
      <c r="R3357" s="1">
        <v>6</v>
      </c>
      <c r="S3357" s="1">
        <f t="shared" si="177"/>
        <v>0.8571428571428571</v>
      </c>
      <c r="T3357" s="1">
        <v>4</v>
      </c>
      <c r="U3357" s="1">
        <v>12.5</v>
      </c>
      <c r="V3357" s="1">
        <v>637.59477124183002</v>
      </c>
      <c r="W3357" s="1">
        <v>3</v>
      </c>
    </row>
    <row r="3358" spans="1:23" x14ac:dyDescent="0.2">
      <c r="A3358">
        <v>2021</v>
      </c>
      <c r="B3358" t="s">
        <v>23</v>
      </c>
      <c r="C3358" t="s">
        <v>272</v>
      </c>
      <c r="D3358">
        <v>20</v>
      </c>
      <c r="E3358">
        <v>1</v>
      </c>
      <c r="F3358">
        <v>2</v>
      </c>
      <c r="G3358" t="s">
        <v>264</v>
      </c>
      <c r="H3358" s="1">
        <v>6</v>
      </c>
      <c r="I3358" s="1">
        <v>68</v>
      </c>
      <c r="J3358" s="1">
        <v>72</v>
      </c>
      <c r="K3358" s="1">
        <f t="shared" si="176"/>
        <v>4</v>
      </c>
      <c r="L3358" s="1">
        <v>133</v>
      </c>
      <c r="M3358" s="1">
        <v>55</v>
      </c>
      <c r="N3358" s="1">
        <v>2</v>
      </c>
      <c r="O3358" s="1">
        <v>3.5</v>
      </c>
      <c r="P3358" s="1">
        <v>5</v>
      </c>
      <c r="Q3358" s="2">
        <v>0.32</v>
      </c>
      <c r="R3358" s="1">
        <v>4</v>
      </c>
      <c r="S3358" s="1">
        <f t="shared" si="177"/>
        <v>0.8</v>
      </c>
      <c r="T3358" s="1">
        <v>4</v>
      </c>
      <c r="U3358" s="1">
        <v>12.5</v>
      </c>
      <c r="V3358" s="1">
        <v>1171.2418300653596</v>
      </c>
      <c r="W3358" s="1">
        <v>5</v>
      </c>
    </row>
    <row r="3359" spans="1:23" x14ac:dyDescent="0.2">
      <c r="A3359">
        <v>2021</v>
      </c>
      <c r="B3359" t="s">
        <v>23</v>
      </c>
      <c r="C3359" t="s">
        <v>272</v>
      </c>
      <c r="D3359">
        <v>20</v>
      </c>
      <c r="E3359">
        <v>2</v>
      </c>
      <c r="F3359">
        <v>3</v>
      </c>
      <c r="G3359" t="s">
        <v>264</v>
      </c>
      <c r="H3359">
        <v>2</v>
      </c>
      <c r="I3359">
        <v>63</v>
      </c>
      <c r="J3359">
        <v>66</v>
      </c>
      <c r="K3359">
        <v>3</v>
      </c>
      <c r="L3359">
        <v>115</v>
      </c>
      <c r="M3359">
        <v>30</v>
      </c>
      <c r="N3359">
        <v>1.5</v>
      </c>
      <c r="O3359">
        <v>2</v>
      </c>
      <c r="P3359">
        <v>2</v>
      </c>
      <c r="Q3359">
        <v>0.6</v>
      </c>
      <c r="R3359">
        <v>3</v>
      </c>
      <c r="S3359">
        <v>1.5</v>
      </c>
      <c r="T3359">
        <v>2.5</v>
      </c>
      <c r="U3359">
        <v>12.5</v>
      </c>
      <c r="V3359">
        <v>2196.0784313725489</v>
      </c>
      <c r="W3359">
        <v>2</v>
      </c>
    </row>
    <row r="3360" spans="1:23" x14ac:dyDescent="0.2">
      <c r="A3360">
        <v>2021</v>
      </c>
      <c r="B3360" t="s">
        <v>23</v>
      </c>
      <c r="C3360" t="s">
        <v>272</v>
      </c>
      <c r="D3360">
        <v>21</v>
      </c>
      <c r="E3360">
        <v>1</v>
      </c>
      <c r="F3360">
        <v>14</v>
      </c>
      <c r="G3360" t="s">
        <v>265</v>
      </c>
      <c r="H3360">
        <v>14</v>
      </c>
      <c r="I3360">
        <v>52</v>
      </c>
      <c r="J3360">
        <v>55</v>
      </c>
      <c r="K3360">
        <v>3</v>
      </c>
      <c r="L3360">
        <v>158</v>
      </c>
      <c r="M3360">
        <v>62</v>
      </c>
      <c r="N3360">
        <v>2</v>
      </c>
      <c r="O3360">
        <v>2.5</v>
      </c>
      <c r="P3360">
        <v>12</v>
      </c>
      <c r="Q3360">
        <v>1.1000000000000001</v>
      </c>
      <c r="R3360">
        <v>10</v>
      </c>
      <c r="S3360">
        <v>0.83333333333333337</v>
      </c>
      <c r="T3360">
        <v>3</v>
      </c>
      <c r="U3360">
        <v>8.4</v>
      </c>
      <c r="V3360">
        <v>4214.7973856209155</v>
      </c>
      <c r="W3360">
        <v>2</v>
      </c>
    </row>
    <row r="3361" spans="1:23" x14ac:dyDescent="0.2">
      <c r="A3361">
        <v>2021</v>
      </c>
      <c r="B3361" t="s">
        <v>23</v>
      </c>
      <c r="C3361" t="s">
        <v>272</v>
      </c>
      <c r="D3361">
        <v>21</v>
      </c>
      <c r="E3361">
        <v>2</v>
      </c>
      <c r="F3361">
        <v>11</v>
      </c>
      <c r="G3361" t="s">
        <v>265</v>
      </c>
      <c r="H3361" s="1">
        <v>13</v>
      </c>
      <c r="I3361" s="1">
        <v>64</v>
      </c>
      <c r="J3361" s="1">
        <v>68</v>
      </c>
      <c r="K3361" s="1">
        <f>J3361-I3361</f>
        <v>4</v>
      </c>
      <c r="L3361" s="1">
        <v>165</v>
      </c>
      <c r="M3361" s="1">
        <v>92</v>
      </c>
      <c r="N3361" s="1">
        <v>2</v>
      </c>
      <c r="O3361" s="1">
        <v>2.5</v>
      </c>
      <c r="P3361" s="1">
        <v>13</v>
      </c>
      <c r="Q3361" s="2">
        <v>0.49199999999999999</v>
      </c>
      <c r="R3361" s="1">
        <v>11</v>
      </c>
      <c r="S3361" s="1">
        <f>R3361/P3361</f>
        <v>0.84615384615384615</v>
      </c>
      <c r="T3361" s="1">
        <v>5</v>
      </c>
      <c r="U3361" s="1">
        <v>10.3</v>
      </c>
      <c r="V3361" s="1">
        <v>1846.0611764705889</v>
      </c>
      <c r="W3361" s="1">
        <v>5</v>
      </c>
    </row>
    <row r="3362" spans="1:23" x14ac:dyDescent="0.2">
      <c r="A3362">
        <v>2021</v>
      </c>
      <c r="B3362" t="s">
        <v>23</v>
      </c>
      <c r="C3362" t="s">
        <v>272</v>
      </c>
      <c r="D3362">
        <v>22</v>
      </c>
      <c r="E3362">
        <v>1</v>
      </c>
      <c r="F3362">
        <v>7</v>
      </c>
      <c r="G3362" t="s">
        <v>46</v>
      </c>
      <c r="H3362" s="1">
        <v>1</v>
      </c>
      <c r="I3362" s="1">
        <v>65</v>
      </c>
      <c r="J3362" s="1">
        <v>70</v>
      </c>
      <c r="K3362" s="1">
        <f>J3362-I3362</f>
        <v>5</v>
      </c>
      <c r="L3362" s="1">
        <v>113</v>
      </c>
      <c r="M3362" s="1">
        <v>45</v>
      </c>
      <c r="N3362" s="1">
        <v>2</v>
      </c>
      <c r="O3362" s="1">
        <v>3.5</v>
      </c>
      <c r="P3362" s="1">
        <f>H3362</f>
        <v>1</v>
      </c>
      <c r="Q3362" s="2">
        <v>4.4999999999999998E-2</v>
      </c>
      <c r="R3362" s="1">
        <v>1</v>
      </c>
      <c r="S3362" s="1">
        <f>R3362/P3362</f>
        <v>1</v>
      </c>
      <c r="T3362" s="1">
        <v>5</v>
      </c>
      <c r="U3362" s="1">
        <v>12.5</v>
      </c>
      <c r="V3362" s="1">
        <v>164.70588235294116</v>
      </c>
      <c r="W3362" s="1">
        <v>6</v>
      </c>
    </row>
    <row r="3363" spans="1:23" x14ac:dyDescent="0.2">
      <c r="A3363">
        <v>2021</v>
      </c>
      <c r="B3363" t="s">
        <v>23</v>
      </c>
      <c r="C3363" t="s">
        <v>272</v>
      </c>
      <c r="D3363">
        <v>22</v>
      </c>
      <c r="E3363">
        <v>2</v>
      </c>
      <c r="F3363">
        <v>14</v>
      </c>
      <c r="G3363" t="s">
        <v>46</v>
      </c>
      <c r="H3363" s="1">
        <v>10</v>
      </c>
      <c r="I3363" s="1">
        <v>58</v>
      </c>
      <c r="J3363" s="1">
        <v>63</v>
      </c>
      <c r="K3363" s="1">
        <f>J3363-I3363</f>
        <v>5</v>
      </c>
      <c r="L3363" s="1">
        <v>155</v>
      </c>
      <c r="M3363" s="1">
        <v>95</v>
      </c>
      <c r="N3363" s="1">
        <v>2</v>
      </c>
      <c r="O3363" s="1">
        <v>2</v>
      </c>
      <c r="P3363" s="1">
        <v>9</v>
      </c>
      <c r="Q3363" s="2">
        <v>0.65</v>
      </c>
      <c r="R3363" s="1">
        <v>9</v>
      </c>
      <c r="S3363" s="1">
        <f>R3363/P3363</f>
        <v>1</v>
      </c>
      <c r="T3363" s="1">
        <v>3</v>
      </c>
      <c r="U3363" s="1">
        <v>7.8</v>
      </c>
      <c r="V3363" s="1">
        <v>2506.8758169934645</v>
      </c>
      <c r="W3363" s="1">
        <v>4</v>
      </c>
    </row>
    <row r="3364" spans="1:23" x14ac:dyDescent="0.2">
      <c r="A3364">
        <v>2021</v>
      </c>
      <c r="B3364" t="s">
        <v>23</v>
      </c>
      <c r="C3364" t="s">
        <v>272</v>
      </c>
      <c r="D3364">
        <v>23</v>
      </c>
      <c r="E3364">
        <v>1</v>
      </c>
      <c r="F3364">
        <v>4</v>
      </c>
      <c r="G3364" t="s">
        <v>47</v>
      </c>
      <c r="H3364" s="1">
        <v>13</v>
      </c>
      <c r="I3364" s="1">
        <v>64</v>
      </c>
      <c r="J3364" s="1">
        <v>67</v>
      </c>
      <c r="K3364" s="1">
        <f>J3364-I3364</f>
        <v>3</v>
      </c>
      <c r="L3364" s="1">
        <v>146</v>
      </c>
      <c r="M3364" s="1">
        <v>90</v>
      </c>
      <c r="N3364" s="1">
        <v>1</v>
      </c>
      <c r="O3364" s="1">
        <v>2</v>
      </c>
      <c r="P3364" s="1">
        <f>H3364</f>
        <v>13</v>
      </c>
      <c r="Q3364" s="2">
        <v>0.122625</v>
      </c>
      <c r="R3364" s="1">
        <v>10</v>
      </c>
      <c r="S3364" s="1">
        <f>R3364/P3364</f>
        <v>0.76923076923076927</v>
      </c>
      <c r="T3364" s="1">
        <v>4</v>
      </c>
      <c r="U3364" s="1">
        <v>12.5</v>
      </c>
      <c r="V3364" s="1">
        <v>448.8235294117647</v>
      </c>
      <c r="W3364" s="1">
        <v>5</v>
      </c>
    </row>
    <row r="3365" spans="1:23" x14ac:dyDescent="0.2">
      <c r="A3365">
        <v>2021</v>
      </c>
      <c r="B3365" t="s">
        <v>23</v>
      </c>
      <c r="C3365" t="s">
        <v>272</v>
      </c>
      <c r="D3365">
        <v>23</v>
      </c>
      <c r="E3365">
        <v>2</v>
      </c>
      <c r="F3365">
        <v>8</v>
      </c>
      <c r="G3365" t="s">
        <v>47</v>
      </c>
      <c r="H3365" s="1">
        <v>5</v>
      </c>
      <c r="I3365" s="1">
        <v>67</v>
      </c>
      <c r="J3365" s="1">
        <v>72</v>
      </c>
      <c r="K3365" s="1">
        <f>J3365-I3365</f>
        <v>5</v>
      </c>
      <c r="L3365" s="1">
        <v>160</v>
      </c>
      <c r="M3365" s="1">
        <v>73</v>
      </c>
      <c r="N3365" s="1">
        <v>1.5</v>
      </c>
      <c r="O3365" s="1">
        <v>4.5</v>
      </c>
      <c r="P3365" s="1">
        <v>4</v>
      </c>
      <c r="Q3365" s="2">
        <v>0.106</v>
      </c>
      <c r="R3365" s="1">
        <v>4</v>
      </c>
      <c r="S3365" s="1">
        <f>R3365/P3365</f>
        <v>1</v>
      </c>
      <c r="T3365" s="1">
        <v>5</v>
      </c>
      <c r="U3365" s="1">
        <v>12.5</v>
      </c>
      <c r="V3365" s="1">
        <v>387.97385620915037</v>
      </c>
      <c r="W3365" s="1">
        <v>6</v>
      </c>
    </row>
    <row r="3366" spans="1:23" x14ac:dyDescent="0.2">
      <c r="A3366">
        <v>2021</v>
      </c>
      <c r="B3366" t="s">
        <v>23</v>
      </c>
      <c r="C3366" t="s">
        <v>272</v>
      </c>
      <c r="D3366">
        <v>24</v>
      </c>
      <c r="E3366">
        <v>1</v>
      </c>
      <c r="F3366">
        <v>14</v>
      </c>
      <c r="G3366" t="s">
        <v>48</v>
      </c>
      <c r="H3366">
        <v>1</v>
      </c>
      <c r="I3366">
        <v>55</v>
      </c>
      <c r="J3366">
        <v>59</v>
      </c>
      <c r="K3366">
        <v>4</v>
      </c>
      <c r="L3366">
        <v>87</v>
      </c>
      <c r="M3366">
        <v>28</v>
      </c>
      <c r="N3366">
        <v>2</v>
      </c>
      <c r="O3366">
        <v>3</v>
      </c>
      <c r="P3366">
        <v>1</v>
      </c>
      <c r="Q3366">
        <v>0.1</v>
      </c>
      <c r="R3366">
        <v>1</v>
      </c>
      <c r="S3366">
        <v>1</v>
      </c>
      <c r="T3366">
        <v>2</v>
      </c>
      <c r="U3366">
        <v>12.5</v>
      </c>
      <c r="V3366">
        <v>366.01307189542484</v>
      </c>
      <c r="W3366">
        <v>1</v>
      </c>
    </row>
    <row r="3367" spans="1:23" x14ac:dyDescent="0.2">
      <c r="A3367">
        <v>2021</v>
      </c>
      <c r="B3367" t="s">
        <v>23</v>
      </c>
      <c r="C3367" t="s">
        <v>272</v>
      </c>
      <c r="D3367">
        <v>24</v>
      </c>
      <c r="E3367">
        <v>2</v>
      </c>
      <c r="F3367">
        <v>13</v>
      </c>
      <c r="G3367" t="s">
        <v>48</v>
      </c>
      <c r="H3367">
        <v>7</v>
      </c>
      <c r="I3367">
        <v>58</v>
      </c>
      <c r="J3367">
        <v>60</v>
      </c>
      <c r="K3367">
        <v>2</v>
      </c>
      <c r="L3367">
        <v>106</v>
      </c>
      <c r="M3367">
        <v>39</v>
      </c>
      <c r="N3367">
        <v>3</v>
      </c>
      <c r="O3367">
        <v>3</v>
      </c>
      <c r="P3367">
        <v>6</v>
      </c>
      <c r="Q3367">
        <v>0.252</v>
      </c>
      <c r="R3367">
        <v>3</v>
      </c>
      <c r="S3367">
        <v>0.5</v>
      </c>
      <c r="T3367">
        <v>4</v>
      </c>
      <c r="U3367">
        <v>12.5</v>
      </c>
      <c r="V3367">
        <v>922.35294117647072</v>
      </c>
      <c r="W3367">
        <v>1</v>
      </c>
    </row>
    <row r="3368" spans="1:23" x14ac:dyDescent="0.2">
      <c r="A3368">
        <v>2021</v>
      </c>
      <c r="B3368" t="s">
        <v>23</v>
      </c>
      <c r="C3368" t="s">
        <v>272</v>
      </c>
      <c r="D3368">
        <v>25</v>
      </c>
      <c r="E3368">
        <v>1</v>
      </c>
      <c r="F3368">
        <v>8</v>
      </c>
      <c r="G3368" t="s">
        <v>49</v>
      </c>
      <c r="H3368" s="1">
        <v>7</v>
      </c>
      <c r="I3368" s="1">
        <v>66</v>
      </c>
      <c r="J3368" s="1">
        <v>71</v>
      </c>
      <c r="K3368" s="1">
        <f>J3368-I3368</f>
        <v>5</v>
      </c>
      <c r="L3368" s="1">
        <v>127</v>
      </c>
      <c r="M3368" s="1">
        <v>78</v>
      </c>
      <c r="N3368" s="1">
        <v>2</v>
      </c>
      <c r="O3368" s="1">
        <v>3.5</v>
      </c>
      <c r="P3368" s="1">
        <v>7</v>
      </c>
      <c r="Q3368" s="2">
        <v>0.14407499999999998</v>
      </c>
      <c r="R3368" s="1">
        <v>5</v>
      </c>
      <c r="S3368" s="1">
        <f>R3368/P3368</f>
        <v>0.7142857142857143</v>
      </c>
      <c r="T3368" s="1">
        <v>5</v>
      </c>
      <c r="U3368" s="1">
        <v>12.5</v>
      </c>
      <c r="V3368" s="1">
        <v>527.33333333333337</v>
      </c>
      <c r="W3368" s="1">
        <v>6</v>
      </c>
    </row>
    <row r="3369" spans="1:23" x14ac:dyDescent="0.2">
      <c r="A3369">
        <v>2021</v>
      </c>
      <c r="B3369" t="s">
        <v>23</v>
      </c>
      <c r="C3369" t="s">
        <v>272</v>
      </c>
      <c r="D3369">
        <v>25</v>
      </c>
      <c r="E3369">
        <v>2</v>
      </c>
      <c r="F3369">
        <v>7</v>
      </c>
      <c r="G3369" t="s">
        <v>49</v>
      </c>
      <c r="H3369">
        <v>6</v>
      </c>
      <c r="I3369">
        <v>52</v>
      </c>
      <c r="J3369">
        <v>54</v>
      </c>
      <c r="K3369">
        <v>2</v>
      </c>
      <c r="L3369">
        <v>116</v>
      </c>
      <c r="M3369">
        <v>34</v>
      </c>
      <c r="N3369">
        <v>5</v>
      </c>
      <c r="O3369">
        <v>5</v>
      </c>
      <c r="P3369">
        <v>6</v>
      </c>
      <c r="Q3369">
        <v>0.57299999999999995</v>
      </c>
      <c r="R3369">
        <v>4</v>
      </c>
      <c r="S3369">
        <v>0.66666666666666663</v>
      </c>
      <c r="T3369">
        <v>5</v>
      </c>
      <c r="U3369">
        <v>12.5</v>
      </c>
      <c r="V3369">
        <v>2097.2549019607845</v>
      </c>
      <c r="W3369">
        <v>1</v>
      </c>
    </row>
    <row r="3370" spans="1:23" x14ac:dyDescent="0.2">
      <c r="A3370">
        <v>2021</v>
      </c>
      <c r="B3370" t="s">
        <v>23</v>
      </c>
      <c r="C3370" t="s">
        <v>272</v>
      </c>
      <c r="D3370">
        <v>26</v>
      </c>
      <c r="E3370">
        <v>1</v>
      </c>
      <c r="F3370">
        <v>1</v>
      </c>
      <c r="G3370" t="s">
        <v>50</v>
      </c>
      <c r="H3370" s="1">
        <v>2</v>
      </c>
      <c r="I3370" s="1">
        <v>68</v>
      </c>
      <c r="J3370" s="1">
        <v>72</v>
      </c>
      <c r="K3370" s="1">
        <f>J3370-I3370</f>
        <v>4</v>
      </c>
      <c r="L3370" s="1">
        <v>76</v>
      </c>
      <c r="M3370" s="1">
        <v>16</v>
      </c>
      <c r="N3370" s="1">
        <v>1.5</v>
      </c>
      <c r="O3370" s="1">
        <v>4.5</v>
      </c>
      <c r="P3370" s="1">
        <v>2</v>
      </c>
      <c r="Q3370" s="2">
        <v>0.06</v>
      </c>
      <c r="R3370" s="1">
        <v>3</v>
      </c>
      <c r="S3370" s="1">
        <f>R3370/P3370</f>
        <v>1.5</v>
      </c>
      <c r="T3370" s="1">
        <v>4.5</v>
      </c>
      <c r="U3370" s="1">
        <v>12.5</v>
      </c>
      <c r="V3370" s="1">
        <v>219.60784313725492</v>
      </c>
      <c r="W3370" s="1">
        <v>4</v>
      </c>
    </row>
    <row r="3371" spans="1:23" x14ac:dyDescent="0.2">
      <c r="A3371">
        <v>2021</v>
      </c>
      <c r="B3371" t="s">
        <v>23</v>
      </c>
      <c r="C3371" t="s">
        <v>272</v>
      </c>
      <c r="D3371">
        <v>26</v>
      </c>
      <c r="E3371">
        <v>2</v>
      </c>
      <c r="F3371">
        <v>1</v>
      </c>
      <c r="G3371" t="s">
        <v>50</v>
      </c>
      <c r="H3371" s="1">
        <v>12</v>
      </c>
      <c r="I3371" s="1">
        <v>67</v>
      </c>
      <c r="J3371" s="1">
        <v>69</v>
      </c>
      <c r="K3371" s="1">
        <f>J3371-I3371</f>
        <v>2</v>
      </c>
      <c r="L3371" s="1">
        <v>160</v>
      </c>
      <c r="M3371" s="1">
        <v>55</v>
      </c>
      <c r="N3371" s="1">
        <v>2.5</v>
      </c>
      <c r="O3371" s="1">
        <v>4</v>
      </c>
      <c r="P3371" s="1">
        <v>12</v>
      </c>
      <c r="Q3371" s="2">
        <v>1.1639999999999999</v>
      </c>
      <c r="R3371" s="1">
        <v>12</v>
      </c>
      <c r="S3371" s="1">
        <f>R3371/P3371</f>
        <v>1</v>
      </c>
      <c r="T3371" s="1">
        <v>2.5</v>
      </c>
      <c r="U3371" s="1">
        <v>12.5</v>
      </c>
      <c r="V3371" s="1">
        <v>4260.3921568627447</v>
      </c>
      <c r="W3371" s="1">
        <v>3</v>
      </c>
    </row>
    <row r="3372" spans="1:23" x14ac:dyDescent="0.2">
      <c r="A3372">
        <v>2021</v>
      </c>
      <c r="B3372" t="s">
        <v>23</v>
      </c>
      <c r="C3372" t="s">
        <v>272</v>
      </c>
      <c r="D3372">
        <v>27</v>
      </c>
      <c r="E3372">
        <v>1</v>
      </c>
      <c r="F3372">
        <v>12</v>
      </c>
      <c r="G3372" t="s">
        <v>51</v>
      </c>
      <c r="H3372">
        <v>9</v>
      </c>
      <c r="I3372">
        <v>64</v>
      </c>
      <c r="J3372">
        <v>67</v>
      </c>
      <c r="K3372">
        <v>3</v>
      </c>
      <c r="L3372">
        <v>122</v>
      </c>
      <c r="M3372">
        <v>62</v>
      </c>
      <c r="N3372">
        <v>1.5</v>
      </c>
      <c r="O3372">
        <v>3.5</v>
      </c>
      <c r="P3372">
        <v>9</v>
      </c>
      <c r="Q3372">
        <v>0.6</v>
      </c>
      <c r="R3372">
        <v>7</v>
      </c>
      <c r="S3372">
        <v>0.77777777777777779</v>
      </c>
      <c r="T3372">
        <v>2.5</v>
      </c>
      <c r="U3372">
        <v>12.5</v>
      </c>
      <c r="V3372">
        <v>2196.0784313725489</v>
      </c>
      <c r="W3372">
        <v>2</v>
      </c>
    </row>
    <row r="3373" spans="1:23" x14ac:dyDescent="0.2">
      <c r="A3373">
        <v>2021</v>
      </c>
      <c r="B3373" t="s">
        <v>23</v>
      </c>
      <c r="C3373" t="s">
        <v>272</v>
      </c>
      <c r="D3373">
        <v>27</v>
      </c>
      <c r="E3373">
        <v>2</v>
      </c>
      <c r="F3373">
        <v>11</v>
      </c>
      <c r="G3373" t="s">
        <v>51</v>
      </c>
      <c r="H3373">
        <v>14</v>
      </c>
      <c r="I3373">
        <v>54</v>
      </c>
      <c r="J3373">
        <v>56</v>
      </c>
      <c r="K3373">
        <v>2</v>
      </c>
      <c r="L3373">
        <v>185</v>
      </c>
      <c r="M3373">
        <v>27</v>
      </c>
      <c r="N3373">
        <v>2</v>
      </c>
      <c r="O3373">
        <v>2</v>
      </c>
      <c r="P3373">
        <v>16</v>
      </c>
      <c r="Q3373">
        <v>1</v>
      </c>
      <c r="R3373">
        <v>11</v>
      </c>
      <c r="S3373">
        <v>0.6875</v>
      </c>
      <c r="T3373">
        <v>2</v>
      </c>
      <c r="U3373">
        <v>8.9</v>
      </c>
      <c r="V3373">
        <v>3810.7189542483661</v>
      </c>
      <c r="W3373">
        <v>1</v>
      </c>
    </row>
    <row r="3374" spans="1:23" x14ac:dyDescent="0.2">
      <c r="A3374">
        <v>2021</v>
      </c>
      <c r="B3374" t="s">
        <v>23</v>
      </c>
      <c r="C3374" t="s">
        <v>272</v>
      </c>
      <c r="D3374">
        <v>28</v>
      </c>
      <c r="E3374">
        <v>1</v>
      </c>
      <c r="F3374">
        <v>8</v>
      </c>
      <c r="G3374" t="s">
        <v>52</v>
      </c>
      <c r="H3374" s="1">
        <v>7</v>
      </c>
      <c r="I3374" s="1">
        <v>66</v>
      </c>
      <c r="J3374" s="1">
        <v>71</v>
      </c>
      <c r="K3374" s="1">
        <f>J3374-I3374</f>
        <v>5</v>
      </c>
      <c r="L3374" s="1">
        <v>155</v>
      </c>
      <c r="M3374" s="1">
        <v>79</v>
      </c>
      <c r="N3374" s="1">
        <v>2</v>
      </c>
      <c r="O3374" s="1">
        <v>3.5</v>
      </c>
      <c r="P3374" s="1">
        <v>6</v>
      </c>
      <c r="Q3374" s="2">
        <v>8.2949999999999982E-2</v>
      </c>
      <c r="R3374" s="1">
        <v>4</v>
      </c>
      <c r="S3374" s="1">
        <f>R3374/P3374</f>
        <v>0.66666666666666663</v>
      </c>
      <c r="T3374" s="1">
        <v>5</v>
      </c>
      <c r="U3374" s="1">
        <v>12.5</v>
      </c>
      <c r="V3374" s="1">
        <v>303.60784313725486</v>
      </c>
      <c r="W3374" s="1">
        <v>5</v>
      </c>
    </row>
    <row r="3375" spans="1:23" x14ac:dyDescent="0.2">
      <c r="A3375">
        <v>2021</v>
      </c>
      <c r="B3375" t="s">
        <v>23</v>
      </c>
      <c r="C3375" t="s">
        <v>272</v>
      </c>
      <c r="D3375">
        <v>28</v>
      </c>
      <c r="E3375">
        <v>2</v>
      </c>
      <c r="F3375">
        <v>15</v>
      </c>
      <c r="G3375" t="s">
        <v>52</v>
      </c>
      <c r="H3375" s="1">
        <v>4</v>
      </c>
      <c r="I3375" s="1">
        <v>62</v>
      </c>
      <c r="J3375" s="1">
        <v>66</v>
      </c>
      <c r="K3375" s="1">
        <f>J3375-I3375</f>
        <v>4</v>
      </c>
      <c r="L3375" s="1">
        <v>141</v>
      </c>
      <c r="M3375" s="1">
        <v>56</v>
      </c>
      <c r="N3375" s="1">
        <v>2</v>
      </c>
      <c r="O3375" s="1">
        <v>4.5</v>
      </c>
      <c r="P3375" s="1">
        <v>4</v>
      </c>
      <c r="Q3375" s="2">
        <v>0.34799999999999998</v>
      </c>
      <c r="R3375" s="1">
        <v>5</v>
      </c>
      <c r="S3375" s="1">
        <f>R3375/P3375</f>
        <v>1.25</v>
      </c>
      <c r="T3375" s="1">
        <v>2</v>
      </c>
      <c r="U3375" s="1">
        <v>12.5</v>
      </c>
      <c r="V3375" s="1">
        <v>1273.7254901960785</v>
      </c>
      <c r="W3375" s="1">
        <v>4</v>
      </c>
    </row>
    <row r="3376" spans="1:23" x14ac:dyDescent="0.2">
      <c r="A3376">
        <v>2021</v>
      </c>
      <c r="B3376" t="s">
        <v>23</v>
      </c>
      <c r="C3376" t="s">
        <v>272</v>
      </c>
      <c r="D3376">
        <v>29</v>
      </c>
      <c r="E3376">
        <v>1</v>
      </c>
      <c r="F3376">
        <v>1</v>
      </c>
      <c r="G3376" t="s">
        <v>53</v>
      </c>
      <c r="H3376">
        <v>13</v>
      </c>
      <c r="I3376">
        <v>53</v>
      </c>
      <c r="J3376">
        <v>55</v>
      </c>
      <c r="K3376">
        <v>2</v>
      </c>
      <c r="L3376">
        <v>183</v>
      </c>
      <c r="M3376">
        <v>48</v>
      </c>
      <c r="N3376">
        <v>2</v>
      </c>
      <c r="O3376">
        <v>2.5</v>
      </c>
      <c r="P3376">
        <v>11</v>
      </c>
      <c r="Q3376">
        <v>1</v>
      </c>
      <c r="R3376">
        <v>11</v>
      </c>
      <c r="S3376">
        <v>1</v>
      </c>
      <c r="T3376">
        <v>2</v>
      </c>
      <c r="U3376">
        <v>8.1999999999999993</v>
      </c>
      <c r="V3376">
        <v>3840</v>
      </c>
      <c r="W3376">
        <v>1</v>
      </c>
    </row>
    <row r="3377" spans="1:23" x14ac:dyDescent="0.2">
      <c r="A3377">
        <v>2021</v>
      </c>
      <c r="B3377" t="s">
        <v>23</v>
      </c>
      <c r="C3377" t="s">
        <v>272</v>
      </c>
      <c r="D3377">
        <v>29</v>
      </c>
      <c r="E3377">
        <v>2</v>
      </c>
      <c r="F3377">
        <v>11</v>
      </c>
      <c r="G3377" t="s">
        <v>53</v>
      </c>
      <c r="H3377">
        <v>10</v>
      </c>
      <c r="I3377">
        <v>56</v>
      </c>
      <c r="J3377">
        <v>59</v>
      </c>
      <c r="K3377">
        <v>3</v>
      </c>
      <c r="L3377">
        <v>142</v>
      </c>
      <c r="M3377">
        <v>75</v>
      </c>
      <c r="N3377">
        <v>2</v>
      </c>
      <c r="O3377">
        <v>2</v>
      </c>
      <c r="P3377">
        <v>11</v>
      </c>
      <c r="Q3377">
        <v>0.4</v>
      </c>
      <c r="R3377">
        <v>16</v>
      </c>
      <c r="S3377">
        <v>1.4545454545454546</v>
      </c>
      <c r="T3377">
        <v>2</v>
      </c>
      <c r="U3377">
        <v>8.3000000000000007</v>
      </c>
      <c r="V3377">
        <v>1534.3267973856209</v>
      </c>
      <c r="W3377">
        <v>2</v>
      </c>
    </row>
    <row r="3378" spans="1:23" x14ac:dyDescent="0.2">
      <c r="A3378">
        <v>2021</v>
      </c>
      <c r="B3378" t="s">
        <v>23</v>
      </c>
      <c r="C3378" t="s">
        <v>272</v>
      </c>
      <c r="D3378">
        <v>30</v>
      </c>
      <c r="E3378">
        <v>1</v>
      </c>
      <c r="F3378">
        <v>10</v>
      </c>
      <c r="G3378" t="s">
        <v>54</v>
      </c>
      <c r="H3378">
        <v>9</v>
      </c>
      <c r="I3378">
        <v>58</v>
      </c>
      <c r="J3378">
        <v>64</v>
      </c>
      <c r="K3378">
        <v>6</v>
      </c>
      <c r="L3378">
        <v>124</v>
      </c>
      <c r="M3378">
        <v>45</v>
      </c>
      <c r="N3378">
        <v>2</v>
      </c>
      <c r="O3378">
        <v>4</v>
      </c>
      <c r="P3378">
        <v>9</v>
      </c>
      <c r="Q3378">
        <v>0.35</v>
      </c>
      <c r="R3378">
        <v>5</v>
      </c>
      <c r="S3378">
        <v>0.55555555555555558</v>
      </c>
      <c r="T3378">
        <v>2</v>
      </c>
      <c r="U3378">
        <v>12.5</v>
      </c>
      <c r="V3378">
        <v>1281.0457516339868</v>
      </c>
      <c r="W3378">
        <v>1</v>
      </c>
    </row>
    <row r="3379" spans="1:23" x14ac:dyDescent="0.2">
      <c r="A3379">
        <v>2021</v>
      </c>
      <c r="B3379" t="s">
        <v>23</v>
      </c>
      <c r="C3379" t="s">
        <v>272</v>
      </c>
      <c r="D3379">
        <v>30</v>
      </c>
      <c r="E3379">
        <v>2</v>
      </c>
      <c r="F3379">
        <v>9</v>
      </c>
      <c r="G3379" t="s">
        <v>54</v>
      </c>
      <c r="H3379" s="1">
        <v>6</v>
      </c>
      <c r="I3379" s="1">
        <v>62</v>
      </c>
      <c r="J3379" s="1">
        <v>66</v>
      </c>
      <c r="K3379" s="1">
        <f>J3379-I3379</f>
        <v>4</v>
      </c>
      <c r="L3379" s="1">
        <v>156</v>
      </c>
      <c r="M3379" s="1">
        <v>65</v>
      </c>
      <c r="N3379" s="1">
        <v>2</v>
      </c>
      <c r="O3379" s="1">
        <v>3.5</v>
      </c>
      <c r="P3379" s="1">
        <v>4</v>
      </c>
      <c r="Q3379" s="2">
        <v>4.6799999999999994E-2</v>
      </c>
      <c r="R3379" s="1">
        <v>2</v>
      </c>
      <c r="S3379" s="1">
        <f>R3379/P3379</f>
        <v>0.5</v>
      </c>
      <c r="T3379" s="1">
        <v>3.5</v>
      </c>
      <c r="U3379" s="1">
        <v>12.5</v>
      </c>
      <c r="V3379" s="1">
        <v>171.29411764705884</v>
      </c>
      <c r="W3379" s="1">
        <v>5</v>
      </c>
    </row>
    <row r="3380" spans="1:23" x14ac:dyDescent="0.2">
      <c r="A3380">
        <v>2021</v>
      </c>
      <c r="B3380" t="s">
        <v>23</v>
      </c>
      <c r="C3380" t="s">
        <v>272</v>
      </c>
      <c r="D3380">
        <v>31</v>
      </c>
      <c r="E3380">
        <v>1</v>
      </c>
      <c r="F3380">
        <v>5</v>
      </c>
      <c r="G3380" t="s">
        <v>55</v>
      </c>
      <c r="H3380">
        <v>15</v>
      </c>
      <c r="I3380">
        <v>55</v>
      </c>
      <c r="J3380">
        <v>57</v>
      </c>
      <c r="K3380">
        <v>2</v>
      </c>
      <c r="L3380">
        <v>123</v>
      </c>
      <c r="M3380">
        <v>64</v>
      </c>
      <c r="N3380">
        <v>1</v>
      </c>
      <c r="O3380">
        <v>2.5</v>
      </c>
      <c r="P3380">
        <v>7</v>
      </c>
      <c r="Q3380">
        <v>1</v>
      </c>
      <c r="R3380">
        <v>11</v>
      </c>
      <c r="S3380">
        <v>1.5714285714285714</v>
      </c>
      <c r="T3380">
        <v>2</v>
      </c>
      <c r="U3380">
        <v>8.1</v>
      </c>
      <c r="V3380">
        <v>3844.1830065359482</v>
      </c>
      <c r="W3380">
        <v>2</v>
      </c>
    </row>
    <row r="3381" spans="1:23" x14ac:dyDescent="0.2">
      <c r="A3381">
        <v>2021</v>
      </c>
      <c r="B3381" t="s">
        <v>23</v>
      </c>
      <c r="C3381" t="s">
        <v>272</v>
      </c>
      <c r="D3381">
        <v>31</v>
      </c>
      <c r="E3381">
        <v>2</v>
      </c>
      <c r="F3381">
        <v>3</v>
      </c>
      <c r="G3381" t="s">
        <v>55</v>
      </c>
      <c r="H3381" s="1">
        <v>7</v>
      </c>
      <c r="I3381" s="1">
        <v>69</v>
      </c>
      <c r="J3381" s="1">
        <v>74</v>
      </c>
      <c r="K3381" s="1">
        <f>J3381-I3381</f>
        <v>5</v>
      </c>
      <c r="L3381" s="1">
        <v>124</v>
      </c>
      <c r="M3381" s="1">
        <v>34</v>
      </c>
      <c r="N3381" s="1">
        <v>3</v>
      </c>
      <c r="O3381" s="1">
        <v>4.5</v>
      </c>
      <c r="P3381" s="1">
        <v>5</v>
      </c>
      <c r="Q3381" s="2">
        <v>0.21440000000000001</v>
      </c>
      <c r="R3381" s="1">
        <v>4</v>
      </c>
      <c r="S3381" s="1">
        <f>R3381/P3381</f>
        <v>0.8</v>
      </c>
      <c r="T3381" s="1">
        <v>3</v>
      </c>
      <c r="U3381" s="1">
        <v>12.5</v>
      </c>
      <c r="V3381" s="1">
        <v>784.73202614379102</v>
      </c>
      <c r="W3381" s="1">
        <v>4</v>
      </c>
    </row>
    <row r="3382" spans="1:23" x14ac:dyDescent="0.2">
      <c r="A3382">
        <v>2021</v>
      </c>
      <c r="B3382" t="s">
        <v>23</v>
      </c>
      <c r="C3382" t="s">
        <v>272</v>
      </c>
      <c r="D3382">
        <v>32</v>
      </c>
      <c r="E3382">
        <v>1</v>
      </c>
      <c r="F3382">
        <v>8</v>
      </c>
      <c r="G3382" t="s">
        <v>56</v>
      </c>
      <c r="H3382" s="1">
        <v>8</v>
      </c>
      <c r="I3382" s="1">
        <v>67</v>
      </c>
      <c r="J3382" s="1">
        <v>72</v>
      </c>
      <c r="K3382" s="1">
        <f>J3382-I3382</f>
        <v>5</v>
      </c>
      <c r="L3382" s="1">
        <v>168</v>
      </c>
      <c r="M3382" s="1">
        <v>98</v>
      </c>
      <c r="N3382" s="1">
        <v>2</v>
      </c>
      <c r="O3382" s="1">
        <v>2.5</v>
      </c>
      <c r="P3382" s="1">
        <v>8</v>
      </c>
      <c r="Q3382" s="2">
        <v>0.86879999999999991</v>
      </c>
      <c r="R3382" s="1">
        <v>5</v>
      </c>
      <c r="S3382" s="1">
        <f>R3382/P3382</f>
        <v>0.625</v>
      </c>
      <c r="T3382" s="1">
        <v>3</v>
      </c>
      <c r="U3382" s="1">
        <v>12.5</v>
      </c>
      <c r="V3382" s="1">
        <v>3179.9215686274511</v>
      </c>
      <c r="W3382" s="1">
        <v>4</v>
      </c>
    </row>
    <row r="3383" spans="1:23" x14ac:dyDescent="0.2">
      <c r="A3383">
        <v>2021</v>
      </c>
      <c r="B3383" t="s">
        <v>23</v>
      </c>
      <c r="C3383" t="s">
        <v>272</v>
      </c>
      <c r="D3383">
        <v>32</v>
      </c>
      <c r="E3383">
        <v>2</v>
      </c>
      <c r="F3383">
        <v>9</v>
      </c>
      <c r="G3383" t="s">
        <v>56</v>
      </c>
      <c r="H3383">
        <v>5</v>
      </c>
      <c r="I3383">
        <v>55</v>
      </c>
      <c r="J3383">
        <v>57</v>
      </c>
      <c r="K3383">
        <v>2</v>
      </c>
      <c r="L3383">
        <v>150</v>
      </c>
      <c r="M3383">
        <v>36</v>
      </c>
      <c r="N3383">
        <v>4</v>
      </c>
      <c r="O3383">
        <v>3</v>
      </c>
      <c r="P3383">
        <v>4</v>
      </c>
      <c r="Q3383">
        <v>0.14899999999999999</v>
      </c>
      <c r="R3383">
        <v>3</v>
      </c>
      <c r="S3383">
        <v>0.75</v>
      </c>
      <c r="T3383">
        <v>4</v>
      </c>
      <c r="U3383">
        <v>12.5</v>
      </c>
      <c r="V3383">
        <v>545.35947712418294</v>
      </c>
      <c r="W3383">
        <v>1</v>
      </c>
    </row>
    <row r="3384" spans="1:23" x14ac:dyDescent="0.2">
      <c r="A3384">
        <v>2021</v>
      </c>
      <c r="B3384" t="s">
        <v>23</v>
      </c>
      <c r="C3384" t="s">
        <v>272</v>
      </c>
      <c r="D3384">
        <v>33</v>
      </c>
      <c r="E3384">
        <v>1</v>
      </c>
      <c r="F3384">
        <v>14</v>
      </c>
      <c r="G3384" t="s">
        <v>57</v>
      </c>
      <c r="H3384">
        <v>6</v>
      </c>
      <c r="I3384">
        <v>57</v>
      </c>
      <c r="J3384">
        <v>60</v>
      </c>
      <c r="K3384">
        <v>3</v>
      </c>
      <c r="L3384">
        <v>42</v>
      </c>
      <c r="M3384">
        <v>19</v>
      </c>
      <c r="N3384">
        <v>1</v>
      </c>
      <c r="O3384">
        <v>1</v>
      </c>
      <c r="P3384">
        <v>1</v>
      </c>
      <c r="Q3384">
        <v>0.13</v>
      </c>
      <c r="R3384">
        <v>1</v>
      </c>
      <c r="S3384">
        <v>1</v>
      </c>
      <c r="T3384">
        <v>1</v>
      </c>
      <c r="U3384">
        <v>12.5</v>
      </c>
      <c r="V3384">
        <v>475.81699346405225</v>
      </c>
      <c r="W3384">
        <v>1</v>
      </c>
    </row>
    <row r="3385" spans="1:23" x14ac:dyDescent="0.2">
      <c r="A3385">
        <v>2021</v>
      </c>
      <c r="B3385" t="s">
        <v>23</v>
      </c>
      <c r="C3385" t="s">
        <v>272</v>
      </c>
      <c r="D3385">
        <v>33</v>
      </c>
      <c r="E3385">
        <v>2</v>
      </c>
      <c r="F3385">
        <v>8</v>
      </c>
      <c r="G3385" t="s">
        <v>57</v>
      </c>
      <c r="H3385" s="1">
        <v>2</v>
      </c>
      <c r="I3385" s="1">
        <v>67</v>
      </c>
      <c r="J3385" s="1">
        <v>72</v>
      </c>
      <c r="K3385" s="1">
        <f>J3385-I3385</f>
        <v>5</v>
      </c>
      <c r="L3385" s="1">
        <v>86</v>
      </c>
      <c r="M3385" s="1">
        <v>35</v>
      </c>
      <c r="N3385" s="1">
        <v>3</v>
      </c>
      <c r="O3385" s="1">
        <v>4.5</v>
      </c>
      <c r="P3385" s="1">
        <v>2</v>
      </c>
      <c r="Q3385" s="2">
        <v>0.111</v>
      </c>
      <c r="R3385" s="1">
        <v>2</v>
      </c>
      <c r="S3385" s="1">
        <f>R3385/P3385</f>
        <v>1</v>
      </c>
      <c r="T3385" s="1">
        <v>5</v>
      </c>
      <c r="U3385" s="1">
        <v>12.5</v>
      </c>
      <c r="V3385" s="1">
        <v>406.27450980392155</v>
      </c>
      <c r="W3385" s="1">
        <v>6</v>
      </c>
    </row>
    <row r="3386" spans="1:23" x14ac:dyDescent="0.2">
      <c r="A3386">
        <v>2021</v>
      </c>
      <c r="B3386" t="s">
        <v>23</v>
      </c>
      <c r="C3386" t="s">
        <v>272</v>
      </c>
      <c r="D3386">
        <v>34</v>
      </c>
      <c r="E3386">
        <v>1</v>
      </c>
      <c r="F3386">
        <v>6</v>
      </c>
      <c r="G3386" t="s">
        <v>58</v>
      </c>
      <c r="H3386" s="1">
        <v>13</v>
      </c>
      <c r="I3386" s="1">
        <v>66</v>
      </c>
      <c r="J3386" s="1">
        <v>70</v>
      </c>
      <c r="K3386" s="1">
        <f>J3386-I3386</f>
        <v>4</v>
      </c>
      <c r="L3386" s="1">
        <v>129</v>
      </c>
      <c r="M3386" s="1">
        <v>55</v>
      </c>
      <c r="N3386" s="1">
        <v>2</v>
      </c>
      <c r="O3386" s="1">
        <v>3</v>
      </c>
      <c r="P3386" s="1">
        <f>H3386</f>
        <v>13</v>
      </c>
      <c r="Q3386" s="2">
        <v>0.26043749999999999</v>
      </c>
      <c r="R3386" s="1">
        <v>10</v>
      </c>
      <c r="S3386" s="1">
        <f>R3386/P3386</f>
        <v>0.76923076923076927</v>
      </c>
      <c r="T3386" s="1">
        <v>5</v>
      </c>
      <c r="U3386" s="1">
        <v>12.5</v>
      </c>
      <c r="V3386" s="1">
        <v>953.23529411764707</v>
      </c>
      <c r="W3386" s="1">
        <v>5</v>
      </c>
    </row>
    <row r="3387" spans="1:23" x14ac:dyDescent="0.2">
      <c r="A3387">
        <v>2021</v>
      </c>
      <c r="B3387" t="s">
        <v>23</v>
      </c>
      <c r="C3387" t="s">
        <v>272</v>
      </c>
      <c r="D3387">
        <v>34</v>
      </c>
      <c r="E3387">
        <v>2</v>
      </c>
      <c r="F3387">
        <v>3</v>
      </c>
      <c r="G3387" t="s">
        <v>58</v>
      </c>
      <c r="H3387" s="1">
        <v>7</v>
      </c>
      <c r="I3387" s="1">
        <v>66</v>
      </c>
      <c r="J3387" s="1">
        <v>70</v>
      </c>
      <c r="K3387" s="1">
        <f>J3387-I3387</f>
        <v>4</v>
      </c>
      <c r="L3387" s="1">
        <v>58</v>
      </c>
      <c r="M3387" s="1">
        <v>25</v>
      </c>
      <c r="N3387" s="1">
        <v>2</v>
      </c>
      <c r="O3387" s="1">
        <v>5</v>
      </c>
      <c r="P3387" s="1">
        <v>1</v>
      </c>
      <c r="Q3387" s="2">
        <v>8.2500000000000004E-2</v>
      </c>
      <c r="R3387" s="1">
        <v>1</v>
      </c>
      <c r="S3387" s="1">
        <f>R3387/P3387</f>
        <v>1</v>
      </c>
      <c r="T3387" s="1">
        <v>5</v>
      </c>
      <c r="U3387" s="1">
        <v>12.5</v>
      </c>
      <c r="V3387" s="1">
        <v>301.96078431372547</v>
      </c>
      <c r="W3387" s="1">
        <v>6</v>
      </c>
    </row>
    <row r="3388" spans="1:23" x14ac:dyDescent="0.2">
      <c r="A3388">
        <v>2021</v>
      </c>
      <c r="B3388" t="s">
        <v>23</v>
      </c>
      <c r="C3388" t="s">
        <v>272</v>
      </c>
      <c r="D3388">
        <v>35</v>
      </c>
      <c r="E3388">
        <v>1</v>
      </c>
      <c r="F3388">
        <v>9</v>
      </c>
      <c r="G3388" t="s">
        <v>59</v>
      </c>
      <c r="H3388">
        <v>16</v>
      </c>
      <c r="I3388">
        <v>52</v>
      </c>
      <c r="J3388">
        <v>53</v>
      </c>
      <c r="K3388">
        <v>1</v>
      </c>
      <c r="L3388">
        <v>153</v>
      </c>
      <c r="M3388">
        <v>63</v>
      </c>
      <c r="N3388">
        <v>1</v>
      </c>
      <c r="O3388">
        <v>1.5</v>
      </c>
      <c r="P3388">
        <v>14</v>
      </c>
      <c r="Q3388">
        <v>1</v>
      </c>
      <c r="R3388">
        <v>12</v>
      </c>
      <c r="S3388">
        <v>0.8571428571428571</v>
      </c>
      <c r="T3388">
        <v>3</v>
      </c>
      <c r="U3388">
        <v>12</v>
      </c>
      <c r="V3388">
        <v>3681.0457516339866</v>
      </c>
      <c r="W3388">
        <v>1</v>
      </c>
    </row>
    <row r="3389" spans="1:23" x14ac:dyDescent="0.2">
      <c r="A3389">
        <v>2021</v>
      </c>
      <c r="B3389" t="s">
        <v>23</v>
      </c>
      <c r="C3389" t="s">
        <v>272</v>
      </c>
      <c r="D3389">
        <v>35</v>
      </c>
      <c r="E3389">
        <v>2</v>
      </c>
      <c r="F3389">
        <v>9</v>
      </c>
      <c r="G3389" t="s">
        <v>59</v>
      </c>
      <c r="H3389" s="1">
        <v>10</v>
      </c>
      <c r="I3389" s="1">
        <v>60</v>
      </c>
      <c r="J3389" s="1">
        <v>63</v>
      </c>
      <c r="K3389" s="1">
        <f>J3389-I3389</f>
        <v>3</v>
      </c>
      <c r="L3389" s="1">
        <v>187</v>
      </c>
      <c r="M3389" s="1">
        <v>93</v>
      </c>
      <c r="N3389" s="1">
        <v>2</v>
      </c>
      <c r="O3389" s="1">
        <v>2.5</v>
      </c>
      <c r="P3389" s="1">
        <v>8</v>
      </c>
      <c r="Q3389" s="2">
        <v>0.47399999999999998</v>
      </c>
      <c r="R3389" s="1">
        <v>6</v>
      </c>
      <c r="S3389" s="1">
        <f>R3389/P3389</f>
        <v>0.75</v>
      </c>
      <c r="T3389" s="1">
        <v>5</v>
      </c>
      <c r="U3389" s="1">
        <v>11.1</v>
      </c>
      <c r="V3389" s="1">
        <v>1762.6603921568631</v>
      </c>
      <c r="W3389" s="1">
        <v>5</v>
      </c>
    </row>
    <row r="3390" spans="1:23" x14ac:dyDescent="0.2">
      <c r="A3390">
        <v>2021</v>
      </c>
      <c r="B3390" t="s">
        <v>23</v>
      </c>
      <c r="C3390" t="s">
        <v>272</v>
      </c>
      <c r="D3390">
        <v>36</v>
      </c>
      <c r="E3390">
        <v>1</v>
      </c>
      <c r="F3390">
        <v>2</v>
      </c>
      <c r="G3390" t="s">
        <v>60</v>
      </c>
      <c r="H3390" s="1">
        <v>12</v>
      </c>
      <c r="I3390" s="1">
        <v>57</v>
      </c>
      <c r="J3390" s="1">
        <v>62</v>
      </c>
      <c r="K3390" s="1">
        <f>J3390-I3390</f>
        <v>5</v>
      </c>
      <c r="L3390" s="1">
        <v>128</v>
      </c>
      <c r="M3390" s="1">
        <v>78</v>
      </c>
      <c r="N3390" s="1">
        <v>2</v>
      </c>
      <c r="O3390" s="1">
        <v>3.5</v>
      </c>
      <c r="P3390" s="1">
        <f>H3390</f>
        <v>12</v>
      </c>
      <c r="Q3390" s="2">
        <v>0.17399999999999999</v>
      </c>
      <c r="R3390" s="1">
        <v>9</v>
      </c>
      <c r="S3390" s="1">
        <f>R3390/P3390</f>
        <v>0.75</v>
      </c>
      <c r="T3390" s="1">
        <v>5</v>
      </c>
      <c r="U3390" s="1">
        <v>12.5</v>
      </c>
      <c r="V3390" s="1">
        <v>636.86274509803923</v>
      </c>
      <c r="W3390" s="1">
        <v>2</v>
      </c>
    </row>
    <row r="3391" spans="1:23" x14ac:dyDescent="0.2">
      <c r="A3391">
        <v>2021</v>
      </c>
      <c r="B3391" t="s">
        <v>23</v>
      </c>
      <c r="C3391" t="s">
        <v>272</v>
      </c>
      <c r="D3391">
        <v>36</v>
      </c>
      <c r="E3391">
        <v>2</v>
      </c>
      <c r="F3391">
        <v>13</v>
      </c>
      <c r="G3391" t="s">
        <v>60</v>
      </c>
      <c r="H3391" s="1">
        <v>7</v>
      </c>
      <c r="I3391" s="1">
        <v>64</v>
      </c>
      <c r="J3391" s="1">
        <v>69</v>
      </c>
      <c r="K3391" s="1">
        <f>J3391-I3391</f>
        <v>5</v>
      </c>
      <c r="L3391" s="1">
        <v>131</v>
      </c>
      <c r="M3391" s="1">
        <v>51</v>
      </c>
      <c r="N3391" s="1">
        <v>2</v>
      </c>
      <c r="O3391" s="1">
        <v>4</v>
      </c>
      <c r="P3391" s="1">
        <v>6</v>
      </c>
      <c r="Q3391" s="2">
        <v>0.21</v>
      </c>
      <c r="R3391" s="1">
        <v>8</v>
      </c>
      <c r="S3391" s="1">
        <f>R3391/P3391</f>
        <v>1.3333333333333333</v>
      </c>
      <c r="T3391" s="1">
        <v>3.5</v>
      </c>
      <c r="U3391" s="1">
        <v>12.5</v>
      </c>
      <c r="V3391" s="1">
        <v>768.62745098039215</v>
      </c>
      <c r="W3391" s="1">
        <v>4</v>
      </c>
    </row>
    <row r="3392" spans="1:23" x14ac:dyDescent="0.2">
      <c r="A3392">
        <v>2021</v>
      </c>
      <c r="B3392" t="s">
        <v>23</v>
      </c>
      <c r="C3392" t="s">
        <v>272</v>
      </c>
      <c r="D3392">
        <v>37</v>
      </c>
      <c r="E3392">
        <v>1</v>
      </c>
      <c r="F3392">
        <v>14</v>
      </c>
      <c r="G3392" t="s">
        <v>61</v>
      </c>
      <c r="H3392" s="1">
        <v>8</v>
      </c>
      <c r="I3392" s="1">
        <v>66</v>
      </c>
      <c r="J3392" s="1">
        <v>69</v>
      </c>
      <c r="K3392" s="1">
        <f>J3392-I3392</f>
        <v>3</v>
      </c>
      <c r="L3392" s="1">
        <v>146</v>
      </c>
      <c r="M3392" s="1">
        <v>46</v>
      </c>
      <c r="N3392" s="1">
        <v>2</v>
      </c>
      <c r="O3392" s="1">
        <v>4.5</v>
      </c>
      <c r="P3392" s="1">
        <v>6</v>
      </c>
      <c r="Q3392" s="2">
        <v>0.17249999999999999</v>
      </c>
      <c r="R3392" s="1">
        <v>5</v>
      </c>
      <c r="S3392" s="1">
        <f>R3392/P3392</f>
        <v>0.83333333333333337</v>
      </c>
      <c r="T3392" s="1">
        <v>3</v>
      </c>
      <c r="U3392" s="1">
        <v>12.5</v>
      </c>
      <c r="V3392" s="1">
        <v>631.37254901960785</v>
      </c>
      <c r="W3392" s="1">
        <v>5</v>
      </c>
    </row>
    <row r="3393" spans="1:23" x14ac:dyDescent="0.2">
      <c r="A3393">
        <v>2021</v>
      </c>
      <c r="B3393" t="s">
        <v>23</v>
      </c>
      <c r="C3393" t="s">
        <v>272</v>
      </c>
      <c r="D3393">
        <v>37</v>
      </c>
      <c r="E3393">
        <v>2</v>
      </c>
      <c r="F3393">
        <v>15</v>
      </c>
      <c r="G3393" t="s">
        <v>61</v>
      </c>
      <c r="H3393">
        <v>3</v>
      </c>
      <c r="I3393">
        <v>55</v>
      </c>
      <c r="J3393">
        <v>57</v>
      </c>
      <c r="K3393">
        <v>2</v>
      </c>
      <c r="L3393">
        <v>88</v>
      </c>
      <c r="M3393">
        <v>26</v>
      </c>
      <c r="N3393">
        <v>3</v>
      </c>
      <c r="O3393">
        <v>2</v>
      </c>
      <c r="P3393">
        <v>3</v>
      </c>
      <c r="Q3393">
        <v>0.54900000000000004</v>
      </c>
      <c r="R3393">
        <v>4</v>
      </c>
      <c r="S3393">
        <v>1.3333333333333333</v>
      </c>
      <c r="T3393">
        <v>2</v>
      </c>
      <c r="U3393">
        <v>12.5</v>
      </c>
      <c r="V3393">
        <v>2009.4117647058822</v>
      </c>
      <c r="W3393">
        <v>2</v>
      </c>
    </row>
    <row r="3394" spans="1:23" x14ac:dyDescent="0.2">
      <c r="A3394">
        <v>2021</v>
      </c>
      <c r="B3394" t="s">
        <v>23</v>
      </c>
      <c r="C3394" t="s">
        <v>272</v>
      </c>
      <c r="D3394">
        <v>38</v>
      </c>
      <c r="E3394">
        <v>1</v>
      </c>
      <c r="F3394">
        <v>5</v>
      </c>
      <c r="G3394" t="s">
        <v>62</v>
      </c>
      <c r="H3394">
        <v>15</v>
      </c>
      <c r="I3394">
        <v>51</v>
      </c>
      <c r="J3394">
        <v>52</v>
      </c>
      <c r="K3394">
        <v>1</v>
      </c>
      <c r="L3394">
        <v>160</v>
      </c>
      <c r="M3394">
        <v>70</v>
      </c>
      <c r="N3394">
        <v>2</v>
      </c>
      <c r="O3394">
        <v>2.5</v>
      </c>
      <c r="P3394">
        <v>8</v>
      </c>
      <c r="Q3394">
        <v>0.1</v>
      </c>
      <c r="R3394">
        <v>8</v>
      </c>
      <c r="S3394">
        <v>1</v>
      </c>
      <c r="T3394">
        <v>5</v>
      </c>
      <c r="U3394">
        <v>10.5</v>
      </c>
      <c r="V3394">
        <v>374.3790849673203</v>
      </c>
      <c r="W3394">
        <v>1</v>
      </c>
    </row>
    <row r="3395" spans="1:23" x14ac:dyDescent="0.2">
      <c r="A3395">
        <v>2021</v>
      </c>
      <c r="B3395" t="s">
        <v>23</v>
      </c>
      <c r="C3395" t="s">
        <v>272</v>
      </c>
      <c r="D3395">
        <v>38</v>
      </c>
      <c r="E3395">
        <v>2</v>
      </c>
      <c r="F3395">
        <v>3</v>
      </c>
      <c r="G3395" t="s">
        <v>62</v>
      </c>
      <c r="H3395">
        <v>8</v>
      </c>
      <c r="I3395">
        <v>59</v>
      </c>
      <c r="J3395">
        <v>62</v>
      </c>
      <c r="K3395">
        <v>3</v>
      </c>
      <c r="L3395">
        <v>145</v>
      </c>
      <c r="M3395">
        <v>55</v>
      </c>
      <c r="N3395">
        <v>1.5</v>
      </c>
      <c r="O3395">
        <v>3.5</v>
      </c>
      <c r="P3395">
        <v>8</v>
      </c>
      <c r="Q3395">
        <v>0.9</v>
      </c>
      <c r="R3395">
        <v>7</v>
      </c>
      <c r="S3395">
        <v>0.875</v>
      </c>
      <c r="T3395">
        <v>2.5</v>
      </c>
      <c r="U3395">
        <v>12.5</v>
      </c>
      <c r="V3395">
        <v>3294.1176470588234</v>
      </c>
      <c r="W3395">
        <v>1</v>
      </c>
    </row>
    <row r="3396" spans="1:23" x14ac:dyDescent="0.2">
      <c r="A3396">
        <v>2021</v>
      </c>
      <c r="B3396" t="s">
        <v>23</v>
      </c>
      <c r="C3396" t="s">
        <v>272</v>
      </c>
      <c r="D3396">
        <v>39</v>
      </c>
      <c r="E3396">
        <v>1</v>
      </c>
      <c r="F3396">
        <v>15</v>
      </c>
      <c r="G3396" t="s">
        <v>63</v>
      </c>
      <c r="H3396" s="1">
        <v>16</v>
      </c>
      <c r="I3396" s="1">
        <v>66</v>
      </c>
      <c r="J3396" s="1">
        <v>70</v>
      </c>
      <c r="K3396" s="1">
        <f>J3396-I3396</f>
        <v>4</v>
      </c>
      <c r="L3396" s="1">
        <v>118</v>
      </c>
      <c r="M3396" s="1">
        <v>45</v>
      </c>
      <c r="N3396" s="1">
        <v>2</v>
      </c>
      <c r="O3396" s="1">
        <v>3.5</v>
      </c>
      <c r="P3396" s="1">
        <f>H3396</f>
        <v>16</v>
      </c>
      <c r="Q3396" s="2">
        <v>0.69750000000000001</v>
      </c>
      <c r="R3396" s="1">
        <v>10</v>
      </c>
      <c r="S3396" s="1">
        <f>R3396/P3396</f>
        <v>0.625</v>
      </c>
      <c r="T3396" s="1">
        <v>5</v>
      </c>
      <c r="U3396" s="1">
        <v>12.5</v>
      </c>
      <c r="V3396" s="1">
        <v>2552.9411764705883</v>
      </c>
      <c r="W3396" s="1">
        <v>4</v>
      </c>
    </row>
    <row r="3397" spans="1:23" x14ac:dyDescent="0.2">
      <c r="A3397">
        <v>2021</v>
      </c>
      <c r="B3397" t="s">
        <v>23</v>
      </c>
      <c r="C3397" t="s">
        <v>272</v>
      </c>
      <c r="D3397">
        <v>39</v>
      </c>
      <c r="E3397">
        <v>2</v>
      </c>
      <c r="F3397">
        <v>4</v>
      </c>
      <c r="G3397" t="s">
        <v>63</v>
      </c>
      <c r="H3397" s="1">
        <v>12</v>
      </c>
      <c r="I3397" s="1">
        <v>70</v>
      </c>
      <c r="J3397" s="1">
        <v>71</v>
      </c>
      <c r="K3397" s="1">
        <f>J3397-I3397</f>
        <v>1</v>
      </c>
      <c r="L3397" s="1">
        <v>162</v>
      </c>
      <c r="M3397" s="1">
        <v>70</v>
      </c>
      <c r="N3397" s="1">
        <v>1.5</v>
      </c>
      <c r="O3397" s="1">
        <v>4</v>
      </c>
      <c r="P3397" s="1">
        <v>10</v>
      </c>
      <c r="Q3397" s="2">
        <v>0.59239999999999993</v>
      </c>
      <c r="R3397" s="1">
        <v>8</v>
      </c>
      <c r="S3397" s="1">
        <f>R3397/P3397</f>
        <v>0.8</v>
      </c>
      <c r="T3397" s="1">
        <v>3.5</v>
      </c>
      <c r="U3397" s="1">
        <v>12.5</v>
      </c>
      <c r="V3397" s="1">
        <v>2168.2614379084971</v>
      </c>
      <c r="W3397" s="1">
        <v>2</v>
      </c>
    </row>
    <row r="3398" spans="1:23" x14ac:dyDescent="0.2">
      <c r="A3398">
        <v>2021</v>
      </c>
      <c r="B3398" t="s">
        <v>23</v>
      </c>
      <c r="C3398" t="s">
        <v>272</v>
      </c>
      <c r="D3398">
        <v>40</v>
      </c>
      <c r="E3398">
        <v>1</v>
      </c>
      <c r="F3398">
        <v>12</v>
      </c>
      <c r="G3398" t="s">
        <v>64</v>
      </c>
      <c r="H3398">
        <v>10</v>
      </c>
      <c r="I3398">
        <v>56</v>
      </c>
      <c r="J3398">
        <v>60</v>
      </c>
      <c r="K3398">
        <v>4</v>
      </c>
      <c r="L3398">
        <v>74</v>
      </c>
      <c r="M3398">
        <v>33</v>
      </c>
      <c r="N3398">
        <v>3</v>
      </c>
      <c r="O3398">
        <v>3</v>
      </c>
      <c r="P3398">
        <v>8</v>
      </c>
      <c r="Q3398">
        <v>1.492</v>
      </c>
      <c r="R3398">
        <v>8</v>
      </c>
      <c r="S3398">
        <v>1</v>
      </c>
      <c r="T3398">
        <v>2</v>
      </c>
      <c r="U3398">
        <v>12.5</v>
      </c>
      <c r="V3398">
        <v>5460.9150326797389</v>
      </c>
      <c r="W3398">
        <v>2</v>
      </c>
    </row>
    <row r="3399" spans="1:23" x14ac:dyDescent="0.2">
      <c r="A3399">
        <v>2021</v>
      </c>
      <c r="B3399" t="s">
        <v>23</v>
      </c>
      <c r="C3399" t="s">
        <v>272</v>
      </c>
      <c r="D3399">
        <v>40</v>
      </c>
      <c r="E3399">
        <v>2</v>
      </c>
      <c r="F3399">
        <v>14</v>
      </c>
      <c r="G3399" t="s">
        <v>64</v>
      </c>
      <c r="H3399" s="1">
        <v>1</v>
      </c>
      <c r="I3399" s="1">
        <v>62</v>
      </c>
      <c r="J3399" s="1">
        <v>65</v>
      </c>
      <c r="K3399" s="1">
        <f>J3399-I3399</f>
        <v>3</v>
      </c>
      <c r="L3399" s="1">
        <v>150</v>
      </c>
      <c r="M3399" s="1">
        <v>78</v>
      </c>
      <c r="N3399" s="1">
        <v>2</v>
      </c>
      <c r="O3399" s="1">
        <v>2.5</v>
      </c>
      <c r="P3399" s="1">
        <v>1</v>
      </c>
      <c r="Q3399" s="2">
        <v>4.1750000000000002E-2</v>
      </c>
      <c r="R3399" s="1">
        <v>1</v>
      </c>
      <c r="S3399" s="1">
        <f>R3399/P3399</f>
        <v>1</v>
      </c>
      <c r="T3399" s="1">
        <v>5</v>
      </c>
      <c r="U3399" s="1">
        <v>12.5</v>
      </c>
      <c r="V3399" s="1">
        <v>152.81045751633985</v>
      </c>
      <c r="W3399" s="1">
        <v>5</v>
      </c>
    </row>
    <row r="3400" spans="1:23" x14ac:dyDescent="0.2">
      <c r="A3400">
        <v>2021</v>
      </c>
      <c r="B3400" t="s">
        <v>23</v>
      </c>
      <c r="C3400" t="s">
        <v>272</v>
      </c>
      <c r="D3400">
        <v>41</v>
      </c>
      <c r="E3400">
        <v>1</v>
      </c>
      <c r="F3400">
        <v>7</v>
      </c>
      <c r="G3400" t="s">
        <v>65</v>
      </c>
      <c r="H3400" s="1">
        <v>8</v>
      </c>
      <c r="I3400" s="1">
        <v>63</v>
      </c>
      <c r="J3400" s="1">
        <v>67</v>
      </c>
      <c r="K3400" s="1">
        <f>J3400-I3400</f>
        <v>4</v>
      </c>
      <c r="L3400" s="1">
        <v>189</v>
      </c>
      <c r="M3400" s="1">
        <v>112</v>
      </c>
      <c r="N3400" s="1">
        <v>2</v>
      </c>
      <c r="O3400" s="1">
        <v>3.5</v>
      </c>
      <c r="P3400" s="1">
        <f>H3400-2</f>
        <v>6</v>
      </c>
      <c r="Q3400" s="2">
        <v>0.15</v>
      </c>
      <c r="R3400" s="1">
        <v>7</v>
      </c>
      <c r="S3400" s="1">
        <f>R3400/P3400</f>
        <v>1.1666666666666667</v>
      </c>
      <c r="T3400" s="1">
        <v>3</v>
      </c>
      <c r="U3400" s="1">
        <v>12.5</v>
      </c>
      <c r="V3400" s="1">
        <v>549.01960784313724</v>
      </c>
      <c r="W3400" s="1">
        <v>4</v>
      </c>
    </row>
    <row r="3401" spans="1:23" x14ac:dyDescent="0.2">
      <c r="A3401">
        <v>2021</v>
      </c>
      <c r="B3401" t="s">
        <v>23</v>
      </c>
      <c r="C3401" t="s">
        <v>272</v>
      </c>
      <c r="D3401">
        <v>41</v>
      </c>
      <c r="E3401">
        <v>2</v>
      </c>
      <c r="F3401">
        <v>9</v>
      </c>
      <c r="G3401" t="s">
        <v>65</v>
      </c>
      <c r="H3401" s="1">
        <v>6</v>
      </c>
      <c r="I3401" s="1">
        <v>62</v>
      </c>
      <c r="J3401" s="1">
        <v>66</v>
      </c>
      <c r="K3401" s="1">
        <f>J3401-I3401</f>
        <v>4</v>
      </c>
      <c r="L3401" s="1">
        <v>187</v>
      </c>
      <c r="M3401" s="1">
        <v>103</v>
      </c>
      <c r="N3401" s="1">
        <v>2</v>
      </c>
      <c r="O3401" s="1">
        <v>2</v>
      </c>
      <c r="P3401" s="1">
        <v>5</v>
      </c>
      <c r="Q3401" s="2">
        <v>1.0891999999999999</v>
      </c>
      <c r="R3401" s="1">
        <v>4</v>
      </c>
      <c r="S3401" s="1">
        <f>R3401/P3401</f>
        <v>0.8</v>
      </c>
      <c r="T3401" s="1">
        <v>2</v>
      </c>
      <c r="U3401" s="1">
        <v>8.1</v>
      </c>
      <c r="V3401" s="1">
        <v>4187.0841307189548</v>
      </c>
      <c r="W3401" s="1">
        <v>3</v>
      </c>
    </row>
    <row r="3402" spans="1:23" x14ac:dyDescent="0.2">
      <c r="A3402">
        <v>2021</v>
      </c>
      <c r="B3402" t="s">
        <v>23</v>
      </c>
      <c r="C3402" t="s">
        <v>272</v>
      </c>
      <c r="D3402">
        <v>42</v>
      </c>
      <c r="E3402">
        <v>1</v>
      </c>
      <c r="F3402">
        <v>3</v>
      </c>
      <c r="G3402" t="s">
        <v>66</v>
      </c>
      <c r="H3402" s="1">
        <v>8</v>
      </c>
      <c r="I3402" s="1">
        <v>69</v>
      </c>
      <c r="J3402" s="1">
        <v>74</v>
      </c>
      <c r="K3402" s="1">
        <f>J3402-I3402</f>
        <v>5</v>
      </c>
      <c r="L3402" s="1">
        <v>162</v>
      </c>
      <c r="M3402" s="1">
        <v>92</v>
      </c>
      <c r="N3402" s="1">
        <v>2</v>
      </c>
      <c r="O3402" s="1">
        <v>2.5</v>
      </c>
      <c r="P3402" s="1">
        <v>7</v>
      </c>
      <c r="Q3402" s="2">
        <v>0.57640000000000002</v>
      </c>
      <c r="R3402" s="1">
        <v>3</v>
      </c>
      <c r="S3402" s="1">
        <f>R3402/P3402</f>
        <v>0.42857142857142855</v>
      </c>
      <c r="T3402" s="1">
        <v>2</v>
      </c>
      <c r="U3402" s="1">
        <v>12.5</v>
      </c>
      <c r="V3402" s="1">
        <v>2109.6993464052289</v>
      </c>
      <c r="W3402" s="1">
        <v>3</v>
      </c>
    </row>
    <row r="3403" spans="1:23" x14ac:dyDescent="0.2">
      <c r="A3403">
        <v>2021</v>
      </c>
      <c r="B3403" t="s">
        <v>23</v>
      </c>
      <c r="C3403" t="s">
        <v>272</v>
      </c>
      <c r="D3403">
        <v>42</v>
      </c>
      <c r="E3403">
        <v>2</v>
      </c>
      <c r="F3403">
        <v>13</v>
      </c>
      <c r="G3403" t="s">
        <v>66</v>
      </c>
      <c r="H3403" s="1">
        <v>3</v>
      </c>
      <c r="I3403" s="1">
        <v>60</v>
      </c>
      <c r="J3403" s="1">
        <v>63</v>
      </c>
      <c r="K3403" s="1">
        <f>J3403-I3403</f>
        <v>3</v>
      </c>
      <c r="L3403" s="1">
        <v>113</v>
      </c>
      <c r="M3403" s="1">
        <v>31</v>
      </c>
      <c r="N3403" s="1">
        <v>1.5</v>
      </c>
      <c r="O3403" s="1">
        <v>3.5</v>
      </c>
      <c r="P3403" s="1">
        <v>3</v>
      </c>
      <c r="Q3403" s="2">
        <v>0.19</v>
      </c>
      <c r="R3403" s="1">
        <v>4</v>
      </c>
      <c r="S3403" s="1">
        <f>R3403/P3403</f>
        <v>1.3333333333333333</v>
      </c>
      <c r="T3403" s="1">
        <v>3.5</v>
      </c>
      <c r="U3403" s="1">
        <v>12.5</v>
      </c>
      <c r="V3403" s="1">
        <v>695.42483660130722</v>
      </c>
      <c r="W3403" s="1">
        <v>2</v>
      </c>
    </row>
    <row r="3404" spans="1:23" x14ac:dyDescent="0.2">
      <c r="A3404">
        <v>2021</v>
      </c>
      <c r="B3404" t="s">
        <v>23</v>
      </c>
      <c r="C3404" t="s">
        <v>272</v>
      </c>
      <c r="D3404">
        <v>43</v>
      </c>
      <c r="E3404">
        <v>1</v>
      </c>
      <c r="F3404">
        <v>10</v>
      </c>
      <c r="G3404" t="s">
        <v>67</v>
      </c>
      <c r="H3404">
        <v>9</v>
      </c>
      <c r="I3404">
        <v>55</v>
      </c>
      <c r="J3404">
        <v>58</v>
      </c>
      <c r="K3404">
        <v>3</v>
      </c>
      <c r="L3404">
        <v>178</v>
      </c>
      <c r="M3404">
        <v>77</v>
      </c>
      <c r="N3404">
        <v>2</v>
      </c>
      <c r="O3404">
        <v>1.5</v>
      </c>
      <c r="P3404">
        <v>13</v>
      </c>
      <c r="Q3404">
        <v>1.6</v>
      </c>
      <c r="R3404">
        <v>12</v>
      </c>
      <c r="S3404">
        <v>0.92307692307692313</v>
      </c>
      <c r="T3404">
        <v>2</v>
      </c>
      <c r="U3404">
        <v>10</v>
      </c>
      <c r="V3404">
        <v>6023.5294117647054</v>
      </c>
      <c r="W3404">
        <v>2</v>
      </c>
    </row>
    <row r="3405" spans="1:23" x14ac:dyDescent="0.2">
      <c r="A3405">
        <v>2021</v>
      </c>
      <c r="B3405" t="s">
        <v>23</v>
      </c>
      <c r="C3405" t="s">
        <v>272</v>
      </c>
      <c r="D3405">
        <v>43</v>
      </c>
      <c r="E3405">
        <v>2</v>
      </c>
      <c r="F3405">
        <v>10</v>
      </c>
      <c r="G3405" t="s">
        <v>67</v>
      </c>
      <c r="H3405" s="1">
        <v>16</v>
      </c>
      <c r="I3405" s="1">
        <v>67</v>
      </c>
      <c r="J3405" s="1">
        <v>69</v>
      </c>
      <c r="K3405" s="1">
        <f>J3405-I3405</f>
        <v>2</v>
      </c>
      <c r="L3405" s="1">
        <v>169</v>
      </c>
      <c r="M3405" s="1">
        <v>54</v>
      </c>
      <c r="N3405" s="1">
        <v>2</v>
      </c>
      <c r="O3405" s="1">
        <v>2.5</v>
      </c>
      <c r="P3405" s="1">
        <v>9</v>
      </c>
      <c r="Q3405" s="2">
        <v>0.25839000000000006</v>
      </c>
      <c r="R3405" s="1">
        <v>10</v>
      </c>
      <c r="S3405" s="1">
        <f>R3405/P3405</f>
        <v>1.1111111111111112</v>
      </c>
      <c r="T3405" s="1">
        <v>5</v>
      </c>
      <c r="U3405" s="1">
        <v>12.5</v>
      </c>
      <c r="V3405" s="1">
        <v>945.74117647058847</v>
      </c>
      <c r="W3405" s="1">
        <v>6</v>
      </c>
    </row>
    <row r="3406" spans="1:23" x14ac:dyDescent="0.2">
      <c r="A3406">
        <v>2021</v>
      </c>
      <c r="B3406" t="s">
        <v>23</v>
      </c>
      <c r="C3406" t="s">
        <v>272</v>
      </c>
      <c r="D3406">
        <v>44</v>
      </c>
      <c r="E3406">
        <v>1</v>
      </c>
      <c r="F3406">
        <v>14</v>
      </c>
      <c r="G3406" t="s">
        <v>68</v>
      </c>
      <c r="H3406">
        <v>6</v>
      </c>
      <c r="I3406">
        <v>60</v>
      </c>
      <c r="J3406">
        <v>63</v>
      </c>
      <c r="K3406">
        <v>3</v>
      </c>
      <c r="L3406">
        <v>88</v>
      </c>
      <c r="M3406">
        <v>32</v>
      </c>
      <c r="N3406">
        <v>2</v>
      </c>
      <c r="O3406">
        <v>3</v>
      </c>
      <c r="P3406">
        <v>6</v>
      </c>
      <c r="Q3406">
        <v>0.5</v>
      </c>
      <c r="R3406">
        <v>6</v>
      </c>
      <c r="S3406">
        <v>1</v>
      </c>
      <c r="T3406">
        <v>3</v>
      </c>
      <c r="U3406">
        <v>12.5</v>
      </c>
      <c r="V3406">
        <v>1830.0653594771243</v>
      </c>
      <c r="W3406">
        <v>1</v>
      </c>
    </row>
    <row r="3407" spans="1:23" x14ac:dyDescent="0.2">
      <c r="A3407">
        <v>2021</v>
      </c>
      <c r="B3407" t="s">
        <v>23</v>
      </c>
      <c r="C3407" t="s">
        <v>272</v>
      </c>
      <c r="D3407">
        <v>44</v>
      </c>
      <c r="E3407">
        <v>2</v>
      </c>
      <c r="F3407">
        <v>12</v>
      </c>
      <c r="G3407" t="s">
        <v>68</v>
      </c>
      <c r="H3407">
        <v>10</v>
      </c>
      <c r="I3407">
        <v>56</v>
      </c>
      <c r="J3407">
        <v>60</v>
      </c>
      <c r="K3407">
        <v>4</v>
      </c>
      <c r="L3407">
        <v>84</v>
      </c>
      <c r="M3407">
        <v>23</v>
      </c>
      <c r="N3407">
        <v>3</v>
      </c>
      <c r="O3407">
        <v>3</v>
      </c>
      <c r="P3407">
        <v>8</v>
      </c>
      <c r="Q3407">
        <v>1.492</v>
      </c>
      <c r="R3407">
        <v>8</v>
      </c>
      <c r="S3407">
        <v>1</v>
      </c>
      <c r="T3407">
        <v>2</v>
      </c>
      <c r="U3407">
        <v>12.5</v>
      </c>
      <c r="V3407">
        <v>5460.9150326797389</v>
      </c>
      <c r="W3407">
        <v>2</v>
      </c>
    </row>
    <row r="3408" spans="1:23" x14ac:dyDescent="0.2">
      <c r="A3408">
        <v>2021</v>
      </c>
      <c r="B3408" t="s">
        <v>23</v>
      </c>
      <c r="C3408" t="s">
        <v>272</v>
      </c>
      <c r="D3408">
        <v>45</v>
      </c>
      <c r="E3408">
        <v>1</v>
      </c>
      <c r="F3408">
        <v>7</v>
      </c>
      <c r="G3408" t="s">
        <v>69</v>
      </c>
      <c r="H3408">
        <v>13</v>
      </c>
      <c r="I3408">
        <v>50</v>
      </c>
      <c r="J3408">
        <v>53</v>
      </c>
      <c r="K3408">
        <v>3</v>
      </c>
      <c r="L3408">
        <v>145</v>
      </c>
      <c r="M3408">
        <v>75</v>
      </c>
      <c r="N3408">
        <v>1</v>
      </c>
      <c r="O3408">
        <v>1.5</v>
      </c>
      <c r="P3408">
        <v>12</v>
      </c>
      <c r="Q3408">
        <v>1</v>
      </c>
      <c r="R3408">
        <v>10</v>
      </c>
      <c r="S3408">
        <v>0.83333333333333337</v>
      </c>
      <c r="T3408">
        <v>2</v>
      </c>
      <c r="U3408">
        <v>12.2</v>
      </c>
      <c r="V3408">
        <v>3672.6797385620916</v>
      </c>
      <c r="W3408">
        <v>1</v>
      </c>
    </row>
    <row r="3409" spans="1:23" x14ac:dyDescent="0.2">
      <c r="A3409">
        <v>2021</v>
      </c>
      <c r="B3409" t="s">
        <v>23</v>
      </c>
      <c r="C3409" t="s">
        <v>272</v>
      </c>
      <c r="D3409">
        <v>45</v>
      </c>
      <c r="E3409">
        <v>2</v>
      </c>
      <c r="F3409">
        <v>11</v>
      </c>
      <c r="G3409" t="s">
        <v>69</v>
      </c>
      <c r="H3409" s="1">
        <v>4</v>
      </c>
      <c r="I3409" s="1">
        <v>67</v>
      </c>
      <c r="J3409" s="1">
        <v>70</v>
      </c>
      <c r="K3409" s="1">
        <f>J3409-I3409</f>
        <v>3</v>
      </c>
      <c r="L3409" s="1">
        <v>85</v>
      </c>
      <c r="M3409" s="1">
        <v>30</v>
      </c>
      <c r="N3409" s="1">
        <v>3</v>
      </c>
      <c r="O3409" s="1">
        <v>5</v>
      </c>
      <c r="P3409" s="1">
        <v>1</v>
      </c>
      <c r="Q3409" s="2">
        <v>0.03</v>
      </c>
      <c r="R3409" s="1">
        <v>1</v>
      </c>
      <c r="S3409" s="1">
        <f>R3409/P3409</f>
        <v>1</v>
      </c>
      <c r="T3409" s="1">
        <v>5</v>
      </c>
      <c r="U3409" s="1">
        <v>12.5</v>
      </c>
      <c r="V3409" s="1">
        <v>109.80392156862746</v>
      </c>
      <c r="W3409" s="1">
        <v>6</v>
      </c>
    </row>
    <row r="3410" spans="1:23" x14ac:dyDescent="0.2">
      <c r="A3410">
        <v>2021</v>
      </c>
      <c r="B3410" t="s">
        <v>23</v>
      </c>
      <c r="C3410" t="s">
        <v>272</v>
      </c>
      <c r="D3410">
        <v>46</v>
      </c>
      <c r="E3410">
        <v>1</v>
      </c>
      <c r="F3410">
        <v>8</v>
      </c>
      <c r="G3410" t="s">
        <v>70</v>
      </c>
      <c r="H3410" s="3">
        <v>15</v>
      </c>
      <c r="I3410" s="3">
        <v>63</v>
      </c>
      <c r="J3410" s="3">
        <v>65</v>
      </c>
      <c r="K3410" s="3">
        <f>J3410-I3410</f>
        <v>2</v>
      </c>
      <c r="L3410" s="3">
        <v>173</v>
      </c>
      <c r="M3410" s="3">
        <v>66</v>
      </c>
      <c r="N3410" s="3">
        <v>2</v>
      </c>
      <c r="O3410" s="3">
        <v>3.5</v>
      </c>
      <c r="P3410" s="3">
        <f>H3410</f>
        <v>15</v>
      </c>
      <c r="Q3410" s="4">
        <v>0.13950000000000001</v>
      </c>
      <c r="R3410" s="3">
        <v>13</v>
      </c>
      <c r="S3410" s="3">
        <f>R3410/P3410</f>
        <v>0.8666666666666667</v>
      </c>
      <c r="T3410" s="3">
        <v>5</v>
      </c>
      <c r="U3410" s="3">
        <v>12.5</v>
      </c>
      <c r="V3410" s="3">
        <v>510.58823529411762</v>
      </c>
      <c r="W3410" s="3">
        <v>6</v>
      </c>
    </row>
    <row r="3411" spans="1:23" x14ac:dyDescent="0.2">
      <c r="A3411">
        <v>2021</v>
      </c>
      <c r="B3411" t="s">
        <v>23</v>
      </c>
      <c r="C3411" t="s">
        <v>272</v>
      </c>
      <c r="D3411">
        <v>46</v>
      </c>
      <c r="E3411">
        <v>2</v>
      </c>
      <c r="F3411">
        <v>15</v>
      </c>
      <c r="G3411" t="s">
        <v>70</v>
      </c>
      <c r="H3411" s="1">
        <v>5</v>
      </c>
      <c r="I3411" s="1">
        <v>66</v>
      </c>
      <c r="J3411" s="1">
        <v>69</v>
      </c>
      <c r="K3411" s="1">
        <f>J3411-I3411</f>
        <v>3</v>
      </c>
      <c r="L3411" s="1">
        <v>134</v>
      </c>
      <c r="M3411" s="1">
        <v>43</v>
      </c>
      <c r="N3411" s="1">
        <v>1.5</v>
      </c>
      <c r="O3411" s="1">
        <v>4</v>
      </c>
      <c r="P3411" s="1">
        <v>2</v>
      </c>
      <c r="Q3411" s="2">
        <v>8.7999999999999995E-2</v>
      </c>
      <c r="R3411" s="1">
        <v>2</v>
      </c>
      <c r="S3411" s="1">
        <f>R3411/P3411</f>
        <v>1</v>
      </c>
      <c r="T3411" s="1">
        <v>5</v>
      </c>
      <c r="U3411" s="1">
        <v>12.5</v>
      </c>
      <c r="V3411" s="1">
        <v>322.09150326797385</v>
      </c>
      <c r="W3411" s="1">
        <v>4</v>
      </c>
    </row>
    <row r="3412" spans="1:23" x14ac:dyDescent="0.2">
      <c r="A3412">
        <v>2021</v>
      </c>
      <c r="B3412" t="s">
        <v>23</v>
      </c>
      <c r="C3412" t="s">
        <v>272</v>
      </c>
      <c r="D3412">
        <v>47</v>
      </c>
      <c r="E3412">
        <v>1</v>
      </c>
      <c r="F3412">
        <v>9</v>
      </c>
      <c r="G3412" t="s">
        <v>71</v>
      </c>
      <c r="H3412">
        <v>5</v>
      </c>
      <c r="I3412">
        <v>60</v>
      </c>
      <c r="J3412">
        <v>63</v>
      </c>
      <c r="K3412">
        <v>3</v>
      </c>
      <c r="L3412">
        <v>130</v>
      </c>
      <c r="M3412">
        <v>65</v>
      </c>
      <c r="N3412">
        <v>1.5</v>
      </c>
      <c r="O3412">
        <v>4</v>
      </c>
      <c r="P3412">
        <v>5</v>
      </c>
      <c r="Q3412">
        <v>0.2</v>
      </c>
      <c r="R3412">
        <v>6</v>
      </c>
      <c r="S3412">
        <v>1.2</v>
      </c>
      <c r="T3412">
        <v>2</v>
      </c>
      <c r="U3412">
        <v>12.5</v>
      </c>
      <c r="V3412">
        <v>732.02614379084969</v>
      </c>
      <c r="W3412">
        <v>1</v>
      </c>
    </row>
    <row r="3413" spans="1:23" x14ac:dyDescent="0.2">
      <c r="A3413">
        <v>2021</v>
      </c>
      <c r="B3413" t="s">
        <v>23</v>
      </c>
      <c r="C3413" t="s">
        <v>272</v>
      </c>
      <c r="D3413">
        <v>47</v>
      </c>
      <c r="E3413">
        <v>2</v>
      </c>
      <c r="F3413">
        <v>7</v>
      </c>
      <c r="G3413" t="s">
        <v>71</v>
      </c>
      <c r="H3413" s="1">
        <v>8</v>
      </c>
      <c r="I3413" s="1">
        <v>62</v>
      </c>
      <c r="J3413" s="1">
        <v>65</v>
      </c>
      <c r="K3413" s="1">
        <f>J3413-I3413</f>
        <v>3</v>
      </c>
      <c r="L3413" s="1">
        <v>157</v>
      </c>
      <c r="M3413" s="1">
        <v>63</v>
      </c>
      <c r="N3413" s="1">
        <v>1.5</v>
      </c>
      <c r="O3413" s="1">
        <v>4</v>
      </c>
      <c r="P3413" s="1">
        <v>6</v>
      </c>
      <c r="Q3413" s="2">
        <v>0.158</v>
      </c>
      <c r="R3413" s="1">
        <v>5</v>
      </c>
      <c r="S3413" s="1">
        <f>R3413/P3413</f>
        <v>0.83333333333333337</v>
      </c>
      <c r="T3413" s="1">
        <v>3.5</v>
      </c>
      <c r="U3413" s="1">
        <v>12.5</v>
      </c>
      <c r="V3413" s="1">
        <v>578.30065359477123</v>
      </c>
      <c r="W3413" s="1">
        <v>4</v>
      </c>
    </row>
    <row r="3414" spans="1:23" x14ac:dyDescent="0.2">
      <c r="A3414">
        <v>2021</v>
      </c>
      <c r="B3414" t="s">
        <v>23</v>
      </c>
      <c r="C3414" t="s">
        <v>272</v>
      </c>
      <c r="D3414">
        <v>48</v>
      </c>
      <c r="E3414">
        <v>1</v>
      </c>
      <c r="F3414">
        <v>4</v>
      </c>
      <c r="G3414" t="s">
        <v>72</v>
      </c>
      <c r="H3414" s="3">
        <v>15</v>
      </c>
      <c r="I3414" s="3">
        <v>62</v>
      </c>
      <c r="J3414" s="3">
        <v>67</v>
      </c>
      <c r="K3414" s="3">
        <f>J3414-I3414</f>
        <v>5</v>
      </c>
      <c r="L3414" s="3">
        <v>178</v>
      </c>
      <c r="M3414" s="3">
        <v>63</v>
      </c>
      <c r="N3414" s="3">
        <v>2</v>
      </c>
      <c r="O3414" s="3">
        <v>3.5</v>
      </c>
      <c r="P3414" s="3">
        <v>12</v>
      </c>
      <c r="Q3414" s="4">
        <v>0.19725000000000001</v>
      </c>
      <c r="R3414" s="3">
        <v>8</v>
      </c>
      <c r="S3414" s="3">
        <f>R3414/P3414</f>
        <v>0.66666666666666663</v>
      </c>
      <c r="T3414" s="3">
        <v>5</v>
      </c>
      <c r="U3414" s="3">
        <v>12.5</v>
      </c>
      <c r="V3414" s="3">
        <v>721.96078431372564</v>
      </c>
      <c r="W3414" s="3">
        <v>6</v>
      </c>
    </row>
    <row r="3415" spans="1:23" x14ac:dyDescent="0.2">
      <c r="A3415">
        <v>2021</v>
      </c>
      <c r="B3415" t="s">
        <v>23</v>
      </c>
      <c r="C3415" t="s">
        <v>272</v>
      </c>
      <c r="D3415">
        <v>48</v>
      </c>
      <c r="E3415">
        <v>2</v>
      </c>
      <c r="F3415">
        <v>5</v>
      </c>
      <c r="G3415" t="s">
        <v>72</v>
      </c>
      <c r="H3415" s="1">
        <v>8</v>
      </c>
      <c r="I3415" s="1">
        <v>60</v>
      </c>
      <c r="J3415" s="1">
        <v>63</v>
      </c>
      <c r="K3415" s="1">
        <f>J3415-I3415</f>
        <v>3</v>
      </c>
      <c r="L3415" s="1">
        <v>132</v>
      </c>
      <c r="M3415" s="1">
        <v>58</v>
      </c>
      <c r="N3415" s="1">
        <v>2</v>
      </c>
      <c r="O3415" s="1">
        <v>3.5</v>
      </c>
      <c r="P3415" s="1">
        <v>5</v>
      </c>
      <c r="Q3415" s="2">
        <v>0.1174</v>
      </c>
      <c r="R3415" s="1">
        <v>1</v>
      </c>
      <c r="S3415" s="1">
        <f>R3415/P3415</f>
        <v>0.2</v>
      </c>
      <c r="T3415" s="1">
        <v>5</v>
      </c>
      <c r="U3415" s="1">
        <v>12.5</v>
      </c>
      <c r="V3415" s="1">
        <v>429.69934640522882</v>
      </c>
      <c r="W3415" s="1">
        <v>6</v>
      </c>
    </row>
    <row r="3416" spans="1:23" x14ac:dyDescent="0.2">
      <c r="A3416">
        <v>2021</v>
      </c>
      <c r="B3416" t="s">
        <v>23</v>
      </c>
      <c r="C3416" t="s">
        <v>272</v>
      </c>
      <c r="D3416">
        <v>49</v>
      </c>
      <c r="E3416">
        <v>1</v>
      </c>
      <c r="F3416">
        <v>6</v>
      </c>
      <c r="G3416" t="s">
        <v>73</v>
      </c>
      <c r="H3416" s="1">
        <v>2</v>
      </c>
      <c r="I3416" s="1">
        <v>64</v>
      </c>
      <c r="J3416" s="1">
        <v>69</v>
      </c>
      <c r="K3416" s="1">
        <f>J3416-I3416</f>
        <v>5</v>
      </c>
      <c r="L3416" s="1">
        <v>166</v>
      </c>
      <c r="M3416" s="1">
        <v>77</v>
      </c>
      <c r="N3416" s="1">
        <v>2</v>
      </c>
      <c r="O3416" s="1">
        <v>2</v>
      </c>
      <c r="P3416" s="1">
        <f>H3416</f>
        <v>2</v>
      </c>
      <c r="Q3416" s="2">
        <v>1.2375000000000001E-2</v>
      </c>
      <c r="R3416" s="1">
        <v>2</v>
      </c>
      <c r="S3416" s="1">
        <f>R3416/P3416</f>
        <v>1</v>
      </c>
      <c r="T3416" s="1">
        <v>3</v>
      </c>
      <c r="U3416" s="1">
        <v>12.5</v>
      </c>
      <c r="V3416" s="1">
        <v>45.294117647058819</v>
      </c>
      <c r="W3416" s="1">
        <v>3</v>
      </c>
    </row>
    <row r="3417" spans="1:23" x14ac:dyDescent="0.2">
      <c r="A3417">
        <v>2021</v>
      </c>
      <c r="B3417" t="s">
        <v>23</v>
      </c>
      <c r="C3417" t="s">
        <v>272</v>
      </c>
      <c r="D3417">
        <v>49</v>
      </c>
      <c r="E3417">
        <v>2</v>
      </c>
      <c r="F3417">
        <v>6</v>
      </c>
      <c r="G3417" t="s">
        <v>73</v>
      </c>
      <c r="H3417">
        <v>16</v>
      </c>
      <c r="I3417">
        <v>55</v>
      </c>
      <c r="J3417">
        <v>60</v>
      </c>
      <c r="K3417">
        <v>5</v>
      </c>
      <c r="L3417">
        <v>188</v>
      </c>
      <c r="M3417">
        <v>74</v>
      </c>
      <c r="N3417">
        <v>2</v>
      </c>
      <c r="O3417">
        <v>2</v>
      </c>
      <c r="P3417">
        <v>13</v>
      </c>
      <c r="Q3417">
        <v>1.3</v>
      </c>
      <c r="R3417">
        <v>12</v>
      </c>
      <c r="S3417">
        <v>0.92307692307692313</v>
      </c>
      <c r="T3417">
        <v>3</v>
      </c>
      <c r="U3417">
        <v>9.3000000000000007</v>
      </c>
      <c r="V3417">
        <v>4932.1830065359482</v>
      </c>
      <c r="W3417">
        <v>2</v>
      </c>
    </row>
    <row r="3418" spans="1:23" x14ac:dyDescent="0.2">
      <c r="A3418">
        <v>2021</v>
      </c>
      <c r="B3418" t="s">
        <v>23</v>
      </c>
      <c r="C3418" t="s">
        <v>272</v>
      </c>
      <c r="D3418">
        <v>50</v>
      </c>
      <c r="E3418">
        <v>1</v>
      </c>
      <c r="F3418">
        <v>4</v>
      </c>
      <c r="G3418" t="s">
        <v>74</v>
      </c>
      <c r="H3418" s="1">
        <v>10</v>
      </c>
      <c r="I3418" s="1">
        <v>65</v>
      </c>
      <c r="J3418" s="1">
        <v>70</v>
      </c>
      <c r="K3418" s="1">
        <f>J3418-I3418</f>
        <v>5</v>
      </c>
      <c r="L3418" s="1">
        <v>103</v>
      </c>
      <c r="M3418" s="1">
        <v>51</v>
      </c>
      <c r="N3418" s="1">
        <v>2</v>
      </c>
      <c r="O3418" s="1">
        <v>4</v>
      </c>
      <c r="P3418" s="1">
        <v>10</v>
      </c>
      <c r="Q3418" s="2">
        <v>0.40849999999999997</v>
      </c>
      <c r="R3418" s="1">
        <v>10</v>
      </c>
      <c r="S3418" s="1">
        <f>R3418/P3418</f>
        <v>1</v>
      </c>
      <c r="T3418" s="1">
        <v>2.5</v>
      </c>
      <c r="U3418" s="1">
        <v>12.5</v>
      </c>
      <c r="V3418" s="1">
        <v>1495.1633986928105</v>
      </c>
      <c r="W3418" s="1">
        <v>5</v>
      </c>
    </row>
    <row r="3419" spans="1:23" x14ac:dyDescent="0.2">
      <c r="A3419">
        <v>2021</v>
      </c>
      <c r="B3419" t="s">
        <v>23</v>
      </c>
      <c r="C3419" t="s">
        <v>272</v>
      </c>
      <c r="D3419">
        <v>50</v>
      </c>
      <c r="E3419">
        <v>2</v>
      </c>
      <c r="F3419">
        <v>13</v>
      </c>
      <c r="G3419" t="s">
        <v>74</v>
      </c>
      <c r="H3419" s="1">
        <v>5</v>
      </c>
      <c r="I3419" s="1">
        <v>66</v>
      </c>
      <c r="J3419" s="1">
        <v>70</v>
      </c>
      <c r="K3419" s="1">
        <f>J3419-I3419</f>
        <v>4</v>
      </c>
      <c r="L3419" s="1">
        <v>155</v>
      </c>
      <c r="M3419" s="1">
        <v>83</v>
      </c>
      <c r="N3419" s="1">
        <v>2</v>
      </c>
      <c r="O3419" s="1">
        <v>2</v>
      </c>
      <c r="P3419" s="1">
        <v>4</v>
      </c>
      <c r="Q3419" s="2">
        <v>0.81509999999999994</v>
      </c>
      <c r="R3419" s="1">
        <v>4</v>
      </c>
      <c r="S3419" s="1">
        <f>R3419/P3419</f>
        <v>1</v>
      </c>
      <c r="T3419" s="1">
        <v>3</v>
      </c>
      <c r="U3419" s="1">
        <v>12.5</v>
      </c>
      <c r="V3419" s="1">
        <v>2983.372549019607</v>
      </c>
      <c r="W3419" s="1">
        <v>5</v>
      </c>
    </row>
    <row r="3420" spans="1:23" x14ac:dyDescent="0.2">
      <c r="A3420">
        <v>2021</v>
      </c>
      <c r="B3420" t="s">
        <v>23</v>
      </c>
      <c r="C3420" t="s">
        <v>272</v>
      </c>
      <c r="D3420">
        <v>51</v>
      </c>
      <c r="E3420">
        <v>1</v>
      </c>
      <c r="F3420">
        <v>13</v>
      </c>
      <c r="G3420" t="s">
        <v>75</v>
      </c>
      <c r="H3420" s="1">
        <v>7</v>
      </c>
      <c r="I3420" s="1">
        <v>67</v>
      </c>
      <c r="J3420" s="1">
        <v>70</v>
      </c>
      <c r="K3420" s="1">
        <f>J3420-I3420</f>
        <v>3</v>
      </c>
      <c r="L3420" s="1">
        <v>138</v>
      </c>
      <c r="M3420" s="1">
        <v>65</v>
      </c>
      <c r="N3420" s="1">
        <v>1.5</v>
      </c>
      <c r="O3420" s="1">
        <v>3.5</v>
      </c>
      <c r="P3420" s="1">
        <v>6</v>
      </c>
      <c r="Q3420" s="2">
        <v>0.20599999999999999</v>
      </c>
      <c r="R3420" s="1">
        <v>4</v>
      </c>
      <c r="S3420" s="1">
        <f>R3420/P3420</f>
        <v>0.66666666666666663</v>
      </c>
      <c r="T3420" s="1">
        <v>3</v>
      </c>
      <c r="U3420" s="1">
        <v>12.5</v>
      </c>
      <c r="V3420" s="1">
        <v>753.98692810457521</v>
      </c>
      <c r="W3420" s="1">
        <v>4</v>
      </c>
    </row>
    <row r="3421" spans="1:23" x14ac:dyDescent="0.2">
      <c r="A3421">
        <v>2021</v>
      </c>
      <c r="B3421" t="s">
        <v>23</v>
      </c>
      <c r="C3421" t="s">
        <v>272</v>
      </c>
      <c r="D3421">
        <v>51</v>
      </c>
      <c r="E3421">
        <v>2</v>
      </c>
      <c r="F3421">
        <v>15</v>
      </c>
      <c r="G3421" t="s">
        <v>75</v>
      </c>
      <c r="H3421">
        <v>5</v>
      </c>
      <c r="I3421">
        <v>58</v>
      </c>
      <c r="J3421">
        <v>60</v>
      </c>
      <c r="K3421">
        <v>2</v>
      </c>
      <c r="L3421">
        <v>165</v>
      </c>
      <c r="M3421">
        <v>76</v>
      </c>
      <c r="N3421">
        <v>1.5</v>
      </c>
      <c r="O3421">
        <v>2.5</v>
      </c>
      <c r="P3421">
        <v>4</v>
      </c>
      <c r="Q3421">
        <v>0.4</v>
      </c>
      <c r="R3421">
        <v>3</v>
      </c>
      <c r="S3421">
        <v>0.75</v>
      </c>
      <c r="T3421">
        <v>2.5</v>
      </c>
      <c r="U3421">
        <v>12.5</v>
      </c>
      <c r="V3421">
        <v>1464.0522875816994</v>
      </c>
      <c r="W3421">
        <v>2</v>
      </c>
    </row>
    <row r="3422" spans="1:23" x14ac:dyDescent="0.2">
      <c r="A3422">
        <v>2021</v>
      </c>
      <c r="B3422" t="s">
        <v>23</v>
      </c>
      <c r="C3422" t="s">
        <v>272</v>
      </c>
      <c r="D3422">
        <v>52</v>
      </c>
      <c r="E3422">
        <v>1</v>
      </c>
      <c r="F3422">
        <v>13</v>
      </c>
      <c r="G3422" t="s">
        <v>76</v>
      </c>
      <c r="H3422">
        <v>8</v>
      </c>
      <c r="I3422">
        <v>51</v>
      </c>
      <c r="J3422">
        <v>54</v>
      </c>
      <c r="K3422">
        <v>3</v>
      </c>
      <c r="L3422">
        <v>175</v>
      </c>
      <c r="M3422">
        <v>85</v>
      </c>
      <c r="N3422">
        <v>2</v>
      </c>
      <c r="O3422">
        <v>2.5</v>
      </c>
      <c r="P3422">
        <v>8</v>
      </c>
      <c r="Q3422">
        <v>0.4</v>
      </c>
      <c r="R3422">
        <v>4</v>
      </c>
      <c r="S3422">
        <v>0.5</v>
      </c>
      <c r="T3422">
        <v>2</v>
      </c>
      <c r="U3422">
        <v>10.199999999999999</v>
      </c>
      <c r="V3422">
        <v>1502.5359477124182</v>
      </c>
      <c r="W3422">
        <v>1</v>
      </c>
    </row>
    <row r="3423" spans="1:23" x14ac:dyDescent="0.2">
      <c r="A3423">
        <v>2021</v>
      </c>
      <c r="B3423" t="s">
        <v>23</v>
      </c>
      <c r="C3423" t="s">
        <v>272</v>
      </c>
      <c r="D3423">
        <v>52</v>
      </c>
      <c r="E3423">
        <v>2</v>
      </c>
      <c r="F3423">
        <v>5</v>
      </c>
      <c r="G3423" t="s">
        <v>76</v>
      </c>
      <c r="H3423" s="1">
        <v>9</v>
      </c>
      <c r="I3423" s="1">
        <v>70</v>
      </c>
      <c r="J3423" s="1">
        <v>74</v>
      </c>
      <c r="K3423" s="1">
        <f>J3423-I3423</f>
        <v>4</v>
      </c>
      <c r="L3423" s="1">
        <v>177</v>
      </c>
      <c r="M3423" s="1">
        <v>32</v>
      </c>
      <c r="N3423" s="1">
        <v>3</v>
      </c>
      <c r="O3423" s="1">
        <v>4.5</v>
      </c>
      <c r="P3423" s="1">
        <v>4</v>
      </c>
      <c r="Q3423" s="2">
        <v>0.13440000000000002</v>
      </c>
      <c r="R3423" s="1">
        <v>3</v>
      </c>
      <c r="S3423" s="1">
        <f>R3423/P3423</f>
        <v>0.75</v>
      </c>
      <c r="T3423" s="1">
        <v>5</v>
      </c>
      <c r="U3423" s="1">
        <v>12.5</v>
      </c>
      <c r="V3423" s="1">
        <v>491.92156862745105</v>
      </c>
      <c r="W3423" s="1">
        <v>6</v>
      </c>
    </row>
    <row r="3424" spans="1:23" x14ac:dyDescent="0.2">
      <c r="A3424">
        <v>2021</v>
      </c>
      <c r="B3424" t="s">
        <v>23</v>
      </c>
      <c r="C3424" t="s">
        <v>272</v>
      </c>
      <c r="D3424">
        <v>53</v>
      </c>
      <c r="E3424">
        <v>1</v>
      </c>
      <c r="F3424">
        <v>5</v>
      </c>
      <c r="G3424" t="s">
        <v>77</v>
      </c>
      <c r="H3424" s="1">
        <v>5</v>
      </c>
      <c r="I3424" s="1">
        <v>59</v>
      </c>
      <c r="J3424" s="1">
        <v>62</v>
      </c>
      <c r="K3424" s="1">
        <f>J3424-I3424</f>
        <v>3</v>
      </c>
      <c r="L3424" s="1">
        <v>139</v>
      </c>
      <c r="M3424" s="1">
        <v>55</v>
      </c>
      <c r="N3424" s="1">
        <v>1.5</v>
      </c>
      <c r="O3424" s="1">
        <v>4.5</v>
      </c>
      <c r="P3424" s="1">
        <v>5</v>
      </c>
      <c r="Q3424" s="2">
        <v>0.13500000000000001</v>
      </c>
      <c r="R3424" s="1">
        <v>6</v>
      </c>
      <c r="S3424" s="1">
        <f>R3424/P3424</f>
        <v>1.2</v>
      </c>
      <c r="T3424" s="1">
        <v>4</v>
      </c>
      <c r="U3424" s="1">
        <v>12.5</v>
      </c>
      <c r="V3424" s="1">
        <v>494.11764705882354</v>
      </c>
      <c r="W3424" s="1">
        <v>4</v>
      </c>
    </row>
    <row r="3425" spans="1:23" x14ac:dyDescent="0.2">
      <c r="A3425">
        <v>2021</v>
      </c>
      <c r="B3425" t="s">
        <v>23</v>
      </c>
      <c r="C3425" t="s">
        <v>272</v>
      </c>
      <c r="D3425">
        <v>53</v>
      </c>
      <c r="E3425">
        <v>2</v>
      </c>
      <c r="F3425">
        <v>3</v>
      </c>
      <c r="G3425" t="s">
        <v>77</v>
      </c>
      <c r="H3425" s="1">
        <v>9</v>
      </c>
      <c r="I3425" s="1">
        <v>61</v>
      </c>
      <c r="J3425" s="1">
        <v>66</v>
      </c>
      <c r="K3425" s="1">
        <f>J3425-I3425</f>
        <v>5</v>
      </c>
      <c r="L3425" s="1">
        <v>137</v>
      </c>
      <c r="M3425" s="1">
        <v>56</v>
      </c>
      <c r="N3425" s="1">
        <v>2.5</v>
      </c>
      <c r="O3425" s="1">
        <v>3.5</v>
      </c>
      <c r="P3425" s="1">
        <v>6</v>
      </c>
      <c r="Q3425" s="2">
        <v>0.14099999999999999</v>
      </c>
      <c r="R3425" s="1">
        <v>4</v>
      </c>
      <c r="S3425" s="1">
        <f>R3425/P3425</f>
        <v>0.66666666666666663</v>
      </c>
      <c r="T3425" s="1">
        <v>4</v>
      </c>
      <c r="U3425" s="1">
        <v>12.5</v>
      </c>
      <c r="V3425" s="1">
        <v>516.07843137254906</v>
      </c>
      <c r="W3425" s="1">
        <v>4</v>
      </c>
    </row>
    <row r="3426" spans="1:23" x14ac:dyDescent="0.2">
      <c r="A3426">
        <v>2021</v>
      </c>
      <c r="B3426" t="s">
        <v>23</v>
      </c>
      <c r="C3426" t="s">
        <v>272</v>
      </c>
      <c r="D3426">
        <v>54</v>
      </c>
      <c r="E3426">
        <v>1</v>
      </c>
      <c r="F3426">
        <v>14</v>
      </c>
      <c r="G3426" t="s">
        <v>78</v>
      </c>
      <c r="H3426" s="1">
        <v>10</v>
      </c>
      <c r="I3426" s="1">
        <v>68</v>
      </c>
      <c r="J3426" s="1">
        <v>73</v>
      </c>
      <c r="K3426" s="1">
        <f>J3426-I3426</f>
        <v>5</v>
      </c>
      <c r="L3426" s="1">
        <v>122</v>
      </c>
      <c r="M3426" s="1">
        <v>61</v>
      </c>
      <c r="N3426" s="1">
        <v>1.5</v>
      </c>
      <c r="O3426" s="1">
        <v>4.5</v>
      </c>
      <c r="P3426" s="1">
        <v>8</v>
      </c>
      <c r="Q3426" s="2">
        <v>0.16200000000000001</v>
      </c>
      <c r="R3426" s="1">
        <v>7</v>
      </c>
      <c r="S3426" s="1">
        <f>R3426/P3426</f>
        <v>0.875</v>
      </c>
      <c r="T3426" s="1">
        <v>5</v>
      </c>
      <c r="U3426" s="1">
        <v>12.5</v>
      </c>
      <c r="V3426" s="1">
        <v>592.94117647058818</v>
      </c>
      <c r="W3426" s="1">
        <v>4</v>
      </c>
    </row>
    <row r="3427" spans="1:23" x14ac:dyDescent="0.2">
      <c r="A3427">
        <v>2021</v>
      </c>
      <c r="B3427" t="s">
        <v>23</v>
      </c>
      <c r="C3427" t="s">
        <v>272</v>
      </c>
      <c r="D3427">
        <v>54</v>
      </c>
      <c r="E3427">
        <v>2</v>
      </c>
      <c r="F3427">
        <v>11</v>
      </c>
      <c r="G3427" t="s">
        <v>78</v>
      </c>
      <c r="H3427">
        <v>14</v>
      </c>
      <c r="I3427">
        <v>51</v>
      </c>
      <c r="J3427">
        <v>54</v>
      </c>
      <c r="K3427">
        <v>3</v>
      </c>
      <c r="L3427">
        <v>176</v>
      </c>
      <c r="M3427">
        <v>85</v>
      </c>
      <c r="N3427">
        <v>2</v>
      </c>
      <c r="O3427">
        <v>2</v>
      </c>
      <c r="P3427">
        <v>11</v>
      </c>
      <c r="Q3427">
        <v>1</v>
      </c>
      <c r="R3427">
        <v>8</v>
      </c>
      <c r="S3427">
        <v>0.72727272727272729</v>
      </c>
      <c r="T3427">
        <v>3</v>
      </c>
      <c r="U3427">
        <v>12.8</v>
      </c>
      <c r="V3427">
        <v>3647.5816993464055</v>
      </c>
      <c r="W3427">
        <v>1</v>
      </c>
    </row>
    <row r="3428" spans="1:23" x14ac:dyDescent="0.2">
      <c r="A3428">
        <v>2021</v>
      </c>
      <c r="B3428" t="s">
        <v>23</v>
      </c>
      <c r="C3428" t="s">
        <v>272</v>
      </c>
      <c r="D3428">
        <v>55</v>
      </c>
      <c r="E3428">
        <v>1</v>
      </c>
      <c r="F3428">
        <v>2</v>
      </c>
      <c r="G3428" t="s">
        <v>79</v>
      </c>
      <c r="H3428" s="1">
        <v>8</v>
      </c>
      <c r="I3428" s="1">
        <v>63</v>
      </c>
      <c r="J3428" s="1">
        <v>64</v>
      </c>
      <c r="K3428" s="1">
        <f>J3428-I3428</f>
        <v>1</v>
      </c>
      <c r="L3428" s="1">
        <v>145</v>
      </c>
      <c r="M3428" s="1">
        <v>47</v>
      </c>
      <c r="N3428" s="1">
        <v>2</v>
      </c>
      <c r="O3428" s="1">
        <v>2.5</v>
      </c>
      <c r="P3428" s="1">
        <v>6</v>
      </c>
      <c r="Q3428" s="2">
        <v>0.64800000000000002</v>
      </c>
      <c r="R3428" s="1">
        <v>6</v>
      </c>
      <c r="S3428" s="1">
        <f>R3428/P3428</f>
        <v>1</v>
      </c>
      <c r="T3428" s="1">
        <v>2</v>
      </c>
      <c r="U3428" s="1">
        <v>12.5</v>
      </c>
      <c r="V3428" s="1">
        <v>2371.7647058823527</v>
      </c>
      <c r="W3428" s="1">
        <v>2</v>
      </c>
    </row>
    <row r="3429" spans="1:23" x14ac:dyDescent="0.2">
      <c r="A3429">
        <v>2021</v>
      </c>
      <c r="B3429" t="s">
        <v>23</v>
      </c>
      <c r="C3429" t="s">
        <v>272</v>
      </c>
      <c r="D3429">
        <v>55</v>
      </c>
      <c r="E3429">
        <v>2</v>
      </c>
      <c r="F3429">
        <v>10</v>
      </c>
      <c r="G3429" t="s">
        <v>79</v>
      </c>
      <c r="H3429" s="1">
        <v>8</v>
      </c>
      <c r="I3429" s="1">
        <v>65</v>
      </c>
      <c r="J3429" s="1">
        <v>68</v>
      </c>
      <c r="K3429" s="1">
        <f>J3429-I3429</f>
        <v>3</v>
      </c>
      <c r="L3429" s="1">
        <v>128</v>
      </c>
      <c r="M3429" s="1">
        <v>42</v>
      </c>
      <c r="N3429" s="1">
        <v>3</v>
      </c>
      <c r="O3429" s="1">
        <v>4.5</v>
      </c>
      <c r="P3429" s="1">
        <v>5</v>
      </c>
      <c r="Q3429" s="2">
        <v>7.4249999999999997E-2</v>
      </c>
      <c r="R3429" s="1">
        <v>3</v>
      </c>
      <c r="S3429" s="1">
        <f>R3429/P3429</f>
        <v>0.6</v>
      </c>
      <c r="T3429" s="1">
        <v>5</v>
      </c>
      <c r="U3429" s="1">
        <v>12.5</v>
      </c>
      <c r="V3429" s="1">
        <v>271.76470588235293</v>
      </c>
      <c r="W3429" s="1">
        <v>5</v>
      </c>
    </row>
    <row r="3430" spans="1:23" x14ac:dyDescent="0.2">
      <c r="A3430">
        <v>2021</v>
      </c>
      <c r="B3430" t="s">
        <v>23</v>
      </c>
      <c r="C3430" t="s">
        <v>272</v>
      </c>
      <c r="D3430">
        <v>56</v>
      </c>
      <c r="E3430">
        <v>1</v>
      </c>
      <c r="F3430">
        <v>4</v>
      </c>
      <c r="G3430" t="s">
        <v>80</v>
      </c>
      <c r="H3430" s="1">
        <v>9</v>
      </c>
      <c r="I3430" s="1">
        <v>66</v>
      </c>
      <c r="J3430" s="1">
        <v>68</v>
      </c>
      <c r="K3430" s="1">
        <f>J3430-I3430</f>
        <v>2</v>
      </c>
      <c r="L3430" s="1">
        <v>129</v>
      </c>
      <c r="M3430" s="1">
        <v>40</v>
      </c>
      <c r="N3430" s="1">
        <v>2</v>
      </c>
      <c r="O3430" s="1">
        <v>3.5</v>
      </c>
      <c r="P3430" s="1">
        <v>5</v>
      </c>
      <c r="Q3430" s="2">
        <v>0.2</v>
      </c>
      <c r="R3430" s="1">
        <v>3</v>
      </c>
      <c r="S3430" s="1">
        <f>R3430/P3430</f>
        <v>0.6</v>
      </c>
      <c r="T3430" s="1">
        <v>4</v>
      </c>
      <c r="U3430" s="1">
        <v>12.5</v>
      </c>
      <c r="V3430" s="1">
        <v>732.02614379084969</v>
      </c>
      <c r="W3430" s="1">
        <v>5</v>
      </c>
    </row>
    <row r="3431" spans="1:23" x14ac:dyDescent="0.2">
      <c r="A3431">
        <v>2021</v>
      </c>
      <c r="B3431" t="s">
        <v>23</v>
      </c>
      <c r="C3431" t="s">
        <v>272</v>
      </c>
      <c r="D3431">
        <v>56</v>
      </c>
      <c r="E3431">
        <v>2</v>
      </c>
      <c r="F3431">
        <v>12</v>
      </c>
      <c r="G3431" t="s">
        <v>80</v>
      </c>
      <c r="H3431" s="1">
        <v>8</v>
      </c>
      <c r="I3431" s="1">
        <v>56</v>
      </c>
      <c r="J3431" s="1">
        <v>60</v>
      </c>
      <c r="K3431" s="1">
        <f>J3431-I3431</f>
        <v>4</v>
      </c>
      <c r="L3431" s="1">
        <v>139</v>
      </c>
      <c r="M3431" s="1">
        <v>72</v>
      </c>
      <c r="N3431" s="1">
        <v>2</v>
      </c>
      <c r="O3431" s="1">
        <v>3</v>
      </c>
      <c r="P3431" s="1">
        <v>8</v>
      </c>
      <c r="Q3431" s="2">
        <v>0.45700000000000002</v>
      </c>
      <c r="R3431" s="1">
        <v>7</v>
      </c>
      <c r="S3431" s="1">
        <f>R3431/P3431</f>
        <v>0.875</v>
      </c>
      <c r="T3431" s="1">
        <v>3</v>
      </c>
      <c r="U3431" s="1">
        <v>10.8</v>
      </c>
      <c r="V3431" s="1">
        <v>1705.1775163398695</v>
      </c>
      <c r="W3431" s="1">
        <v>5</v>
      </c>
    </row>
    <row r="3432" spans="1:23" x14ac:dyDescent="0.2">
      <c r="A3432">
        <v>2021</v>
      </c>
      <c r="B3432" t="s">
        <v>23</v>
      </c>
      <c r="C3432" t="s">
        <v>272</v>
      </c>
      <c r="D3432">
        <v>57</v>
      </c>
      <c r="E3432">
        <v>1</v>
      </c>
      <c r="F3432">
        <v>1</v>
      </c>
      <c r="G3432" t="s">
        <v>81</v>
      </c>
      <c r="H3432" s="1">
        <v>12</v>
      </c>
      <c r="I3432" s="1">
        <v>61</v>
      </c>
      <c r="J3432" s="1">
        <v>65</v>
      </c>
      <c r="K3432" s="1">
        <f>J3432-I3432</f>
        <v>4</v>
      </c>
      <c r="L3432" s="1">
        <v>144</v>
      </c>
      <c r="M3432" s="1">
        <v>77</v>
      </c>
      <c r="N3432" s="1">
        <v>2</v>
      </c>
      <c r="O3432" s="1">
        <v>3.5</v>
      </c>
      <c r="P3432" s="1">
        <f>H3432</f>
        <v>12</v>
      </c>
      <c r="Q3432" s="2">
        <v>0.44700000000000001</v>
      </c>
      <c r="R3432" s="1">
        <v>9</v>
      </c>
      <c r="S3432" s="1">
        <f>R3432/P3432</f>
        <v>0.75</v>
      </c>
      <c r="T3432" s="1">
        <v>5</v>
      </c>
      <c r="U3432" s="1">
        <v>12.5</v>
      </c>
      <c r="V3432" s="1">
        <v>1636.0784313725494</v>
      </c>
      <c r="W3432" s="1">
        <v>4</v>
      </c>
    </row>
    <row r="3433" spans="1:23" x14ac:dyDescent="0.2">
      <c r="A3433">
        <v>2021</v>
      </c>
      <c r="B3433" t="s">
        <v>23</v>
      </c>
      <c r="C3433" t="s">
        <v>272</v>
      </c>
      <c r="D3433">
        <v>57</v>
      </c>
      <c r="E3433">
        <v>2</v>
      </c>
      <c r="F3433">
        <v>13</v>
      </c>
      <c r="G3433" t="s">
        <v>81</v>
      </c>
      <c r="H3433">
        <v>14</v>
      </c>
      <c r="I3433">
        <v>58</v>
      </c>
      <c r="J3433">
        <v>59</v>
      </c>
      <c r="K3433">
        <v>1</v>
      </c>
      <c r="L3433">
        <v>169</v>
      </c>
      <c r="M3433">
        <v>63</v>
      </c>
      <c r="N3433">
        <v>2</v>
      </c>
      <c r="O3433">
        <v>2</v>
      </c>
      <c r="P3433">
        <v>12</v>
      </c>
      <c r="Q3433">
        <v>1.2</v>
      </c>
      <c r="R3433">
        <v>10</v>
      </c>
      <c r="S3433">
        <v>0.83333333333333337</v>
      </c>
      <c r="T3433">
        <v>3</v>
      </c>
      <c r="U3433">
        <v>12.4</v>
      </c>
      <c r="V3433">
        <v>4397.1764705882351</v>
      </c>
      <c r="W3433">
        <v>2</v>
      </c>
    </row>
    <row r="3434" spans="1:23" x14ac:dyDescent="0.2">
      <c r="A3434">
        <v>2021</v>
      </c>
      <c r="B3434" t="s">
        <v>23</v>
      </c>
      <c r="C3434" t="s">
        <v>272</v>
      </c>
      <c r="D3434">
        <v>58</v>
      </c>
      <c r="E3434">
        <v>1</v>
      </c>
      <c r="F3434">
        <v>10</v>
      </c>
      <c r="G3434" t="s">
        <v>82</v>
      </c>
      <c r="H3434" s="1">
        <v>2</v>
      </c>
      <c r="I3434" s="1">
        <v>68</v>
      </c>
      <c r="J3434" s="1">
        <v>73</v>
      </c>
      <c r="K3434" s="1">
        <f>J3434-I3434</f>
        <v>5</v>
      </c>
      <c r="L3434" s="1">
        <v>66</v>
      </c>
      <c r="M3434" s="1">
        <v>37</v>
      </c>
      <c r="N3434" s="1">
        <v>1.5</v>
      </c>
      <c r="O3434" s="1">
        <v>5</v>
      </c>
      <c r="P3434" s="1">
        <v>2</v>
      </c>
      <c r="Q3434" s="2">
        <v>8.2000000000000003E-2</v>
      </c>
      <c r="R3434" s="1">
        <v>2</v>
      </c>
      <c r="S3434" s="1">
        <f>R3434/P3434</f>
        <v>1</v>
      </c>
      <c r="T3434" s="1">
        <v>4</v>
      </c>
      <c r="U3434" s="1">
        <v>12.5</v>
      </c>
      <c r="V3434" s="1">
        <v>300.13071895424832</v>
      </c>
      <c r="W3434" s="1">
        <v>2</v>
      </c>
    </row>
    <row r="3435" spans="1:23" x14ac:dyDescent="0.2">
      <c r="A3435">
        <v>2021</v>
      </c>
      <c r="B3435" t="s">
        <v>23</v>
      </c>
      <c r="C3435" t="s">
        <v>272</v>
      </c>
      <c r="D3435">
        <v>58</v>
      </c>
      <c r="E3435">
        <v>2</v>
      </c>
      <c r="F3435">
        <v>3</v>
      </c>
      <c r="G3435" t="s">
        <v>82</v>
      </c>
      <c r="H3435" s="1">
        <v>7</v>
      </c>
      <c r="I3435" s="1">
        <v>61</v>
      </c>
      <c r="J3435" s="1">
        <v>66</v>
      </c>
      <c r="K3435" s="1">
        <f>J3435-I3435</f>
        <v>5</v>
      </c>
      <c r="L3435" s="1">
        <v>90</v>
      </c>
      <c r="M3435" s="1">
        <v>25</v>
      </c>
      <c r="N3435" s="1">
        <v>3</v>
      </c>
      <c r="O3435" s="1">
        <v>5</v>
      </c>
      <c r="P3435" s="1">
        <v>3</v>
      </c>
      <c r="Q3435" s="2">
        <v>0.107</v>
      </c>
      <c r="R3435" s="1">
        <v>3</v>
      </c>
      <c r="S3435" s="1">
        <f>R3435/P3435</f>
        <v>1</v>
      </c>
      <c r="T3435" s="1">
        <v>5</v>
      </c>
      <c r="U3435" s="1">
        <v>12.5</v>
      </c>
      <c r="V3435" s="1">
        <v>391.63398692810449</v>
      </c>
      <c r="W3435" s="1">
        <v>5</v>
      </c>
    </row>
    <row r="3436" spans="1:23" x14ac:dyDescent="0.2">
      <c r="A3436">
        <v>2021</v>
      </c>
      <c r="B3436" t="s">
        <v>23</v>
      </c>
      <c r="C3436" t="s">
        <v>272</v>
      </c>
      <c r="D3436">
        <v>59</v>
      </c>
      <c r="E3436">
        <v>1</v>
      </c>
      <c r="F3436">
        <v>12</v>
      </c>
      <c r="G3436" t="s">
        <v>83</v>
      </c>
      <c r="H3436">
        <v>14</v>
      </c>
      <c r="I3436">
        <v>55</v>
      </c>
      <c r="J3436">
        <v>58</v>
      </c>
      <c r="K3436">
        <v>3</v>
      </c>
      <c r="L3436">
        <v>146</v>
      </c>
      <c r="M3436">
        <v>66</v>
      </c>
      <c r="N3436">
        <v>2</v>
      </c>
      <c r="O3436">
        <v>3</v>
      </c>
      <c r="P3436">
        <v>14</v>
      </c>
      <c r="Q3436">
        <v>1.4</v>
      </c>
      <c r="R3436">
        <v>12</v>
      </c>
      <c r="S3436">
        <v>0.8571428571428571</v>
      </c>
      <c r="T3436">
        <v>2.5</v>
      </c>
      <c r="U3436">
        <v>12.5</v>
      </c>
      <c r="V3436">
        <v>5124.1830065359472</v>
      </c>
      <c r="W3436">
        <v>2</v>
      </c>
    </row>
    <row r="3437" spans="1:23" x14ac:dyDescent="0.2">
      <c r="A3437">
        <v>2021</v>
      </c>
      <c r="B3437" t="s">
        <v>23</v>
      </c>
      <c r="C3437" t="s">
        <v>272</v>
      </c>
      <c r="D3437">
        <v>59</v>
      </c>
      <c r="E3437">
        <v>2</v>
      </c>
      <c r="F3437">
        <v>11</v>
      </c>
      <c r="G3437" t="s">
        <v>83</v>
      </c>
      <c r="H3437" s="1">
        <v>14</v>
      </c>
      <c r="I3437" s="1">
        <v>61</v>
      </c>
      <c r="J3437" s="1">
        <v>65</v>
      </c>
      <c r="K3437" s="1">
        <f>J3437-I3437</f>
        <v>4</v>
      </c>
      <c r="L3437" s="1">
        <v>188</v>
      </c>
      <c r="M3437" s="1">
        <v>117</v>
      </c>
      <c r="N3437" s="1">
        <v>2</v>
      </c>
      <c r="O3437" s="1">
        <v>3</v>
      </c>
      <c r="P3437" s="1">
        <f>H3437</f>
        <v>14</v>
      </c>
      <c r="Q3437" s="2">
        <v>0.31874999999999998</v>
      </c>
      <c r="R3437" s="1">
        <v>10</v>
      </c>
      <c r="S3437" s="1">
        <f>R3437/P3437</f>
        <v>0.7142857142857143</v>
      </c>
      <c r="T3437" s="1">
        <v>5</v>
      </c>
      <c r="U3437" s="1">
        <v>12.5</v>
      </c>
      <c r="V3437" s="1">
        <v>1166.6666666666665</v>
      </c>
      <c r="W3437" s="1">
        <v>4</v>
      </c>
    </row>
    <row r="3438" spans="1:23" x14ac:dyDescent="0.2">
      <c r="A3438">
        <v>2021</v>
      </c>
      <c r="B3438" t="s">
        <v>23</v>
      </c>
      <c r="C3438" t="s">
        <v>272</v>
      </c>
      <c r="D3438">
        <v>60</v>
      </c>
      <c r="E3438">
        <v>1</v>
      </c>
      <c r="F3438">
        <v>8</v>
      </c>
      <c r="G3438" t="s">
        <v>84</v>
      </c>
      <c r="H3438">
        <v>16</v>
      </c>
      <c r="I3438">
        <v>52</v>
      </c>
      <c r="J3438">
        <v>55</v>
      </c>
      <c r="K3438">
        <v>3</v>
      </c>
      <c r="L3438">
        <v>160</v>
      </c>
      <c r="M3438">
        <v>40</v>
      </c>
      <c r="N3438">
        <v>2</v>
      </c>
      <c r="O3438">
        <v>2.5</v>
      </c>
      <c r="P3438">
        <v>13</v>
      </c>
      <c r="Q3438">
        <v>1</v>
      </c>
      <c r="R3438">
        <v>16</v>
      </c>
      <c r="S3438">
        <v>1.2307692307692308</v>
      </c>
      <c r="T3438">
        <v>3</v>
      </c>
      <c r="U3438">
        <v>8.6</v>
      </c>
      <c r="V3438">
        <v>3823.2679738562092</v>
      </c>
      <c r="W3438">
        <v>2</v>
      </c>
    </row>
    <row r="3439" spans="1:23" x14ac:dyDescent="0.2">
      <c r="A3439">
        <v>2021</v>
      </c>
      <c r="B3439" t="s">
        <v>23</v>
      </c>
      <c r="C3439" t="s">
        <v>272</v>
      </c>
      <c r="D3439">
        <v>60</v>
      </c>
      <c r="E3439">
        <v>2</v>
      </c>
      <c r="F3439">
        <v>14</v>
      </c>
      <c r="G3439" t="s">
        <v>84</v>
      </c>
      <c r="H3439" s="1">
        <v>11</v>
      </c>
      <c r="I3439" s="1">
        <v>62</v>
      </c>
      <c r="J3439" s="1">
        <v>67</v>
      </c>
      <c r="K3439" s="1">
        <f>J3439-I3439</f>
        <v>5</v>
      </c>
      <c r="L3439" s="1">
        <v>123</v>
      </c>
      <c r="M3439" s="1">
        <v>55</v>
      </c>
      <c r="N3439" s="1">
        <v>2</v>
      </c>
      <c r="O3439" s="1">
        <v>3.5</v>
      </c>
      <c r="P3439" s="1">
        <v>10</v>
      </c>
      <c r="Q3439" s="2">
        <v>0.21080000000000002</v>
      </c>
      <c r="R3439" s="1">
        <v>5</v>
      </c>
      <c r="S3439" s="1">
        <f>R3439/P3439</f>
        <v>0.5</v>
      </c>
      <c r="T3439" s="1">
        <v>5</v>
      </c>
      <c r="U3439" s="1">
        <v>12.5</v>
      </c>
      <c r="V3439" s="1">
        <v>771.55555555555554</v>
      </c>
      <c r="W3439" s="1">
        <v>4</v>
      </c>
    </row>
    <row r="3440" spans="1:23" x14ac:dyDescent="0.2">
      <c r="A3440">
        <v>2021</v>
      </c>
      <c r="B3440" t="s">
        <v>23</v>
      </c>
      <c r="C3440" t="s">
        <v>272</v>
      </c>
      <c r="D3440">
        <v>61</v>
      </c>
      <c r="E3440">
        <v>1</v>
      </c>
      <c r="F3440">
        <v>12</v>
      </c>
      <c r="G3440" t="s">
        <v>85</v>
      </c>
      <c r="H3440" s="1">
        <v>5</v>
      </c>
      <c r="I3440" s="1">
        <v>65</v>
      </c>
      <c r="J3440" s="1">
        <v>67</v>
      </c>
      <c r="K3440" s="1">
        <f>J3440-I3440</f>
        <v>2</v>
      </c>
      <c r="L3440" s="1">
        <v>160</v>
      </c>
      <c r="M3440" s="1">
        <v>97</v>
      </c>
      <c r="N3440" s="1">
        <v>1</v>
      </c>
      <c r="O3440" s="1">
        <v>2.5</v>
      </c>
      <c r="P3440" s="1">
        <v>4</v>
      </c>
      <c r="Q3440" s="2">
        <v>0.64260000000000006</v>
      </c>
      <c r="R3440" s="1">
        <v>7</v>
      </c>
      <c r="S3440" s="1">
        <f>R3440/P3440</f>
        <v>1.75</v>
      </c>
      <c r="T3440" s="1">
        <v>3</v>
      </c>
      <c r="U3440" s="1">
        <v>12.5</v>
      </c>
      <c r="V3440" s="1">
        <v>2352.0000000000009</v>
      </c>
      <c r="W3440" s="1">
        <v>4</v>
      </c>
    </row>
    <row r="3441" spans="1:23" x14ac:dyDescent="0.2">
      <c r="A3441">
        <v>2021</v>
      </c>
      <c r="B3441" t="s">
        <v>23</v>
      </c>
      <c r="C3441" t="s">
        <v>272</v>
      </c>
      <c r="D3441">
        <v>61</v>
      </c>
      <c r="E3441">
        <v>2</v>
      </c>
      <c r="F3441">
        <v>2</v>
      </c>
      <c r="G3441" t="s">
        <v>85</v>
      </c>
      <c r="H3441">
        <v>4</v>
      </c>
      <c r="I3441">
        <v>53</v>
      </c>
      <c r="J3441">
        <v>55</v>
      </c>
      <c r="K3441">
        <v>2</v>
      </c>
      <c r="L3441">
        <v>148</v>
      </c>
      <c r="M3441">
        <v>70</v>
      </c>
      <c r="N3441">
        <v>3</v>
      </c>
      <c r="O3441">
        <v>3</v>
      </c>
      <c r="P3441">
        <v>3</v>
      </c>
      <c r="Q3441">
        <v>0.14899999999999999</v>
      </c>
      <c r="R3441">
        <v>3</v>
      </c>
      <c r="S3441">
        <v>1</v>
      </c>
      <c r="T3441">
        <v>3</v>
      </c>
      <c r="U3441">
        <v>12.5</v>
      </c>
      <c r="V3441">
        <v>545.35947712418294</v>
      </c>
      <c r="W3441">
        <v>2</v>
      </c>
    </row>
    <row r="3442" spans="1:23" x14ac:dyDescent="0.2">
      <c r="A3442">
        <v>2021</v>
      </c>
      <c r="B3442" t="s">
        <v>23</v>
      </c>
      <c r="C3442" t="s">
        <v>272</v>
      </c>
      <c r="D3442">
        <v>62</v>
      </c>
      <c r="E3442">
        <v>1</v>
      </c>
      <c r="F3442">
        <v>7</v>
      </c>
      <c r="G3442" t="s">
        <v>86</v>
      </c>
      <c r="H3442" s="1">
        <v>1</v>
      </c>
      <c r="I3442" s="1">
        <v>66</v>
      </c>
      <c r="J3442" s="1">
        <v>67</v>
      </c>
      <c r="K3442" s="1">
        <f>J3442-I3442</f>
        <v>1</v>
      </c>
      <c r="L3442" s="1">
        <v>103</v>
      </c>
      <c r="M3442" s="1">
        <v>36</v>
      </c>
      <c r="N3442" s="1">
        <v>2</v>
      </c>
      <c r="O3442" s="1">
        <v>5</v>
      </c>
      <c r="P3442" s="1">
        <v>1</v>
      </c>
      <c r="Q3442" s="2">
        <v>3.7199999999999997E-2</v>
      </c>
      <c r="R3442" s="1">
        <v>1</v>
      </c>
      <c r="S3442" s="1">
        <f>R3442/P3442</f>
        <v>1</v>
      </c>
      <c r="T3442" s="1">
        <v>5</v>
      </c>
      <c r="U3442" s="1">
        <v>12.5</v>
      </c>
      <c r="V3442" s="1">
        <v>136.15686274509804</v>
      </c>
      <c r="W3442" s="1">
        <v>6</v>
      </c>
    </row>
    <row r="3443" spans="1:23" x14ac:dyDescent="0.2">
      <c r="A3443">
        <v>2021</v>
      </c>
      <c r="B3443" t="s">
        <v>23</v>
      </c>
      <c r="C3443" t="s">
        <v>272</v>
      </c>
      <c r="D3443">
        <v>62</v>
      </c>
      <c r="E3443">
        <v>2</v>
      </c>
      <c r="F3443">
        <v>4</v>
      </c>
      <c r="G3443" t="s">
        <v>86</v>
      </c>
      <c r="H3443" s="1">
        <v>5</v>
      </c>
      <c r="I3443" s="1">
        <v>67</v>
      </c>
      <c r="J3443" s="1">
        <v>70</v>
      </c>
      <c r="K3443" s="1">
        <f>J3443-I3443</f>
        <v>3</v>
      </c>
      <c r="L3443" s="1">
        <v>135</v>
      </c>
      <c r="M3443" s="1">
        <v>48</v>
      </c>
      <c r="N3443" s="1">
        <v>2</v>
      </c>
      <c r="O3443" s="1">
        <v>4</v>
      </c>
      <c r="P3443" s="1">
        <v>4</v>
      </c>
      <c r="Q3443" s="2">
        <v>0.26500000000000001</v>
      </c>
      <c r="R3443" s="1">
        <v>3</v>
      </c>
      <c r="S3443" s="1">
        <f>R3443/P3443</f>
        <v>0.75</v>
      </c>
      <c r="T3443" s="1">
        <v>4</v>
      </c>
      <c r="U3443" s="1">
        <v>12.5</v>
      </c>
      <c r="V3443" s="1">
        <v>969.93464052287584</v>
      </c>
      <c r="W3443" s="1">
        <v>4</v>
      </c>
    </row>
    <row r="3444" spans="1:23" x14ac:dyDescent="0.2">
      <c r="A3444">
        <v>2021</v>
      </c>
      <c r="B3444" t="s">
        <v>23</v>
      </c>
      <c r="C3444" t="s">
        <v>272</v>
      </c>
      <c r="D3444">
        <v>63</v>
      </c>
      <c r="E3444">
        <v>1</v>
      </c>
      <c r="F3444">
        <v>6</v>
      </c>
      <c r="G3444" t="s">
        <v>87</v>
      </c>
      <c r="H3444" s="1">
        <v>10</v>
      </c>
      <c r="I3444" s="1">
        <v>64</v>
      </c>
      <c r="J3444" s="1">
        <v>67</v>
      </c>
      <c r="K3444" s="1">
        <f>J3444-I3444</f>
        <v>3</v>
      </c>
      <c r="L3444" s="1">
        <v>118</v>
      </c>
      <c r="M3444" s="1">
        <v>36</v>
      </c>
      <c r="N3444" s="1">
        <v>3</v>
      </c>
      <c r="O3444" s="1">
        <v>5</v>
      </c>
      <c r="P3444" s="1">
        <v>4</v>
      </c>
      <c r="Q3444" s="2">
        <v>8.4000000000000005E-2</v>
      </c>
      <c r="R3444" s="1">
        <v>3</v>
      </c>
      <c r="S3444" s="1">
        <f>R3444/P3444</f>
        <v>0.75</v>
      </c>
      <c r="T3444" s="1">
        <v>5</v>
      </c>
      <c r="U3444" s="1">
        <v>12.5</v>
      </c>
      <c r="V3444" s="1">
        <v>307.45098039215685</v>
      </c>
      <c r="W3444" s="1">
        <v>6</v>
      </c>
    </row>
    <row r="3445" spans="1:23" x14ac:dyDescent="0.2">
      <c r="A3445">
        <v>2021</v>
      </c>
      <c r="B3445" t="s">
        <v>23</v>
      </c>
      <c r="C3445" t="s">
        <v>272</v>
      </c>
      <c r="D3445">
        <v>63</v>
      </c>
      <c r="E3445">
        <v>2</v>
      </c>
      <c r="F3445">
        <v>3</v>
      </c>
      <c r="G3445" t="s">
        <v>87</v>
      </c>
      <c r="H3445" s="1">
        <v>6</v>
      </c>
      <c r="I3445" s="1">
        <v>58</v>
      </c>
      <c r="J3445" s="1">
        <v>63</v>
      </c>
      <c r="K3445" s="1">
        <f>J3445-I3445</f>
        <v>5</v>
      </c>
      <c r="L3445" s="1">
        <v>55</v>
      </c>
      <c r="M3445" s="1">
        <v>27</v>
      </c>
      <c r="N3445" s="1">
        <v>1.5</v>
      </c>
      <c r="O3445" s="1">
        <v>5</v>
      </c>
      <c r="P3445" s="1">
        <v>3</v>
      </c>
      <c r="Q3445" s="2">
        <v>0.11</v>
      </c>
      <c r="R3445" s="1">
        <v>3</v>
      </c>
      <c r="S3445" s="1">
        <f>R3445/P3445</f>
        <v>1</v>
      </c>
      <c r="T3445" s="1">
        <v>5</v>
      </c>
      <c r="U3445" s="1">
        <v>12.5</v>
      </c>
      <c r="V3445" s="1">
        <v>402.61437908496731</v>
      </c>
      <c r="W3445" s="1">
        <v>6</v>
      </c>
    </row>
    <row r="3446" spans="1:23" x14ac:dyDescent="0.2">
      <c r="A3446">
        <v>2021</v>
      </c>
      <c r="B3446" t="s">
        <v>23</v>
      </c>
      <c r="C3446" t="s">
        <v>272</v>
      </c>
      <c r="D3446">
        <v>64</v>
      </c>
      <c r="E3446">
        <v>1</v>
      </c>
      <c r="F3446">
        <v>2</v>
      </c>
      <c r="G3446" t="s">
        <v>88</v>
      </c>
      <c r="H3446" s="1">
        <v>2</v>
      </c>
      <c r="I3446" s="1">
        <v>67</v>
      </c>
      <c r="J3446" s="1">
        <v>71</v>
      </c>
      <c r="K3446" s="1">
        <f>J3446-I3446</f>
        <v>4</v>
      </c>
      <c r="L3446" s="1">
        <v>133</v>
      </c>
      <c r="M3446" s="1">
        <v>34</v>
      </c>
      <c r="N3446" s="1">
        <v>2</v>
      </c>
      <c r="O3446" s="1">
        <v>4</v>
      </c>
      <c r="P3446" s="1">
        <v>2</v>
      </c>
      <c r="Q3446" s="2">
        <v>8.4000000000000005E-2</v>
      </c>
      <c r="R3446" s="1">
        <v>2</v>
      </c>
      <c r="S3446" s="1">
        <f>R3446/P3446</f>
        <v>1</v>
      </c>
      <c r="T3446" s="1">
        <v>5</v>
      </c>
      <c r="U3446" s="1">
        <v>12.5</v>
      </c>
      <c r="V3446" s="1">
        <v>307.45098039215685</v>
      </c>
      <c r="W3446" s="1">
        <v>4</v>
      </c>
    </row>
    <row r="3447" spans="1:23" x14ac:dyDescent="0.2">
      <c r="A3447">
        <v>2021</v>
      </c>
      <c r="B3447" t="s">
        <v>23</v>
      </c>
      <c r="C3447" t="s">
        <v>272</v>
      </c>
      <c r="D3447">
        <v>64</v>
      </c>
      <c r="E3447">
        <v>2</v>
      </c>
      <c r="F3447">
        <v>6</v>
      </c>
      <c r="G3447" t="s">
        <v>88</v>
      </c>
      <c r="H3447">
        <v>5</v>
      </c>
      <c r="I3447">
        <v>60</v>
      </c>
      <c r="J3447">
        <v>62</v>
      </c>
      <c r="K3447">
        <v>2</v>
      </c>
      <c r="L3447">
        <v>168</v>
      </c>
      <c r="M3447">
        <v>66</v>
      </c>
      <c r="N3447">
        <v>1.5</v>
      </c>
      <c r="O3447">
        <v>4</v>
      </c>
      <c r="P3447">
        <v>5</v>
      </c>
      <c r="Q3447">
        <v>0.3</v>
      </c>
      <c r="R3447">
        <v>4</v>
      </c>
      <c r="S3447">
        <v>0.8</v>
      </c>
      <c r="T3447">
        <v>2</v>
      </c>
      <c r="U3447">
        <v>12.5</v>
      </c>
      <c r="V3447">
        <v>1098.0392156862745</v>
      </c>
      <c r="W3447">
        <v>1</v>
      </c>
    </row>
    <row r="3448" spans="1:23" x14ac:dyDescent="0.2">
      <c r="A3448">
        <v>2021</v>
      </c>
      <c r="B3448" t="s">
        <v>23</v>
      </c>
      <c r="C3448" t="s">
        <v>272</v>
      </c>
      <c r="D3448">
        <v>65</v>
      </c>
      <c r="E3448">
        <v>1</v>
      </c>
      <c r="F3448">
        <v>4</v>
      </c>
      <c r="G3448" t="s">
        <v>89</v>
      </c>
      <c r="H3448" s="1">
        <v>14</v>
      </c>
      <c r="I3448" s="1">
        <v>68</v>
      </c>
      <c r="J3448" s="1">
        <v>70</v>
      </c>
      <c r="K3448" s="1">
        <f>J3448-I3448</f>
        <v>2</v>
      </c>
      <c r="L3448" s="1">
        <v>127</v>
      </c>
      <c r="M3448" s="1">
        <v>70</v>
      </c>
      <c r="N3448" s="1">
        <v>2</v>
      </c>
      <c r="O3448" s="1">
        <v>3.5</v>
      </c>
      <c r="P3448" s="1">
        <f>H3448</f>
        <v>14</v>
      </c>
      <c r="Q3448" s="2">
        <v>0.47849999999999998</v>
      </c>
      <c r="R3448" s="1">
        <v>10</v>
      </c>
      <c r="S3448" s="1">
        <f>R3448/P3448</f>
        <v>0.7142857142857143</v>
      </c>
      <c r="T3448" s="1">
        <v>5</v>
      </c>
      <c r="U3448" s="1">
        <v>12.5</v>
      </c>
      <c r="V3448" s="1">
        <v>1751.3725490196077</v>
      </c>
      <c r="W3448" s="1">
        <v>4</v>
      </c>
    </row>
    <row r="3449" spans="1:23" x14ac:dyDescent="0.2">
      <c r="A3449">
        <v>2021</v>
      </c>
      <c r="B3449" t="s">
        <v>23</v>
      </c>
      <c r="C3449" t="s">
        <v>272</v>
      </c>
      <c r="D3449">
        <v>65</v>
      </c>
      <c r="E3449">
        <v>2</v>
      </c>
      <c r="F3449">
        <v>2</v>
      </c>
      <c r="G3449" t="s">
        <v>89</v>
      </c>
      <c r="H3449">
        <v>16</v>
      </c>
      <c r="I3449">
        <v>54</v>
      </c>
      <c r="J3449">
        <v>56</v>
      </c>
      <c r="K3449">
        <v>2</v>
      </c>
      <c r="L3449">
        <v>143</v>
      </c>
      <c r="M3449">
        <v>82</v>
      </c>
      <c r="N3449">
        <v>2</v>
      </c>
      <c r="O3449">
        <v>2</v>
      </c>
      <c r="P3449">
        <v>14</v>
      </c>
      <c r="Q3449">
        <v>1.5</v>
      </c>
      <c r="R3449">
        <v>10</v>
      </c>
      <c r="S3449">
        <v>0.7142857142857143</v>
      </c>
      <c r="T3449">
        <v>2</v>
      </c>
      <c r="U3449">
        <v>10.5</v>
      </c>
      <c r="V3449">
        <v>5615.6862745098042</v>
      </c>
      <c r="W3449">
        <v>1</v>
      </c>
    </row>
    <row r="3450" spans="1:23" x14ac:dyDescent="0.2">
      <c r="A3450">
        <v>2021</v>
      </c>
      <c r="B3450" t="s">
        <v>23</v>
      </c>
      <c r="C3450" t="s">
        <v>272</v>
      </c>
      <c r="D3450">
        <v>66</v>
      </c>
      <c r="E3450">
        <v>1</v>
      </c>
      <c r="F3450">
        <v>4</v>
      </c>
      <c r="G3450" t="s">
        <v>90</v>
      </c>
      <c r="H3450" s="1">
        <v>6</v>
      </c>
      <c r="I3450" s="1">
        <v>58</v>
      </c>
      <c r="J3450" s="1">
        <v>63</v>
      </c>
      <c r="K3450" s="1">
        <f>J3450-I3450</f>
        <v>5</v>
      </c>
      <c r="L3450" s="1">
        <v>123</v>
      </c>
      <c r="M3450" s="1">
        <v>56</v>
      </c>
      <c r="N3450" s="1">
        <v>2</v>
      </c>
      <c r="O3450" s="1">
        <v>4</v>
      </c>
      <c r="P3450" s="1">
        <v>4</v>
      </c>
      <c r="Q3450" s="2">
        <v>0.35799999999999998</v>
      </c>
      <c r="R3450" s="1">
        <v>4</v>
      </c>
      <c r="S3450" s="1">
        <f>R3450/P3450</f>
        <v>1</v>
      </c>
      <c r="T3450" s="1">
        <v>1.5</v>
      </c>
      <c r="U3450" s="1">
        <v>12.5</v>
      </c>
      <c r="V3450" s="1">
        <v>1310.3267973856209</v>
      </c>
      <c r="W3450" s="1">
        <v>2</v>
      </c>
    </row>
    <row r="3451" spans="1:23" x14ac:dyDescent="0.2">
      <c r="A3451">
        <v>2021</v>
      </c>
      <c r="B3451" t="s">
        <v>23</v>
      </c>
      <c r="C3451" t="s">
        <v>272</v>
      </c>
      <c r="D3451">
        <v>66</v>
      </c>
      <c r="E3451">
        <v>2</v>
      </c>
      <c r="F3451">
        <v>6</v>
      </c>
      <c r="G3451" t="s">
        <v>90</v>
      </c>
      <c r="H3451">
        <v>8</v>
      </c>
      <c r="I3451">
        <v>60</v>
      </c>
      <c r="J3451">
        <v>62</v>
      </c>
      <c r="K3451">
        <v>2</v>
      </c>
      <c r="L3451">
        <v>196</v>
      </c>
      <c r="M3451">
        <v>56</v>
      </c>
      <c r="N3451">
        <v>2</v>
      </c>
      <c r="O3451">
        <v>3</v>
      </c>
      <c r="P3451">
        <v>8</v>
      </c>
      <c r="Q3451">
        <v>0.6</v>
      </c>
      <c r="R3451">
        <v>6</v>
      </c>
      <c r="S3451">
        <v>0.75</v>
      </c>
      <c r="T3451">
        <v>2.5</v>
      </c>
      <c r="U3451">
        <v>12.5</v>
      </c>
      <c r="V3451">
        <v>2196.0784313725489</v>
      </c>
      <c r="W3451">
        <v>2</v>
      </c>
    </row>
    <row r="3452" spans="1:23" x14ac:dyDescent="0.2">
      <c r="A3452">
        <v>2021</v>
      </c>
      <c r="B3452" t="s">
        <v>23</v>
      </c>
      <c r="C3452" t="s">
        <v>272</v>
      </c>
      <c r="D3452">
        <v>67</v>
      </c>
      <c r="E3452">
        <v>1</v>
      </c>
      <c r="F3452">
        <v>2</v>
      </c>
      <c r="G3452" t="s">
        <v>91</v>
      </c>
      <c r="H3452" s="1">
        <v>12</v>
      </c>
      <c r="I3452" s="1">
        <v>62</v>
      </c>
      <c r="J3452" s="1">
        <v>66</v>
      </c>
      <c r="K3452" s="1">
        <f>J3452-I3452</f>
        <v>4</v>
      </c>
      <c r="L3452" s="1">
        <v>169</v>
      </c>
      <c r="M3452" s="1">
        <v>95</v>
      </c>
      <c r="N3452" s="1">
        <v>2</v>
      </c>
      <c r="O3452" s="1">
        <v>2.5</v>
      </c>
      <c r="P3452" s="1">
        <v>4</v>
      </c>
      <c r="Q3452" s="2">
        <v>0.13980000000000001</v>
      </c>
      <c r="R3452" s="1">
        <v>4</v>
      </c>
      <c r="S3452" s="1">
        <f>R3452/P3452</f>
        <v>1</v>
      </c>
      <c r="T3452" s="1">
        <v>5</v>
      </c>
      <c r="U3452" s="1">
        <v>12.5</v>
      </c>
      <c r="V3452" s="1">
        <v>511.68627450980392</v>
      </c>
      <c r="W3452" s="1">
        <v>5</v>
      </c>
    </row>
    <row r="3453" spans="1:23" x14ac:dyDescent="0.2">
      <c r="A3453">
        <v>2021</v>
      </c>
      <c r="B3453" t="s">
        <v>23</v>
      </c>
      <c r="C3453" t="s">
        <v>272</v>
      </c>
      <c r="D3453">
        <v>67</v>
      </c>
      <c r="E3453">
        <v>2</v>
      </c>
      <c r="F3453">
        <v>14</v>
      </c>
      <c r="G3453" t="s">
        <v>91</v>
      </c>
      <c r="H3453" s="1">
        <v>14</v>
      </c>
      <c r="I3453" s="1">
        <v>69</v>
      </c>
      <c r="J3453" s="1">
        <v>73</v>
      </c>
      <c r="K3453" s="1">
        <f>J3453-I3453</f>
        <v>4</v>
      </c>
      <c r="L3453" s="1">
        <v>163</v>
      </c>
      <c r="M3453" s="1">
        <v>75</v>
      </c>
      <c r="N3453" s="1">
        <v>2</v>
      </c>
      <c r="O3453" s="1">
        <v>2</v>
      </c>
      <c r="P3453" s="1">
        <f>H3453</f>
        <v>14</v>
      </c>
      <c r="Q3453" s="2">
        <v>0.28799999999999998</v>
      </c>
      <c r="R3453" s="1">
        <v>10</v>
      </c>
      <c r="S3453" s="1">
        <f>R3453/P3453</f>
        <v>0.7142857142857143</v>
      </c>
      <c r="T3453" s="1">
        <v>3</v>
      </c>
      <c r="U3453" s="1">
        <v>12.5</v>
      </c>
      <c r="V3453" s="1">
        <v>1054.1176470588236</v>
      </c>
      <c r="W3453" s="1">
        <v>5</v>
      </c>
    </row>
    <row r="3454" spans="1:23" x14ac:dyDescent="0.2">
      <c r="A3454">
        <v>2021</v>
      </c>
      <c r="B3454" t="s">
        <v>23</v>
      </c>
      <c r="C3454" t="s">
        <v>272</v>
      </c>
      <c r="D3454">
        <v>68</v>
      </c>
      <c r="E3454">
        <v>1</v>
      </c>
      <c r="F3454">
        <v>7</v>
      </c>
      <c r="G3454" t="s">
        <v>92</v>
      </c>
      <c r="H3454" s="1">
        <v>5</v>
      </c>
      <c r="I3454" s="1">
        <v>60</v>
      </c>
      <c r="J3454" s="1">
        <v>64</v>
      </c>
      <c r="K3454" s="1">
        <f>J3454-I3454</f>
        <v>4</v>
      </c>
      <c r="L3454" s="1">
        <v>154</v>
      </c>
      <c r="M3454" s="1">
        <v>40</v>
      </c>
      <c r="N3454" s="1">
        <v>1.5</v>
      </c>
      <c r="O3454" s="1">
        <v>3.5</v>
      </c>
      <c r="P3454" s="1">
        <v>5</v>
      </c>
      <c r="Q3454" s="2">
        <v>0.189</v>
      </c>
      <c r="R3454" s="1">
        <v>6</v>
      </c>
      <c r="S3454" s="1">
        <f>R3454/P3454</f>
        <v>1.2</v>
      </c>
      <c r="T3454" s="1">
        <v>3</v>
      </c>
      <c r="U3454" s="1">
        <v>12.5</v>
      </c>
      <c r="V3454" s="1">
        <v>691.76470588235293</v>
      </c>
      <c r="W3454" s="1">
        <v>3</v>
      </c>
    </row>
    <row r="3455" spans="1:23" x14ac:dyDescent="0.2">
      <c r="A3455">
        <v>2021</v>
      </c>
      <c r="B3455" t="s">
        <v>23</v>
      </c>
      <c r="C3455" t="s">
        <v>272</v>
      </c>
      <c r="D3455">
        <v>68</v>
      </c>
      <c r="E3455">
        <v>2</v>
      </c>
      <c r="F3455">
        <v>13</v>
      </c>
      <c r="G3455" t="s">
        <v>92</v>
      </c>
      <c r="H3455">
        <v>3</v>
      </c>
      <c r="I3455">
        <v>54</v>
      </c>
      <c r="J3455">
        <v>58</v>
      </c>
      <c r="K3455">
        <v>4</v>
      </c>
      <c r="L3455">
        <v>46</v>
      </c>
      <c r="M3455">
        <v>16</v>
      </c>
      <c r="N3455">
        <v>3</v>
      </c>
      <c r="O3455">
        <v>4</v>
      </c>
      <c r="P3455">
        <v>2</v>
      </c>
      <c r="Q3455">
        <v>0.152</v>
      </c>
      <c r="R3455">
        <v>4</v>
      </c>
      <c r="S3455">
        <v>2</v>
      </c>
      <c r="T3455">
        <v>3</v>
      </c>
      <c r="U3455">
        <v>12.5</v>
      </c>
      <c r="V3455">
        <v>556.33986928104571</v>
      </c>
      <c r="W3455">
        <v>1</v>
      </c>
    </row>
    <row r="3456" spans="1:23" x14ac:dyDescent="0.2">
      <c r="A3456">
        <v>2021</v>
      </c>
      <c r="B3456" t="s">
        <v>23</v>
      </c>
      <c r="C3456" t="s">
        <v>272</v>
      </c>
      <c r="D3456">
        <v>69</v>
      </c>
      <c r="E3456">
        <v>1</v>
      </c>
      <c r="F3456">
        <v>14</v>
      </c>
      <c r="G3456" t="s">
        <v>93</v>
      </c>
      <c r="H3456" s="1">
        <v>5</v>
      </c>
      <c r="I3456" s="1">
        <v>65</v>
      </c>
      <c r="J3456" s="1">
        <v>70</v>
      </c>
      <c r="K3456" s="1">
        <f>J3456-I3456</f>
        <v>5</v>
      </c>
      <c r="L3456" s="1">
        <v>105</v>
      </c>
      <c r="M3456" s="1">
        <v>26</v>
      </c>
      <c r="N3456" s="1">
        <v>2</v>
      </c>
      <c r="O3456" s="1">
        <v>4.5</v>
      </c>
      <c r="P3456" s="1">
        <v>2</v>
      </c>
      <c r="Q3456" s="2">
        <v>8.7999999999999995E-2</v>
      </c>
      <c r="R3456" s="1">
        <v>2</v>
      </c>
      <c r="S3456" s="1">
        <f>R3456/P3456</f>
        <v>1</v>
      </c>
      <c r="T3456" s="1">
        <v>5</v>
      </c>
      <c r="U3456" s="1">
        <v>12.5</v>
      </c>
      <c r="V3456" s="1">
        <v>322.09150326797385</v>
      </c>
      <c r="W3456" s="1">
        <v>7</v>
      </c>
    </row>
    <row r="3457" spans="1:23" x14ac:dyDescent="0.2">
      <c r="A3457">
        <v>2021</v>
      </c>
      <c r="B3457" t="s">
        <v>23</v>
      </c>
      <c r="C3457" t="s">
        <v>272</v>
      </c>
      <c r="D3457">
        <v>69</v>
      </c>
      <c r="E3457">
        <v>2</v>
      </c>
      <c r="F3457">
        <v>15</v>
      </c>
      <c r="G3457" t="s">
        <v>93</v>
      </c>
      <c r="H3457" s="1">
        <v>5</v>
      </c>
      <c r="I3457" s="1">
        <v>67</v>
      </c>
      <c r="J3457" s="1">
        <v>72</v>
      </c>
      <c r="K3457" s="1">
        <f>J3457-I3457</f>
        <v>5</v>
      </c>
      <c r="L3457" s="1">
        <v>143</v>
      </c>
      <c r="M3457" s="1">
        <v>100</v>
      </c>
      <c r="N3457" s="1">
        <v>2</v>
      </c>
      <c r="O3457" s="1">
        <v>2</v>
      </c>
      <c r="P3457" s="1">
        <v>3</v>
      </c>
      <c r="Q3457" s="2">
        <v>0.44800000000000001</v>
      </c>
      <c r="R3457" s="1">
        <v>4</v>
      </c>
      <c r="S3457" s="1">
        <f>R3457/P3457</f>
        <v>1.3333333333333333</v>
      </c>
      <c r="T3457" s="1">
        <v>5</v>
      </c>
      <c r="U3457" s="1">
        <v>12.5</v>
      </c>
      <c r="V3457" s="1">
        <v>1639.7385620915034</v>
      </c>
      <c r="W3457" s="1">
        <v>3</v>
      </c>
    </row>
    <row r="3458" spans="1:23" x14ac:dyDescent="0.2">
      <c r="A3458">
        <v>2021</v>
      </c>
      <c r="B3458" t="s">
        <v>23</v>
      </c>
      <c r="C3458" t="s">
        <v>272</v>
      </c>
      <c r="D3458">
        <v>70</v>
      </c>
      <c r="E3458">
        <v>1</v>
      </c>
      <c r="F3458">
        <v>14</v>
      </c>
      <c r="G3458" t="s">
        <v>94</v>
      </c>
      <c r="H3458">
        <v>16</v>
      </c>
      <c r="I3458">
        <v>56</v>
      </c>
      <c r="J3458">
        <v>57</v>
      </c>
      <c r="K3458">
        <v>1</v>
      </c>
      <c r="L3458">
        <v>176</v>
      </c>
      <c r="M3458">
        <v>73</v>
      </c>
      <c r="N3458">
        <v>1</v>
      </c>
      <c r="O3458">
        <v>1.5</v>
      </c>
      <c r="P3458">
        <v>7</v>
      </c>
      <c r="Q3458">
        <v>0.5</v>
      </c>
      <c r="R3458">
        <v>7</v>
      </c>
      <c r="S3458">
        <v>1</v>
      </c>
      <c r="T3458">
        <v>3</v>
      </c>
      <c r="U3458">
        <v>9.1</v>
      </c>
      <c r="V3458">
        <v>1901.1764705882354</v>
      </c>
      <c r="W3458">
        <v>2</v>
      </c>
    </row>
    <row r="3459" spans="1:23" x14ac:dyDescent="0.2">
      <c r="A3459">
        <v>2021</v>
      </c>
      <c r="B3459" t="s">
        <v>23</v>
      </c>
      <c r="C3459" t="s">
        <v>272</v>
      </c>
      <c r="D3459">
        <v>70</v>
      </c>
      <c r="E3459">
        <v>2</v>
      </c>
      <c r="F3459">
        <v>4</v>
      </c>
      <c r="G3459" t="s">
        <v>94</v>
      </c>
      <c r="H3459" s="1">
        <v>13</v>
      </c>
      <c r="I3459" s="1">
        <v>67</v>
      </c>
      <c r="J3459" s="1">
        <v>72</v>
      </c>
      <c r="K3459" s="1">
        <f>J3459-I3459</f>
        <v>5</v>
      </c>
      <c r="L3459" s="1">
        <v>137</v>
      </c>
      <c r="M3459" s="1">
        <v>90</v>
      </c>
      <c r="N3459" s="1">
        <v>2</v>
      </c>
      <c r="O3459" s="1">
        <v>3.5</v>
      </c>
      <c r="P3459" s="1">
        <f>H3459</f>
        <v>13</v>
      </c>
      <c r="Q3459" s="2">
        <v>0.44700000000000001</v>
      </c>
      <c r="R3459" s="1">
        <v>10</v>
      </c>
      <c r="S3459" s="1">
        <f>R3459/P3459</f>
        <v>0.76923076923076927</v>
      </c>
      <c r="T3459" s="1">
        <v>5</v>
      </c>
      <c r="U3459" s="1">
        <v>12.5</v>
      </c>
      <c r="V3459" s="1">
        <v>1636.0784313725494</v>
      </c>
      <c r="W3459" s="1">
        <v>5</v>
      </c>
    </row>
    <row r="3460" spans="1:23" x14ac:dyDescent="0.2">
      <c r="A3460">
        <v>2021</v>
      </c>
      <c r="B3460" t="s">
        <v>23</v>
      </c>
      <c r="C3460" t="s">
        <v>272</v>
      </c>
      <c r="D3460">
        <v>71</v>
      </c>
      <c r="E3460">
        <v>1</v>
      </c>
      <c r="F3460">
        <v>7</v>
      </c>
      <c r="G3460" t="s">
        <v>95</v>
      </c>
      <c r="H3460" s="1">
        <v>2</v>
      </c>
      <c r="I3460" s="1">
        <v>70</v>
      </c>
      <c r="J3460" s="1">
        <v>74</v>
      </c>
      <c r="K3460" s="1">
        <f>J3460-I3460</f>
        <v>4</v>
      </c>
      <c r="L3460" s="1">
        <v>127</v>
      </c>
      <c r="M3460" s="1">
        <v>63</v>
      </c>
      <c r="N3460" s="1">
        <v>2</v>
      </c>
      <c r="O3460" s="1">
        <v>3</v>
      </c>
      <c r="P3460" s="1">
        <v>2</v>
      </c>
      <c r="Q3460" s="2">
        <v>0.24</v>
      </c>
      <c r="R3460" s="1">
        <v>2</v>
      </c>
      <c r="S3460" s="1">
        <f>R3460/P3460</f>
        <v>1</v>
      </c>
      <c r="T3460" s="1">
        <v>4</v>
      </c>
      <c r="U3460" s="1">
        <v>12.5</v>
      </c>
      <c r="V3460" s="1">
        <v>878.43137254901967</v>
      </c>
      <c r="W3460" s="1">
        <v>4</v>
      </c>
    </row>
    <row r="3461" spans="1:23" x14ac:dyDescent="0.2">
      <c r="A3461">
        <v>2021</v>
      </c>
      <c r="B3461" t="s">
        <v>23</v>
      </c>
      <c r="C3461" t="s">
        <v>272</v>
      </c>
      <c r="D3461">
        <v>71</v>
      </c>
      <c r="E3461">
        <v>2</v>
      </c>
      <c r="F3461">
        <v>13</v>
      </c>
      <c r="G3461" t="s">
        <v>95</v>
      </c>
      <c r="H3461" s="1">
        <v>6</v>
      </c>
      <c r="I3461" s="1">
        <v>64</v>
      </c>
      <c r="J3461" s="1">
        <v>67</v>
      </c>
      <c r="K3461" s="1">
        <f>J3461-I3461</f>
        <v>3</v>
      </c>
      <c r="L3461" s="1">
        <v>163</v>
      </c>
      <c r="M3461" s="1">
        <v>83</v>
      </c>
      <c r="N3461" s="1">
        <v>2</v>
      </c>
      <c r="O3461" s="1">
        <v>3</v>
      </c>
      <c r="P3461" s="1">
        <v>6</v>
      </c>
      <c r="Q3461" s="2">
        <v>0.69</v>
      </c>
      <c r="R3461" s="1">
        <v>5</v>
      </c>
      <c r="S3461" s="1">
        <f>R3461/P3461</f>
        <v>0.83333333333333337</v>
      </c>
      <c r="T3461" s="1">
        <v>3</v>
      </c>
      <c r="U3461" s="1">
        <v>7.9</v>
      </c>
      <c r="V3461" s="1">
        <v>2658.2588235294115</v>
      </c>
      <c r="W3461" s="1">
        <v>3</v>
      </c>
    </row>
    <row r="3462" spans="1:23" x14ac:dyDescent="0.2">
      <c r="A3462">
        <v>2021</v>
      </c>
      <c r="B3462" t="s">
        <v>23</v>
      </c>
      <c r="C3462" t="s">
        <v>272</v>
      </c>
      <c r="D3462">
        <v>72</v>
      </c>
      <c r="E3462">
        <v>1</v>
      </c>
      <c r="F3462">
        <v>4</v>
      </c>
      <c r="G3462" t="s">
        <v>96</v>
      </c>
      <c r="H3462" s="1">
        <v>7</v>
      </c>
      <c r="I3462" s="1">
        <v>72</v>
      </c>
      <c r="J3462" s="1">
        <v>76</v>
      </c>
      <c r="K3462" s="1">
        <f>J3462-I3462</f>
        <v>4</v>
      </c>
      <c r="L3462" s="1">
        <v>195</v>
      </c>
      <c r="M3462" s="1">
        <v>95</v>
      </c>
      <c r="N3462" s="1">
        <v>2</v>
      </c>
      <c r="O3462" s="1">
        <v>2</v>
      </c>
      <c r="P3462" s="1">
        <v>7</v>
      </c>
      <c r="Q3462" s="2">
        <v>0.48311999999999999</v>
      </c>
      <c r="R3462" s="1">
        <v>5</v>
      </c>
      <c r="S3462" s="1">
        <f>R3462/P3462</f>
        <v>0.7142857142857143</v>
      </c>
      <c r="T3462" s="1">
        <v>5</v>
      </c>
      <c r="U3462" s="1">
        <v>7.9</v>
      </c>
      <c r="V3462" s="1">
        <v>1861.2434823529411</v>
      </c>
      <c r="W3462" s="1">
        <v>4</v>
      </c>
    </row>
    <row r="3463" spans="1:23" x14ac:dyDescent="0.2">
      <c r="A3463">
        <v>2021</v>
      </c>
      <c r="B3463" t="s">
        <v>23</v>
      </c>
      <c r="C3463" t="s">
        <v>272</v>
      </c>
      <c r="D3463">
        <v>72</v>
      </c>
      <c r="E3463">
        <v>2</v>
      </c>
      <c r="F3463">
        <v>13</v>
      </c>
      <c r="G3463" t="s">
        <v>96</v>
      </c>
      <c r="H3463">
        <v>2</v>
      </c>
      <c r="I3463">
        <v>63</v>
      </c>
      <c r="J3463">
        <v>66</v>
      </c>
      <c r="K3463">
        <v>3</v>
      </c>
      <c r="L3463">
        <v>150</v>
      </c>
      <c r="M3463">
        <v>46</v>
      </c>
      <c r="N3463">
        <v>1.5</v>
      </c>
      <c r="O3463">
        <v>2</v>
      </c>
      <c r="P3463">
        <v>2</v>
      </c>
      <c r="Q3463">
        <v>0.5</v>
      </c>
      <c r="R3463">
        <v>3</v>
      </c>
      <c r="S3463">
        <v>1.5</v>
      </c>
      <c r="T3463">
        <v>2.5</v>
      </c>
      <c r="U3463">
        <v>12.5</v>
      </c>
      <c r="V3463">
        <v>1830.0653594771243</v>
      </c>
      <c r="W3463">
        <v>1</v>
      </c>
    </row>
    <row r="3464" spans="1:23" x14ac:dyDescent="0.2">
      <c r="A3464">
        <v>2021</v>
      </c>
      <c r="B3464" t="s">
        <v>23</v>
      </c>
      <c r="C3464" t="s">
        <v>272</v>
      </c>
      <c r="D3464">
        <v>73</v>
      </c>
      <c r="E3464">
        <v>1</v>
      </c>
      <c r="F3464">
        <v>6</v>
      </c>
      <c r="G3464" t="s">
        <v>97</v>
      </c>
      <c r="H3464">
        <v>15</v>
      </c>
      <c r="I3464">
        <v>56</v>
      </c>
      <c r="J3464">
        <v>60</v>
      </c>
      <c r="K3464">
        <v>4</v>
      </c>
      <c r="L3464">
        <v>160</v>
      </c>
      <c r="M3464">
        <v>95</v>
      </c>
      <c r="N3464">
        <v>2</v>
      </c>
      <c r="O3464">
        <v>2</v>
      </c>
      <c r="P3464">
        <v>12</v>
      </c>
      <c r="Q3464">
        <v>0.6</v>
      </c>
      <c r="R3464">
        <v>11</v>
      </c>
      <c r="S3464">
        <v>0.91666666666666663</v>
      </c>
      <c r="T3464">
        <v>3</v>
      </c>
      <c r="U3464">
        <v>9</v>
      </c>
      <c r="V3464">
        <v>2283.9215686274511</v>
      </c>
      <c r="W3464">
        <v>2</v>
      </c>
    </row>
    <row r="3465" spans="1:23" x14ac:dyDescent="0.2">
      <c r="A3465">
        <v>2021</v>
      </c>
      <c r="B3465" t="s">
        <v>23</v>
      </c>
      <c r="C3465" t="s">
        <v>272</v>
      </c>
      <c r="D3465">
        <v>73</v>
      </c>
      <c r="E3465">
        <v>2</v>
      </c>
      <c r="F3465">
        <v>3</v>
      </c>
      <c r="G3465" t="s">
        <v>97</v>
      </c>
      <c r="H3465">
        <v>3</v>
      </c>
      <c r="I3465">
        <v>58</v>
      </c>
      <c r="J3465">
        <v>64</v>
      </c>
      <c r="K3465">
        <v>6</v>
      </c>
      <c r="L3465">
        <v>121</v>
      </c>
      <c r="M3465">
        <v>23</v>
      </c>
      <c r="N3465">
        <v>5</v>
      </c>
      <c r="O3465">
        <v>5</v>
      </c>
      <c r="P3465">
        <v>3</v>
      </c>
      <c r="Q3465">
        <v>9.5000000000000001E-2</v>
      </c>
      <c r="R3465">
        <v>2</v>
      </c>
      <c r="S3465">
        <v>0.66666666666666663</v>
      </c>
      <c r="T3465">
        <v>3</v>
      </c>
      <c r="U3465">
        <v>12.5</v>
      </c>
      <c r="V3465">
        <v>347.71241830065361</v>
      </c>
      <c r="W3465">
        <v>1</v>
      </c>
    </row>
    <row r="3466" spans="1:23" x14ac:dyDescent="0.2">
      <c r="A3466">
        <v>2021</v>
      </c>
      <c r="B3466" t="s">
        <v>23</v>
      </c>
      <c r="C3466" t="s">
        <v>272</v>
      </c>
      <c r="D3466">
        <v>74</v>
      </c>
      <c r="E3466">
        <v>1</v>
      </c>
      <c r="F3466">
        <v>12</v>
      </c>
      <c r="G3466" t="s">
        <v>98</v>
      </c>
      <c r="H3466" s="1">
        <v>7</v>
      </c>
      <c r="I3466" s="1">
        <v>61</v>
      </c>
      <c r="J3466" s="1">
        <v>66</v>
      </c>
      <c r="K3466" s="1">
        <f>J3466-I3466</f>
        <v>5</v>
      </c>
      <c r="L3466" s="1">
        <v>107</v>
      </c>
      <c r="M3466" s="1">
        <v>25</v>
      </c>
      <c r="N3466" s="1">
        <v>3</v>
      </c>
      <c r="O3466" s="1">
        <v>5</v>
      </c>
      <c r="P3466" s="1">
        <v>3</v>
      </c>
      <c r="Q3466" s="2">
        <v>0.154</v>
      </c>
      <c r="R3466" s="1">
        <v>3</v>
      </c>
      <c r="S3466" s="1">
        <f>R3466/P3466</f>
        <v>1</v>
      </c>
      <c r="T3466" s="1">
        <v>5</v>
      </c>
      <c r="U3466" s="1">
        <v>12.5</v>
      </c>
      <c r="V3466" s="1">
        <v>563.66013071895429</v>
      </c>
      <c r="W3466" s="1">
        <v>5</v>
      </c>
    </row>
    <row r="3467" spans="1:23" x14ac:dyDescent="0.2">
      <c r="A3467">
        <v>2021</v>
      </c>
      <c r="B3467" t="s">
        <v>23</v>
      </c>
      <c r="C3467" t="s">
        <v>272</v>
      </c>
      <c r="D3467">
        <v>74</v>
      </c>
      <c r="E3467">
        <v>2</v>
      </c>
      <c r="F3467">
        <v>4</v>
      </c>
      <c r="G3467" t="s">
        <v>98</v>
      </c>
      <c r="H3467" s="1">
        <v>7</v>
      </c>
      <c r="I3467" s="1">
        <v>63</v>
      </c>
      <c r="J3467" s="1">
        <v>67</v>
      </c>
      <c r="K3467" s="1">
        <f>J3467-I3467</f>
        <v>4</v>
      </c>
      <c r="L3467" s="1">
        <v>173</v>
      </c>
      <c r="M3467" s="1">
        <v>80</v>
      </c>
      <c r="N3467" s="1">
        <v>2</v>
      </c>
      <c r="O3467" s="1">
        <v>3</v>
      </c>
      <c r="P3467" s="1">
        <v>7</v>
      </c>
      <c r="Q3467" s="2">
        <v>0.54120000000000001</v>
      </c>
      <c r="R3467" s="1">
        <v>7</v>
      </c>
      <c r="S3467" s="1">
        <f>R3467/P3467</f>
        <v>1</v>
      </c>
      <c r="T3467" s="1">
        <v>3</v>
      </c>
      <c r="U3467" s="1">
        <v>7.1</v>
      </c>
      <c r="V3467" s="1">
        <v>2103.1102745098046</v>
      </c>
      <c r="W3467" s="1">
        <v>4</v>
      </c>
    </row>
    <row r="3468" spans="1:23" x14ac:dyDescent="0.2">
      <c r="A3468">
        <v>2021</v>
      </c>
      <c r="B3468" t="s">
        <v>23</v>
      </c>
      <c r="C3468" t="s">
        <v>272</v>
      </c>
      <c r="D3468">
        <v>75</v>
      </c>
      <c r="E3468">
        <v>1</v>
      </c>
      <c r="F3468">
        <v>14</v>
      </c>
      <c r="G3468" t="s">
        <v>99</v>
      </c>
      <c r="H3468" s="1">
        <v>2</v>
      </c>
      <c r="I3468" s="1">
        <v>66</v>
      </c>
      <c r="J3468" s="1">
        <v>69</v>
      </c>
      <c r="K3468" s="1">
        <f>J3468-I3468</f>
        <v>3</v>
      </c>
      <c r="L3468" s="1">
        <v>118</v>
      </c>
      <c r="M3468" s="1">
        <v>67</v>
      </c>
      <c r="N3468" s="1">
        <v>2</v>
      </c>
      <c r="O3468" s="1">
        <v>3</v>
      </c>
      <c r="P3468" s="1">
        <v>2</v>
      </c>
      <c r="Q3468" s="2">
        <v>8.1000000000000003E-2</v>
      </c>
      <c r="R3468" s="1">
        <v>2</v>
      </c>
      <c r="S3468" s="1">
        <f>R3468/P3468</f>
        <v>1</v>
      </c>
      <c r="T3468" s="1">
        <v>5</v>
      </c>
      <c r="U3468" s="1">
        <v>12.5</v>
      </c>
      <c r="V3468" s="1">
        <v>296.47058823529409</v>
      </c>
      <c r="W3468" s="1">
        <v>3</v>
      </c>
    </row>
    <row r="3469" spans="1:23" x14ac:dyDescent="0.2">
      <c r="A3469">
        <v>2021</v>
      </c>
      <c r="B3469" t="s">
        <v>23</v>
      </c>
      <c r="C3469" t="s">
        <v>272</v>
      </c>
      <c r="D3469">
        <v>75</v>
      </c>
      <c r="E3469">
        <v>2</v>
      </c>
      <c r="F3469">
        <v>4</v>
      </c>
      <c r="G3469" t="s">
        <v>99</v>
      </c>
      <c r="H3469" s="1">
        <v>8</v>
      </c>
      <c r="I3469" s="1">
        <v>68</v>
      </c>
      <c r="J3469" s="1">
        <v>72</v>
      </c>
      <c r="K3469" s="1">
        <f>J3469-I3469</f>
        <v>4</v>
      </c>
      <c r="L3469" s="1">
        <v>135</v>
      </c>
      <c r="M3469" s="1">
        <v>60</v>
      </c>
      <c r="N3469" s="1">
        <v>2</v>
      </c>
      <c r="O3469" s="1">
        <v>4</v>
      </c>
      <c r="P3469" s="1">
        <v>4</v>
      </c>
      <c r="Q3469" s="2">
        <v>0.19600000000000001</v>
      </c>
      <c r="R3469" s="1">
        <v>2</v>
      </c>
      <c r="S3469" s="1">
        <f>R3469/P3469</f>
        <v>0.5</v>
      </c>
      <c r="T3469" s="1">
        <v>4</v>
      </c>
      <c r="U3469" s="1">
        <v>12.5</v>
      </c>
      <c r="V3469" s="1">
        <v>717.38562091503286</v>
      </c>
      <c r="W3469" s="1">
        <v>5</v>
      </c>
    </row>
    <row r="3470" spans="1:23" x14ac:dyDescent="0.2">
      <c r="A3470">
        <v>2021</v>
      </c>
      <c r="B3470" t="s">
        <v>23</v>
      </c>
      <c r="C3470" t="s">
        <v>272</v>
      </c>
      <c r="D3470">
        <v>76</v>
      </c>
      <c r="E3470">
        <v>1</v>
      </c>
      <c r="F3470">
        <v>3</v>
      </c>
      <c r="G3470" t="s">
        <v>100</v>
      </c>
      <c r="H3470">
        <v>6</v>
      </c>
      <c r="I3470">
        <v>55</v>
      </c>
      <c r="J3470">
        <v>58</v>
      </c>
      <c r="K3470">
        <v>3</v>
      </c>
      <c r="L3470">
        <v>183</v>
      </c>
      <c r="M3470">
        <v>66</v>
      </c>
      <c r="N3470">
        <v>3</v>
      </c>
      <c r="O3470">
        <v>4</v>
      </c>
      <c r="P3470">
        <v>6</v>
      </c>
      <c r="Q3470">
        <v>0.16300000000000001</v>
      </c>
      <c r="R3470">
        <v>3</v>
      </c>
      <c r="S3470">
        <v>0.5</v>
      </c>
      <c r="T3470">
        <v>4</v>
      </c>
      <c r="U3470">
        <v>12.5</v>
      </c>
      <c r="V3470">
        <v>596.60130718954247</v>
      </c>
      <c r="W3470">
        <v>1</v>
      </c>
    </row>
    <row r="3471" spans="1:23" x14ac:dyDescent="0.2">
      <c r="A3471">
        <v>2021</v>
      </c>
      <c r="B3471" t="s">
        <v>23</v>
      </c>
      <c r="C3471" t="s">
        <v>272</v>
      </c>
      <c r="D3471">
        <v>76</v>
      </c>
      <c r="E3471">
        <v>2</v>
      </c>
      <c r="F3471">
        <v>2</v>
      </c>
      <c r="G3471" t="s">
        <v>100</v>
      </c>
      <c r="H3471">
        <v>5</v>
      </c>
      <c r="I3471">
        <v>59</v>
      </c>
      <c r="J3471">
        <v>62</v>
      </c>
      <c r="K3471">
        <v>3</v>
      </c>
      <c r="L3471">
        <v>143</v>
      </c>
      <c r="M3471">
        <v>52</v>
      </c>
      <c r="N3471">
        <v>1.5</v>
      </c>
      <c r="O3471">
        <v>2</v>
      </c>
      <c r="P3471">
        <v>5</v>
      </c>
      <c r="Q3471">
        <v>0.45</v>
      </c>
      <c r="R3471">
        <v>5</v>
      </c>
      <c r="S3471">
        <v>1</v>
      </c>
      <c r="T3471">
        <v>2.5</v>
      </c>
      <c r="U3471">
        <v>12.5</v>
      </c>
      <c r="V3471">
        <v>1647.0588235294117</v>
      </c>
      <c r="W3471">
        <v>1</v>
      </c>
    </row>
    <row r="3472" spans="1:23" x14ac:dyDescent="0.2">
      <c r="A3472">
        <v>2021</v>
      </c>
      <c r="B3472" t="s">
        <v>23</v>
      </c>
      <c r="C3472" t="s">
        <v>272</v>
      </c>
      <c r="D3472">
        <v>77</v>
      </c>
      <c r="E3472">
        <v>1</v>
      </c>
      <c r="F3472">
        <v>3</v>
      </c>
      <c r="G3472" t="s">
        <v>101</v>
      </c>
      <c r="H3472" s="3">
        <v>7</v>
      </c>
      <c r="I3472" s="3">
        <v>66</v>
      </c>
      <c r="J3472" s="3">
        <v>68</v>
      </c>
      <c r="K3472" s="3">
        <f>J3472-I3472</f>
        <v>2</v>
      </c>
      <c r="L3472" s="3">
        <v>126</v>
      </c>
      <c r="M3472" s="3">
        <v>45</v>
      </c>
      <c r="N3472" s="3">
        <v>2</v>
      </c>
      <c r="O3472" s="3">
        <v>4</v>
      </c>
      <c r="P3472" s="3">
        <v>5</v>
      </c>
      <c r="Q3472" s="4">
        <v>0.32300000000000001</v>
      </c>
      <c r="R3472" s="3">
        <v>5</v>
      </c>
      <c r="S3472" s="3">
        <f>R3472/P3472</f>
        <v>1</v>
      </c>
      <c r="T3472" s="3">
        <v>3</v>
      </c>
      <c r="U3472" s="3">
        <v>12.5</v>
      </c>
      <c r="V3472" s="3">
        <v>1182.2222222222222</v>
      </c>
      <c r="W3472" s="3">
        <v>3</v>
      </c>
    </row>
    <row r="3473" spans="1:23" x14ac:dyDescent="0.2">
      <c r="A3473">
        <v>2021</v>
      </c>
      <c r="B3473" t="s">
        <v>23</v>
      </c>
      <c r="C3473" t="s">
        <v>272</v>
      </c>
      <c r="D3473">
        <v>77</v>
      </c>
      <c r="E3473">
        <v>2</v>
      </c>
      <c r="F3473">
        <v>12</v>
      </c>
      <c r="G3473" t="s">
        <v>101</v>
      </c>
      <c r="H3473" s="1">
        <v>6</v>
      </c>
      <c r="I3473" s="1">
        <v>64</v>
      </c>
      <c r="J3473" s="1">
        <v>69</v>
      </c>
      <c r="K3473" s="1">
        <f>J3473-I3473</f>
        <v>5</v>
      </c>
      <c r="L3473" s="1">
        <v>35</v>
      </c>
      <c r="M3473" s="1">
        <v>15</v>
      </c>
      <c r="N3473" s="1">
        <v>3</v>
      </c>
      <c r="O3473" s="1">
        <v>5</v>
      </c>
      <c r="P3473" s="1">
        <v>2</v>
      </c>
      <c r="Q3473" s="2">
        <v>0.03</v>
      </c>
      <c r="R3473" s="1">
        <v>2</v>
      </c>
      <c r="S3473" s="1">
        <f>R3473/P3473</f>
        <v>1</v>
      </c>
      <c r="T3473" s="1">
        <v>5</v>
      </c>
      <c r="U3473" s="1">
        <v>12.5</v>
      </c>
      <c r="V3473" s="1">
        <v>109.80392156862746</v>
      </c>
      <c r="W3473" s="1">
        <v>6</v>
      </c>
    </row>
    <row r="3474" spans="1:23" x14ac:dyDescent="0.2">
      <c r="A3474">
        <v>2021</v>
      </c>
      <c r="B3474" t="s">
        <v>23</v>
      </c>
      <c r="C3474" t="s">
        <v>272</v>
      </c>
      <c r="D3474">
        <v>78</v>
      </c>
      <c r="E3474">
        <v>1</v>
      </c>
      <c r="F3474">
        <v>1</v>
      </c>
      <c r="G3474" t="s">
        <v>102</v>
      </c>
      <c r="H3474">
        <v>5</v>
      </c>
      <c r="I3474">
        <v>56</v>
      </c>
      <c r="J3474">
        <v>60</v>
      </c>
      <c r="K3474">
        <v>4</v>
      </c>
      <c r="L3474">
        <v>106</v>
      </c>
      <c r="M3474">
        <v>24</v>
      </c>
      <c r="N3474">
        <v>1.5</v>
      </c>
      <c r="O3474">
        <v>4</v>
      </c>
      <c r="P3474">
        <v>5</v>
      </c>
      <c r="Q3474">
        <v>0.3</v>
      </c>
      <c r="R3474">
        <v>5</v>
      </c>
      <c r="S3474">
        <v>1</v>
      </c>
      <c r="T3474">
        <v>2.5</v>
      </c>
      <c r="U3474">
        <v>12.5</v>
      </c>
      <c r="V3474">
        <v>1098.0392156862745</v>
      </c>
      <c r="W3474">
        <v>1</v>
      </c>
    </row>
    <row r="3475" spans="1:23" x14ac:dyDescent="0.2">
      <c r="A3475">
        <v>2021</v>
      </c>
      <c r="B3475" t="s">
        <v>23</v>
      </c>
      <c r="C3475" t="s">
        <v>272</v>
      </c>
      <c r="D3475">
        <v>78</v>
      </c>
      <c r="E3475">
        <v>2</v>
      </c>
      <c r="F3475">
        <v>13</v>
      </c>
      <c r="G3475" t="s">
        <v>102</v>
      </c>
      <c r="H3475" s="1">
        <v>8</v>
      </c>
      <c r="I3475" s="1">
        <v>64</v>
      </c>
      <c r="J3475" s="1">
        <v>69</v>
      </c>
      <c r="K3475" s="1">
        <f>J3475-I3475</f>
        <v>5</v>
      </c>
      <c r="L3475" s="1">
        <v>120</v>
      </c>
      <c r="M3475" s="1">
        <v>75</v>
      </c>
      <c r="N3475" s="1">
        <v>2</v>
      </c>
      <c r="O3475" s="1">
        <v>3.5</v>
      </c>
      <c r="P3475" s="1">
        <v>7</v>
      </c>
      <c r="Q3475" s="2">
        <v>0.27639999999999998</v>
      </c>
      <c r="R3475" s="1">
        <v>6</v>
      </c>
      <c r="S3475" s="1">
        <f>R3475/P3475</f>
        <v>0.8571428571428571</v>
      </c>
      <c r="T3475" s="1">
        <v>5</v>
      </c>
      <c r="U3475" s="1">
        <v>8.5</v>
      </c>
      <c r="V3475" s="1">
        <v>1057.907450980392</v>
      </c>
      <c r="W3475" s="1">
        <v>4</v>
      </c>
    </row>
    <row r="3476" spans="1:23" x14ac:dyDescent="0.2">
      <c r="A3476">
        <v>2021</v>
      </c>
      <c r="B3476" t="s">
        <v>23</v>
      </c>
      <c r="C3476" t="s">
        <v>272</v>
      </c>
      <c r="D3476">
        <v>79</v>
      </c>
      <c r="E3476">
        <v>1</v>
      </c>
      <c r="F3476">
        <v>10</v>
      </c>
      <c r="G3476" t="s">
        <v>103</v>
      </c>
      <c r="H3476" s="1">
        <v>7</v>
      </c>
      <c r="I3476" s="1">
        <v>62</v>
      </c>
      <c r="J3476" s="1">
        <v>67</v>
      </c>
      <c r="K3476" s="1">
        <f>J3476-I3476</f>
        <v>5</v>
      </c>
      <c r="L3476" s="1">
        <v>142</v>
      </c>
      <c r="M3476" s="1">
        <v>92</v>
      </c>
      <c r="N3476" s="1">
        <v>2</v>
      </c>
      <c r="O3476" s="1">
        <v>3.5</v>
      </c>
      <c r="P3476" s="1">
        <v>7</v>
      </c>
      <c r="Q3476" s="2">
        <v>0.622</v>
      </c>
      <c r="R3476" s="1">
        <v>6</v>
      </c>
      <c r="S3476" s="1">
        <f>R3476/P3476</f>
        <v>0.8571428571428571</v>
      </c>
      <c r="T3476" s="1">
        <v>5</v>
      </c>
      <c r="U3476" s="1">
        <v>6.9</v>
      </c>
      <c r="V3476" s="1">
        <v>2422.3037908496726</v>
      </c>
      <c r="W3476" s="1">
        <v>3</v>
      </c>
    </row>
    <row r="3477" spans="1:23" x14ac:dyDescent="0.2">
      <c r="A3477">
        <v>2021</v>
      </c>
      <c r="B3477" t="s">
        <v>23</v>
      </c>
      <c r="C3477" t="s">
        <v>272</v>
      </c>
      <c r="D3477">
        <v>79</v>
      </c>
      <c r="E3477">
        <v>2</v>
      </c>
      <c r="F3477">
        <v>9</v>
      </c>
      <c r="G3477" t="s">
        <v>103</v>
      </c>
      <c r="H3477" s="3">
        <v>3</v>
      </c>
      <c r="I3477" s="3">
        <v>67</v>
      </c>
      <c r="J3477" s="3">
        <v>69</v>
      </c>
      <c r="K3477" s="3">
        <f>J3477-I3477</f>
        <v>2</v>
      </c>
      <c r="L3477" s="3">
        <v>130</v>
      </c>
      <c r="M3477" s="3">
        <v>77</v>
      </c>
      <c r="N3477" s="3">
        <v>2</v>
      </c>
      <c r="O3477" s="3">
        <v>2.5</v>
      </c>
      <c r="P3477" s="3">
        <v>3</v>
      </c>
      <c r="Q3477" s="4">
        <v>7.5600000000000001E-2</v>
      </c>
      <c r="R3477" s="3">
        <v>1</v>
      </c>
      <c r="S3477" s="3">
        <f>R3477/P3477</f>
        <v>0.33333333333333331</v>
      </c>
      <c r="T3477" s="3">
        <v>4</v>
      </c>
      <c r="U3477" s="3">
        <v>12.5</v>
      </c>
      <c r="V3477" s="3">
        <v>276.70588235294122</v>
      </c>
      <c r="W3477" s="3">
        <v>4</v>
      </c>
    </row>
    <row r="3478" spans="1:23" x14ac:dyDescent="0.2">
      <c r="A3478">
        <v>2021</v>
      </c>
      <c r="B3478" t="s">
        <v>23</v>
      </c>
      <c r="C3478" t="s">
        <v>272</v>
      </c>
      <c r="D3478">
        <v>80</v>
      </c>
      <c r="E3478">
        <v>1</v>
      </c>
      <c r="F3478">
        <v>11</v>
      </c>
      <c r="G3478" t="s">
        <v>104</v>
      </c>
      <c r="H3478">
        <v>16</v>
      </c>
      <c r="I3478">
        <v>55</v>
      </c>
      <c r="J3478">
        <v>58</v>
      </c>
      <c r="K3478">
        <v>3</v>
      </c>
      <c r="L3478">
        <v>126</v>
      </c>
      <c r="M3478">
        <v>66</v>
      </c>
      <c r="N3478">
        <v>1</v>
      </c>
      <c r="O3478">
        <v>2</v>
      </c>
      <c r="P3478">
        <v>16</v>
      </c>
      <c r="Q3478">
        <v>1.1000000000000001</v>
      </c>
      <c r="R3478">
        <v>16</v>
      </c>
      <c r="S3478">
        <v>1</v>
      </c>
      <c r="T3478">
        <v>3</v>
      </c>
      <c r="U3478">
        <v>12.5</v>
      </c>
      <c r="V3478">
        <v>4026.1437908496737</v>
      </c>
      <c r="W3478">
        <v>1</v>
      </c>
    </row>
    <row r="3479" spans="1:23" x14ac:dyDescent="0.2">
      <c r="A3479">
        <v>2021</v>
      </c>
      <c r="B3479" t="s">
        <v>23</v>
      </c>
      <c r="C3479" t="s">
        <v>272</v>
      </c>
      <c r="D3479">
        <v>80</v>
      </c>
      <c r="E3479">
        <v>2</v>
      </c>
      <c r="F3479">
        <v>7</v>
      </c>
      <c r="G3479" t="s">
        <v>104</v>
      </c>
      <c r="H3479">
        <v>8</v>
      </c>
      <c r="I3479">
        <v>62</v>
      </c>
      <c r="J3479">
        <v>65</v>
      </c>
      <c r="K3479">
        <v>3</v>
      </c>
      <c r="L3479">
        <v>165</v>
      </c>
      <c r="M3479">
        <v>80</v>
      </c>
      <c r="N3479">
        <v>1.5</v>
      </c>
      <c r="O3479">
        <v>3.5</v>
      </c>
      <c r="P3479">
        <v>8</v>
      </c>
      <c r="Q3479">
        <v>0.8</v>
      </c>
      <c r="R3479">
        <v>8</v>
      </c>
      <c r="S3479">
        <v>1</v>
      </c>
      <c r="T3479">
        <v>3.5</v>
      </c>
      <c r="U3479">
        <v>12.5</v>
      </c>
      <c r="V3479">
        <v>2928.1045751633987</v>
      </c>
      <c r="W3479">
        <v>1</v>
      </c>
    </row>
    <row r="3480" spans="1:23" x14ac:dyDescent="0.2">
      <c r="A3480">
        <v>2021</v>
      </c>
      <c r="B3480" t="s">
        <v>23</v>
      </c>
      <c r="C3480" t="s">
        <v>272</v>
      </c>
      <c r="D3480">
        <v>81</v>
      </c>
      <c r="E3480">
        <v>1</v>
      </c>
      <c r="F3480">
        <v>15</v>
      </c>
      <c r="G3480" t="s">
        <v>105</v>
      </c>
      <c r="H3480">
        <v>14</v>
      </c>
      <c r="I3480">
        <v>56</v>
      </c>
      <c r="J3480">
        <v>57</v>
      </c>
      <c r="K3480">
        <v>1</v>
      </c>
      <c r="L3480">
        <v>162</v>
      </c>
      <c r="M3480">
        <v>46</v>
      </c>
      <c r="N3480">
        <v>2</v>
      </c>
      <c r="O3480">
        <v>2</v>
      </c>
      <c r="P3480">
        <v>12</v>
      </c>
      <c r="Q3480">
        <v>1</v>
      </c>
      <c r="R3480">
        <v>9</v>
      </c>
      <c r="S3480">
        <v>0.75</v>
      </c>
      <c r="T3480">
        <v>2</v>
      </c>
      <c r="U3480">
        <v>11.2</v>
      </c>
      <c r="V3480">
        <v>3714.5098039215686</v>
      </c>
      <c r="W3480">
        <v>2</v>
      </c>
    </row>
    <row r="3481" spans="1:23" x14ac:dyDescent="0.2">
      <c r="A3481">
        <v>2021</v>
      </c>
      <c r="B3481" t="s">
        <v>23</v>
      </c>
      <c r="C3481" t="s">
        <v>272</v>
      </c>
      <c r="D3481">
        <v>81</v>
      </c>
      <c r="E3481">
        <v>2</v>
      </c>
      <c r="F3481">
        <v>2</v>
      </c>
      <c r="G3481" t="s">
        <v>105</v>
      </c>
      <c r="H3481" s="1">
        <v>6</v>
      </c>
      <c r="I3481" s="1">
        <v>59</v>
      </c>
      <c r="J3481" s="1">
        <v>63</v>
      </c>
      <c r="K3481" s="1">
        <f>J3481-I3481</f>
        <v>4</v>
      </c>
      <c r="L3481" s="1">
        <v>169</v>
      </c>
      <c r="M3481" s="1">
        <v>95</v>
      </c>
      <c r="N3481" s="1">
        <v>2</v>
      </c>
      <c r="O3481" s="1">
        <v>2.5</v>
      </c>
      <c r="P3481" s="1">
        <f>H3481-2</f>
        <v>4</v>
      </c>
      <c r="Q3481" s="2">
        <v>0.16575000000000001</v>
      </c>
      <c r="R3481" s="1">
        <v>5</v>
      </c>
      <c r="S3481" s="1">
        <f>R3481/P3481</f>
        <v>1.25</v>
      </c>
      <c r="T3481" s="1">
        <v>5</v>
      </c>
      <c r="U3481" s="1">
        <v>12.5</v>
      </c>
      <c r="V3481" s="1">
        <v>606.66666666666663</v>
      </c>
      <c r="W3481" s="1">
        <v>5</v>
      </c>
    </row>
    <row r="3482" spans="1:23" x14ac:dyDescent="0.2">
      <c r="A3482">
        <v>2021</v>
      </c>
      <c r="B3482" t="s">
        <v>23</v>
      </c>
      <c r="C3482" t="s">
        <v>272</v>
      </c>
      <c r="D3482">
        <v>82</v>
      </c>
      <c r="E3482">
        <v>1</v>
      </c>
      <c r="F3482">
        <v>10</v>
      </c>
      <c r="G3482" t="s">
        <v>106</v>
      </c>
      <c r="H3482" s="1">
        <v>10</v>
      </c>
      <c r="I3482" s="1">
        <v>62</v>
      </c>
      <c r="J3482" s="1">
        <v>66</v>
      </c>
      <c r="K3482" s="1">
        <f>J3482-I3482</f>
        <v>4</v>
      </c>
      <c r="L3482" s="1">
        <v>133</v>
      </c>
      <c r="M3482" s="1">
        <v>76</v>
      </c>
      <c r="N3482" s="1">
        <v>2</v>
      </c>
      <c r="O3482" s="1">
        <v>4</v>
      </c>
      <c r="P3482" s="1">
        <f>H3482</f>
        <v>10</v>
      </c>
      <c r="Q3482" s="2">
        <v>0.1323</v>
      </c>
      <c r="R3482" s="1">
        <v>7</v>
      </c>
      <c r="S3482" s="1">
        <f>R3482/P3482</f>
        <v>0.7</v>
      </c>
      <c r="T3482" s="1">
        <v>5</v>
      </c>
      <c r="U3482" s="1">
        <v>12.5</v>
      </c>
      <c r="V3482" s="1">
        <v>484.23529411764707</v>
      </c>
      <c r="W3482" s="1">
        <v>6</v>
      </c>
    </row>
    <row r="3483" spans="1:23" x14ac:dyDescent="0.2">
      <c r="A3483">
        <v>2021</v>
      </c>
      <c r="B3483" t="s">
        <v>23</v>
      </c>
      <c r="C3483" t="s">
        <v>272</v>
      </c>
      <c r="D3483">
        <v>82</v>
      </c>
      <c r="E3483">
        <v>2</v>
      </c>
      <c r="F3483">
        <v>1</v>
      </c>
      <c r="G3483" t="s">
        <v>106</v>
      </c>
      <c r="H3483">
        <v>5</v>
      </c>
      <c r="I3483">
        <v>60</v>
      </c>
      <c r="J3483">
        <v>62</v>
      </c>
      <c r="K3483">
        <v>2</v>
      </c>
      <c r="L3483">
        <v>180</v>
      </c>
      <c r="M3483">
        <v>56</v>
      </c>
      <c r="N3483">
        <v>1.5</v>
      </c>
      <c r="O3483">
        <v>2</v>
      </c>
      <c r="P3483">
        <v>5</v>
      </c>
      <c r="Q3483">
        <v>0.2</v>
      </c>
      <c r="R3483">
        <v>5</v>
      </c>
      <c r="S3483">
        <v>1</v>
      </c>
      <c r="T3483">
        <v>2.5</v>
      </c>
      <c r="U3483">
        <v>12.5</v>
      </c>
      <c r="V3483">
        <v>732.02614379084969</v>
      </c>
      <c r="W3483">
        <v>2</v>
      </c>
    </row>
    <row r="3484" spans="1:23" x14ac:dyDescent="0.2">
      <c r="A3484">
        <v>2021</v>
      </c>
      <c r="B3484" t="s">
        <v>23</v>
      </c>
      <c r="C3484" t="s">
        <v>272</v>
      </c>
      <c r="D3484">
        <v>83</v>
      </c>
      <c r="E3484">
        <v>1</v>
      </c>
      <c r="F3484">
        <v>9</v>
      </c>
      <c r="G3484" t="s">
        <v>107</v>
      </c>
      <c r="H3484" s="1">
        <v>8</v>
      </c>
      <c r="I3484" s="1">
        <v>67</v>
      </c>
      <c r="J3484" s="1">
        <v>70</v>
      </c>
      <c r="K3484" s="1">
        <f>J3484-I3484</f>
        <v>3</v>
      </c>
      <c r="L3484" s="1">
        <v>117</v>
      </c>
      <c r="M3484" s="1">
        <v>43</v>
      </c>
      <c r="N3484" s="1">
        <v>2</v>
      </c>
      <c r="O3484" s="1">
        <v>4</v>
      </c>
      <c r="P3484" s="1">
        <v>6</v>
      </c>
      <c r="Q3484" s="2">
        <v>0.3725</v>
      </c>
      <c r="R3484" s="1">
        <v>6</v>
      </c>
      <c r="S3484" s="1">
        <f>R3484/P3484</f>
        <v>1</v>
      </c>
      <c r="T3484" s="1">
        <v>4.5</v>
      </c>
      <c r="U3484" s="1">
        <v>12.5</v>
      </c>
      <c r="V3484" s="1">
        <v>1363.3986928104575</v>
      </c>
      <c r="W3484" s="1">
        <v>4</v>
      </c>
    </row>
    <row r="3485" spans="1:23" x14ac:dyDescent="0.2">
      <c r="A3485">
        <v>2021</v>
      </c>
      <c r="B3485" t="s">
        <v>23</v>
      </c>
      <c r="C3485" t="s">
        <v>272</v>
      </c>
      <c r="D3485">
        <v>83</v>
      </c>
      <c r="E3485">
        <v>2</v>
      </c>
      <c r="F3485">
        <v>3</v>
      </c>
      <c r="G3485" t="s">
        <v>107</v>
      </c>
      <c r="H3485" s="1">
        <v>11</v>
      </c>
      <c r="I3485" s="1">
        <v>62</v>
      </c>
      <c r="J3485" s="1">
        <v>67</v>
      </c>
      <c r="K3485" s="1">
        <f>J3485-I3485</f>
        <v>5</v>
      </c>
      <c r="L3485" s="1">
        <v>95</v>
      </c>
      <c r="M3485" s="1">
        <v>71</v>
      </c>
      <c r="N3485" s="1">
        <v>2</v>
      </c>
      <c r="O3485" s="1">
        <v>3.5</v>
      </c>
      <c r="P3485" s="1">
        <f>H3485</f>
        <v>11</v>
      </c>
      <c r="Q3485" s="2">
        <v>0.15975</v>
      </c>
      <c r="R3485" s="1">
        <v>11</v>
      </c>
      <c r="S3485" s="1">
        <f>R3485/P3485</f>
        <v>1</v>
      </c>
      <c r="T3485" s="1">
        <v>4</v>
      </c>
      <c r="U3485" s="1">
        <v>12.5</v>
      </c>
      <c r="V3485" s="1">
        <v>584.7058823529411</v>
      </c>
      <c r="W3485" s="1">
        <v>4</v>
      </c>
    </row>
    <row r="3486" spans="1:23" x14ac:dyDescent="0.2">
      <c r="A3486">
        <v>2021</v>
      </c>
      <c r="B3486" t="s">
        <v>23</v>
      </c>
      <c r="C3486" t="s">
        <v>272</v>
      </c>
      <c r="D3486">
        <v>84</v>
      </c>
      <c r="E3486">
        <v>1</v>
      </c>
      <c r="F3486">
        <v>12</v>
      </c>
      <c r="G3486" t="s">
        <v>108</v>
      </c>
      <c r="H3486">
        <v>14</v>
      </c>
      <c r="I3486">
        <v>55</v>
      </c>
      <c r="J3486">
        <v>57</v>
      </c>
      <c r="K3486">
        <v>2</v>
      </c>
      <c r="L3486">
        <v>175</v>
      </c>
      <c r="M3486">
        <v>78</v>
      </c>
      <c r="N3486">
        <v>1</v>
      </c>
      <c r="O3486">
        <v>1.5</v>
      </c>
      <c r="P3486">
        <v>11</v>
      </c>
      <c r="Q3486">
        <v>1.2</v>
      </c>
      <c r="R3486">
        <v>11</v>
      </c>
      <c r="S3486">
        <v>1</v>
      </c>
      <c r="T3486">
        <v>1</v>
      </c>
      <c r="U3486">
        <v>11.1</v>
      </c>
      <c r="V3486">
        <v>4462.4313725490192</v>
      </c>
      <c r="W3486">
        <v>1</v>
      </c>
    </row>
    <row r="3487" spans="1:23" x14ac:dyDescent="0.2">
      <c r="A3487">
        <v>2021</v>
      </c>
      <c r="B3487" t="s">
        <v>23</v>
      </c>
      <c r="C3487" t="s">
        <v>272</v>
      </c>
      <c r="D3487">
        <v>84</v>
      </c>
      <c r="E3487">
        <v>2</v>
      </c>
      <c r="F3487">
        <v>4</v>
      </c>
      <c r="G3487" t="s">
        <v>108</v>
      </c>
      <c r="H3487">
        <v>11</v>
      </c>
      <c r="I3487">
        <v>56</v>
      </c>
      <c r="J3487">
        <v>58</v>
      </c>
      <c r="K3487">
        <v>2</v>
      </c>
      <c r="L3487">
        <v>183</v>
      </c>
      <c r="M3487">
        <v>76</v>
      </c>
      <c r="N3487">
        <v>2</v>
      </c>
      <c r="O3487">
        <v>2</v>
      </c>
      <c r="P3487">
        <v>12</v>
      </c>
      <c r="Q3487">
        <v>1.4</v>
      </c>
      <c r="R3487">
        <v>11</v>
      </c>
      <c r="S3487">
        <v>0.91666666666666663</v>
      </c>
      <c r="T3487">
        <v>2</v>
      </c>
      <c r="U3487">
        <v>11</v>
      </c>
      <c r="V3487">
        <v>5212.0261437908503</v>
      </c>
      <c r="W3487">
        <v>2</v>
      </c>
    </row>
    <row r="3488" spans="1:23" x14ac:dyDescent="0.2">
      <c r="A3488">
        <v>2021</v>
      </c>
      <c r="B3488" t="s">
        <v>23</v>
      </c>
      <c r="C3488" t="s">
        <v>272</v>
      </c>
      <c r="D3488">
        <v>85</v>
      </c>
      <c r="E3488">
        <v>1</v>
      </c>
      <c r="F3488">
        <v>5</v>
      </c>
      <c r="G3488" t="s">
        <v>109</v>
      </c>
      <c r="H3488">
        <v>7</v>
      </c>
      <c r="I3488">
        <v>51</v>
      </c>
      <c r="J3488">
        <v>55</v>
      </c>
      <c r="K3488">
        <v>4</v>
      </c>
      <c r="L3488">
        <v>163</v>
      </c>
      <c r="M3488">
        <v>55</v>
      </c>
      <c r="N3488">
        <v>2</v>
      </c>
      <c r="O3488">
        <v>3</v>
      </c>
      <c r="P3488">
        <v>7</v>
      </c>
      <c r="Q3488">
        <v>0.33500000000000002</v>
      </c>
      <c r="R3488">
        <v>8</v>
      </c>
      <c r="S3488">
        <v>1.1428571428571428</v>
      </c>
      <c r="T3488">
        <v>3</v>
      </c>
      <c r="U3488">
        <v>12.5</v>
      </c>
      <c r="V3488">
        <v>1226.1437908496732</v>
      </c>
      <c r="W3488">
        <v>2</v>
      </c>
    </row>
    <row r="3489" spans="1:23" x14ac:dyDescent="0.2">
      <c r="A3489">
        <v>2021</v>
      </c>
      <c r="B3489" t="s">
        <v>23</v>
      </c>
      <c r="C3489" t="s">
        <v>272</v>
      </c>
      <c r="D3489">
        <v>85</v>
      </c>
      <c r="E3489">
        <v>2</v>
      </c>
      <c r="F3489">
        <v>11</v>
      </c>
      <c r="G3489" t="s">
        <v>109</v>
      </c>
      <c r="H3489" s="1">
        <v>5</v>
      </c>
      <c r="I3489" s="1">
        <v>68</v>
      </c>
      <c r="J3489" s="1">
        <v>72</v>
      </c>
      <c r="K3489" s="1">
        <f>J3489-I3489</f>
        <v>4</v>
      </c>
      <c r="L3489" s="1">
        <v>154</v>
      </c>
      <c r="M3489" s="1">
        <v>62</v>
      </c>
      <c r="N3489" s="1">
        <v>2</v>
      </c>
      <c r="O3489" s="1">
        <v>3</v>
      </c>
      <c r="P3489" s="1">
        <v>5</v>
      </c>
      <c r="Q3489" s="2">
        <v>0.53520000000000001</v>
      </c>
      <c r="R3489" s="1">
        <v>5</v>
      </c>
      <c r="S3489" s="1">
        <f>R3489/P3489</f>
        <v>1</v>
      </c>
      <c r="T3489" s="1">
        <v>4</v>
      </c>
      <c r="U3489" s="1">
        <v>12.5</v>
      </c>
      <c r="V3489" s="1">
        <v>1958.9019607843138</v>
      </c>
      <c r="W3489" s="1">
        <v>4</v>
      </c>
    </row>
    <row r="3490" spans="1:23" x14ac:dyDescent="0.2">
      <c r="A3490">
        <v>2021</v>
      </c>
      <c r="B3490" t="s">
        <v>23</v>
      </c>
      <c r="C3490" t="s">
        <v>272</v>
      </c>
      <c r="D3490">
        <v>86</v>
      </c>
      <c r="E3490">
        <v>1</v>
      </c>
      <c r="F3490">
        <v>6</v>
      </c>
      <c r="G3490" t="s">
        <v>110</v>
      </c>
      <c r="H3490">
        <v>11</v>
      </c>
      <c r="I3490">
        <v>55</v>
      </c>
      <c r="J3490">
        <v>58</v>
      </c>
      <c r="K3490">
        <v>3</v>
      </c>
      <c r="L3490">
        <v>111</v>
      </c>
      <c r="M3490">
        <v>38</v>
      </c>
      <c r="N3490">
        <v>2</v>
      </c>
      <c r="O3490">
        <v>2</v>
      </c>
      <c r="P3490">
        <v>7</v>
      </c>
      <c r="Q3490">
        <v>0.4</v>
      </c>
      <c r="R3490">
        <v>6</v>
      </c>
      <c r="S3490">
        <v>0.8571428571428571</v>
      </c>
      <c r="T3490">
        <v>3</v>
      </c>
      <c r="U3490">
        <v>9.9</v>
      </c>
      <c r="V3490">
        <v>1507.5555555555557</v>
      </c>
      <c r="W3490">
        <v>2</v>
      </c>
    </row>
    <row r="3491" spans="1:23" x14ac:dyDescent="0.2">
      <c r="A3491">
        <v>2021</v>
      </c>
      <c r="B3491" t="s">
        <v>23</v>
      </c>
      <c r="C3491" t="s">
        <v>272</v>
      </c>
      <c r="D3491">
        <v>86</v>
      </c>
      <c r="E3491">
        <v>2</v>
      </c>
      <c r="F3491">
        <v>15</v>
      </c>
      <c r="G3491" t="s">
        <v>110</v>
      </c>
      <c r="H3491" s="1">
        <v>9</v>
      </c>
      <c r="I3491" s="1">
        <v>72</v>
      </c>
      <c r="J3491" s="1">
        <v>76</v>
      </c>
      <c r="K3491" s="1">
        <f>J3491-I3491</f>
        <v>4</v>
      </c>
      <c r="L3491" s="1">
        <v>178</v>
      </c>
      <c r="M3491" s="1">
        <v>95</v>
      </c>
      <c r="N3491" s="1">
        <v>2</v>
      </c>
      <c r="O3491" s="1">
        <v>3</v>
      </c>
      <c r="P3491" s="1">
        <v>9</v>
      </c>
      <c r="Q3491" s="2">
        <v>0.34559999999999996</v>
      </c>
      <c r="R3491" s="1">
        <v>6</v>
      </c>
      <c r="S3491" s="1">
        <f>R3491/P3491</f>
        <v>0.66666666666666663</v>
      </c>
      <c r="T3491" s="1">
        <v>5</v>
      </c>
      <c r="U3491" s="1">
        <v>9.4</v>
      </c>
      <c r="V3491" s="1">
        <v>1309.7562352941175</v>
      </c>
      <c r="W3491" s="1">
        <v>5</v>
      </c>
    </row>
    <row r="3492" spans="1:23" x14ac:dyDescent="0.2">
      <c r="A3492">
        <v>2021</v>
      </c>
      <c r="B3492" t="s">
        <v>23</v>
      </c>
      <c r="C3492" t="s">
        <v>272</v>
      </c>
      <c r="D3492">
        <v>87</v>
      </c>
      <c r="E3492">
        <v>1</v>
      </c>
      <c r="F3492">
        <v>13</v>
      </c>
      <c r="G3492" t="s">
        <v>111</v>
      </c>
      <c r="H3492" s="1">
        <v>13</v>
      </c>
      <c r="I3492" s="1">
        <v>59</v>
      </c>
      <c r="J3492" s="1">
        <v>65</v>
      </c>
      <c r="K3492" s="1">
        <f>J3492-I3492</f>
        <v>6</v>
      </c>
      <c r="L3492" s="1">
        <v>144</v>
      </c>
      <c r="M3492" s="1">
        <v>70</v>
      </c>
      <c r="N3492" s="1">
        <v>2</v>
      </c>
      <c r="O3492" s="1">
        <v>2</v>
      </c>
      <c r="P3492" s="1">
        <f>H3492</f>
        <v>13</v>
      </c>
      <c r="Q3492" s="2">
        <v>0.34649999999999997</v>
      </c>
      <c r="R3492" s="1">
        <v>10</v>
      </c>
      <c r="S3492" s="1">
        <f>R3492/P3492</f>
        <v>0.76923076923076927</v>
      </c>
      <c r="T3492" s="1">
        <v>3</v>
      </c>
      <c r="U3492" s="1">
        <v>12.5</v>
      </c>
      <c r="V3492" s="1">
        <v>1268.2352941176471</v>
      </c>
      <c r="W3492" s="1">
        <v>4</v>
      </c>
    </row>
    <row r="3493" spans="1:23" x14ac:dyDescent="0.2">
      <c r="A3493">
        <v>2021</v>
      </c>
      <c r="B3493" t="s">
        <v>23</v>
      </c>
      <c r="C3493" t="s">
        <v>272</v>
      </c>
      <c r="D3493">
        <v>87</v>
      </c>
      <c r="E3493">
        <v>2</v>
      </c>
      <c r="F3493">
        <v>8</v>
      </c>
      <c r="G3493" t="s">
        <v>111</v>
      </c>
      <c r="H3493" s="1">
        <v>11</v>
      </c>
      <c r="I3493" s="1">
        <v>59</v>
      </c>
      <c r="J3493" s="1">
        <v>64</v>
      </c>
      <c r="K3493" s="1">
        <f>J3493-I3493</f>
        <v>5</v>
      </c>
      <c r="L3493" s="1">
        <v>122</v>
      </c>
      <c r="M3493" s="1">
        <v>90</v>
      </c>
      <c r="N3493" s="1">
        <v>2</v>
      </c>
      <c r="O3493" s="1">
        <v>2.5</v>
      </c>
      <c r="P3493" s="1">
        <f>H3493</f>
        <v>11</v>
      </c>
      <c r="Q3493" s="2">
        <v>0.1515</v>
      </c>
      <c r="R3493" s="1">
        <v>8</v>
      </c>
      <c r="S3493" s="1">
        <f>R3493/P3493</f>
        <v>0.72727272727272729</v>
      </c>
      <c r="T3493" s="1">
        <v>5</v>
      </c>
      <c r="U3493" s="1">
        <v>12.5</v>
      </c>
      <c r="V3493" s="1">
        <v>554.50980392156862</v>
      </c>
      <c r="W3493" s="1">
        <v>5</v>
      </c>
    </row>
    <row r="3494" spans="1:23" x14ac:dyDescent="0.2">
      <c r="A3494">
        <v>2021</v>
      </c>
      <c r="B3494" t="s">
        <v>23</v>
      </c>
      <c r="C3494" t="s">
        <v>272</v>
      </c>
      <c r="D3494">
        <v>88</v>
      </c>
      <c r="E3494">
        <v>1</v>
      </c>
      <c r="F3494">
        <v>13</v>
      </c>
      <c r="G3494" t="s">
        <v>112</v>
      </c>
      <c r="H3494">
        <v>14</v>
      </c>
      <c r="I3494">
        <v>55</v>
      </c>
      <c r="J3494">
        <v>60</v>
      </c>
      <c r="K3494">
        <v>5</v>
      </c>
      <c r="L3494">
        <v>165</v>
      </c>
      <c r="M3494">
        <v>93</v>
      </c>
      <c r="N3494">
        <v>2</v>
      </c>
      <c r="O3494">
        <v>2.5</v>
      </c>
      <c r="P3494">
        <v>13</v>
      </c>
      <c r="Q3494">
        <v>1</v>
      </c>
      <c r="R3494">
        <v>12</v>
      </c>
      <c r="S3494">
        <v>0.92307692307692313</v>
      </c>
      <c r="T3494">
        <v>2</v>
      </c>
      <c r="U3494">
        <v>9.8000000000000007</v>
      </c>
      <c r="V3494">
        <v>3773.0718954248368</v>
      </c>
      <c r="W3494">
        <v>1</v>
      </c>
    </row>
    <row r="3495" spans="1:23" x14ac:dyDescent="0.2">
      <c r="A3495">
        <v>2021</v>
      </c>
      <c r="B3495" t="s">
        <v>23</v>
      </c>
      <c r="C3495" t="s">
        <v>272</v>
      </c>
      <c r="D3495">
        <v>88</v>
      </c>
      <c r="E3495">
        <v>2</v>
      </c>
      <c r="F3495">
        <v>2</v>
      </c>
      <c r="G3495" t="s">
        <v>112</v>
      </c>
      <c r="H3495" s="1">
        <v>5</v>
      </c>
      <c r="I3495" s="1">
        <v>68</v>
      </c>
      <c r="J3495" s="1">
        <v>72</v>
      </c>
      <c r="K3495" s="1">
        <f t="shared" ref="K3495:K3501" si="178">J3495-I3495</f>
        <v>4</v>
      </c>
      <c r="L3495" s="1">
        <v>157</v>
      </c>
      <c r="M3495" s="1">
        <v>73</v>
      </c>
      <c r="N3495" s="1">
        <v>2</v>
      </c>
      <c r="O3495" s="1">
        <v>2</v>
      </c>
      <c r="P3495" s="1">
        <v>5</v>
      </c>
      <c r="Q3495" s="2">
        <v>0.49</v>
      </c>
      <c r="R3495" s="1">
        <v>6</v>
      </c>
      <c r="S3495" s="1">
        <f t="shared" ref="S3495:S3501" si="179">R3495/P3495</f>
        <v>1.2</v>
      </c>
      <c r="T3495" s="1">
        <v>3</v>
      </c>
      <c r="U3495" s="1">
        <v>12.5</v>
      </c>
      <c r="V3495" s="1">
        <v>1793.4640522875818</v>
      </c>
      <c r="W3495" s="1">
        <v>4</v>
      </c>
    </row>
    <row r="3496" spans="1:23" x14ac:dyDescent="0.2">
      <c r="A3496">
        <v>2021</v>
      </c>
      <c r="B3496" t="s">
        <v>23</v>
      </c>
      <c r="C3496" t="s">
        <v>272</v>
      </c>
      <c r="D3496">
        <v>89</v>
      </c>
      <c r="E3496">
        <v>1</v>
      </c>
      <c r="F3496">
        <v>3</v>
      </c>
      <c r="G3496" t="s">
        <v>113</v>
      </c>
      <c r="H3496" s="1">
        <v>9</v>
      </c>
      <c r="I3496" s="1">
        <v>67</v>
      </c>
      <c r="J3496" s="1">
        <v>72</v>
      </c>
      <c r="K3496" s="1">
        <f t="shared" si="178"/>
        <v>5</v>
      </c>
      <c r="L3496" s="1">
        <v>80</v>
      </c>
      <c r="M3496" s="1">
        <v>78</v>
      </c>
      <c r="N3496" s="1">
        <v>2</v>
      </c>
      <c r="O3496" s="1">
        <v>4</v>
      </c>
      <c r="P3496" s="1">
        <v>2</v>
      </c>
      <c r="Q3496" s="2">
        <v>7.5150000000000008E-2</v>
      </c>
      <c r="R3496" s="1">
        <v>2</v>
      </c>
      <c r="S3496" s="1">
        <f t="shared" si="179"/>
        <v>1</v>
      </c>
      <c r="T3496" s="1">
        <v>5</v>
      </c>
      <c r="U3496" s="1">
        <v>12.5</v>
      </c>
      <c r="V3496" s="1">
        <v>275.05882352941177</v>
      </c>
      <c r="W3496" s="1">
        <v>5</v>
      </c>
    </row>
    <row r="3497" spans="1:23" x14ac:dyDescent="0.2">
      <c r="A3497">
        <v>2021</v>
      </c>
      <c r="B3497" t="s">
        <v>23</v>
      </c>
      <c r="C3497" t="s">
        <v>272</v>
      </c>
      <c r="D3497">
        <v>89</v>
      </c>
      <c r="E3497">
        <v>2</v>
      </c>
      <c r="F3497">
        <v>6</v>
      </c>
      <c r="G3497" t="s">
        <v>113</v>
      </c>
      <c r="H3497" s="1">
        <v>8</v>
      </c>
      <c r="I3497" s="1">
        <v>67</v>
      </c>
      <c r="J3497" s="1">
        <v>70</v>
      </c>
      <c r="K3497" s="1">
        <f t="shared" si="178"/>
        <v>3</v>
      </c>
      <c r="L3497" s="1">
        <v>117</v>
      </c>
      <c r="M3497" s="1">
        <v>51</v>
      </c>
      <c r="N3497" s="1">
        <v>2</v>
      </c>
      <c r="O3497" s="1">
        <v>3.5</v>
      </c>
      <c r="P3497" s="1">
        <v>5</v>
      </c>
      <c r="Q3497" s="2">
        <v>0.21099999999999999</v>
      </c>
      <c r="R3497" s="1">
        <v>5</v>
      </c>
      <c r="S3497" s="1">
        <f t="shared" si="179"/>
        <v>1</v>
      </c>
      <c r="T3497" s="1">
        <v>3.5</v>
      </c>
      <c r="U3497" s="1">
        <v>12.5</v>
      </c>
      <c r="V3497" s="1">
        <v>772.28758169934645</v>
      </c>
      <c r="W3497" s="1">
        <v>2</v>
      </c>
    </row>
    <row r="3498" spans="1:23" x14ac:dyDescent="0.2">
      <c r="A3498">
        <v>2021</v>
      </c>
      <c r="B3498" t="s">
        <v>23</v>
      </c>
      <c r="C3498" t="s">
        <v>272</v>
      </c>
      <c r="D3498">
        <v>90</v>
      </c>
      <c r="E3498">
        <v>1</v>
      </c>
      <c r="F3498">
        <v>15</v>
      </c>
      <c r="G3498" t="s">
        <v>114</v>
      </c>
      <c r="H3498" s="1">
        <v>14</v>
      </c>
      <c r="I3498" s="1">
        <v>56</v>
      </c>
      <c r="J3498" s="1">
        <v>59</v>
      </c>
      <c r="K3498" s="1">
        <f t="shared" si="178"/>
        <v>3</v>
      </c>
      <c r="L3498" s="1">
        <v>145</v>
      </c>
      <c r="M3498" s="1">
        <v>72</v>
      </c>
      <c r="N3498" s="1">
        <v>2</v>
      </c>
      <c r="O3498" s="1">
        <v>3.5</v>
      </c>
      <c r="P3498" s="1">
        <v>12</v>
      </c>
      <c r="Q3498" s="2">
        <v>0.11580000000000001</v>
      </c>
      <c r="R3498" s="1">
        <v>6</v>
      </c>
      <c r="S3498" s="1">
        <f t="shared" si="179"/>
        <v>0.5</v>
      </c>
      <c r="T3498" s="1">
        <v>5</v>
      </c>
      <c r="U3498" s="1">
        <v>11.2</v>
      </c>
      <c r="V3498" s="1">
        <v>430.1402352941177</v>
      </c>
      <c r="W3498" s="1">
        <v>4</v>
      </c>
    </row>
    <row r="3499" spans="1:23" x14ac:dyDescent="0.2">
      <c r="A3499">
        <v>2021</v>
      </c>
      <c r="B3499" t="s">
        <v>23</v>
      </c>
      <c r="C3499" t="s">
        <v>272</v>
      </c>
      <c r="D3499">
        <v>90</v>
      </c>
      <c r="E3499">
        <v>2</v>
      </c>
      <c r="F3499">
        <v>3</v>
      </c>
      <c r="G3499" t="s">
        <v>114</v>
      </c>
      <c r="H3499" s="1">
        <v>8</v>
      </c>
      <c r="I3499" s="1">
        <v>68</v>
      </c>
      <c r="J3499" s="1">
        <v>72</v>
      </c>
      <c r="K3499" s="1">
        <f t="shared" si="178"/>
        <v>4</v>
      </c>
      <c r="L3499" s="1">
        <v>122</v>
      </c>
      <c r="M3499" s="1">
        <v>35</v>
      </c>
      <c r="N3499" s="1">
        <v>2</v>
      </c>
      <c r="O3499" s="1">
        <v>5</v>
      </c>
      <c r="P3499" s="1">
        <v>5</v>
      </c>
      <c r="Q3499" s="2">
        <v>0.108</v>
      </c>
      <c r="R3499" s="1">
        <v>5</v>
      </c>
      <c r="S3499" s="1">
        <f t="shared" si="179"/>
        <v>1</v>
      </c>
      <c r="T3499" s="1">
        <v>4</v>
      </c>
      <c r="U3499" s="1">
        <v>12.5</v>
      </c>
      <c r="V3499" s="1">
        <v>395.29411764705878</v>
      </c>
      <c r="W3499" s="1">
        <v>6</v>
      </c>
    </row>
    <row r="3500" spans="1:23" x14ac:dyDescent="0.2">
      <c r="A3500">
        <v>2021</v>
      </c>
      <c r="B3500" t="s">
        <v>23</v>
      </c>
      <c r="C3500" t="s">
        <v>272</v>
      </c>
      <c r="D3500">
        <v>91</v>
      </c>
      <c r="E3500">
        <v>1</v>
      </c>
      <c r="F3500">
        <v>1</v>
      </c>
      <c r="G3500" t="s">
        <v>115</v>
      </c>
      <c r="H3500" s="1">
        <v>9</v>
      </c>
      <c r="I3500" s="1">
        <v>63</v>
      </c>
      <c r="J3500" s="1">
        <v>67</v>
      </c>
      <c r="K3500" s="1">
        <f t="shared" si="178"/>
        <v>4</v>
      </c>
      <c r="L3500" s="1">
        <v>136</v>
      </c>
      <c r="M3500" s="1">
        <v>54</v>
      </c>
      <c r="N3500" s="1">
        <v>3</v>
      </c>
      <c r="O3500" s="1">
        <v>4.5</v>
      </c>
      <c r="P3500" s="1">
        <v>6</v>
      </c>
      <c r="Q3500" s="2">
        <v>8.0399999999999985E-2</v>
      </c>
      <c r="R3500" s="1">
        <v>6</v>
      </c>
      <c r="S3500" s="1">
        <f t="shared" si="179"/>
        <v>1</v>
      </c>
      <c r="T3500" s="1">
        <v>3.5</v>
      </c>
      <c r="U3500" s="1">
        <v>12.5</v>
      </c>
      <c r="V3500" s="1">
        <v>294.27450980392155</v>
      </c>
      <c r="W3500" s="1">
        <v>5</v>
      </c>
    </row>
    <row r="3501" spans="1:23" x14ac:dyDescent="0.2">
      <c r="A3501">
        <v>2021</v>
      </c>
      <c r="B3501" t="s">
        <v>23</v>
      </c>
      <c r="C3501" t="s">
        <v>272</v>
      </c>
      <c r="D3501">
        <v>91</v>
      </c>
      <c r="E3501">
        <v>2</v>
      </c>
      <c r="F3501">
        <v>8</v>
      </c>
      <c r="G3501" t="s">
        <v>115</v>
      </c>
      <c r="H3501" s="1">
        <v>1</v>
      </c>
      <c r="I3501" s="1">
        <v>64</v>
      </c>
      <c r="J3501" s="1">
        <v>65</v>
      </c>
      <c r="K3501" s="1">
        <f t="shared" si="178"/>
        <v>1</v>
      </c>
      <c r="L3501" s="1">
        <v>173</v>
      </c>
      <c r="M3501" s="1">
        <v>88</v>
      </c>
      <c r="N3501" s="1">
        <v>2</v>
      </c>
      <c r="O3501" s="1">
        <v>2</v>
      </c>
      <c r="P3501" s="1">
        <v>1</v>
      </c>
      <c r="Q3501" s="2">
        <v>3.3750000000000002E-2</v>
      </c>
      <c r="R3501" s="1">
        <v>1</v>
      </c>
      <c r="S3501" s="1">
        <f t="shared" si="179"/>
        <v>1</v>
      </c>
      <c r="T3501" s="1">
        <v>3</v>
      </c>
      <c r="U3501" s="1">
        <v>12.5</v>
      </c>
      <c r="V3501" s="1">
        <v>123.52941176470588</v>
      </c>
      <c r="W3501" s="1">
        <v>4</v>
      </c>
    </row>
    <row r="3502" spans="1:23" x14ac:dyDescent="0.2">
      <c r="A3502">
        <v>2021</v>
      </c>
      <c r="B3502" t="s">
        <v>23</v>
      </c>
      <c r="C3502" t="s">
        <v>272</v>
      </c>
      <c r="D3502">
        <v>92</v>
      </c>
      <c r="E3502">
        <v>1</v>
      </c>
      <c r="F3502">
        <v>4</v>
      </c>
      <c r="G3502" t="s">
        <v>116</v>
      </c>
      <c r="H3502">
        <v>14</v>
      </c>
      <c r="I3502">
        <v>52</v>
      </c>
      <c r="J3502">
        <v>55</v>
      </c>
      <c r="K3502">
        <v>3</v>
      </c>
      <c r="L3502">
        <v>180</v>
      </c>
      <c r="M3502">
        <v>49</v>
      </c>
      <c r="N3502">
        <v>1</v>
      </c>
      <c r="O3502">
        <v>1.5</v>
      </c>
      <c r="P3502">
        <v>12</v>
      </c>
      <c r="Q3502">
        <v>1.5</v>
      </c>
      <c r="R3502">
        <v>11</v>
      </c>
      <c r="S3502">
        <v>0.91666666666666663</v>
      </c>
      <c r="T3502">
        <v>1</v>
      </c>
      <c r="U3502">
        <v>11.4</v>
      </c>
      <c r="V3502">
        <v>5559.2156862745087</v>
      </c>
      <c r="W3502">
        <v>2</v>
      </c>
    </row>
    <row r="3503" spans="1:23" x14ac:dyDescent="0.2">
      <c r="A3503">
        <v>2021</v>
      </c>
      <c r="B3503" t="s">
        <v>23</v>
      </c>
      <c r="C3503" t="s">
        <v>272</v>
      </c>
      <c r="D3503">
        <v>92</v>
      </c>
      <c r="E3503">
        <v>2</v>
      </c>
      <c r="F3503">
        <v>15</v>
      </c>
      <c r="G3503" t="s">
        <v>116</v>
      </c>
      <c r="H3503">
        <v>16</v>
      </c>
      <c r="I3503">
        <v>56</v>
      </c>
      <c r="J3503">
        <v>59</v>
      </c>
      <c r="K3503">
        <v>3</v>
      </c>
      <c r="L3503">
        <v>156</v>
      </c>
      <c r="M3503">
        <v>85</v>
      </c>
      <c r="N3503">
        <v>2</v>
      </c>
      <c r="O3503">
        <v>2</v>
      </c>
      <c r="P3503">
        <v>10</v>
      </c>
      <c r="Q3503">
        <v>0.8</v>
      </c>
      <c r="R3503">
        <v>12</v>
      </c>
      <c r="S3503">
        <v>1.2</v>
      </c>
      <c r="T3503">
        <v>2</v>
      </c>
      <c r="U3503">
        <v>12.1</v>
      </c>
      <c r="V3503">
        <v>2941.4901960784318</v>
      </c>
      <c r="W3503">
        <v>2</v>
      </c>
    </row>
    <row r="3504" spans="1:23" x14ac:dyDescent="0.2">
      <c r="A3504">
        <v>2021</v>
      </c>
      <c r="B3504" t="s">
        <v>23</v>
      </c>
      <c r="C3504" t="s">
        <v>272</v>
      </c>
      <c r="D3504">
        <v>93</v>
      </c>
      <c r="E3504">
        <v>1</v>
      </c>
      <c r="F3504">
        <v>9</v>
      </c>
      <c r="G3504" t="s">
        <v>117</v>
      </c>
      <c r="H3504">
        <v>1</v>
      </c>
      <c r="I3504">
        <v>55</v>
      </c>
      <c r="J3504">
        <v>57</v>
      </c>
      <c r="K3504">
        <v>2</v>
      </c>
      <c r="L3504">
        <v>170</v>
      </c>
      <c r="M3504">
        <v>56</v>
      </c>
      <c r="N3504">
        <v>2</v>
      </c>
      <c r="O3504">
        <v>3</v>
      </c>
      <c r="P3504">
        <v>1</v>
      </c>
      <c r="Q3504">
        <v>0.1</v>
      </c>
      <c r="R3504">
        <v>1</v>
      </c>
      <c r="S3504">
        <v>1</v>
      </c>
      <c r="T3504">
        <v>2</v>
      </c>
      <c r="U3504">
        <v>12.5</v>
      </c>
      <c r="V3504">
        <v>366.01307189542484</v>
      </c>
      <c r="W3504">
        <v>2</v>
      </c>
    </row>
    <row r="3505" spans="1:23" x14ac:dyDescent="0.2">
      <c r="A3505">
        <v>2021</v>
      </c>
      <c r="B3505" t="s">
        <v>23</v>
      </c>
      <c r="C3505" t="s">
        <v>272</v>
      </c>
      <c r="D3505">
        <v>93</v>
      </c>
      <c r="E3505">
        <v>2</v>
      </c>
      <c r="F3505">
        <v>7</v>
      </c>
      <c r="G3505" t="s">
        <v>117</v>
      </c>
      <c r="H3505" s="1">
        <v>12</v>
      </c>
      <c r="I3505" s="1">
        <v>66</v>
      </c>
      <c r="J3505" s="1">
        <v>70</v>
      </c>
      <c r="K3505" s="1">
        <f>J3505-I3505</f>
        <v>4</v>
      </c>
      <c r="L3505" s="1">
        <v>112</v>
      </c>
      <c r="M3505" s="1">
        <v>41</v>
      </c>
      <c r="N3505" s="1">
        <v>3</v>
      </c>
      <c r="O3505" s="1">
        <v>5</v>
      </c>
      <c r="P3505" s="1">
        <v>8</v>
      </c>
      <c r="Q3505" s="2">
        <v>0.108</v>
      </c>
      <c r="R3505" s="1">
        <v>4</v>
      </c>
      <c r="S3505" s="1">
        <f>R3505/P3505</f>
        <v>0.5</v>
      </c>
      <c r="T3505" s="1">
        <v>5</v>
      </c>
      <c r="U3505" s="1">
        <v>12.5</v>
      </c>
      <c r="V3505" s="1">
        <v>395.29411764705878</v>
      </c>
      <c r="W3505" s="1">
        <v>5</v>
      </c>
    </row>
    <row r="3506" spans="1:23" x14ac:dyDescent="0.2">
      <c r="A3506">
        <v>2021</v>
      </c>
      <c r="B3506" t="s">
        <v>23</v>
      </c>
      <c r="C3506" t="s">
        <v>272</v>
      </c>
      <c r="D3506">
        <v>94</v>
      </c>
      <c r="E3506">
        <v>1</v>
      </c>
      <c r="F3506">
        <v>6</v>
      </c>
      <c r="G3506" t="s">
        <v>118</v>
      </c>
      <c r="H3506">
        <v>13</v>
      </c>
      <c r="I3506">
        <v>53</v>
      </c>
      <c r="J3506">
        <v>55</v>
      </c>
      <c r="K3506">
        <v>2</v>
      </c>
      <c r="L3506">
        <v>159</v>
      </c>
      <c r="M3506">
        <v>67</v>
      </c>
      <c r="N3506">
        <v>1</v>
      </c>
      <c r="O3506">
        <v>2.5</v>
      </c>
      <c r="P3506">
        <v>11</v>
      </c>
      <c r="Q3506">
        <v>0.3</v>
      </c>
      <c r="R3506">
        <v>10</v>
      </c>
      <c r="S3506">
        <v>0.90909090909090906</v>
      </c>
      <c r="T3506">
        <v>4</v>
      </c>
      <c r="U3506">
        <v>10.4</v>
      </c>
      <c r="V3506">
        <v>1124.3921568627452</v>
      </c>
      <c r="W3506">
        <v>1</v>
      </c>
    </row>
    <row r="3507" spans="1:23" x14ac:dyDescent="0.2">
      <c r="A3507">
        <v>2021</v>
      </c>
      <c r="B3507" t="s">
        <v>23</v>
      </c>
      <c r="C3507" t="s">
        <v>272</v>
      </c>
      <c r="D3507">
        <v>94</v>
      </c>
      <c r="E3507">
        <v>2</v>
      </c>
      <c r="F3507">
        <v>10</v>
      </c>
      <c r="G3507" t="s">
        <v>118</v>
      </c>
      <c r="H3507" s="1">
        <v>6</v>
      </c>
      <c r="I3507" s="1">
        <v>64</v>
      </c>
      <c r="J3507" s="1">
        <v>67</v>
      </c>
      <c r="K3507" s="1">
        <f>J3507-I3507</f>
        <v>3</v>
      </c>
      <c r="L3507" s="1">
        <v>120</v>
      </c>
      <c r="M3507" s="1">
        <v>45</v>
      </c>
      <c r="N3507" s="1">
        <v>1</v>
      </c>
      <c r="O3507" s="1">
        <v>1.5</v>
      </c>
      <c r="P3507" s="1">
        <v>4</v>
      </c>
      <c r="Q3507" s="2">
        <v>4.65E-2</v>
      </c>
      <c r="R3507" s="1">
        <v>1</v>
      </c>
      <c r="S3507" s="1">
        <f>R3507/P3507</f>
        <v>0.25</v>
      </c>
      <c r="T3507" s="1">
        <v>5</v>
      </c>
      <c r="U3507" s="1">
        <v>12.5</v>
      </c>
      <c r="V3507" s="1">
        <v>170.19607843137254</v>
      </c>
      <c r="W3507" s="1">
        <v>6</v>
      </c>
    </row>
    <row r="3508" spans="1:23" x14ac:dyDescent="0.2">
      <c r="A3508">
        <v>2021</v>
      </c>
      <c r="B3508" t="s">
        <v>23</v>
      </c>
      <c r="C3508" t="s">
        <v>272</v>
      </c>
      <c r="D3508">
        <v>95</v>
      </c>
      <c r="E3508">
        <v>1</v>
      </c>
      <c r="F3508">
        <v>7</v>
      </c>
      <c r="G3508" t="s">
        <v>119</v>
      </c>
      <c r="H3508" s="1">
        <v>6</v>
      </c>
      <c r="I3508" s="1">
        <v>59</v>
      </c>
      <c r="J3508" s="1">
        <v>63</v>
      </c>
      <c r="K3508" s="1">
        <f>J3508-I3508</f>
        <v>4</v>
      </c>
      <c r="L3508" s="1">
        <v>215</v>
      </c>
      <c r="M3508" s="1">
        <v>115</v>
      </c>
      <c r="N3508" s="1">
        <v>2</v>
      </c>
      <c r="O3508" s="1">
        <v>2.5</v>
      </c>
      <c r="P3508" s="1">
        <v>6</v>
      </c>
      <c r="Q3508" s="2">
        <v>9.6000000000000002E-2</v>
      </c>
      <c r="R3508" s="1">
        <v>6</v>
      </c>
      <c r="S3508" s="1">
        <f>R3508/P3508</f>
        <v>1</v>
      </c>
      <c r="T3508" s="1">
        <v>3</v>
      </c>
      <c r="U3508" s="1">
        <v>8.3000000000000007</v>
      </c>
      <c r="V3508" s="1">
        <v>368.23843137254903</v>
      </c>
      <c r="W3508" s="1">
        <v>3</v>
      </c>
    </row>
    <row r="3509" spans="1:23" x14ac:dyDescent="0.2">
      <c r="A3509">
        <v>2021</v>
      </c>
      <c r="B3509" t="s">
        <v>23</v>
      </c>
      <c r="C3509" t="s">
        <v>272</v>
      </c>
      <c r="D3509">
        <v>95</v>
      </c>
      <c r="E3509">
        <v>2</v>
      </c>
      <c r="F3509">
        <v>12</v>
      </c>
      <c r="G3509" t="s">
        <v>119</v>
      </c>
      <c r="H3509" s="1">
        <v>6</v>
      </c>
      <c r="I3509" s="1">
        <v>67</v>
      </c>
      <c r="J3509" s="1">
        <v>70</v>
      </c>
      <c r="K3509" s="1">
        <f>J3509-I3509</f>
        <v>3</v>
      </c>
      <c r="L3509" s="1">
        <v>190</v>
      </c>
      <c r="M3509" s="1">
        <v>93</v>
      </c>
      <c r="N3509" s="1">
        <v>2</v>
      </c>
      <c r="O3509" s="1">
        <v>3.5</v>
      </c>
      <c r="P3509" s="1">
        <v>4</v>
      </c>
      <c r="Q3509" s="2">
        <v>0.5885999999999999</v>
      </c>
      <c r="R3509" s="1">
        <v>3</v>
      </c>
      <c r="S3509" s="1">
        <f>R3509/P3509</f>
        <v>0.75</v>
      </c>
      <c r="T3509" s="1">
        <v>5</v>
      </c>
      <c r="U3509" s="1">
        <v>12.5</v>
      </c>
      <c r="V3509" s="1">
        <v>2154.3529411764703</v>
      </c>
      <c r="W3509" s="1">
        <v>4</v>
      </c>
    </row>
    <row r="3510" spans="1:23" x14ac:dyDescent="0.2">
      <c r="A3510">
        <v>2021</v>
      </c>
      <c r="B3510" t="s">
        <v>23</v>
      </c>
      <c r="C3510" t="s">
        <v>272</v>
      </c>
      <c r="D3510">
        <v>96</v>
      </c>
      <c r="E3510">
        <v>1</v>
      </c>
      <c r="F3510">
        <v>4</v>
      </c>
      <c r="G3510" t="s">
        <v>120</v>
      </c>
      <c r="H3510">
        <v>8</v>
      </c>
      <c r="I3510">
        <v>59</v>
      </c>
      <c r="J3510">
        <v>63</v>
      </c>
      <c r="K3510">
        <v>4</v>
      </c>
      <c r="L3510">
        <v>51</v>
      </c>
      <c r="M3510">
        <v>19</v>
      </c>
      <c r="N3510">
        <v>4</v>
      </c>
      <c r="O3510">
        <v>4</v>
      </c>
      <c r="P3510">
        <v>3</v>
      </c>
      <c r="Q3510">
        <v>0.26400000000000001</v>
      </c>
      <c r="R3510">
        <v>3</v>
      </c>
      <c r="S3510">
        <v>1</v>
      </c>
      <c r="T3510">
        <v>4</v>
      </c>
      <c r="U3510">
        <v>12.5</v>
      </c>
      <c r="V3510">
        <v>966.27450980392155</v>
      </c>
      <c r="W3510">
        <v>2</v>
      </c>
    </row>
    <row r="3511" spans="1:23" x14ac:dyDescent="0.2">
      <c r="A3511">
        <v>2021</v>
      </c>
      <c r="B3511" t="s">
        <v>23</v>
      </c>
      <c r="C3511" t="s">
        <v>272</v>
      </c>
      <c r="D3511">
        <v>96</v>
      </c>
      <c r="E3511">
        <v>2</v>
      </c>
      <c r="F3511">
        <v>12</v>
      </c>
      <c r="G3511" t="s">
        <v>120</v>
      </c>
      <c r="H3511">
        <v>10</v>
      </c>
      <c r="I3511">
        <v>56</v>
      </c>
      <c r="J3511">
        <v>60</v>
      </c>
      <c r="K3511">
        <v>4</v>
      </c>
      <c r="L3511">
        <v>84</v>
      </c>
      <c r="M3511">
        <v>23</v>
      </c>
      <c r="N3511">
        <v>3</v>
      </c>
      <c r="O3511">
        <v>3</v>
      </c>
      <c r="P3511">
        <v>8</v>
      </c>
      <c r="Q3511">
        <v>1.492</v>
      </c>
      <c r="R3511">
        <v>8</v>
      </c>
      <c r="S3511">
        <v>1</v>
      </c>
      <c r="T3511">
        <v>2</v>
      </c>
      <c r="U3511">
        <v>12.5</v>
      </c>
      <c r="V3511">
        <v>5460.9150326797389</v>
      </c>
      <c r="W3511">
        <v>1</v>
      </c>
    </row>
    <row r="3512" spans="1:23" x14ac:dyDescent="0.2">
      <c r="A3512">
        <v>2021</v>
      </c>
      <c r="B3512" t="s">
        <v>23</v>
      </c>
      <c r="C3512" t="s">
        <v>272</v>
      </c>
      <c r="D3512">
        <v>97</v>
      </c>
      <c r="E3512">
        <v>1</v>
      </c>
      <c r="F3512">
        <v>12</v>
      </c>
      <c r="G3512" t="s">
        <v>121</v>
      </c>
      <c r="H3512" s="1">
        <v>6</v>
      </c>
      <c r="I3512" s="1">
        <v>62</v>
      </c>
      <c r="J3512" s="1">
        <v>67</v>
      </c>
      <c r="K3512" s="1">
        <f>J3512-I3512</f>
        <v>5</v>
      </c>
      <c r="L3512" s="1">
        <v>142</v>
      </c>
      <c r="M3512" s="1">
        <v>70</v>
      </c>
      <c r="N3512" s="1">
        <v>2</v>
      </c>
      <c r="O3512" s="1">
        <v>3.5</v>
      </c>
      <c r="P3512" s="1">
        <v>6</v>
      </c>
      <c r="Q3512" s="2">
        <v>0.216</v>
      </c>
      <c r="R3512" s="1">
        <v>4</v>
      </c>
      <c r="S3512" s="1">
        <f>R3512/P3512</f>
        <v>0.66666666666666663</v>
      </c>
      <c r="T3512" s="1">
        <v>5</v>
      </c>
      <c r="U3512" s="1">
        <v>12.5</v>
      </c>
      <c r="V3512" s="1">
        <v>790.58823529411757</v>
      </c>
      <c r="W3512" s="1">
        <v>5</v>
      </c>
    </row>
    <row r="3513" spans="1:23" x14ac:dyDescent="0.2">
      <c r="A3513">
        <v>2021</v>
      </c>
      <c r="B3513" t="s">
        <v>23</v>
      </c>
      <c r="C3513" t="s">
        <v>272</v>
      </c>
      <c r="D3513">
        <v>97</v>
      </c>
      <c r="E3513">
        <v>2</v>
      </c>
      <c r="F3513">
        <v>7</v>
      </c>
      <c r="G3513" t="s">
        <v>121</v>
      </c>
      <c r="H3513" s="1">
        <v>10</v>
      </c>
      <c r="I3513" s="1">
        <v>67</v>
      </c>
      <c r="J3513" s="1">
        <v>71</v>
      </c>
      <c r="K3513" s="1">
        <f>J3513-I3513</f>
        <v>4</v>
      </c>
      <c r="L3513" s="1">
        <v>110</v>
      </c>
      <c r="M3513" s="1">
        <v>50</v>
      </c>
      <c r="N3513" s="1">
        <v>1.5</v>
      </c>
      <c r="O3513" s="1">
        <v>4.5</v>
      </c>
      <c r="P3513" s="1">
        <v>6</v>
      </c>
      <c r="Q3513" s="2">
        <v>0.16020000000000001</v>
      </c>
      <c r="R3513" s="1">
        <v>4</v>
      </c>
      <c r="S3513" s="1">
        <f>R3513/P3513</f>
        <v>0.66666666666666663</v>
      </c>
      <c r="T3513" s="1">
        <v>5</v>
      </c>
      <c r="U3513" s="1">
        <v>12.5</v>
      </c>
      <c r="V3513" s="1">
        <v>586.35294117647061</v>
      </c>
      <c r="W3513" s="1">
        <v>6</v>
      </c>
    </row>
    <row r="3514" spans="1:23" x14ac:dyDescent="0.2">
      <c r="A3514">
        <v>2021</v>
      </c>
      <c r="B3514" t="s">
        <v>23</v>
      </c>
      <c r="C3514" t="s">
        <v>272</v>
      </c>
      <c r="D3514">
        <v>98</v>
      </c>
      <c r="E3514">
        <v>1</v>
      </c>
      <c r="F3514">
        <v>15</v>
      </c>
      <c r="G3514" t="s">
        <v>122</v>
      </c>
      <c r="H3514" s="1">
        <v>8</v>
      </c>
      <c r="I3514" s="1">
        <v>64</v>
      </c>
      <c r="J3514" s="1">
        <v>67</v>
      </c>
      <c r="K3514" s="1">
        <f>J3514-I3514</f>
        <v>3</v>
      </c>
      <c r="L3514" s="1">
        <v>144</v>
      </c>
      <c r="M3514" s="1">
        <v>45</v>
      </c>
      <c r="N3514" s="1">
        <v>3</v>
      </c>
      <c r="O3514" s="1">
        <v>4.5</v>
      </c>
      <c r="P3514" s="1">
        <v>6</v>
      </c>
      <c r="Q3514" s="2">
        <v>7.3999999999999996E-2</v>
      </c>
      <c r="R3514" s="1">
        <v>4</v>
      </c>
      <c r="S3514" s="1">
        <f>R3514/P3514</f>
        <v>0.66666666666666663</v>
      </c>
      <c r="T3514" s="1">
        <v>5</v>
      </c>
      <c r="U3514" s="1">
        <v>12.5</v>
      </c>
      <c r="V3514" s="1">
        <v>270.84967320261438</v>
      </c>
      <c r="W3514" s="1">
        <v>5</v>
      </c>
    </row>
    <row r="3515" spans="1:23" x14ac:dyDescent="0.2">
      <c r="A3515">
        <v>2021</v>
      </c>
      <c r="B3515" t="s">
        <v>23</v>
      </c>
      <c r="C3515" t="s">
        <v>272</v>
      </c>
      <c r="D3515">
        <v>98</v>
      </c>
      <c r="E3515">
        <v>2</v>
      </c>
      <c r="F3515">
        <v>1</v>
      </c>
      <c r="G3515" t="s">
        <v>122</v>
      </c>
      <c r="H3515" s="1">
        <v>2</v>
      </c>
      <c r="I3515" s="1">
        <v>66</v>
      </c>
      <c r="J3515" s="1">
        <v>70</v>
      </c>
      <c r="K3515" s="1">
        <f>J3515-I3515</f>
        <v>4</v>
      </c>
      <c r="L3515" s="1">
        <v>174</v>
      </c>
      <c r="M3515" s="1">
        <v>73</v>
      </c>
      <c r="N3515" s="1">
        <v>3</v>
      </c>
      <c r="O3515" s="1">
        <v>4</v>
      </c>
      <c r="P3515" s="1">
        <f>H3515</f>
        <v>2</v>
      </c>
      <c r="Q3515" s="2">
        <v>8.6999999999999994E-2</v>
      </c>
      <c r="R3515" s="1">
        <v>3</v>
      </c>
      <c r="S3515" s="1">
        <f>R3515/P3515</f>
        <v>1.5</v>
      </c>
      <c r="T3515" s="1">
        <v>5</v>
      </c>
      <c r="U3515" s="1">
        <v>12.5</v>
      </c>
      <c r="V3515" s="1">
        <v>318.43137254901961</v>
      </c>
      <c r="W3515" s="1">
        <v>5</v>
      </c>
    </row>
    <row r="3516" spans="1:23" x14ac:dyDescent="0.2">
      <c r="A3516">
        <v>2021</v>
      </c>
      <c r="B3516" t="s">
        <v>23</v>
      </c>
      <c r="C3516" t="s">
        <v>272</v>
      </c>
      <c r="D3516">
        <v>99</v>
      </c>
      <c r="E3516">
        <v>1</v>
      </c>
      <c r="F3516">
        <v>1</v>
      </c>
      <c r="G3516" t="s">
        <v>123</v>
      </c>
      <c r="H3516">
        <v>15</v>
      </c>
      <c r="I3516">
        <v>58</v>
      </c>
      <c r="J3516">
        <v>60</v>
      </c>
      <c r="K3516">
        <v>2</v>
      </c>
      <c r="L3516">
        <v>198</v>
      </c>
      <c r="M3516">
        <v>45</v>
      </c>
      <c r="N3516">
        <v>2</v>
      </c>
      <c r="O3516">
        <v>2</v>
      </c>
      <c r="P3516">
        <v>14</v>
      </c>
      <c r="Q3516">
        <v>0.6</v>
      </c>
      <c r="R3516">
        <v>13</v>
      </c>
      <c r="S3516">
        <v>0.9285714285714286</v>
      </c>
      <c r="T3516">
        <v>3</v>
      </c>
      <c r="U3516">
        <v>10.199999999999999</v>
      </c>
      <c r="V3516">
        <v>2253.8039215686276</v>
      </c>
      <c r="W3516">
        <v>2</v>
      </c>
    </row>
    <row r="3517" spans="1:23" x14ac:dyDescent="0.2">
      <c r="A3517">
        <v>2021</v>
      </c>
      <c r="B3517" t="s">
        <v>23</v>
      </c>
      <c r="C3517" t="s">
        <v>272</v>
      </c>
      <c r="D3517">
        <v>99</v>
      </c>
      <c r="E3517">
        <v>2</v>
      </c>
      <c r="F3517">
        <v>12</v>
      </c>
      <c r="G3517" t="s">
        <v>123</v>
      </c>
      <c r="H3517">
        <v>10</v>
      </c>
      <c r="I3517">
        <v>55</v>
      </c>
      <c r="J3517">
        <v>56</v>
      </c>
      <c r="K3517">
        <v>1</v>
      </c>
      <c r="L3517">
        <v>118</v>
      </c>
      <c r="M3517">
        <v>45</v>
      </c>
      <c r="N3517">
        <v>3</v>
      </c>
      <c r="O3517">
        <v>2</v>
      </c>
      <c r="P3517">
        <v>9</v>
      </c>
      <c r="Q3517">
        <v>1.413</v>
      </c>
      <c r="R3517">
        <v>10</v>
      </c>
      <c r="S3517">
        <v>1.1111111111111112</v>
      </c>
      <c r="T3517">
        <v>2</v>
      </c>
      <c r="U3517">
        <v>12.5</v>
      </c>
      <c r="V3517">
        <v>5171.7647058823532</v>
      </c>
      <c r="W3517">
        <v>1</v>
      </c>
    </row>
    <row r="3518" spans="1:23" x14ac:dyDescent="0.2">
      <c r="A3518">
        <v>2021</v>
      </c>
      <c r="B3518" t="s">
        <v>23</v>
      </c>
      <c r="C3518" t="s">
        <v>272</v>
      </c>
      <c r="D3518">
        <v>100</v>
      </c>
      <c r="E3518">
        <v>1</v>
      </c>
      <c r="F3518">
        <v>9</v>
      </c>
      <c r="G3518" t="s">
        <v>124</v>
      </c>
      <c r="H3518">
        <v>9</v>
      </c>
      <c r="I3518">
        <v>58</v>
      </c>
      <c r="J3518">
        <v>63</v>
      </c>
      <c r="K3518">
        <v>5</v>
      </c>
      <c r="L3518">
        <v>135</v>
      </c>
      <c r="M3518">
        <v>32</v>
      </c>
      <c r="N3518">
        <v>4</v>
      </c>
      <c r="O3518">
        <v>5</v>
      </c>
      <c r="P3518">
        <v>8</v>
      </c>
      <c r="Q3518">
        <v>0.86199999999999999</v>
      </c>
      <c r="R3518">
        <v>8</v>
      </c>
      <c r="S3518">
        <v>1</v>
      </c>
      <c r="T3518">
        <v>2</v>
      </c>
      <c r="U3518">
        <v>12.5</v>
      </c>
      <c r="V3518">
        <v>3155.0326797385624</v>
      </c>
      <c r="W3518">
        <v>1</v>
      </c>
    </row>
    <row r="3519" spans="1:23" x14ac:dyDescent="0.2">
      <c r="A3519">
        <v>2021</v>
      </c>
      <c r="B3519" t="s">
        <v>23</v>
      </c>
      <c r="C3519" t="s">
        <v>272</v>
      </c>
      <c r="D3519">
        <v>100</v>
      </c>
      <c r="E3519">
        <v>2</v>
      </c>
      <c r="F3519">
        <v>6</v>
      </c>
      <c r="G3519" t="s">
        <v>124</v>
      </c>
      <c r="H3519" s="1">
        <v>1</v>
      </c>
      <c r="I3519" s="1">
        <v>61</v>
      </c>
      <c r="J3519" s="1">
        <v>66</v>
      </c>
      <c r="K3519" s="1">
        <f>J3519-I3519</f>
        <v>5</v>
      </c>
      <c r="L3519" s="1">
        <v>142</v>
      </c>
      <c r="M3519" s="1">
        <v>55</v>
      </c>
      <c r="N3519" s="1">
        <v>2</v>
      </c>
      <c r="O3519" s="1">
        <v>3.5</v>
      </c>
      <c r="P3519" s="1">
        <v>1</v>
      </c>
      <c r="Q3519" s="2">
        <v>0.108</v>
      </c>
      <c r="R3519" s="1">
        <v>1</v>
      </c>
      <c r="S3519" s="1">
        <f>R3519/P3519</f>
        <v>1</v>
      </c>
      <c r="T3519" s="1">
        <v>5</v>
      </c>
      <c r="U3519" s="1">
        <v>12.5</v>
      </c>
      <c r="V3519" s="1">
        <v>395.29411764705878</v>
      </c>
      <c r="W3519" s="1">
        <v>4</v>
      </c>
    </row>
    <row r="3520" spans="1:23" x14ac:dyDescent="0.2">
      <c r="A3520">
        <v>2021</v>
      </c>
      <c r="B3520" t="s">
        <v>23</v>
      </c>
      <c r="C3520" t="s">
        <v>272</v>
      </c>
      <c r="D3520">
        <v>101</v>
      </c>
      <c r="E3520">
        <v>1</v>
      </c>
      <c r="F3520">
        <v>5</v>
      </c>
      <c r="G3520" t="s">
        <v>125</v>
      </c>
      <c r="H3520" s="1">
        <v>15</v>
      </c>
      <c r="I3520" s="1">
        <v>66</v>
      </c>
      <c r="J3520" s="1">
        <v>71</v>
      </c>
      <c r="K3520" s="1">
        <f>J3520-I3520</f>
        <v>5</v>
      </c>
      <c r="L3520" s="1">
        <v>144</v>
      </c>
      <c r="M3520" s="1">
        <v>69</v>
      </c>
      <c r="N3520" s="1">
        <v>2.5</v>
      </c>
      <c r="O3520" s="1">
        <v>4</v>
      </c>
      <c r="P3520" s="1">
        <v>10</v>
      </c>
      <c r="Q3520" s="2">
        <v>0.43</v>
      </c>
      <c r="R3520" s="1">
        <v>9</v>
      </c>
      <c r="S3520" s="1">
        <f>R3520/P3520</f>
        <v>0.9</v>
      </c>
      <c r="T3520" s="1">
        <v>2.5</v>
      </c>
      <c r="U3520" s="1">
        <v>12.5</v>
      </c>
      <c r="V3520" s="1">
        <v>1573.8562091503268</v>
      </c>
      <c r="W3520" s="1">
        <v>3</v>
      </c>
    </row>
    <row r="3521" spans="1:23" x14ac:dyDescent="0.2">
      <c r="A3521">
        <v>2021</v>
      </c>
      <c r="B3521" t="s">
        <v>23</v>
      </c>
      <c r="C3521" t="s">
        <v>272</v>
      </c>
      <c r="D3521">
        <v>101</v>
      </c>
      <c r="E3521">
        <v>2</v>
      </c>
      <c r="F3521">
        <v>14</v>
      </c>
      <c r="G3521" t="s">
        <v>125</v>
      </c>
      <c r="H3521" s="1">
        <v>9</v>
      </c>
      <c r="I3521" s="1">
        <v>59</v>
      </c>
      <c r="J3521" s="1">
        <v>65</v>
      </c>
      <c r="K3521" s="1">
        <f>J3521-I3521</f>
        <v>6</v>
      </c>
      <c r="L3521" s="1">
        <v>131</v>
      </c>
      <c r="M3521" s="1">
        <v>63</v>
      </c>
      <c r="N3521" s="1">
        <v>2</v>
      </c>
      <c r="O3521" s="1">
        <v>2.5</v>
      </c>
      <c r="P3521" s="1">
        <v>9</v>
      </c>
      <c r="Q3521" s="2">
        <v>0.51749999999999996</v>
      </c>
      <c r="R3521" s="1">
        <v>8</v>
      </c>
      <c r="S3521" s="1">
        <f>R3521/P3521</f>
        <v>0.88888888888888884</v>
      </c>
      <c r="T3521" s="1">
        <v>5</v>
      </c>
      <c r="U3521" s="1">
        <v>12.5</v>
      </c>
      <c r="V3521" s="1">
        <v>1894.1176470588236</v>
      </c>
      <c r="W3521" s="1">
        <v>5</v>
      </c>
    </row>
    <row r="3522" spans="1:23" x14ac:dyDescent="0.2">
      <c r="A3522">
        <v>2021</v>
      </c>
      <c r="B3522" t="s">
        <v>23</v>
      </c>
      <c r="C3522" t="s">
        <v>272</v>
      </c>
      <c r="D3522">
        <v>102</v>
      </c>
      <c r="E3522">
        <v>1</v>
      </c>
      <c r="F3522">
        <v>2</v>
      </c>
      <c r="G3522" t="s">
        <v>126</v>
      </c>
      <c r="H3522">
        <v>6</v>
      </c>
      <c r="I3522">
        <v>56</v>
      </c>
      <c r="J3522">
        <v>60</v>
      </c>
      <c r="K3522">
        <v>4</v>
      </c>
      <c r="L3522">
        <v>78</v>
      </c>
      <c r="M3522">
        <v>28</v>
      </c>
      <c r="N3522">
        <v>2</v>
      </c>
      <c r="O3522">
        <v>3</v>
      </c>
      <c r="P3522">
        <v>6</v>
      </c>
      <c r="Q3522">
        <v>0.8</v>
      </c>
      <c r="R3522">
        <v>4</v>
      </c>
      <c r="S3522">
        <v>0.66666666666666663</v>
      </c>
      <c r="T3522">
        <v>2.5</v>
      </c>
      <c r="U3522">
        <v>12.5</v>
      </c>
      <c r="V3522">
        <v>2928.1045751633987</v>
      </c>
      <c r="W3522">
        <v>1</v>
      </c>
    </row>
    <row r="3523" spans="1:23" x14ac:dyDescent="0.2">
      <c r="A3523">
        <v>2021</v>
      </c>
      <c r="B3523" t="s">
        <v>23</v>
      </c>
      <c r="C3523" t="s">
        <v>272</v>
      </c>
      <c r="D3523">
        <v>102</v>
      </c>
      <c r="E3523">
        <v>2</v>
      </c>
      <c r="F3523">
        <v>1</v>
      </c>
      <c r="G3523" t="s">
        <v>126</v>
      </c>
      <c r="H3523" s="1">
        <v>10</v>
      </c>
      <c r="I3523" s="1">
        <v>62</v>
      </c>
      <c r="J3523" s="1">
        <v>66</v>
      </c>
      <c r="K3523" s="1">
        <f>J3523-I3523</f>
        <v>4</v>
      </c>
      <c r="L3523" s="1">
        <v>181</v>
      </c>
      <c r="M3523" s="1">
        <v>97</v>
      </c>
      <c r="N3523" s="1">
        <v>3</v>
      </c>
      <c r="O3523" s="1">
        <v>3.5</v>
      </c>
      <c r="P3523" s="1">
        <v>7</v>
      </c>
      <c r="Q3523" s="2">
        <v>0.16619999999999999</v>
      </c>
      <c r="R3523" s="1">
        <v>9</v>
      </c>
      <c r="S3523" s="1">
        <f>R3523/P3523</f>
        <v>1.2857142857142858</v>
      </c>
      <c r="T3523" s="1">
        <v>5</v>
      </c>
      <c r="U3523" s="1">
        <v>12.5</v>
      </c>
      <c r="V3523" s="1">
        <v>608.31372549019613</v>
      </c>
      <c r="W3523" s="1">
        <v>4</v>
      </c>
    </row>
    <row r="3524" spans="1:23" x14ac:dyDescent="0.2">
      <c r="A3524">
        <v>2021</v>
      </c>
      <c r="B3524" t="s">
        <v>23</v>
      </c>
      <c r="C3524" t="s">
        <v>272</v>
      </c>
      <c r="D3524">
        <v>103</v>
      </c>
      <c r="E3524">
        <v>1</v>
      </c>
      <c r="F3524">
        <v>7</v>
      </c>
      <c r="G3524" t="s">
        <v>127</v>
      </c>
      <c r="H3524" s="1">
        <v>1</v>
      </c>
      <c r="I3524" s="1">
        <v>66</v>
      </c>
      <c r="J3524" s="1">
        <v>70</v>
      </c>
      <c r="K3524" s="1">
        <f>J3524-I3524</f>
        <v>4</v>
      </c>
      <c r="L3524" s="1">
        <v>99</v>
      </c>
      <c r="M3524" s="1">
        <v>35</v>
      </c>
      <c r="N3524" s="1">
        <v>2</v>
      </c>
      <c r="O3524" s="1">
        <v>5</v>
      </c>
      <c r="P3524" s="1">
        <v>1</v>
      </c>
      <c r="Q3524" s="2">
        <v>6.6500000000000004E-2</v>
      </c>
      <c r="R3524" s="1">
        <v>1</v>
      </c>
      <c r="S3524" s="1">
        <f>R3524/P3524</f>
        <v>1</v>
      </c>
      <c r="T3524" s="1">
        <v>5</v>
      </c>
      <c r="U3524" s="1">
        <v>12.5</v>
      </c>
      <c r="V3524" s="1">
        <v>243.39869281045756</v>
      </c>
      <c r="W3524" s="1">
        <v>6</v>
      </c>
    </row>
    <row r="3525" spans="1:23" x14ac:dyDescent="0.2">
      <c r="A3525">
        <v>2021</v>
      </c>
      <c r="B3525" t="s">
        <v>23</v>
      </c>
      <c r="C3525" t="s">
        <v>272</v>
      </c>
      <c r="D3525">
        <v>103</v>
      </c>
      <c r="E3525">
        <v>2</v>
      </c>
      <c r="F3525">
        <v>8</v>
      </c>
      <c r="G3525" t="s">
        <v>127</v>
      </c>
      <c r="H3525" s="1">
        <v>10</v>
      </c>
      <c r="I3525" s="1">
        <v>64</v>
      </c>
      <c r="J3525" s="1">
        <v>67</v>
      </c>
      <c r="K3525" s="1">
        <f>J3525-I3525</f>
        <v>3</v>
      </c>
      <c r="L3525" s="1">
        <v>165</v>
      </c>
      <c r="M3525" s="1">
        <v>80</v>
      </c>
      <c r="N3525" s="1">
        <v>2</v>
      </c>
      <c r="O3525" s="1">
        <v>2.5</v>
      </c>
      <c r="P3525" s="1">
        <v>9</v>
      </c>
      <c r="Q3525" s="2">
        <v>0.54</v>
      </c>
      <c r="R3525" s="1">
        <v>9</v>
      </c>
      <c r="S3525" s="1">
        <f>R3525/P3525</f>
        <v>1</v>
      </c>
      <c r="T3525" s="1">
        <v>3</v>
      </c>
      <c r="U3525" s="1">
        <v>7.9</v>
      </c>
      <c r="V3525" s="1">
        <v>2080.3764705882354</v>
      </c>
      <c r="W3525" s="1">
        <v>5</v>
      </c>
    </row>
    <row r="3526" spans="1:23" x14ac:dyDescent="0.2">
      <c r="A3526">
        <v>2021</v>
      </c>
      <c r="B3526" t="s">
        <v>23</v>
      </c>
      <c r="C3526" t="s">
        <v>272</v>
      </c>
      <c r="D3526">
        <v>104</v>
      </c>
      <c r="E3526">
        <v>1</v>
      </c>
      <c r="F3526">
        <v>7</v>
      </c>
      <c r="G3526" t="s">
        <v>128</v>
      </c>
      <c r="H3526">
        <v>2</v>
      </c>
      <c r="I3526">
        <v>55</v>
      </c>
      <c r="J3526">
        <v>57</v>
      </c>
      <c r="K3526">
        <v>2</v>
      </c>
      <c r="L3526">
        <v>79</v>
      </c>
      <c r="M3526">
        <v>26</v>
      </c>
      <c r="N3526">
        <v>3</v>
      </c>
      <c r="O3526">
        <v>4</v>
      </c>
      <c r="P3526">
        <v>2</v>
      </c>
      <c r="Q3526">
        <v>0.14099999999999999</v>
      </c>
      <c r="R3526">
        <v>4</v>
      </c>
      <c r="S3526">
        <v>2</v>
      </c>
      <c r="T3526">
        <v>5</v>
      </c>
      <c r="U3526">
        <v>12.5</v>
      </c>
      <c r="V3526">
        <v>516.07843137254906</v>
      </c>
      <c r="W3526">
        <v>2</v>
      </c>
    </row>
    <row r="3527" spans="1:23" x14ac:dyDescent="0.2">
      <c r="A3527">
        <v>2021</v>
      </c>
      <c r="B3527" t="s">
        <v>23</v>
      </c>
      <c r="C3527" t="s">
        <v>272</v>
      </c>
      <c r="D3527">
        <v>104</v>
      </c>
      <c r="E3527">
        <v>2</v>
      </c>
      <c r="F3527">
        <v>14</v>
      </c>
      <c r="G3527" t="s">
        <v>128</v>
      </c>
      <c r="H3527" s="1">
        <v>12</v>
      </c>
      <c r="I3527" s="1">
        <v>63</v>
      </c>
      <c r="J3527" s="1">
        <v>68</v>
      </c>
      <c r="K3527" s="1">
        <f>J3527-I3527</f>
        <v>5</v>
      </c>
      <c r="L3527" s="1">
        <v>62</v>
      </c>
      <c r="M3527" s="1">
        <v>65</v>
      </c>
      <c r="N3527" s="1">
        <v>2</v>
      </c>
      <c r="O3527" s="1">
        <v>2.5</v>
      </c>
      <c r="P3527" s="1">
        <f>H3527</f>
        <v>12</v>
      </c>
      <c r="Q3527" s="2">
        <v>0.14025000000000001</v>
      </c>
      <c r="R3527" s="1">
        <v>12</v>
      </c>
      <c r="S3527" s="1">
        <f>R3527/P3527</f>
        <v>1</v>
      </c>
      <c r="T3527" s="1">
        <v>5</v>
      </c>
      <c r="U3527" s="1">
        <v>12.5</v>
      </c>
      <c r="V3527" s="1">
        <v>513.33333333333348</v>
      </c>
      <c r="W3527" s="1">
        <v>6</v>
      </c>
    </row>
    <row r="3528" spans="1:23" x14ac:dyDescent="0.2">
      <c r="A3528">
        <v>2021</v>
      </c>
      <c r="B3528" t="s">
        <v>23</v>
      </c>
      <c r="C3528" t="s">
        <v>272</v>
      </c>
      <c r="D3528">
        <v>105</v>
      </c>
      <c r="E3528">
        <v>1</v>
      </c>
      <c r="F3528">
        <v>10</v>
      </c>
      <c r="G3528" t="s">
        <v>129</v>
      </c>
      <c r="H3528" s="1">
        <v>1</v>
      </c>
      <c r="I3528" s="1">
        <v>65</v>
      </c>
      <c r="J3528" s="1">
        <v>66</v>
      </c>
      <c r="K3528" s="1">
        <f>J3528-I3528</f>
        <v>1</v>
      </c>
      <c r="L3528" s="1">
        <v>110</v>
      </c>
      <c r="M3528" s="1">
        <v>45</v>
      </c>
      <c r="N3528" s="1">
        <v>1.5</v>
      </c>
      <c r="O3528" s="1">
        <v>3</v>
      </c>
      <c r="P3528" s="1">
        <v>1</v>
      </c>
      <c r="Q3528" s="2">
        <v>4.65E-2</v>
      </c>
      <c r="R3528" s="1">
        <v>1</v>
      </c>
      <c r="S3528" s="1">
        <f>R3528/P3528</f>
        <v>1</v>
      </c>
      <c r="T3528" s="1">
        <v>4</v>
      </c>
      <c r="U3528" s="1">
        <v>12.5</v>
      </c>
      <c r="V3528" s="1">
        <v>170.19607843137254</v>
      </c>
      <c r="W3528" s="1">
        <v>5</v>
      </c>
    </row>
    <row r="3529" spans="1:23" x14ac:dyDescent="0.2">
      <c r="A3529">
        <v>2021</v>
      </c>
      <c r="B3529" t="s">
        <v>23</v>
      </c>
      <c r="C3529" t="s">
        <v>272</v>
      </c>
      <c r="D3529">
        <v>105</v>
      </c>
      <c r="E3529">
        <v>2</v>
      </c>
      <c r="F3529">
        <v>7</v>
      </c>
      <c r="G3529" t="s">
        <v>129</v>
      </c>
      <c r="H3529">
        <v>10</v>
      </c>
      <c r="I3529">
        <v>55</v>
      </c>
      <c r="J3529">
        <v>58</v>
      </c>
      <c r="K3529">
        <v>3</v>
      </c>
      <c r="L3529">
        <v>175</v>
      </c>
      <c r="M3529">
        <v>51</v>
      </c>
      <c r="N3529">
        <v>2</v>
      </c>
      <c r="O3529">
        <v>2</v>
      </c>
      <c r="P3529">
        <v>10</v>
      </c>
      <c r="Q3529">
        <v>0.96799999999999997</v>
      </c>
      <c r="R3529">
        <v>10</v>
      </c>
      <c r="S3529">
        <v>1</v>
      </c>
      <c r="T3529">
        <v>2</v>
      </c>
      <c r="U3529">
        <v>12.5</v>
      </c>
      <c r="V3529">
        <v>3543.0065359477126</v>
      </c>
      <c r="W3529">
        <v>1</v>
      </c>
    </row>
    <row r="3530" spans="1:23" x14ac:dyDescent="0.2">
      <c r="A3530">
        <v>2021</v>
      </c>
      <c r="B3530" t="s">
        <v>23</v>
      </c>
      <c r="C3530" t="s">
        <v>272</v>
      </c>
      <c r="D3530">
        <v>106</v>
      </c>
      <c r="E3530">
        <v>1</v>
      </c>
      <c r="F3530">
        <v>12</v>
      </c>
      <c r="G3530" t="s">
        <v>130</v>
      </c>
      <c r="H3530" s="1">
        <v>8</v>
      </c>
      <c r="I3530" s="1">
        <v>67</v>
      </c>
      <c r="J3530" s="1">
        <v>70</v>
      </c>
      <c r="K3530" s="1">
        <f>J3530-I3530</f>
        <v>3</v>
      </c>
      <c r="L3530" s="1">
        <v>116</v>
      </c>
      <c r="M3530" s="1">
        <v>26</v>
      </c>
      <c r="N3530" s="1">
        <v>3</v>
      </c>
      <c r="O3530" s="1">
        <v>4.5</v>
      </c>
      <c r="P3530" s="1">
        <v>2</v>
      </c>
      <c r="Q3530" s="2">
        <v>2.5000000000000001E-2</v>
      </c>
      <c r="R3530" s="1">
        <v>2</v>
      </c>
      <c r="S3530" s="1">
        <f>R3530/P3530</f>
        <v>1</v>
      </c>
      <c r="T3530" s="1">
        <v>5</v>
      </c>
      <c r="U3530" s="1">
        <v>12.5</v>
      </c>
      <c r="V3530" s="1">
        <v>91.503267973856211</v>
      </c>
      <c r="W3530" s="1">
        <v>6</v>
      </c>
    </row>
    <row r="3531" spans="1:23" x14ac:dyDescent="0.2">
      <c r="A3531">
        <v>2021</v>
      </c>
      <c r="B3531" t="s">
        <v>23</v>
      </c>
      <c r="C3531" t="s">
        <v>272</v>
      </c>
      <c r="D3531">
        <v>106</v>
      </c>
      <c r="E3531">
        <v>2</v>
      </c>
      <c r="F3531">
        <v>2</v>
      </c>
      <c r="G3531" t="s">
        <v>130</v>
      </c>
      <c r="H3531" s="1">
        <v>8</v>
      </c>
      <c r="I3531" s="1">
        <v>62</v>
      </c>
      <c r="J3531" s="1">
        <v>67</v>
      </c>
      <c r="K3531" s="1">
        <f>J3531-I3531</f>
        <v>5</v>
      </c>
      <c r="L3531" s="1">
        <v>148</v>
      </c>
      <c r="M3531" s="1">
        <v>100</v>
      </c>
      <c r="N3531" s="1">
        <v>2</v>
      </c>
      <c r="O3531" s="1">
        <v>3.5</v>
      </c>
      <c r="P3531" s="1">
        <f>H3531-2</f>
        <v>6</v>
      </c>
      <c r="Q3531" s="2">
        <v>0.16500000000000001</v>
      </c>
      <c r="R3531" s="1">
        <v>7</v>
      </c>
      <c r="S3531" s="1">
        <f>R3531/P3531</f>
        <v>1.1666666666666667</v>
      </c>
      <c r="T3531" s="1">
        <v>3</v>
      </c>
      <c r="U3531" s="1">
        <v>12.5</v>
      </c>
      <c r="V3531" s="1">
        <v>603.92156862745094</v>
      </c>
      <c r="W3531" s="1">
        <v>4</v>
      </c>
    </row>
    <row r="3532" spans="1:23" x14ac:dyDescent="0.2">
      <c r="A3532">
        <v>2021</v>
      </c>
      <c r="B3532" t="s">
        <v>23</v>
      </c>
      <c r="C3532" t="s">
        <v>272</v>
      </c>
      <c r="D3532">
        <v>107</v>
      </c>
      <c r="E3532">
        <v>1</v>
      </c>
      <c r="F3532">
        <v>7</v>
      </c>
      <c r="G3532" t="s">
        <v>131</v>
      </c>
      <c r="H3532">
        <v>10</v>
      </c>
      <c r="I3532">
        <v>56</v>
      </c>
      <c r="J3532">
        <v>59</v>
      </c>
      <c r="K3532">
        <v>3</v>
      </c>
      <c r="L3532">
        <v>184</v>
      </c>
      <c r="M3532">
        <v>94</v>
      </c>
      <c r="N3532">
        <v>1</v>
      </c>
      <c r="O3532">
        <v>1.5</v>
      </c>
      <c r="P3532">
        <v>12</v>
      </c>
      <c r="Q3532">
        <v>1.1000000000000001</v>
      </c>
      <c r="R3532">
        <v>12</v>
      </c>
      <c r="S3532">
        <v>1</v>
      </c>
      <c r="T3532">
        <v>3</v>
      </c>
      <c r="U3532">
        <v>8.1999999999999993</v>
      </c>
      <c r="V3532">
        <v>4224</v>
      </c>
      <c r="W3532">
        <v>2</v>
      </c>
    </row>
    <row r="3533" spans="1:23" x14ac:dyDescent="0.2">
      <c r="A3533">
        <v>2021</v>
      </c>
      <c r="B3533" t="s">
        <v>23</v>
      </c>
      <c r="C3533" t="s">
        <v>272</v>
      </c>
      <c r="D3533">
        <v>107</v>
      </c>
      <c r="E3533">
        <v>2</v>
      </c>
      <c r="F3533">
        <v>1</v>
      </c>
      <c r="G3533" t="s">
        <v>131</v>
      </c>
      <c r="H3533">
        <v>2</v>
      </c>
      <c r="I3533">
        <v>58</v>
      </c>
      <c r="J3533">
        <v>60</v>
      </c>
      <c r="K3533">
        <v>2</v>
      </c>
      <c r="L3533">
        <v>125</v>
      </c>
      <c r="M3533">
        <v>60</v>
      </c>
      <c r="N3533">
        <v>1.5</v>
      </c>
      <c r="O3533">
        <v>3</v>
      </c>
      <c r="P3533">
        <v>2</v>
      </c>
      <c r="Q3533">
        <v>0.25</v>
      </c>
      <c r="R3533">
        <v>2</v>
      </c>
      <c r="S3533">
        <v>1</v>
      </c>
      <c r="T3533">
        <v>3</v>
      </c>
      <c r="U3533">
        <v>12.5</v>
      </c>
      <c r="V3533">
        <v>915.03267973856214</v>
      </c>
      <c r="W3533">
        <v>2</v>
      </c>
    </row>
    <row r="3534" spans="1:23" x14ac:dyDescent="0.2">
      <c r="A3534">
        <v>2021</v>
      </c>
      <c r="B3534" t="s">
        <v>23</v>
      </c>
      <c r="C3534" t="s">
        <v>272</v>
      </c>
      <c r="D3534">
        <v>108</v>
      </c>
      <c r="E3534">
        <v>1</v>
      </c>
      <c r="F3534">
        <v>13</v>
      </c>
      <c r="G3534" t="s">
        <v>132</v>
      </c>
      <c r="H3534" s="1">
        <v>10</v>
      </c>
      <c r="I3534" s="1">
        <v>66</v>
      </c>
      <c r="J3534" s="1">
        <v>70</v>
      </c>
      <c r="K3534" s="1">
        <f>J3534-I3534</f>
        <v>4</v>
      </c>
      <c r="L3534" s="1">
        <v>114</v>
      </c>
      <c r="M3534" s="1">
        <v>36</v>
      </c>
      <c r="N3534" s="1">
        <v>3</v>
      </c>
      <c r="O3534" s="1">
        <v>4.5</v>
      </c>
      <c r="P3534" s="1">
        <v>4</v>
      </c>
      <c r="Q3534" s="2">
        <v>0.10199999999999999</v>
      </c>
      <c r="R3534" s="1">
        <v>4</v>
      </c>
      <c r="S3534" s="1">
        <f>R3534/P3534</f>
        <v>1</v>
      </c>
      <c r="T3534" s="1">
        <v>5</v>
      </c>
      <c r="U3534" s="1">
        <v>12.5</v>
      </c>
      <c r="V3534" s="1">
        <v>373.33333333333326</v>
      </c>
      <c r="W3534" s="1">
        <v>6</v>
      </c>
    </row>
    <row r="3535" spans="1:23" x14ac:dyDescent="0.2">
      <c r="A3535">
        <v>2021</v>
      </c>
      <c r="B3535" t="s">
        <v>23</v>
      </c>
      <c r="C3535" t="s">
        <v>272</v>
      </c>
      <c r="D3535">
        <v>108</v>
      </c>
      <c r="E3535">
        <v>2</v>
      </c>
      <c r="F3535">
        <v>14</v>
      </c>
      <c r="G3535" t="s">
        <v>132</v>
      </c>
      <c r="H3535">
        <v>5</v>
      </c>
      <c r="I3535">
        <v>55</v>
      </c>
      <c r="J3535">
        <v>56</v>
      </c>
      <c r="K3535">
        <v>1</v>
      </c>
      <c r="L3535">
        <v>172</v>
      </c>
      <c r="M3535">
        <v>49</v>
      </c>
      <c r="N3535">
        <v>2</v>
      </c>
      <c r="O3535">
        <v>3</v>
      </c>
      <c r="P3535">
        <v>5</v>
      </c>
      <c r="Q3535">
        <v>0.4</v>
      </c>
      <c r="R3535">
        <v>5</v>
      </c>
      <c r="S3535">
        <v>1</v>
      </c>
      <c r="T3535">
        <v>3</v>
      </c>
      <c r="U3535">
        <v>12.5</v>
      </c>
      <c r="V3535">
        <v>1464.0522875816994</v>
      </c>
      <c r="W3535">
        <v>1</v>
      </c>
    </row>
    <row r="3536" spans="1:23" x14ac:dyDescent="0.2">
      <c r="A3536">
        <v>2021</v>
      </c>
      <c r="B3536" t="s">
        <v>23</v>
      </c>
      <c r="C3536" t="s">
        <v>272</v>
      </c>
      <c r="D3536">
        <v>109</v>
      </c>
      <c r="E3536">
        <v>1</v>
      </c>
      <c r="F3536">
        <v>12</v>
      </c>
      <c r="G3536" t="s">
        <v>133</v>
      </c>
      <c r="H3536" s="1">
        <v>4</v>
      </c>
      <c r="I3536" s="1">
        <v>62</v>
      </c>
      <c r="J3536" s="1">
        <v>67</v>
      </c>
      <c r="K3536" s="1">
        <f>J3536-I3536</f>
        <v>5</v>
      </c>
      <c r="L3536" s="1">
        <v>105</v>
      </c>
      <c r="M3536" s="1">
        <v>43</v>
      </c>
      <c r="N3536" s="1">
        <v>1.5</v>
      </c>
      <c r="O3536" s="1">
        <v>3</v>
      </c>
      <c r="P3536" s="1">
        <v>3</v>
      </c>
      <c r="Q3536" s="2">
        <v>0.34599999999999997</v>
      </c>
      <c r="R3536" s="1">
        <v>2</v>
      </c>
      <c r="S3536" s="1">
        <f>R3536/P3536</f>
        <v>0.66666666666666663</v>
      </c>
      <c r="T3536" s="1">
        <v>1.5</v>
      </c>
      <c r="U3536" s="1">
        <v>12.5</v>
      </c>
      <c r="V3536" s="1">
        <v>1266.4052287581699</v>
      </c>
      <c r="W3536" s="1">
        <v>3</v>
      </c>
    </row>
    <row r="3537" spans="1:23" x14ac:dyDescent="0.2">
      <c r="A3537">
        <v>2021</v>
      </c>
      <c r="B3537" t="s">
        <v>23</v>
      </c>
      <c r="C3537" t="s">
        <v>272</v>
      </c>
      <c r="D3537">
        <v>109</v>
      </c>
      <c r="E3537">
        <v>2</v>
      </c>
      <c r="F3537">
        <v>1</v>
      </c>
      <c r="G3537" t="s">
        <v>133</v>
      </c>
      <c r="H3537">
        <v>2</v>
      </c>
      <c r="I3537">
        <v>55</v>
      </c>
      <c r="J3537">
        <v>57</v>
      </c>
      <c r="K3537">
        <v>2</v>
      </c>
      <c r="L3537">
        <v>73</v>
      </c>
      <c r="M3537">
        <v>19</v>
      </c>
      <c r="N3537">
        <v>3</v>
      </c>
      <c r="O3537">
        <v>4</v>
      </c>
      <c r="P3537">
        <v>3</v>
      </c>
      <c r="Q3537">
        <v>0.185</v>
      </c>
      <c r="R3537">
        <v>2</v>
      </c>
      <c r="S3537">
        <v>0.66666666666666663</v>
      </c>
      <c r="T3537">
        <v>3</v>
      </c>
      <c r="U3537">
        <v>12.5</v>
      </c>
      <c r="V3537">
        <v>677.12418300653599</v>
      </c>
      <c r="W3537">
        <v>2</v>
      </c>
    </row>
    <row r="3538" spans="1:23" x14ac:dyDescent="0.2">
      <c r="A3538">
        <v>2021</v>
      </c>
      <c r="B3538" t="s">
        <v>23</v>
      </c>
      <c r="C3538" t="s">
        <v>272</v>
      </c>
      <c r="D3538">
        <v>110</v>
      </c>
      <c r="E3538">
        <v>1</v>
      </c>
      <c r="F3538">
        <v>15</v>
      </c>
      <c r="G3538" t="s">
        <v>134</v>
      </c>
      <c r="H3538" s="1">
        <v>14</v>
      </c>
      <c r="I3538" s="1">
        <v>66</v>
      </c>
      <c r="J3538" s="1">
        <v>70</v>
      </c>
      <c r="K3538" s="1">
        <f>J3538-I3538</f>
        <v>4</v>
      </c>
      <c r="L3538" s="1">
        <v>157</v>
      </c>
      <c r="M3538" s="1">
        <v>90</v>
      </c>
      <c r="N3538" s="1">
        <v>2</v>
      </c>
      <c r="O3538" s="1">
        <v>3.5</v>
      </c>
      <c r="P3538" s="1">
        <v>10</v>
      </c>
      <c r="Q3538" s="2">
        <v>3.6179999999999997E-2</v>
      </c>
      <c r="R3538" s="1">
        <v>5</v>
      </c>
      <c r="S3538" s="1">
        <f>R3538/P3538</f>
        <v>0.5</v>
      </c>
      <c r="T3538" s="1">
        <v>5</v>
      </c>
      <c r="U3538" s="1">
        <v>12.5</v>
      </c>
      <c r="V3538" s="1">
        <v>132.42352941176469</v>
      </c>
      <c r="W3538" s="1">
        <v>4</v>
      </c>
    </row>
    <row r="3539" spans="1:23" x14ac:dyDescent="0.2">
      <c r="A3539">
        <v>2021</v>
      </c>
      <c r="B3539" t="s">
        <v>23</v>
      </c>
      <c r="C3539" t="s">
        <v>272</v>
      </c>
      <c r="D3539">
        <v>110</v>
      </c>
      <c r="E3539">
        <v>2</v>
      </c>
      <c r="F3539">
        <v>10</v>
      </c>
      <c r="G3539" t="s">
        <v>134</v>
      </c>
      <c r="H3539" s="1">
        <v>10</v>
      </c>
      <c r="I3539" s="1">
        <v>61</v>
      </c>
      <c r="J3539" s="1">
        <v>64</v>
      </c>
      <c r="K3539" s="1">
        <f>J3539-I3539</f>
        <v>3</v>
      </c>
      <c r="L3539" s="1">
        <v>166</v>
      </c>
      <c r="M3539" s="1">
        <v>70</v>
      </c>
      <c r="N3539" s="1">
        <v>2</v>
      </c>
      <c r="O3539" s="1">
        <v>4</v>
      </c>
      <c r="P3539" s="1">
        <v>9</v>
      </c>
      <c r="Q3539" s="2">
        <v>0.14399999999999999</v>
      </c>
      <c r="R3539" s="1">
        <v>9</v>
      </c>
      <c r="S3539" s="1">
        <f>R3539/P3539</f>
        <v>1</v>
      </c>
      <c r="T3539" s="1">
        <v>3</v>
      </c>
      <c r="U3539" s="1">
        <v>12.5</v>
      </c>
      <c r="V3539" s="1">
        <v>527.05882352941182</v>
      </c>
      <c r="W3539" s="1">
        <v>6</v>
      </c>
    </row>
    <row r="3540" spans="1:23" x14ac:dyDescent="0.2">
      <c r="A3540">
        <v>2021</v>
      </c>
      <c r="B3540" t="s">
        <v>23</v>
      </c>
      <c r="C3540" t="s">
        <v>272</v>
      </c>
      <c r="D3540">
        <v>111</v>
      </c>
      <c r="E3540">
        <v>1</v>
      </c>
      <c r="F3540">
        <v>5</v>
      </c>
      <c r="G3540" t="s">
        <v>135</v>
      </c>
      <c r="H3540">
        <v>2</v>
      </c>
      <c r="I3540">
        <v>56</v>
      </c>
      <c r="J3540">
        <v>57</v>
      </c>
      <c r="K3540">
        <v>1</v>
      </c>
      <c r="L3540">
        <v>114</v>
      </c>
      <c r="M3540">
        <v>30</v>
      </c>
      <c r="N3540">
        <v>4</v>
      </c>
      <c r="O3540">
        <v>4</v>
      </c>
      <c r="P3540">
        <v>2</v>
      </c>
      <c r="Q3540">
        <v>0.09</v>
      </c>
      <c r="R3540">
        <v>2</v>
      </c>
      <c r="S3540">
        <v>1</v>
      </c>
      <c r="T3540">
        <v>3</v>
      </c>
      <c r="U3540">
        <v>12.5</v>
      </c>
      <c r="V3540">
        <v>329.41176470588232</v>
      </c>
      <c r="W3540">
        <v>1</v>
      </c>
    </row>
    <row r="3541" spans="1:23" x14ac:dyDescent="0.2">
      <c r="A3541">
        <v>2021</v>
      </c>
      <c r="B3541" t="s">
        <v>23</v>
      </c>
      <c r="C3541" t="s">
        <v>272</v>
      </c>
      <c r="D3541">
        <v>111</v>
      </c>
      <c r="E3541">
        <v>2</v>
      </c>
      <c r="F3541">
        <v>5</v>
      </c>
      <c r="G3541" t="s">
        <v>135</v>
      </c>
      <c r="H3541" s="1">
        <v>7</v>
      </c>
      <c r="I3541" s="1">
        <v>66</v>
      </c>
      <c r="J3541" s="1">
        <v>71</v>
      </c>
      <c r="K3541" s="1">
        <f t="shared" ref="K3541:K3547" si="180">J3541-I3541</f>
        <v>5</v>
      </c>
      <c r="L3541" s="1">
        <v>100</v>
      </c>
      <c r="M3541" s="1">
        <v>41</v>
      </c>
      <c r="N3541" s="1">
        <v>1.5</v>
      </c>
      <c r="O3541" s="1">
        <v>4</v>
      </c>
      <c r="P3541" s="1">
        <v>6</v>
      </c>
      <c r="Q3541" s="2">
        <v>0.14799999999999999</v>
      </c>
      <c r="R3541" s="1">
        <v>6</v>
      </c>
      <c r="S3541" s="1">
        <f t="shared" ref="S3541:S3547" si="181">R3541/P3541</f>
        <v>1</v>
      </c>
      <c r="T3541" s="1">
        <v>4</v>
      </c>
      <c r="U3541" s="1">
        <v>12.5</v>
      </c>
      <c r="V3541" s="1">
        <v>541.69934640522877</v>
      </c>
      <c r="W3541" s="1">
        <v>4</v>
      </c>
    </row>
    <row r="3542" spans="1:23" x14ac:dyDescent="0.2">
      <c r="A3542">
        <v>2021</v>
      </c>
      <c r="B3542" t="s">
        <v>23</v>
      </c>
      <c r="C3542" t="s">
        <v>272</v>
      </c>
      <c r="D3542">
        <v>112</v>
      </c>
      <c r="E3542">
        <v>1</v>
      </c>
      <c r="F3542">
        <v>3</v>
      </c>
      <c r="G3542" t="s">
        <v>136</v>
      </c>
      <c r="H3542" s="1">
        <v>15</v>
      </c>
      <c r="I3542" s="1">
        <v>57</v>
      </c>
      <c r="J3542" s="1">
        <v>60</v>
      </c>
      <c r="K3542" s="1">
        <f t="shared" si="180"/>
        <v>3</v>
      </c>
      <c r="L3542" s="1">
        <v>122</v>
      </c>
      <c r="M3542" s="1">
        <v>51</v>
      </c>
      <c r="N3542" s="1">
        <v>2</v>
      </c>
      <c r="O3542" s="1">
        <v>3.5</v>
      </c>
      <c r="P3542" s="1">
        <f>H3542-2</f>
        <v>13</v>
      </c>
      <c r="Q3542" s="2">
        <v>0.1215</v>
      </c>
      <c r="R3542" s="1">
        <v>10</v>
      </c>
      <c r="S3542" s="1">
        <f t="shared" si="181"/>
        <v>0.76923076923076927</v>
      </c>
      <c r="T3542" s="1">
        <v>5</v>
      </c>
      <c r="U3542" s="1">
        <v>12.5</v>
      </c>
      <c r="V3542" s="1">
        <v>444.70588235294122</v>
      </c>
      <c r="W3542" s="1">
        <v>6</v>
      </c>
    </row>
    <row r="3543" spans="1:23" x14ac:dyDescent="0.2">
      <c r="A3543">
        <v>2021</v>
      </c>
      <c r="B3543" t="s">
        <v>23</v>
      </c>
      <c r="C3543" t="s">
        <v>272</v>
      </c>
      <c r="D3543">
        <v>112</v>
      </c>
      <c r="E3543">
        <v>2</v>
      </c>
      <c r="F3543">
        <v>1</v>
      </c>
      <c r="G3543" t="s">
        <v>136</v>
      </c>
      <c r="H3543" s="1">
        <v>12</v>
      </c>
      <c r="I3543" s="1">
        <v>68</v>
      </c>
      <c r="J3543" s="1">
        <v>73</v>
      </c>
      <c r="K3543" s="1">
        <f t="shared" si="180"/>
        <v>5</v>
      </c>
      <c r="L3543" s="1">
        <v>150</v>
      </c>
      <c r="M3543" s="1">
        <v>69</v>
      </c>
      <c r="N3543" s="1">
        <v>2.5</v>
      </c>
      <c r="O3543" s="1">
        <v>3.5</v>
      </c>
      <c r="P3543" s="1">
        <v>7</v>
      </c>
      <c r="Q3543" s="2">
        <v>0.32200000000000001</v>
      </c>
      <c r="R3543" s="1">
        <v>7</v>
      </c>
      <c r="S3543" s="1">
        <f t="shared" si="181"/>
        <v>1</v>
      </c>
      <c r="T3543" s="1">
        <v>4</v>
      </c>
      <c r="U3543" s="1">
        <v>12.5</v>
      </c>
      <c r="V3543" s="1">
        <v>1178.562091503268</v>
      </c>
      <c r="W3543" s="1">
        <v>3</v>
      </c>
    </row>
    <row r="3544" spans="1:23" x14ac:dyDescent="0.2">
      <c r="A3544">
        <v>2021</v>
      </c>
      <c r="B3544" t="s">
        <v>23</v>
      </c>
      <c r="C3544" t="s">
        <v>272</v>
      </c>
      <c r="D3544">
        <v>113</v>
      </c>
      <c r="E3544">
        <v>1</v>
      </c>
      <c r="F3544">
        <v>5</v>
      </c>
      <c r="G3544" t="s">
        <v>137</v>
      </c>
      <c r="H3544" s="1">
        <v>5</v>
      </c>
      <c r="I3544" s="1">
        <v>63</v>
      </c>
      <c r="J3544" s="1">
        <v>64</v>
      </c>
      <c r="K3544" s="1">
        <f t="shared" si="180"/>
        <v>1</v>
      </c>
      <c r="L3544" s="1">
        <v>139</v>
      </c>
      <c r="M3544" s="1">
        <v>58</v>
      </c>
      <c r="N3544" s="1">
        <v>2</v>
      </c>
      <c r="O3544" s="1">
        <v>3.5</v>
      </c>
      <c r="P3544" s="1">
        <f>H3544</f>
        <v>5</v>
      </c>
      <c r="Q3544" s="2">
        <v>0.10935</v>
      </c>
      <c r="R3544" s="1">
        <v>2</v>
      </c>
      <c r="S3544" s="1">
        <f t="shared" si="181"/>
        <v>0.4</v>
      </c>
      <c r="T3544" s="1">
        <v>5</v>
      </c>
      <c r="U3544" s="1">
        <v>12.5</v>
      </c>
      <c r="V3544" s="1">
        <v>400.23529411764707</v>
      </c>
      <c r="W3544" s="1">
        <v>2</v>
      </c>
    </row>
    <row r="3545" spans="1:23" x14ac:dyDescent="0.2">
      <c r="A3545">
        <v>2021</v>
      </c>
      <c r="B3545" t="s">
        <v>23</v>
      </c>
      <c r="C3545" t="s">
        <v>272</v>
      </c>
      <c r="D3545">
        <v>113</v>
      </c>
      <c r="E3545">
        <v>2</v>
      </c>
      <c r="F3545">
        <v>10</v>
      </c>
      <c r="G3545" t="s">
        <v>137</v>
      </c>
      <c r="H3545" s="1">
        <v>4</v>
      </c>
      <c r="I3545" s="1">
        <v>68</v>
      </c>
      <c r="J3545" s="1">
        <v>70</v>
      </c>
      <c r="K3545" s="1">
        <f t="shared" si="180"/>
        <v>2</v>
      </c>
      <c r="L3545" s="1">
        <v>174</v>
      </c>
      <c r="M3545" s="1">
        <v>86</v>
      </c>
      <c r="N3545" s="1">
        <v>2</v>
      </c>
      <c r="O3545" s="1">
        <v>2</v>
      </c>
      <c r="P3545" s="1">
        <f>H3545</f>
        <v>4</v>
      </c>
      <c r="Q3545" s="2">
        <v>8.4000000000000005E-2</v>
      </c>
      <c r="R3545" s="1">
        <v>2</v>
      </c>
      <c r="S3545" s="1">
        <f t="shared" si="181"/>
        <v>0.5</v>
      </c>
      <c r="T3545" s="1">
        <v>5</v>
      </c>
      <c r="U3545" s="1">
        <v>12.5</v>
      </c>
      <c r="V3545" s="1">
        <v>307.45098039215685</v>
      </c>
      <c r="W3545" s="1">
        <v>3</v>
      </c>
    </row>
    <row r="3546" spans="1:23" x14ac:dyDescent="0.2">
      <c r="A3546">
        <v>2021</v>
      </c>
      <c r="B3546" t="s">
        <v>23</v>
      </c>
      <c r="C3546" t="s">
        <v>272</v>
      </c>
      <c r="D3546">
        <v>114</v>
      </c>
      <c r="E3546">
        <v>1</v>
      </c>
      <c r="F3546">
        <v>4</v>
      </c>
      <c r="G3546" t="s">
        <v>138</v>
      </c>
      <c r="H3546" s="1">
        <v>6</v>
      </c>
      <c r="I3546" s="1">
        <v>67</v>
      </c>
      <c r="J3546" s="1">
        <v>70</v>
      </c>
      <c r="K3546" s="1">
        <f t="shared" si="180"/>
        <v>3</v>
      </c>
      <c r="L3546" s="1">
        <v>95</v>
      </c>
      <c r="M3546" s="1">
        <v>36</v>
      </c>
      <c r="N3546" s="1">
        <v>3</v>
      </c>
      <c r="O3546" s="1">
        <v>5</v>
      </c>
      <c r="P3546" s="1">
        <v>2</v>
      </c>
      <c r="Q3546" s="2">
        <v>6.7500000000000004E-2</v>
      </c>
      <c r="R3546" s="1">
        <v>2</v>
      </c>
      <c r="S3546" s="1">
        <f t="shared" si="181"/>
        <v>1</v>
      </c>
      <c r="T3546" s="1">
        <v>5</v>
      </c>
      <c r="U3546" s="1">
        <v>12.5</v>
      </c>
      <c r="V3546" s="1">
        <v>247.05882352941177</v>
      </c>
      <c r="W3546" s="1">
        <v>6</v>
      </c>
    </row>
    <row r="3547" spans="1:23" x14ac:dyDescent="0.2">
      <c r="A3547">
        <v>2021</v>
      </c>
      <c r="B3547" t="s">
        <v>23</v>
      </c>
      <c r="C3547" t="s">
        <v>272</v>
      </c>
      <c r="D3547">
        <v>114</v>
      </c>
      <c r="E3547">
        <v>2</v>
      </c>
      <c r="F3547">
        <v>7</v>
      </c>
      <c r="G3547" t="s">
        <v>138</v>
      </c>
      <c r="H3547" s="1">
        <v>13</v>
      </c>
      <c r="I3547" s="1">
        <v>60</v>
      </c>
      <c r="J3547" s="1">
        <v>65</v>
      </c>
      <c r="K3547" s="1">
        <f t="shared" si="180"/>
        <v>5</v>
      </c>
      <c r="L3547" s="1">
        <v>143</v>
      </c>
      <c r="M3547" s="1">
        <v>87</v>
      </c>
      <c r="N3547" s="1">
        <v>2</v>
      </c>
      <c r="O3547" s="1">
        <v>3</v>
      </c>
      <c r="P3547" s="1">
        <v>13</v>
      </c>
      <c r="Q3547" s="2">
        <v>0.2</v>
      </c>
      <c r="R3547" s="1">
        <v>8</v>
      </c>
      <c r="S3547" s="1">
        <f t="shared" si="181"/>
        <v>0.61538461538461542</v>
      </c>
      <c r="T3547" s="1">
        <v>5</v>
      </c>
      <c r="U3547" s="1">
        <v>10.5</v>
      </c>
      <c r="V3547" s="1">
        <v>748.75816993464059</v>
      </c>
      <c r="W3547" s="1">
        <v>5</v>
      </c>
    </row>
    <row r="3548" spans="1:23" x14ac:dyDescent="0.2">
      <c r="A3548">
        <v>2021</v>
      </c>
      <c r="B3548" t="s">
        <v>23</v>
      </c>
      <c r="C3548" t="s">
        <v>272</v>
      </c>
      <c r="D3548">
        <v>115</v>
      </c>
      <c r="E3548">
        <v>1</v>
      </c>
      <c r="F3548">
        <v>4</v>
      </c>
      <c r="G3548" t="s">
        <v>139</v>
      </c>
      <c r="H3548">
        <v>16</v>
      </c>
      <c r="I3548">
        <v>54</v>
      </c>
      <c r="J3548">
        <v>55</v>
      </c>
      <c r="K3548">
        <v>1</v>
      </c>
      <c r="L3548">
        <v>125</v>
      </c>
      <c r="M3548">
        <v>47</v>
      </c>
      <c r="N3548">
        <v>2</v>
      </c>
      <c r="O3548">
        <v>2</v>
      </c>
      <c r="P3548">
        <v>11</v>
      </c>
      <c r="Q3548">
        <v>1</v>
      </c>
      <c r="R3548">
        <v>11</v>
      </c>
      <c r="S3548">
        <v>1</v>
      </c>
      <c r="T3548">
        <v>3</v>
      </c>
      <c r="U3548">
        <v>8</v>
      </c>
      <c r="V3548">
        <v>3848.3660130718949</v>
      </c>
      <c r="W3548">
        <v>1</v>
      </c>
    </row>
    <row r="3549" spans="1:23" x14ac:dyDescent="0.2">
      <c r="A3549">
        <v>2021</v>
      </c>
      <c r="B3549" t="s">
        <v>23</v>
      </c>
      <c r="C3549" t="s">
        <v>272</v>
      </c>
      <c r="D3549">
        <v>115</v>
      </c>
      <c r="E3549">
        <v>2</v>
      </c>
      <c r="F3549">
        <v>6</v>
      </c>
      <c r="G3549" t="s">
        <v>139</v>
      </c>
      <c r="H3549" s="1">
        <v>5</v>
      </c>
      <c r="I3549" s="1">
        <v>65</v>
      </c>
      <c r="J3549" s="1">
        <v>70</v>
      </c>
      <c r="K3549" s="1">
        <f>J3549-I3549</f>
        <v>5</v>
      </c>
      <c r="L3549" s="1">
        <v>105</v>
      </c>
      <c r="M3549" s="1">
        <v>26</v>
      </c>
      <c r="N3549" s="1">
        <v>2</v>
      </c>
      <c r="O3549" s="1">
        <v>4.5</v>
      </c>
      <c r="P3549" s="1">
        <v>2</v>
      </c>
      <c r="Q3549" s="2">
        <v>8.7999999999999995E-2</v>
      </c>
      <c r="R3549" s="1">
        <v>2</v>
      </c>
      <c r="S3549" s="1">
        <f>R3549/P3549</f>
        <v>1</v>
      </c>
      <c r="T3549" s="1">
        <v>5</v>
      </c>
      <c r="U3549" s="1">
        <v>12.5</v>
      </c>
      <c r="V3549" s="1">
        <v>322.09150326797385</v>
      </c>
      <c r="W3549" s="1">
        <v>7</v>
      </c>
    </row>
    <row r="3550" spans="1:23" x14ac:dyDescent="0.2">
      <c r="A3550">
        <v>2021</v>
      </c>
      <c r="B3550" t="s">
        <v>23</v>
      </c>
      <c r="C3550" t="s">
        <v>272</v>
      </c>
      <c r="D3550">
        <v>116</v>
      </c>
      <c r="E3550">
        <v>1</v>
      </c>
      <c r="F3550">
        <v>15</v>
      </c>
      <c r="G3550" t="s">
        <v>140</v>
      </c>
      <c r="H3550" s="1">
        <v>6</v>
      </c>
      <c r="I3550" s="1">
        <v>62</v>
      </c>
      <c r="J3550" s="1">
        <v>66</v>
      </c>
      <c r="K3550" s="1">
        <f>J3550-I3550</f>
        <v>4</v>
      </c>
      <c r="L3550" s="1">
        <v>162</v>
      </c>
      <c r="M3550" s="1">
        <v>115</v>
      </c>
      <c r="N3550" s="1">
        <v>2</v>
      </c>
      <c r="O3550" s="1">
        <v>2.5</v>
      </c>
      <c r="P3550" s="1">
        <v>6</v>
      </c>
      <c r="Q3550" s="2">
        <v>0.34367999999999993</v>
      </c>
      <c r="R3550" s="1">
        <v>5</v>
      </c>
      <c r="S3550" s="1">
        <f>R3550/P3550</f>
        <v>0.83333333333333337</v>
      </c>
      <c r="T3550" s="1">
        <v>3</v>
      </c>
      <c r="U3550" s="1">
        <v>7.1</v>
      </c>
      <c r="V3550" s="1">
        <v>1335.5449725490196</v>
      </c>
      <c r="W3550" s="1">
        <v>3</v>
      </c>
    </row>
    <row r="3551" spans="1:23" x14ac:dyDescent="0.2">
      <c r="A3551">
        <v>2021</v>
      </c>
      <c r="B3551" t="s">
        <v>23</v>
      </c>
      <c r="C3551" t="s">
        <v>272</v>
      </c>
      <c r="D3551">
        <v>116</v>
      </c>
      <c r="E3551">
        <v>2</v>
      </c>
      <c r="F3551">
        <v>12</v>
      </c>
      <c r="G3551" t="s">
        <v>140</v>
      </c>
      <c r="H3551" s="1">
        <v>5</v>
      </c>
      <c r="I3551" s="1">
        <v>64</v>
      </c>
      <c r="J3551" s="1">
        <v>67</v>
      </c>
      <c r="K3551" s="1">
        <f>J3551-I3551</f>
        <v>3</v>
      </c>
      <c r="L3551" s="1">
        <v>136</v>
      </c>
      <c r="M3551" s="1">
        <v>58</v>
      </c>
      <c r="N3551" s="1">
        <v>1.5</v>
      </c>
      <c r="O3551" s="1">
        <v>4</v>
      </c>
      <c r="P3551" s="1">
        <v>5</v>
      </c>
      <c r="Q3551" s="2">
        <v>0.96</v>
      </c>
      <c r="R3551" s="1">
        <v>6</v>
      </c>
      <c r="S3551" s="1">
        <f>R3551/P3551</f>
        <v>1.2</v>
      </c>
      <c r="T3551" s="1">
        <v>2</v>
      </c>
      <c r="U3551" s="1">
        <v>12.5</v>
      </c>
      <c r="V3551" s="1">
        <v>3513.7254901960787</v>
      </c>
      <c r="W3551" s="1">
        <v>3</v>
      </c>
    </row>
    <row r="3552" spans="1:23" x14ac:dyDescent="0.2">
      <c r="A3552">
        <v>2021</v>
      </c>
      <c r="B3552" t="s">
        <v>23</v>
      </c>
      <c r="C3552" t="s">
        <v>272</v>
      </c>
      <c r="D3552">
        <v>117</v>
      </c>
      <c r="E3552">
        <v>1</v>
      </c>
      <c r="F3552">
        <v>11</v>
      </c>
      <c r="G3552" t="s">
        <v>141</v>
      </c>
      <c r="H3552" s="1">
        <v>6</v>
      </c>
      <c r="I3552" s="1">
        <v>64</v>
      </c>
      <c r="J3552" s="1">
        <v>69</v>
      </c>
      <c r="K3552" s="1">
        <f>J3552-I3552</f>
        <v>5</v>
      </c>
      <c r="L3552" s="1">
        <v>67</v>
      </c>
      <c r="M3552" s="1">
        <v>36</v>
      </c>
      <c r="N3552" s="1">
        <v>1.5</v>
      </c>
      <c r="O3552" s="1">
        <v>5</v>
      </c>
      <c r="P3552" s="1">
        <v>1</v>
      </c>
      <c r="Q3552" s="2">
        <v>0.08</v>
      </c>
      <c r="R3552" s="1">
        <v>1</v>
      </c>
      <c r="S3552" s="1">
        <f>R3552/P3552</f>
        <v>1</v>
      </c>
      <c r="T3552" s="1">
        <v>5</v>
      </c>
      <c r="U3552" s="1">
        <v>12.5</v>
      </c>
      <c r="V3552" s="1">
        <v>292.81045751633991</v>
      </c>
      <c r="W3552" s="1">
        <v>6</v>
      </c>
    </row>
    <row r="3553" spans="1:23" x14ac:dyDescent="0.2">
      <c r="A3553">
        <v>2021</v>
      </c>
      <c r="B3553" t="s">
        <v>23</v>
      </c>
      <c r="C3553" t="s">
        <v>272</v>
      </c>
      <c r="D3553">
        <v>117</v>
      </c>
      <c r="E3553">
        <v>2</v>
      </c>
      <c r="F3553">
        <v>12</v>
      </c>
      <c r="G3553" t="s">
        <v>141</v>
      </c>
      <c r="H3553">
        <v>16</v>
      </c>
      <c r="I3553">
        <v>50</v>
      </c>
      <c r="J3553">
        <v>54</v>
      </c>
      <c r="K3553">
        <v>4</v>
      </c>
      <c r="L3553">
        <v>155</v>
      </c>
      <c r="M3553">
        <v>82</v>
      </c>
      <c r="N3553">
        <v>2</v>
      </c>
      <c r="O3553">
        <v>2</v>
      </c>
      <c r="P3553">
        <v>15</v>
      </c>
      <c r="Q3553">
        <v>1.3</v>
      </c>
      <c r="R3553">
        <v>10</v>
      </c>
      <c r="S3553">
        <v>0.66666666666666663</v>
      </c>
      <c r="T3553">
        <v>3</v>
      </c>
      <c r="U3553">
        <v>10.199999999999999</v>
      </c>
      <c r="V3553">
        <v>4883.2418300653599</v>
      </c>
      <c r="W3553">
        <v>1</v>
      </c>
    </row>
    <row r="3554" spans="1:23" x14ac:dyDescent="0.2">
      <c r="A3554">
        <v>2021</v>
      </c>
      <c r="B3554" t="s">
        <v>23</v>
      </c>
      <c r="C3554" t="s">
        <v>272</v>
      </c>
      <c r="D3554">
        <v>118</v>
      </c>
      <c r="E3554">
        <v>1</v>
      </c>
      <c r="F3554">
        <v>13</v>
      </c>
      <c r="G3554" t="s">
        <v>142</v>
      </c>
      <c r="H3554">
        <v>3</v>
      </c>
      <c r="I3554">
        <v>60</v>
      </c>
      <c r="J3554">
        <v>63</v>
      </c>
      <c r="K3554">
        <v>3</v>
      </c>
      <c r="L3554">
        <v>130</v>
      </c>
      <c r="M3554">
        <v>65</v>
      </c>
      <c r="N3554">
        <v>1.5</v>
      </c>
      <c r="O3554">
        <v>2</v>
      </c>
      <c r="P3554">
        <v>3</v>
      </c>
      <c r="Q3554">
        <v>0.2</v>
      </c>
      <c r="R3554">
        <v>4</v>
      </c>
      <c r="S3554">
        <v>1.3333333333333333</v>
      </c>
      <c r="T3554">
        <v>1.5</v>
      </c>
      <c r="U3554">
        <v>12.5</v>
      </c>
      <c r="V3554">
        <v>732.02614379084969</v>
      </c>
      <c r="W3554">
        <v>1</v>
      </c>
    </row>
    <row r="3555" spans="1:23" x14ac:dyDescent="0.2">
      <c r="A3555">
        <v>2021</v>
      </c>
      <c r="B3555" t="s">
        <v>23</v>
      </c>
      <c r="C3555" t="s">
        <v>272</v>
      </c>
      <c r="D3555">
        <v>118</v>
      </c>
      <c r="E3555">
        <v>2</v>
      </c>
      <c r="F3555">
        <v>15</v>
      </c>
      <c r="G3555" t="s">
        <v>142</v>
      </c>
      <c r="H3555" s="1">
        <v>15</v>
      </c>
      <c r="I3555" s="1">
        <v>66</v>
      </c>
      <c r="J3555" s="1">
        <v>70</v>
      </c>
      <c r="K3555" s="1">
        <f t="shared" ref="K3555:K3561" si="182">J3555-I3555</f>
        <v>4</v>
      </c>
      <c r="L3555" s="1">
        <v>187</v>
      </c>
      <c r="M3555" s="1">
        <v>90</v>
      </c>
      <c r="N3555" s="1">
        <v>2</v>
      </c>
      <c r="O3555" s="1">
        <v>3</v>
      </c>
      <c r="P3555" s="1">
        <v>8</v>
      </c>
      <c r="Q3555" s="2">
        <v>0.27979999999999999</v>
      </c>
      <c r="R3555" s="1">
        <v>5</v>
      </c>
      <c r="S3555" s="1">
        <f t="shared" ref="S3555:S3561" si="183">R3555/P3555</f>
        <v>0.625</v>
      </c>
      <c r="T3555" s="1">
        <v>5</v>
      </c>
      <c r="U3555" s="1">
        <v>8.3000000000000007</v>
      </c>
      <c r="V3555" s="1">
        <v>1073.261594771242</v>
      </c>
      <c r="W3555" s="1">
        <v>5</v>
      </c>
    </row>
    <row r="3556" spans="1:23" x14ac:dyDescent="0.2">
      <c r="A3556">
        <v>2021</v>
      </c>
      <c r="B3556" t="s">
        <v>23</v>
      </c>
      <c r="C3556" t="s">
        <v>272</v>
      </c>
      <c r="D3556">
        <v>119</v>
      </c>
      <c r="E3556">
        <v>1</v>
      </c>
      <c r="F3556">
        <v>10</v>
      </c>
      <c r="G3556" t="s">
        <v>143</v>
      </c>
      <c r="H3556" s="1">
        <v>1</v>
      </c>
      <c r="I3556" s="1">
        <v>65</v>
      </c>
      <c r="J3556" s="1">
        <v>70</v>
      </c>
      <c r="K3556" s="1">
        <f t="shared" si="182"/>
        <v>5</v>
      </c>
      <c r="L3556" s="1">
        <v>48</v>
      </c>
      <c r="M3556" s="1">
        <v>37</v>
      </c>
      <c r="N3556" s="1">
        <v>2</v>
      </c>
      <c r="O3556" s="1">
        <v>3</v>
      </c>
      <c r="P3556" s="1">
        <v>1</v>
      </c>
      <c r="Q3556" s="2">
        <v>4.2000000000000003E-2</v>
      </c>
      <c r="R3556" s="1">
        <v>1</v>
      </c>
      <c r="S3556" s="1">
        <f t="shared" si="183"/>
        <v>1</v>
      </c>
      <c r="T3556" s="1">
        <v>3</v>
      </c>
      <c r="U3556" s="1">
        <v>11.1</v>
      </c>
      <c r="V3556" s="1">
        <v>156.18509803921572</v>
      </c>
      <c r="W3556" s="1">
        <v>4</v>
      </c>
    </row>
    <row r="3557" spans="1:23" x14ac:dyDescent="0.2">
      <c r="A3557">
        <v>2021</v>
      </c>
      <c r="B3557" t="s">
        <v>23</v>
      </c>
      <c r="C3557" t="s">
        <v>272</v>
      </c>
      <c r="D3557">
        <v>119</v>
      </c>
      <c r="E3557">
        <v>2</v>
      </c>
      <c r="F3557">
        <v>9</v>
      </c>
      <c r="G3557" t="s">
        <v>143</v>
      </c>
      <c r="H3557" s="1">
        <v>8</v>
      </c>
      <c r="I3557" s="1">
        <v>63</v>
      </c>
      <c r="J3557" s="1">
        <v>68</v>
      </c>
      <c r="K3557" s="1">
        <f t="shared" si="182"/>
        <v>5</v>
      </c>
      <c r="L3557" s="1">
        <v>80</v>
      </c>
      <c r="M3557" s="1">
        <v>35</v>
      </c>
      <c r="N3557" s="1">
        <v>2.5</v>
      </c>
      <c r="O3557" s="1">
        <v>4.5</v>
      </c>
      <c r="P3557" s="1">
        <v>6</v>
      </c>
      <c r="Q3557" s="2">
        <v>0.18</v>
      </c>
      <c r="R3557" s="1">
        <v>5</v>
      </c>
      <c r="S3557" s="1">
        <f t="shared" si="183"/>
        <v>0.83333333333333337</v>
      </c>
      <c r="T3557" s="1">
        <v>3.5</v>
      </c>
      <c r="U3557" s="1">
        <v>12.5</v>
      </c>
      <c r="V3557" s="1">
        <v>658.82352941176464</v>
      </c>
      <c r="W3557" s="1">
        <v>5</v>
      </c>
    </row>
    <row r="3558" spans="1:23" x14ac:dyDescent="0.2">
      <c r="A3558">
        <v>2021</v>
      </c>
      <c r="B3558" t="s">
        <v>23</v>
      </c>
      <c r="C3558" t="s">
        <v>272</v>
      </c>
      <c r="D3558">
        <v>120</v>
      </c>
      <c r="E3558">
        <v>1</v>
      </c>
      <c r="F3558">
        <v>13</v>
      </c>
      <c r="G3558" t="s">
        <v>144</v>
      </c>
      <c r="H3558" s="1">
        <v>2</v>
      </c>
      <c r="I3558" s="1">
        <v>68</v>
      </c>
      <c r="J3558" s="1">
        <v>73</v>
      </c>
      <c r="K3558" s="1">
        <f t="shared" si="182"/>
        <v>5</v>
      </c>
      <c r="L3558" s="1">
        <v>117</v>
      </c>
      <c r="M3558" s="1">
        <v>60</v>
      </c>
      <c r="N3558" s="1">
        <v>2</v>
      </c>
      <c r="O3558" s="1">
        <v>3.5</v>
      </c>
      <c r="P3558" s="1">
        <v>2</v>
      </c>
      <c r="Q3558" s="2">
        <v>0.16</v>
      </c>
      <c r="R3558" s="1">
        <v>2</v>
      </c>
      <c r="S3558" s="1">
        <f t="shared" si="183"/>
        <v>1</v>
      </c>
      <c r="T3558" s="1">
        <v>3</v>
      </c>
      <c r="U3558" s="1">
        <v>9.4</v>
      </c>
      <c r="V3558" s="1">
        <v>606.3686274509804</v>
      </c>
      <c r="W3558" s="1">
        <v>5</v>
      </c>
    </row>
    <row r="3559" spans="1:23" x14ac:dyDescent="0.2">
      <c r="A3559">
        <v>2021</v>
      </c>
      <c r="B3559" t="s">
        <v>23</v>
      </c>
      <c r="C3559" t="s">
        <v>272</v>
      </c>
      <c r="D3559">
        <v>120</v>
      </c>
      <c r="E3559">
        <v>2</v>
      </c>
      <c r="F3559">
        <v>11</v>
      </c>
      <c r="G3559" t="s">
        <v>144</v>
      </c>
      <c r="H3559" s="1">
        <v>10</v>
      </c>
      <c r="I3559" s="1">
        <v>56</v>
      </c>
      <c r="J3559" s="1">
        <v>60</v>
      </c>
      <c r="K3559" s="1">
        <f t="shared" si="182"/>
        <v>4</v>
      </c>
      <c r="L3559" s="1">
        <v>122</v>
      </c>
      <c r="M3559" s="1">
        <v>32</v>
      </c>
      <c r="N3559" s="1">
        <v>3</v>
      </c>
      <c r="O3559" s="1">
        <v>4.5</v>
      </c>
      <c r="P3559" s="1">
        <v>6</v>
      </c>
      <c r="Q3559" s="2">
        <v>9.0200000000000002E-2</v>
      </c>
      <c r="R3559" s="1">
        <v>4</v>
      </c>
      <c r="S3559" s="1">
        <f t="shared" si="183"/>
        <v>0.66666666666666663</v>
      </c>
      <c r="T3559" s="1">
        <v>5</v>
      </c>
      <c r="U3559" s="1">
        <v>12.5</v>
      </c>
      <c r="V3559" s="1">
        <v>330.14379084967322</v>
      </c>
      <c r="W3559" s="1">
        <v>6</v>
      </c>
    </row>
    <row r="3560" spans="1:23" x14ac:dyDescent="0.2">
      <c r="A3560">
        <v>2021</v>
      </c>
      <c r="B3560" t="s">
        <v>23</v>
      </c>
      <c r="C3560" t="s">
        <v>272</v>
      </c>
      <c r="D3560">
        <v>121</v>
      </c>
      <c r="E3560">
        <v>1</v>
      </c>
      <c r="F3560">
        <v>6</v>
      </c>
      <c r="G3560" t="s">
        <v>145</v>
      </c>
      <c r="H3560" s="1">
        <v>11</v>
      </c>
      <c r="I3560" s="1">
        <v>62</v>
      </c>
      <c r="J3560" s="1">
        <v>63</v>
      </c>
      <c r="K3560" s="1">
        <f t="shared" si="182"/>
        <v>1</v>
      </c>
      <c r="L3560" s="1">
        <v>170</v>
      </c>
      <c r="M3560" s="1">
        <v>83</v>
      </c>
      <c r="N3560" s="1">
        <v>2</v>
      </c>
      <c r="O3560" s="1">
        <v>2.5</v>
      </c>
      <c r="P3560" s="1">
        <v>10</v>
      </c>
      <c r="Q3560" s="2">
        <v>0.85339999999999994</v>
      </c>
      <c r="R3560" s="1">
        <v>7</v>
      </c>
      <c r="S3560" s="1">
        <f t="shared" si="183"/>
        <v>0.7</v>
      </c>
      <c r="T3560" s="1">
        <v>5</v>
      </c>
      <c r="U3560" s="1">
        <v>9.4</v>
      </c>
      <c r="V3560" s="1">
        <v>3234.2186666666662</v>
      </c>
      <c r="W3560" s="1">
        <v>3</v>
      </c>
    </row>
    <row r="3561" spans="1:23" x14ac:dyDescent="0.2">
      <c r="A3561">
        <v>2021</v>
      </c>
      <c r="B3561" t="s">
        <v>23</v>
      </c>
      <c r="C3561" t="s">
        <v>272</v>
      </c>
      <c r="D3561">
        <v>121</v>
      </c>
      <c r="E3561">
        <v>2</v>
      </c>
      <c r="F3561">
        <v>6</v>
      </c>
      <c r="G3561" t="s">
        <v>145</v>
      </c>
      <c r="H3561" s="1">
        <v>7</v>
      </c>
      <c r="I3561" s="1">
        <v>58</v>
      </c>
      <c r="J3561" s="1">
        <v>62</v>
      </c>
      <c r="K3561" s="1">
        <f t="shared" si="182"/>
        <v>4</v>
      </c>
      <c r="L3561" s="1">
        <v>115</v>
      </c>
      <c r="M3561" s="1">
        <v>37</v>
      </c>
      <c r="N3561" s="1">
        <v>2.5</v>
      </c>
      <c r="O3561" s="1">
        <v>4</v>
      </c>
      <c r="P3561" s="1">
        <v>5</v>
      </c>
      <c r="Q3561" s="2">
        <v>7.9400000000000012E-2</v>
      </c>
      <c r="R3561" s="1">
        <v>5</v>
      </c>
      <c r="S3561" s="1">
        <f t="shared" si="183"/>
        <v>1</v>
      </c>
      <c r="T3561" s="1">
        <v>5</v>
      </c>
      <c r="U3561" s="1">
        <v>12.5</v>
      </c>
      <c r="V3561" s="1">
        <v>290.61437908496731</v>
      </c>
      <c r="W3561" s="1">
        <v>5</v>
      </c>
    </row>
    <row r="3562" spans="1:23" x14ac:dyDescent="0.2">
      <c r="A3562">
        <v>2021</v>
      </c>
      <c r="B3562" t="s">
        <v>23</v>
      </c>
      <c r="C3562" t="s">
        <v>272</v>
      </c>
      <c r="D3562">
        <v>122</v>
      </c>
      <c r="E3562">
        <v>1</v>
      </c>
      <c r="F3562">
        <v>3</v>
      </c>
      <c r="G3562" t="s">
        <v>146</v>
      </c>
      <c r="H3562">
        <v>5</v>
      </c>
      <c r="I3562">
        <v>55</v>
      </c>
      <c r="J3562">
        <v>56</v>
      </c>
      <c r="K3562">
        <v>1</v>
      </c>
      <c r="L3562">
        <v>184</v>
      </c>
      <c r="M3562">
        <v>54</v>
      </c>
      <c r="N3562">
        <v>2</v>
      </c>
      <c r="O3562">
        <v>2</v>
      </c>
      <c r="P3562">
        <v>5</v>
      </c>
      <c r="Q3562">
        <v>0.16700000000000001</v>
      </c>
      <c r="R3562">
        <v>5</v>
      </c>
      <c r="S3562">
        <v>1</v>
      </c>
      <c r="T3562">
        <v>3</v>
      </c>
      <c r="U3562">
        <v>12.5</v>
      </c>
      <c r="V3562">
        <v>611.24183006535941</v>
      </c>
      <c r="W3562">
        <v>1</v>
      </c>
    </row>
    <row r="3563" spans="1:23" x14ac:dyDescent="0.2">
      <c r="A3563">
        <v>2021</v>
      </c>
      <c r="B3563" t="s">
        <v>23</v>
      </c>
      <c r="C3563" t="s">
        <v>272</v>
      </c>
      <c r="D3563">
        <v>122</v>
      </c>
      <c r="E3563">
        <v>2</v>
      </c>
      <c r="F3563">
        <v>2</v>
      </c>
      <c r="G3563" t="s">
        <v>146</v>
      </c>
      <c r="H3563" s="1">
        <v>9</v>
      </c>
      <c r="I3563" s="1">
        <v>67</v>
      </c>
      <c r="J3563" s="1">
        <v>72</v>
      </c>
      <c r="K3563" s="1">
        <f t="shared" ref="K3563:K3570" si="184">J3563-I3563</f>
        <v>5</v>
      </c>
      <c r="L3563" s="1">
        <v>127</v>
      </c>
      <c r="M3563" s="1">
        <v>80</v>
      </c>
      <c r="N3563" s="1">
        <v>2</v>
      </c>
      <c r="O3563" s="1">
        <v>3.5</v>
      </c>
      <c r="P3563" s="1">
        <f>H3563</f>
        <v>9</v>
      </c>
      <c r="Q3563" s="2">
        <v>5.3249999999999999E-2</v>
      </c>
      <c r="R3563" s="1">
        <v>9</v>
      </c>
      <c r="S3563" s="1">
        <f t="shared" ref="S3563:S3570" si="185">R3563/P3563</f>
        <v>1</v>
      </c>
      <c r="T3563" s="1">
        <v>5</v>
      </c>
      <c r="U3563" s="1">
        <v>12.5</v>
      </c>
      <c r="V3563" s="1">
        <v>194.9019607843137</v>
      </c>
      <c r="W3563" s="1">
        <v>6</v>
      </c>
    </row>
    <row r="3564" spans="1:23" x14ac:dyDescent="0.2">
      <c r="A3564">
        <v>2021</v>
      </c>
      <c r="B3564" t="s">
        <v>23</v>
      </c>
      <c r="C3564" t="s">
        <v>272</v>
      </c>
      <c r="D3564">
        <v>123</v>
      </c>
      <c r="E3564">
        <v>1</v>
      </c>
      <c r="F3564">
        <v>1</v>
      </c>
      <c r="G3564" t="s">
        <v>147</v>
      </c>
      <c r="H3564" s="1">
        <v>12</v>
      </c>
      <c r="I3564" s="1">
        <v>64</v>
      </c>
      <c r="J3564" s="1">
        <v>69</v>
      </c>
      <c r="K3564" s="1">
        <f t="shared" si="184"/>
        <v>5</v>
      </c>
      <c r="L3564" s="1">
        <v>110</v>
      </c>
      <c r="M3564" s="1">
        <v>37</v>
      </c>
      <c r="N3564" s="1">
        <v>2.5</v>
      </c>
      <c r="O3564" s="1">
        <v>4.5</v>
      </c>
      <c r="P3564" s="1">
        <v>6</v>
      </c>
      <c r="Q3564" s="2">
        <v>0.104</v>
      </c>
      <c r="R3564" s="1">
        <v>4</v>
      </c>
      <c r="S3564" s="1">
        <f t="shared" si="185"/>
        <v>0.66666666666666663</v>
      </c>
      <c r="T3564" s="1">
        <v>5</v>
      </c>
      <c r="U3564" s="1">
        <v>12.5</v>
      </c>
      <c r="V3564" s="1">
        <v>380.65359477124184</v>
      </c>
      <c r="W3564" s="1">
        <v>6</v>
      </c>
    </row>
    <row r="3565" spans="1:23" x14ac:dyDescent="0.2">
      <c r="A3565">
        <v>2021</v>
      </c>
      <c r="B3565" t="s">
        <v>23</v>
      </c>
      <c r="C3565" t="s">
        <v>272</v>
      </c>
      <c r="D3565">
        <v>123</v>
      </c>
      <c r="E3565">
        <v>2</v>
      </c>
      <c r="F3565">
        <v>6</v>
      </c>
      <c r="G3565" t="s">
        <v>147</v>
      </c>
      <c r="H3565" s="1">
        <v>10</v>
      </c>
      <c r="I3565" s="1">
        <v>62</v>
      </c>
      <c r="J3565" s="1">
        <v>66</v>
      </c>
      <c r="K3565" s="1">
        <f t="shared" si="184"/>
        <v>4</v>
      </c>
      <c r="L3565" s="1">
        <v>172</v>
      </c>
      <c r="M3565" s="1">
        <v>88</v>
      </c>
      <c r="N3565" s="1">
        <v>2</v>
      </c>
      <c r="O3565" s="1">
        <v>2</v>
      </c>
      <c r="P3565" s="1">
        <v>8</v>
      </c>
      <c r="Q3565" s="2">
        <v>0.70475999999999983</v>
      </c>
      <c r="R3565" s="1">
        <v>7</v>
      </c>
      <c r="S3565" s="1">
        <f t="shared" si="185"/>
        <v>0.875</v>
      </c>
      <c r="T3565" s="1">
        <v>3</v>
      </c>
      <c r="U3565" s="1">
        <v>9.4</v>
      </c>
      <c r="V3565" s="1">
        <v>2670.9022117647055</v>
      </c>
      <c r="W3565" s="5" t="s">
        <v>273</v>
      </c>
    </row>
    <row r="3566" spans="1:23" x14ac:dyDescent="0.2">
      <c r="A3566">
        <v>2021</v>
      </c>
      <c r="B3566" t="s">
        <v>23</v>
      </c>
      <c r="C3566" t="s">
        <v>272</v>
      </c>
      <c r="D3566">
        <v>124</v>
      </c>
      <c r="E3566">
        <v>1</v>
      </c>
      <c r="F3566">
        <v>4</v>
      </c>
      <c r="G3566" t="s">
        <v>148</v>
      </c>
      <c r="H3566" s="1">
        <v>8</v>
      </c>
      <c r="I3566" s="1">
        <v>69</v>
      </c>
      <c r="J3566" s="1">
        <v>74</v>
      </c>
      <c r="K3566" s="1">
        <f t="shared" si="184"/>
        <v>5</v>
      </c>
      <c r="L3566" s="1">
        <v>105</v>
      </c>
      <c r="M3566" s="1">
        <v>41</v>
      </c>
      <c r="N3566" s="1">
        <v>4</v>
      </c>
      <c r="O3566" s="1">
        <v>5</v>
      </c>
      <c r="P3566" s="1">
        <v>1</v>
      </c>
      <c r="Q3566" s="2">
        <v>0.06</v>
      </c>
      <c r="R3566" s="1">
        <v>1</v>
      </c>
      <c r="S3566" s="1">
        <f t="shared" si="185"/>
        <v>1</v>
      </c>
      <c r="T3566" s="1">
        <v>5</v>
      </c>
      <c r="U3566" s="1">
        <v>12.5</v>
      </c>
      <c r="V3566" s="1">
        <v>219.60784313725492</v>
      </c>
      <c r="W3566" s="1">
        <v>6</v>
      </c>
    </row>
    <row r="3567" spans="1:23" x14ac:dyDescent="0.2">
      <c r="A3567">
        <v>2021</v>
      </c>
      <c r="B3567" t="s">
        <v>23</v>
      </c>
      <c r="C3567" t="s">
        <v>272</v>
      </c>
      <c r="D3567">
        <v>124</v>
      </c>
      <c r="E3567">
        <v>2</v>
      </c>
      <c r="F3567">
        <v>6</v>
      </c>
      <c r="G3567" t="s">
        <v>148</v>
      </c>
      <c r="H3567" s="1">
        <v>10</v>
      </c>
      <c r="I3567" s="1">
        <v>61</v>
      </c>
      <c r="J3567" s="1">
        <v>65</v>
      </c>
      <c r="K3567" s="1">
        <f t="shared" si="184"/>
        <v>4</v>
      </c>
      <c r="L3567" s="1">
        <v>126</v>
      </c>
      <c r="M3567" s="1">
        <v>51</v>
      </c>
      <c r="N3567" s="1">
        <v>1.5</v>
      </c>
      <c r="O3567" s="1">
        <v>4.5</v>
      </c>
      <c r="P3567" s="1">
        <v>6</v>
      </c>
      <c r="Q3567" s="2">
        <v>0.17079999999999998</v>
      </c>
      <c r="R3567" s="1">
        <v>4</v>
      </c>
      <c r="S3567" s="1">
        <f t="shared" si="185"/>
        <v>0.66666666666666663</v>
      </c>
      <c r="T3567" s="1">
        <v>4.5</v>
      </c>
      <c r="U3567" s="1">
        <v>12.5</v>
      </c>
      <c r="V3567" s="1">
        <v>625.15032679738556</v>
      </c>
      <c r="W3567" s="1">
        <v>4</v>
      </c>
    </row>
    <row r="3568" spans="1:23" x14ac:dyDescent="0.2">
      <c r="A3568">
        <v>2021</v>
      </c>
      <c r="B3568" t="s">
        <v>23</v>
      </c>
      <c r="C3568" t="s">
        <v>272</v>
      </c>
      <c r="D3568">
        <v>125</v>
      </c>
      <c r="E3568">
        <v>1</v>
      </c>
      <c r="F3568">
        <v>11</v>
      </c>
      <c r="G3568" t="s">
        <v>149</v>
      </c>
      <c r="H3568" s="1">
        <v>7</v>
      </c>
      <c r="I3568" s="1">
        <v>61</v>
      </c>
      <c r="J3568" s="1">
        <v>65</v>
      </c>
      <c r="K3568" s="1">
        <f t="shared" si="184"/>
        <v>4</v>
      </c>
      <c r="L3568" s="1">
        <v>123</v>
      </c>
      <c r="M3568" s="1">
        <v>50</v>
      </c>
      <c r="N3568" s="1">
        <v>3</v>
      </c>
      <c r="O3568" s="1">
        <v>4</v>
      </c>
      <c r="P3568" s="1">
        <v>4</v>
      </c>
      <c r="Q3568" s="2">
        <v>4.7399999999999998E-2</v>
      </c>
      <c r="R3568" s="1">
        <v>4</v>
      </c>
      <c r="S3568" s="1">
        <f t="shared" si="185"/>
        <v>1</v>
      </c>
      <c r="T3568" s="1">
        <v>4.5</v>
      </c>
      <c r="U3568" s="1">
        <v>12.5</v>
      </c>
      <c r="V3568" s="1">
        <v>173.49019607843138</v>
      </c>
      <c r="W3568" s="1">
        <v>5</v>
      </c>
    </row>
    <row r="3569" spans="1:23" x14ac:dyDescent="0.2">
      <c r="A3569">
        <v>2021</v>
      </c>
      <c r="B3569" t="s">
        <v>23</v>
      </c>
      <c r="C3569" t="s">
        <v>272</v>
      </c>
      <c r="D3569">
        <v>125</v>
      </c>
      <c r="E3569">
        <v>2</v>
      </c>
      <c r="F3569">
        <v>13</v>
      </c>
      <c r="G3569" t="s">
        <v>149</v>
      </c>
      <c r="H3569" s="1">
        <v>11</v>
      </c>
      <c r="I3569" s="1">
        <v>63</v>
      </c>
      <c r="J3569" s="1">
        <v>68</v>
      </c>
      <c r="K3569" s="1">
        <f t="shared" si="184"/>
        <v>5</v>
      </c>
      <c r="L3569" s="1">
        <v>185</v>
      </c>
      <c r="M3569" s="1">
        <v>87</v>
      </c>
      <c r="N3569" s="1">
        <v>2</v>
      </c>
      <c r="O3569" s="1">
        <v>2.5</v>
      </c>
      <c r="P3569" s="1">
        <v>11</v>
      </c>
      <c r="Q3569" s="2">
        <v>0.95199999999999996</v>
      </c>
      <c r="R3569" s="1">
        <v>11</v>
      </c>
      <c r="S3569" s="1">
        <f t="shared" si="185"/>
        <v>1</v>
      </c>
      <c r="T3569" s="1">
        <v>4</v>
      </c>
      <c r="U3569" s="1">
        <v>9.1</v>
      </c>
      <c r="V3569" s="1">
        <v>3619.84</v>
      </c>
      <c r="W3569" s="1">
        <v>4</v>
      </c>
    </row>
    <row r="3570" spans="1:23" x14ac:dyDescent="0.2">
      <c r="A3570">
        <v>2021</v>
      </c>
      <c r="B3570" t="s">
        <v>23</v>
      </c>
      <c r="C3570" t="s">
        <v>272</v>
      </c>
      <c r="D3570">
        <v>126</v>
      </c>
      <c r="E3570">
        <v>1</v>
      </c>
      <c r="F3570">
        <v>9</v>
      </c>
      <c r="G3570" t="s">
        <v>150</v>
      </c>
      <c r="H3570" s="1">
        <v>9</v>
      </c>
      <c r="I3570" s="1">
        <v>63</v>
      </c>
      <c r="J3570" s="1">
        <v>66</v>
      </c>
      <c r="K3570" s="1">
        <f t="shared" si="184"/>
        <v>3</v>
      </c>
      <c r="L3570" s="1">
        <v>147</v>
      </c>
      <c r="M3570" s="1">
        <v>55</v>
      </c>
      <c r="N3570" s="1">
        <v>3</v>
      </c>
      <c r="O3570" s="1">
        <v>4.5</v>
      </c>
      <c r="P3570" s="1">
        <v>2</v>
      </c>
      <c r="Q3570" s="2">
        <v>0.107</v>
      </c>
      <c r="R3570" s="1">
        <v>3</v>
      </c>
      <c r="S3570" s="1">
        <f t="shared" si="185"/>
        <v>1.5</v>
      </c>
      <c r="T3570" s="1">
        <v>5</v>
      </c>
      <c r="U3570" s="1">
        <v>12.5</v>
      </c>
      <c r="V3570" s="1">
        <v>391.63398692810449</v>
      </c>
      <c r="W3570" s="1">
        <v>6</v>
      </c>
    </row>
    <row r="3571" spans="1:23" x14ac:dyDescent="0.2">
      <c r="A3571">
        <v>2021</v>
      </c>
      <c r="B3571" t="s">
        <v>23</v>
      </c>
      <c r="C3571" t="s">
        <v>272</v>
      </c>
      <c r="D3571">
        <v>126</v>
      </c>
      <c r="E3571">
        <v>2</v>
      </c>
      <c r="F3571">
        <v>5</v>
      </c>
      <c r="G3571" t="s">
        <v>150</v>
      </c>
      <c r="H3571">
        <v>13</v>
      </c>
      <c r="I3571">
        <v>58</v>
      </c>
      <c r="J3571">
        <v>60</v>
      </c>
      <c r="K3571">
        <v>2</v>
      </c>
      <c r="L3571">
        <v>66</v>
      </c>
      <c r="M3571">
        <v>83</v>
      </c>
      <c r="N3571">
        <v>1.5</v>
      </c>
      <c r="O3571">
        <v>2</v>
      </c>
      <c r="P3571">
        <v>12</v>
      </c>
      <c r="Q3571">
        <v>1</v>
      </c>
      <c r="R3571">
        <v>12</v>
      </c>
      <c r="S3571">
        <v>1</v>
      </c>
      <c r="T3571">
        <v>3</v>
      </c>
      <c r="U3571">
        <v>12.5</v>
      </c>
      <c r="V3571">
        <v>3660.1307189542486</v>
      </c>
      <c r="W3571">
        <v>2</v>
      </c>
    </row>
    <row r="3572" spans="1:23" x14ac:dyDescent="0.2">
      <c r="A3572">
        <v>2021</v>
      </c>
      <c r="B3572" t="s">
        <v>23</v>
      </c>
      <c r="C3572" t="s">
        <v>272</v>
      </c>
      <c r="D3572">
        <v>127</v>
      </c>
      <c r="E3572">
        <v>1</v>
      </c>
      <c r="F3572">
        <v>14</v>
      </c>
      <c r="G3572" t="s">
        <v>151</v>
      </c>
      <c r="H3572" s="1">
        <v>2</v>
      </c>
      <c r="I3572" s="1">
        <v>66</v>
      </c>
      <c r="J3572" s="1">
        <v>68</v>
      </c>
      <c r="K3572" s="1">
        <f>J3572-I3572</f>
        <v>2</v>
      </c>
      <c r="L3572" s="1">
        <v>59</v>
      </c>
      <c r="M3572" s="1">
        <v>20</v>
      </c>
      <c r="N3572" s="1">
        <v>2</v>
      </c>
      <c r="O3572" s="1">
        <v>4.5</v>
      </c>
      <c r="P3572" s="1">
        <v>2</v>
      </c>
      <c r="Q3572" s="2">
        <v>8.5999999999999993E-2</v>
      </c>
      <c r="R3572" s="1">
        <v>2</v>
      </c>
      <c r="S3572" s="1">
        <f>R3572/P3572</f>
        <v>1</v>
      </c>
      <c r="T3572" s="1">
        <v>5</v>
      </c>
      <c r="U3572" s="1">
        <v>12.5</v>
      </c>
      <c r="V3572" s="1">
        <v>314.77124183006538</v>
      </c>
      <c r="W3572" s="1">
        <v>6</v>
      </c>
    </row>
    <row r="3573" spans="1:23" x14ac:dyDescent="0.2">
      <c r="A3573">
        <v>2021</v>
      </c>
      <c r="B3573" t="s">
        <v>23</v>
      </c>
      <c r="C3573" t="s">
        <v>272</v>
      </c>
      <c r="D3573">
        <v>127</v>
      </c>
      <c r="E3573">
        <v>2</v>
      </c>
      <c r="F3573">
        <v>3</v>
      </c>
      <c r="G3573" t="s">
        <v>151</v>
      </c>
      <c r="H3573">
        <v>10</v>
      </c>
      <c r="I3573">
        <v>63</v>
      </c>
      <c r="J3573">
        <v>65</v>
      </c>
      <c r="K3573">
        <v>2</v>
      </c>
      <c r="L3573">
        <v>155</v>
      </c>
      <c r="M3573">
        <v>70</v>
      </c>
      <c r="N3573">
        <v>1.5</v>
      </c>
      <c r="O3573">
        <v>2</v>
      </c>
      <c r="P3573">
        <v>10</v>
      </c>
      <c r="Q3573">
        <v>1.2</v>
      </c>
      <c r="R3573">
        <v>11</v>
      </c>
      <c r="S3573">
        <v>1.1000000000000001</v>
      </c>
      <c r="T3573">
        <v>2</v>
      </c>
      <c r="U3573">
        <v>12.5</v>
      </c>
      <c r="V3573">
        <v>4392.1568627450979</v>
      </c>
      <c r="W3573">
        <v>2</v>
      </c>
    </row>
    <row r="3574" spans="1:23" x14ac:dyDescent="0.2">
      <c r="A3574">
        <v>2021</v>
      </c>
      <c r="B3574" t="s">
        <v>23</v>
      </c>
      <c r="C3574" t="s">
        <v>272</v>
      </c>
      <c r="D3574">
        <v>128</v>
      </c>
      <c r="E3574">
        <v>1</v>
      </c>
      <c r="F3574">
        <v>10</v>
      </c>
      <c r="G3574" t="s">
        <v>152</v>
      </c>
      <c r="H3574">
        <v>6</v>
      </c>
      <c r="I3574">
        <v>65</v>
      </c>
      <c r="J3574">
        <v>68</v>
      </c>
      <c r="K3574">
        <v>3</v>
      </c>
      <c r="L3574">
        <v>159</v>
      </c>
      <c r="M3574">
        <v>60</v>
      </c>
      <c r="N3574">
        <v>1.5</v>
      </c>
      <c r="O3574">
        <v>2</v>
      </c>
      <c r="P3574">
        <v>6</v>
      </c>
      <c r="Q3574">
        <v>0.8</v>
      </c>
      <c r="R3574">
        <v>7</v>
      </c>
      <c r="S3574">
        <v>1.1666666666666667</v>
      </c>
      <c r="T3574">
        <v>2.5</v>
      </c>
      <c r="U3574">
        <v>12.5</v>
      </c>
      <c r="V3574">
        <v>2928.1045751633987</v>
      </c>
      <c r="W3574">
        <v>1</v>
      </c>
    </row>
    <row r="3575" spans="1:23" x14ac:dyDescent="0.2">
      <c r="A3575">
        <v>2021</v>
      </c>
      <c r="B3575" t="s">
        <v>23</v>
      </c>
      <c r="C3575" t="s">
        <v>272</v>
      </c>
      <c r="D3575">
        <v>128</v>
      </c>
      <c r="E3575">
        <v>2</v>
      </c>
      <c r="F3575">
        <v>15</v>
      </c>
      <c r="G3575" t="s">
        <v>152</v>
      </c>
      <c r="H3575">
        <v>3</v>
      </c>
      <c r="I3575">
        <v>55</v>
      </c>
      <c r="J3575">
        <v>58</v>
      </c>
      <c r="K3575">
        <v>3</v>
      </c>
      <c r="L3575">
        <v>83</v>
      </c>
      <c r="M3575">
        <v>31</v>
      </c>
      <c r="N3575">
        <v>3</v>
      </c>
      <c r="O3575">
        <v>3</v>
      </c>
      <c r="P3575">
        <v>3</v>
      </c>
      <c r="Q3575">
        <v>0.253</v>
      </c>
      <c r="R3575">
        <v>2</v>
      </c>
      <c r="S3575">
        <v>0.66666666666666663</v>
      </c>
      <c r="T3575">
        <v>3</v>
      </c>
      <c r="U3575">
        <v>12.5</v>
      </c>
      <c r="V3575">
        <v>926.01307189542479</v>
      </c>
      <c r="W3575">
        <v>2</v>
      </c>
    </row>
    <row r="3576" spans="1:23" x14ac:dyDescent="0.2">
      <c r="A3576">
        <v>2021</v>
      </c>
      <c r="B3576" t="s">
        <v>23</v>
      </c>
      <c r="C3576" t="s">
        <v>272</v>
      </c>
      <c r="D3576">
        <v>129</v>
      </c>
      <c r="E3576">
        <v>1</v>
      </c>
      <c r="F3576">
        <v>12</v>
      </c>
      <c r="G3576" t="s">
        <v>153</v>
      </c>
      <c r="H3576" s="1">
        <v>1</v>
      </c>
      <c r="I3576" s="1">
        <v>68</v>
      </c>
      <c r="J3576" s="1">
        <v>73</v>
      </c>
      <c r="K3576" s="1">
        <f>J3576-I3576</f>
        <v>5</v>
      </c>
      <c r="L3576" s="1">
        <v>143</v>
      </c>
      <c r="M3576" s="1">
        <v>58</v>
      </c>
      <c r="N3576" s="1">
        <v>2</v>
      </c>
      <c r="O3576" s="1">
        <v>3.5</v>
      </c>
      <c r="P3576" s="1">
        <v>1</v>
      </c>
      <c r="Q3576" s="2">
        <v>0.06</v>
      </c>
      <c r="R3576" s="1">
        <v>1</v>
      </c>
      <c r="S3576" s="1">
        <f>R3576/P3576</f>
        <v>1</v>
      </c>
      <c r="T3576" s="1">
        <v>5</v>
      </c>
      <c r="U3576" s="1">
        <v>12.5</v>
      </c>
      <c r="V3576" s="1">
        <v>219.60784313725492</v>
      </c>
      <c r="W3576" s="1">
        <v>4</v>
      </c>
    </row>
    <row r="3577" spans="1:23" x14ac:dyDescent="0.2">
      <c r="A3577">
        <v>2021</v>
      </c>
      <c r="B3577" t="s">
        <v>23</v>
      </c>
      <c r="C3577" t="s">
        <v>272</v>
      </c>
      <c r="D3577">
        <v>129</v>
      </c>
      <c r="E3577">
        <v>2</v>
      </c>
      <c r="F3577">
        <v>5</v>
      </c>
      <c r="G3577" t="s">
        <v>153</v>
      </c>
      <c r="H3577">
        <v>4</v>
      </c>
      <c r="I3577">
        <v>59</v>
      </c>
      <c r="J3577">
        <v>62</v>
      </c>
      <c r="K3577">
        <v>3</v>
      </c>
      <c r="L3577">
        <v>179</v>
      </c>
      <c r="M3577">
        <v>75</v>
      </c>
      <c r="N3577">
        <v>1.5</v>
      </c>
      <c r="O3577">
        <v>2</v>
      </c>
      <c r="P3577">
        <v>4</v>
      </c>
      <c r="Q3577">
        <v>0.5</v>
      </c>
      <c r="R3577">
        <v>4</v>
      </c>
      <c r="S3577">
        <v>1</v>
      </c>
      <c r="T3577">
        <v>2.5</v>
      </c>
      <c r="U3577">
        <v>12.5</v>
      </c>
      <c r="V3577">
        <v>1830.0653594771243</v>
      </c>
      <c r="W3577">
        <v>1</v>
      </c>
    </row>
    <row r="3578" spans="1:23" x14ac:dyDescent="0.2">
      <c r="A3578">
        <v>2021</v>
      </c>
      <c r="B3578" t="s">
        <v>23</v>
      </c>
      <c r="C3578" t="s">
        <v>272</v>
      </c>
      <c r="D3578">
        <v>130</v>
      </c>
      <c r="E3578">
        <v>1</v>
      </c>
      <c r="F3578">
        <v>1</v>
      </c>
      <c r="G3578" t="s">
        <v>154</v>
      </c>
      <c r="H3578" s="1">
        <v>13</v>
      </c>
      <c r="I3578" s="1">
        <v>70</v>
      </c>
      <c r="J3578" s="1">
        <v>74</v>
      </c>
      <c r="K3578" s="1">
        <f>J3578-I3578</f>
        <v>4</v>
      </c>
      <c r="L3578" s="1">
        <v>172</v>
      </c>
      <c r="M3578" s="1">
        <v>83</v>
      </c>
      <c r="N3578" s="1">
        <v>2</v>
      </c>
      <c r="O3578" s="1">
        <v>3.5</v>
      </c>
      <c r="P3578" s="1">
        <v>12</v>
      </c>
      <c r="Q3578" s="2">
        <v>0.21815999999999999</v>
      </c>
      <c r="R3578" s="1">
        <v>6</v>
      </c>
      <c r="S3578" s="1">
        <f>R3578/P3578</f>
        <v>0.5</v>
      </c>
      <c r="T3578" s="1">
        <v>5</v>
      </c>
      <c r="U3578" s="1">
        <v>12.5</v>
      </c>
      <c r="V3578" s="1">
        <v>798.49411764705883</v>
      </c>
      <c r="W3578" s="1">
        <v>6</v>
      </c>
    </row>
    <row r="3579" spans="1:23" x14ac:dyDescent="0.2">
      <c r="A3579">
        <v>2021</v>
      </c>
      <c r="B3579" t="s">
        <v>23</v>
      </c>
      <c r="C3579" t="s">
        <v>272</v>
      </c>
      <c r="D3579">
        <v>130</v>
      </c>
      <c r="E3579">
        <v>2</v>
      </c>
      <c r="F3579">
        <v>10</v>
      </c>
      <c r="G3579" t="s">
        <v>154</v>
      </c>
      <c r="H3579" s="1">
        <v>10</v>
      </c>
      <c r="I3579" s="1">
        <v>57</v>
      </c>
      <c r="J3579" s="1">
        <v>61</v>
      </c>
      <c r="K3579" s="1">
        <f>J3579-I3579</f>
        <v>4</v>
      </c>
      <c r="L3579" s="1">
        <v>152</v>
      </c>
      <c r="M3579" s="1">
        <v>32</v>
      </c>
      <c r="N3579" s="1">
        <v>3</v>
      </c>
      <c r="O3579" s="1">
        <v>4.5</v>
      </c>
      <c r="P3579" s="1">
        <v>6</v>
      </c>
      <c r="Q3579" s="2">
        <v>0.13700000000000001</v>
      </c>
      <c r="R3579" s="1">
        <v>4</v>
      </c>
      <c r="S3579" s="1">
        <f>R3579/P3579</f>
        <v>0.66666666666666663</v>
      </c>
      <c r="T3579" s="1">
        <v>5</v>
      </c>
      <c r="U3579" s="1">
        <v>12.5</v>
      </c>
      <c r="V3579" s="1">
        <v>501.43790849673201</v>
      </c>
      <c r="W3579" s="1">
        <v>6</v>
      </c>
    </row>
    <row r="3580" spans="1:23" x14ac:dyDescent="0.2">
      <c r="A3580">
        <v>2021</v>
      </c>
      <c r="B3580" t="s">
        <v>23</v>
      </c>
      <c r="C3580" t="s">
        <v>272</v>
      </c>
      <c r="D3580">
        <v>131</v>
      </c>
      <c r="E3580">
        <v>1</v>
      </c>
      <c r="F3580">
        <v>13</v>
      </c>
      <c r="G3580" t="s">
        <v>155</v>
      </c>
      <c r="H3580" s="1">
        <v>13</v>
      </c>
      <c r="I3580" s="1">
        <v>54</v>
      </c>
      <c r="J3580" s="1">
        <v>57</v>
      </c>
      <c r="K3580" s="1">
        <f>J3580-I3580</f>
        <v>3</v>
      </c>
      <c r="L3580" s="1">
        <v>120</v>
      </c>
      <c r="M3580" s="1">
        <v>63</v>
      </c>
      <c r="N3580" s="1">
        <v>2</v>
      </c>
      <c r="O3580" s="1">
        <v>3.5</v>
      </c>
      <c r="P3580" s="1">
        <f>H3580-2</f>
        <v>11</v>
      </c>
      <c r="Q3580" s="2">
        <v>0.38250000000000001</v>
      </c>
      <c r="R3580" s="1">
        <v>9</v>
      </c>
      <c r="S3580" s="1">
        <f>R3580/P3580</f>
        <v>0.81818181818181823</v>
      </c>
      <c r="T3580" s="1">
        <v>5</v>
      </c>
      <c r="U3580" s="1">
        <v>12.5</v>
      </c>
      <c r="V3580" s="1">
        <v>1400</v>
      </c>
      <c r="W3580" s="1">
        <v>5</v>
      </c>
    </row>
    <row r="3581" spans="1:23" x14ac:dyDescent="0.2">
      <c r="A3581">
        <v>2021</v>
      </c>
      <c r="B3581" t="s">
        <v>23</v>
      </c>
      <c r="C3581" t="s">
        <v>272</v>
      </c>
      <c r="D3581">
        <v>131</v>
      </c>
      <c r="E3581">
        <v>2</v>
      </c>
      <c r="F3581">
        <v>4</v>
      </c>
      <c r="G3581" t="s">
        <v>155</v>
      </c>
      <c r="H3581" s="1">
        <v>10</v>
      </c>
      <c r="I3581" s="1">
        <v>65</v>
      </c>
      <c r="J3581" s="1">
        <v>70</v>
      </c>
      <c r="K3581" s="1">
        <f>J3581-I3581</f>
        <v>5</v>
      </c>
      <c r="L3581" s="1">
        <v>120</v>
      </c>
      <c r="M3581" s="1">
        <v>82</v>
      </c>
      <c r="N3581" s="1">
        <v>2</v>
      </c>
      <c r="O3581" s="1">
        <v>3.5</v>
      </c>
      <c r="P3581" s="1">
        <v>6</v>
      </c>
      <c r="Q3581" s="2">
        <v>0.15247500000000003</v>
      </c>
      <c r="R3581" s="1">
        <v>4</v>
      </c>
      <c r="S3581" s="1">
        <f>R3581/P3581</f>
        <v>0.66666666666666663</v>
      </c>
      <c r="T3581" s="1">
        <v>5</v>
      </c>
      <c r="U3581" s="1">
        <v>12.5</v>
      </c>
      <c r="V3581" s="1">
        <v>558.07843137254918</v>
      </c>
      <c r="W3581" s="1">
        <v>4</v>
      </c>
    </row>
    <row r="3582" spans="1:23" x14ac:dyDescent="0.2">
      <c r="A3582">
        <v>2021</v>
      </c>
      <c r="B3582" t="s">
        <v>23</v>
      </c>
      <c r="C3582" t="s">
        <v>272</v>
      </c>
      <c r="D3582">
        <v>132</v>
      </c>
      <c r="E3582">
        <v>1</v>
      </c>
      <c r="F3582">
        <v>8</v>
      </c>
      <c r="G3582" t="s">
        <v>156</v>
      </c>
      <c r="H3582" s="1">
        <v>13</v>
      </c>
      <c r="I3582" s="1">
        <v>66</v>
      </c>
      <c r="J3582" s="1">
        <v>68</v>
      </c>
      <c r="K3582" s="1">
        <f>J3582-I3582</f>
        <v>2</v>
      </c>
      <c r="L3582" s="1">
        <v>134</v>
      </c>
      <c r="M3582" s="1">
        <v>46</v>
      </c>
      <c r="N3582" s="1">
        <v>2</v>
      </c>
      <c r="O3582" s="1">
        <v>3.5</v>
      </c>
      <c r="P3582" s="1">
        <f>H3582</f>
        <v>13</v>
      </c>
      <c r="Q3582" s="2">
        <v>0.3</v>
      </c>
      <c r="R3582" s="1">
        <v>9</v>
      </c>
      <c r="S3582" s="1">
        <f>R3582/P3582</f>
        <v>0.69230769230769229</v>
      </c>
      <c r="T3582" s="1">
        <v>5</v>
      </c>
      <c r="U3582" s="1">
        <v>12.5</v>
      </c>
      <c r="V3582" s="1">
        <v>1098.0392156862745</v>
      </c>
      <c r="W3582" s="1">
        <v>4</v>
      </c>
    </row>
    <row r="3583" spans="1:23" x14ac:dyDescent="0.2">
      <c r="A3583">
        <v>2021</v>
      </c>
      <c r="B3583" t="s">
        <v>23</v>
      </c>
      <c r="C3583" t="s">
        <v>272</v>
      </c>
      <c r="D3583">
        <v>132</v>
      </c>
      <c r="E3583">
        <v>2</v>
      </c>
      <c r="F3583">
        <v>14</v>
      </c>
      <c r="G3583" t="s">
        <v>156</v>
      </c>
      <c r="H3583">
        <v>15</v>
      </c>
      <c r="I3583">
        <v>56</v>
      </c>
      <c r="J3583">
        <v>60</v>
      </c>
      <c r="K3583">
        <v>4</v>
      </c>
      <c r="L3583">
        <v>184</v>
      </c>
      <c r="M3583">
        <v>75</v>
      </c>
      <c r="N3583">
        <v>2</v>
      </c>
      <c r="O3583">
        <v>2</v>
      </c>
      <c r="P3583">
        <v>8</v>
      </c>
      <c r="Q3583">
        <v>0.2</v>
      </c>
      <c r="R3583">
        <v>5</v>
      </c>
      <c r="S3583">
        <v>0.625</v>
      </c>
      <c r="T3583">
        <v>4</v>
      </c>
      <c r="U3583">
        <v>9.8000000000000007</v>
      </c>
      <c r="V3583">
        <v>754.61437908496748</v>
      </c>
      <c r="W3583">
        <v>2</v>
      </c>
    </row>
    <row r="3584" spans="1:23" x14ac:dyDescent="0.2">
      <c r="A3584">
        <v>2021</v>
      </c>
      <c r="B3584" t="s">
        <v>23</v>
      </c>
      <c r="C3584" t="s">
        <v>272</v>
      </c>
      <c r="D3584">
        <v>133</v>
      </c>
      <c r="E3584">
        <v>1</v>
      </c>
      <c r="F3584">
        <v>6</v>
      </c>
      <c r="G3584" t="s">
        <v>266</v>
      </c>
      <c r="H3584" s="1">
        <v>8</v>
      </c>
      <c r="I3584" s="1">
        <v>61</v>
      </c>
      <c r="J3584" s="1">
        <v>65</v>
      </c>
      <c r="K3584" s="1">
        <f>J3584-I3584</f>
        <v>4</v>
      </c>
      <c r="L3584" s="1">
        <v>117</v>
      </c>
      <c r="M3584" s="1">
        <v>43</v>
      </c>
      <c r="N3584" s="1">
        <v>2</v>
      </c>
      <c r="O3584" s="1">
        <v>4</v>
      </c>
      <c r="P3584" s="1">
        <v>6</v>
      </c>
      <c r="Q3584" s="2">
        <v>0.161</v>
      </c>
      <c r="R3584" s="1">
        <v>6</v>
      </c>
      <c r="S3584" s="1">
        <f>R3584/P3584</f>
        <v>1</v>
      </c>
      <c r="T3584" s="1">
        <v>4.5</v>
      </c>
      <c r="U3584" s="1">
        <v>12.5</v>
      </c>
      <c r="V3584" s="1">
        <v>589.281045751634</v>
      </c>
      <c r="W3584" s="1">
        <v>4</v>
      </c>
    </row>
    <row r="3585" spans="1:23" x14ac:dyDescent="0.2">
      <c r="A3585">
        <v>2021</v>
      </c>
      <c r="B3585" t="s">
        <v>23</v>
      </c>
      <c r="C3585" t="s">
        <v>272</v>
      </c>
      <c r="D3585">
        <v>133</v>
      </c>
      <c r="E3585">
        <v>2</v>
      </c>
      <c r="F3585">
        <v>9</v>
      </c>
      <c r="G3585" t="s">
        <v>266</v>
      </c>
      <c r="H3585" s="1">
        <v>4</v>
      </c>
      <c r="I3585" s="1">
        <v>65</v>
      </c>
      <c r="J3585" s="1">
        <v>70</v>
      </c>
      <c r="K3585" s="1">
        <f>J3585-I3585</f>
        <v>5</v>
      </c>
      <c r="L3585" s="1">
        <v>131</v>
      </c>
      <c r="M3585" s="1">
        <v>70</v>
      </c>
      <c r="N3585" s="1">
        <v>1.5</v>
      </c>
      <c r="O3585" s="1">
        <v>4</v>
      </c>
      <c r="P3585" s="1">
        <v>4</v>
      </c>
      <c r="Q3585" s="2">
        <v>0.23</v>
      </c>
      <c r="R3585" s="1">
        <v>4</v>
      </c>
      <c r="S3585" s="1">
        <f>R3585/P3585</f>
        <v>1</v>
      </c>
      <c r="T3585" s="1">
        <v>3</v>
      </c>
      <c r="U3585" s="1">
        <v>12.5</v>
      </c>
      <c r="V3585" s="1">
        <v>841.83006535947709</v>
      </c>
      <c r="W3585" s="1">
        <v>4</v>
      </c>
    </row>
    <row r="3586" spans="1:23" x14ac:dyDescent="0.2">
      <c r="A3586">
        <v>2021</v>
      </c>
      <c r="B3586" t="s">
        <v>23</v>
      </c>
      <c r="C3586" t="s">
        <v>272</v>
      </c>
      <c r="D3586">
        <v>134</v>
      </c>
      <c r="E3586">
        <v>1</v>
      </c>
      <c r="F3586">
        <v>8</v>
      </c>
      <c r="G3586" t="s">
        <v>159</v>
      </c>
      <c r="H3586">
        <v>9</v>
      </c>
      <c r="I3586">
        <v>56</v>
      </c>
      <c r="J3586">
        <v>59</v>
      </c>
      <c r="K3586">
        <v>3</v>
      </c>
      <c r="L3586">
        <v>160</v>
      </c>
      <c r="M3586">
        <v>80</v>
      </c>
      <c r="N3586">
        <v>1.5</v>
      </c>
      <c r="O3586">
        <v>2</v>
      </c>
      <c r="P3586">
        <v>9</v>
      </c>
      <c r="Q3586">
        <v>0.4</v>
      </c>
      <c r="R3586">
        <v>9</v>
      </c>
      <c r="S3586">
        <v>1</v>
      </c>
      <c r="T3586">
        <v>2.5</v>
      </c>
      <c r="U3586">
        <v>12.5</v>
      </c>
      <c r="V3586">
        <v>1464.0522875816994</v>
      </c>
      <c r="W3586">
        <v>1</v>
      </c>
    </row>
    <row r="3587" spans="1:23" x14ac:dyDescent="0.2">
      <c r="A3587">
        <v>2021</v>
      </c>
      <c r="B3587" t="s">
        <v>23</v>
      </c>
      <c r="C3587" t="s">
        <v>272</v>
      </c>
      <c r="D3587">
        <v>134</v>
      </c>
      <c r="E3587">
        <v>2</v>
      </c>
      <c r="F3587">
        <v>7</v>
      </c>
      <c r="G3587" t="s">
        <v>159</v>
      </c>
      <c r="H3587" s="1">
        <v>13</v>
      </c>
      <c r="I3587" s="1">
        <v>61</v>
      </c>
      <c r="J3587" s="1">
        <v>64</v>
      </c>
      <c r="K3587" s="1">
        <f>J3587-I3587</f>
        <v>3</v>
      </c>
      <c r="L3587" s="1">
        <v>141</v>
      </c>
      <c r="M3587" s="1">
        <v>76</v>
      </c>
      <c r="N3587" s="1">
        <v>2</v>
      </c>
      <c r="O3587" s="1">
        <v>3.5</v>
      </c>
      <c r="P3587" s="1">
        <v>9</v>
      </c>
      <c r="Q3587" s="2">
        <v>5.4449999999999998E-2</v>
      </c>
      <c r="R3587" s="1">
        <v>7</v>
      </c>
      <c r="S3587" s="1">
        <f>R3587/P3587</f>
        <v>0.77777777777777779</v>
      </c>
      <c r="T3587" s="1">
        <v>5</v>
      </c>
      <c r="U3587" s="1">
        <v>12.5</v>
      </c>
      <c r="V3587" s="1">
        <v>199.29411764705884</v>
      </c>
      <c r="W3587" s="1">
        <v>5</v>
      </c>
    </row>
    <row r="3588" spans="1:23" x14ac:dyDescent="0.2">
      <c r="A3588">
        <v>2021</v>
      </c>
      <c r="B3588" t="s">
        <v>23</v>
      </c>
      <c r="C3588" t="s">
        <v>272</v>
      </c>
      <c r="D3588">
        <v>135</v>
      </c>
      <c r="E3588">
        <v>1</v>
      </c>
      <c r="F3588">
        <v>7</v>
      </c>
      <c r="G3588" t="s">
        <v>267</v>
      </c>
      <c r="H3588" s="1">
        <v>7</v>
      </c>
      <c r="I3588" s="1">
        <v>66</v>
      </c>
      <c r="J3588" s="1">
        <v>69</v>
      </c>
      <c r="K3588" s="1">
        <f>J3588-I3588</f>
        <v>3</v>
      </c>
      <c r="L3588" s="1">
        <v>106</v>
      </c>
      <c r="M3588" s="1">
        <v>36</v>
      </c>
      <c r="N3588" s="1">
        <v>2</v>
      </c>
      <c r="O3588" s="1">
        <v>3.5</v>
      </c>
      <c r="P3588" s="1">
        <v>6</v>
      </c>
      <c r="Q3588" s="2">
        <v>0.4</v>
      </c>
      <c r="R3588" s="1">
        <v>6</v>
      </c>
      <c r="S3588" s="1">
        <f>R3588/P3588</f>
        <v>1</v>
      </c>
      <c r="T3588" s="1">
        <v>3.5</v>
      </c>
      <c r="U3588" s="1">
        <v>12.5</v>
      </c>
      <c r="V3588" s="1">
        <v>1464.0522875816994</v>
      </c>
      <c r="W3588" s="1">
        <v>4</v>
      </c>
    </row>
    <row r="3589" spans="1:23" x14ac:dyDescent="0.2">
      <c r="A3589">
        <v>2021</v>
      </c>
      <c r="B3589" t="s">
        <v>23</v>
      </c>
      <c r="C3589" t="s">
        <v>272</v>
      </c>
      <c r="D3589">
        <v>135</v>
      </c>
      <c r="E3589">
        <v>2</v>
      </c>
      <c r="F3589">
        <v>15</v>
      </c>
      <c r="G3589" t="s">
        <v>267</v>
      </c>
      <c r="H3589" s="1">
        <v>11</v>
      </c>
      <c r="I3589" s="1">
        <v>61</v>
      </c>
      <c r="J3589" s="1">
        <v>66</v>
      </c>
      <c r="K3589" s="1">
        <f>J3589-I3589</f>
        <v>5</v>
      </c>
      <c r="L3589" s="1">
        <v>117</v>
      </c>
      <c r="M3589" s="1">
        <v>45</v>
      </c>
      <c r="N3589" s="1">
        <v>1.5</v>
      </c>
      <c r="O3589" s="1">
        <v>4</v>
      </c>
      <c r="P3589" s="1">
        <v>5</v>
      </c>
      <c r="Q3589" s="2">
        <v>0.28399999999999997</v>
      </c>
      <c r="R3589" s="1">
        <v>5</v>
      </c>
      <c r="S3589" s="1">
        <f>R3589/P3589</f>
        <v>1</v>
      </c>
      <c r="T3589" s="1">
        <v>4</v>
      </c>
      <c r="U3589" s="1">
        <v>12.5</v>
      </c>
      <c r="V3589" s="1">
        <v>1039.4771241830067</v>
      </c>
      <c r="W3589" s="1">
        <v>4</v>
      </c>
    </row>
    <row r="3590" spans="1:23" x14ac:dyDescent="0.2">
      <c r="A3590">
        <v>2021</v>
      </c>
      <c r="B3590" t="s">
        <v>23</v>
      </c>
      <c r="C3590" t="s">
        <v>272</v>
      </c>
      <c r="D3590">
        <v>136</v>
      </c>
      <c r="E3590">
        <v>1</v>
      </c>
      <c r="F3590">
        <v>4</v>
      </c>
      <c r="G3590" t="s">
        <v>161</v>
      </c>
      <c r="H3590">
        <v>10</v>
      </c>
      <c r="I3590">
        <v>63</v>
      </c>
      <c r="J3590">
        <v>65</v>
      </c>
      <c r="K3590">
        <v>2</v>
      </c>
      <c r="L3590">
        <v>150</v>
      </c>
      <c r="M3590">
        <v>70</v>
      </c>
      <c r="N3590">
        <v>2</v>
      </c>
      <c r="O3590">
        <v>3</v>
      </c>
      <c r="P3590">
        <v>10</v>
      </c>
      <c r="Q3590">
        <v>0.7</v>
      </c>
      <c r="R3590">
        <v>10</v>
      </c>
      <c r="S3590">
        <v>1</v>
      </c>
      <c r="T3590">
        <v>2.5</v>
      </c>
      <c r="U3590">
        <v>12.5</v>
      </c>
      <c r="V3590">
        <v>2562.0915032679736</v>
      </c>
      <c r="W3590">
        <v>1</v>
      </c>
    </row>
    <row r="3591" spans="1:23" x14ac:dyDescent="0.2">
      <c r="A3591">
        <v>2021</v>
      </c>
      <c r="B3591" t="s">
        <v>23</v>
      </c>
      <c r="C3591" t="s">
        <v>272</v>
      </c>
      <c r="D3591">
        <v>136</v>
      </c>
      <c r="E3591">
        <v>2</v>
      </c>
      <c r="F3591">
        <v>12</v>
      </c>
      <c r="G3591" t="s">
        <v>161</v>
      </c>
      <c r="H3591" s="1">
        <v>2</v>
      </c>
      <c r="I3591" s="1">
        <v>63</v>
      </c>
      <c r="J3591" s="1">
        <v>65</v>
      </c>
      <c r="K3591" s="1">
        <f>J3591-I3591</f>
        <v>2</v>
      </c>
      <c r="L3591" s="1">
        <v>67</v>
      </c>
      <c r="M3591" s="1">
        <v>20</v>
      </c>
      <c r="N3591" s="1">
        <v>3</v>
      </c>
      <c r="O3591" s="1">
        <v>5</v>
      </c>
      <c r="P3591" s="1">
        <v>2</v>
      </c>
      <c r="Q3591" s="2">
        <v>0.17499999999999999</v>
      </c>
      <c r="R3591" s="1">
        <v>2</v>
      </c>
      <c r="S3591" s="1">
        <f>R3591/P3591</f>
        <v>1</v>
      </c>
      <c r="T3591" s="1">
        <v>3.5</v>
      </c>
      <c r="U3591" s="1">
        <v>12.5</v>
      </c>
      <c r="V3591" s="1">
        <v>640.52287581699341</v>
      </c>
      <c r="W3591" s="1">
        <v>6</v>
      </c>
    </row>
    <row r="3592" spans="1:23" x14ac:dyDescent="0.2">
      <c r="A3592">
        <v>2021</v>
      </c>
      <c r="B3592" t="s">
        <v>23</v>
      </c>
      <c r="C3592" t="s">
        <v>272</v>
      </c>
      <c r="D3592">
        <v>137</v>
      </c>
      <c r="E3592">
        <v>1</v>
      </c>
      <c r="F3592">
        <v>15</v>
      </c>
      <c r="G3592" t="s">
        <v>162</v>
      </c>
      <c r="H3592">
        <v>10</v>
      </c>
      <c r="I3592">
        <v>63</v>
      </c>
      <c r="J3592">
        <v>65</v>
      </c>
      <c r="K3592">
        <v>2</v>
      </c>
      <c r="L3592">
        <v>137</v>
      </c>
      <c r="M3592">
        <v>67</v>
      </c>
      <c r="N3592">
        <v>1.5</v>
      </c>
      <c r="O3592">
        <v>3.5</v>
      </c>
      <c r="P3592">
        <v>10</v>
      </c>
      <c r="Q3592">
        <v>0.5</v>
      </c>
      <c r="R3592">
        <v>7</v>
      </c>
      <c r="S3592">
        <v>0.7</v>
      </c>
      <c r="T3592">
        <v>2.5</v>
      </c>
      <c r="U3592">
        <v>12.5</v>
      </c>
      <c r="V3592">
        <v>1830.0653594771243</v>
      </c>
      <c r="W3592">
        <v>1</v>
      </c>
    </row>
    <row r="3593" spans="1:23" x14ac:dyDescent="0.2">
      <c r="A3593">
        <v>2021</v>
      </c>
      <c r="B3593" t="s">
        <v>23</v>
      </c>
      <c r="C3593" t="s">
        <v>272</v>
      </c>
      <c r="D3593">
        <v>137</v>
      </c>
      <c r="E3593">
        <v>2</v>
      </c>
      <c r="F3593">
        <v>5</v>
      </c>
      <c r="G3593" t="s">
        <v>162</v>
      </c>
      <c r="H3593" s="1">
        <v>13</v>
      </c>
      <c r="I3593" s="1">
        <v>66</v>
      </c>
      <c r="J3593" s="1">
        <v>68</v>
      </c>
      <c r="K3593" s="1">
        <f>J3593-I3593</f>
        <v>2</v>
      </c>
      <c r="L3593" s="1">
        <v>134</v>
      </c>
      <c r="M3593" s="1">
        <v>46</v>
      </c>
      <c r="N3593" s="1">
        <v>2</v>
      </c>
      <c r="O3593" s="1">
        <v>3.5</v>
      </c>
      <c r="P3593" s="1">
        <f>H3593</f>
        <v>13</v>
      </c>
      <c r="Q3593" s="2">
        <v>0.3</v>
      </c>
      <c r="R3593" s="1">
        <v>9</v>
      </c>
      <c r="S3593" s="1">
        <f>R3593/P3593</f>
        <v>0.69230769230769229</v>
      </c>
      <c r="T3593" s="1">
        <v>5</v>
      </c>
      <c r="U3593" s="1">
        <v>12.5</v>
      </c>
      <c r="V3593" s="1">
        <v>1098.0392156862745</v>
      </c>
      <c r="W3593" s="1">
        <v>4</v>
      </c>
    </row>
    <row r="3594" spans="1:23" x14ac:dyDescent="0.2">
      <c r="A3594">
        <v>2021</v>
      </c>
      <c r="B3594" t="s">
        <v>23</v>
      </c>
      <c r="C3594" t="s">
        <v>272</v>
      </c>
      <c r="D3594">
        <v>138</v>
      </c>
      <c r="E3594">
        <v>1</v>
      </c>
      <c r="F3594">
        <v>4</v>
      </c>
      <c r="G3594" t="s">
        <v>163</v>
      </c>
      <c r="H3594" s="1">
        <v>1</v>
      </c>
      <c r="I3594" s="1">
        <v>63</v>
      </c>
      <c r="J3594" s="1">
        <v>67</v>
      </c>
      <c r="K3594" s="1">
        <f>J3594-I3594</f>
        <v>4</v>
      </c>
      <c r="L3594" s="1">
        <v>171</v>
      </c>
      <c r="M3594" s="1">
        <v>105</v>
      </c>
      <c r="N3594" s="1">
        <v>3</v>
      </c>
      <c r="O3594" s="1">
        <v>4</v>
      </c>
      <c r="P3594" s="1">
        <f>H3594</f>
        <v>1</v>
      </c>
      <c r="Q3594" s="2">
        <v>3.15E-2</v>
      </c>
      <c r="R3594" s="1">
        <v>1</v>
      </c>
      <c r="S3594" s="1">
        <f>R3594/P3594</f>
        <v>1</v>
      </c>
      <c r="T3594" s="1">
        <v>4</v>
      </c>
      <c r="U3594" s="1">
        <v>12.5</v>
      </c>
      <c r="V3594" s="1">
        <v>115.29411764705884</v>
      </c>
      <c r="W3594" s="1">
        <v>4</v>
      </c>
    </row>
    <row r="3595" spans="1:23" x14ac:dyDescent="0.2">
      <c r="A3595">
        <v>2021</v>
      </c>
      <c r="B3595" t="s">
        <v>23</v>
      </c>
      <c r="C3595" t="s">
        <v>272</v>
      </c>
      <c r="D3595">
        <v>138</v>
      </c>
      <c r="E3595">
        <v>2</v>
      </c>
      <c r="F3595">
        <v>7</v>
      </c>
      <c r="G3595" t="s">
        <v>163</v>
      </c>
      <c r="H3595" s="1">
        <v>5</v>
      </c>
      <c r="I3595" s="1">
        <v>64</v>
      </c>
      <c r="J3595" s="1">
        <v>69</v>
      </c>
      <c r="K3595" s="1">
        <f>J3595-I3595</f>
        <v>5</v>
      </c>
      <c r="L3595" s="1">
        <v>66</v>
      </c>
      <c r="M3595" s="1">
        <v>30</v>
      </c>
      <c r="N3595" s="1">
        <v>2</v>
      </c>
      <c r="O3595" s="1">
        <v>4.5</v>
      </c>
      <c r="P3595" s="1">
        <v>4</v>
      </c>
      <c r="Q3595" s="2">
        <v>9.1999999999999998E-2</v>
      </c>
      <c r="R3595" s="1">
        <v>3</v>
      </c>
      <c r="S3595" s="1">
        <f>R3595/P3595</f>
        <v>0.75</v>
      </c>
      <c r="T3595" s="1">
        <v>5</v>
      </c>
      <c r="U3595" s="1">
        <v>12.5</v>
      </c>
      <c r="V3595" s="1">
        <v>336.73202614379085</v>
      </c>
      <c r="W3595" s="1">
        <v>6</v>
      </c>
    </row>
    <row r="3596" spans="1:23" x14ac:dyDescent="0.2">
      <c r="A3596">
        <v>2021</v>
      </c>
      <c r="B3596" t="s">
        <v>23</v>
      </c>
      <c r="C3596" t="s">
        <v>272</v>
      </c>
      <c r="D3596">
        <v>139</v>
      </c>
      <c r="E3596">
        <v>1</v>
      </c>
      <c r="F3596">
        <v>13</v>
      </c>
      <c r="G3596" t="s">
        <v>164</v>
      </c>
      <c r="H3596">
        <v>5</v>
      </c>
      <c r="I3596">
        <v>56</v>
      </c>
      <c r="J3596">
        <v>60</v>
      </c>
      <c r="K3596">
        <v>4</v>
      </c>
      <c r="L3596">
        <v>90</v>
      </c>
      <c r="M3596">
        <v>28</v>
      </c>
      <c r="N3596">
        <v>2.5</v>
      </c>
      <c r="O3596">
        <v>2</v>
      </c>
      <c r="P3596">
        <v>5</v>
      </c>
      <c r="Q3596">
        <v>0.9</v>
      </c>
      <c r="R3596">
        <v>5</v>
      </c>
      <c r="S3596">
        <v>1</v>
      </c>
      <c r="T3596">
        <v>3</v>
      </c>
      <c r="U3596">
        <v>12.5</v>
      </c>
      <c r="V3596">
        <v>3294.1176470588234</v>
      </c>
      <c r="W3596">
        <v>2</v>
      </c>
    </row>
    <row r="3597" spans="1:23" x14ac:dyDescent="0.2">
      <c r="A3597">
        <v>2021</v>
      </c>
      <c r="B3597" t="s">
        <v>23</v>
      </c>
      <c r="C3597" t="s">
        <v>272</v>
      </c>
      <c r="D3597">
        <v>139</v>
      </c>
      <c r="E3597">
        <v>2</v>
      </c>
      <c r="F3597">
        <v>10</v>
      </c>
      <c r="G3597" t="s">
        <v>164</v>
      </c>
      <c r="H3597" s="1">
        <v>8</v>
      </c>
      <c r="I3597" s="1">
        <v>65</v>
      </c>
      <c r="J3597" s="1">
        <v>70</v>
      </c>
      <c r="K3597" s="1">
        <f>J3597-I3597</f>
        <v>5</v>
      </c>
      <c r="L3597" s="1">
        <v>126</v>
      </c>
      <c r="M3597" s="1">
        <v>52</v>
      </c>
      <c r="N3597" s="1">
        <v>2</v>
      </c>
      <c r="O3597" s="1">
        <v>4</v>
      </c>
      <c r="P3597" s="1">
        <v>5</v>
      </c>
      <c r="Q3597" s="2">
        <v>0.13100000000000001</v>
      </c>
      <c r="R3597" s="1">
        <v>3</v>
      </c>
      <c r="S3597" s="1">
        <f>R3597/P3597</f>
        <v>0.6</v>
      </c>
      <c r="T3597" s="1">
        <v>3.5</v>
      </c>
      <c r="U3597" s="1">
        <v>12.5</v>
      </c>
      <c r="V3597" s="1">
        <v>479.47712418300648</v>
      </c>
      <c r="W3597" s="1">
        <v>6</v>
      </c>
    </row>
    <row r="3598" spans="1:23" x14ac:dyDescent="0.2">
      <c r="A3598">
        <v>2021</v>
      </c>
      <c r="B3598" t="s">
        <v>23</v>
      </c>
      <c r="C3598" t="s">
        <v>272</v>
      </c>
      <c r="D3598">
        <v>140</v>
      </c>
      <c r="E3598">
        <v>1</v>
      </c>
      <c r="F3598">
        <v>14</v>
      </c>
      <c r="G3598" t="s">
        <v>165</v>
      </c>
      <c r="H3598" s="1">
        <v>4</v>
      </c>
      <c r="I3598" s="1">
        <v>67</v>
      </c>
      <c r="J3598" s="1">
        <v>70</v>
      </c>
      <c r="K3598" s="1">
        <f>J3598-I3598</f>
        <v>3</v>
      </c>
      <c r="L3598" s="1">
        <v>143</v>
      </c>
      <c r="M3598" s="1">
        <v>41</v>
      </c>
      <c r="N3598" s="1">
        <v>2</v>
      </c>
      <c r="O3598" s="1">
        <v>3.5</v>
      </c>
      <c r="P3598" s="1">
        <v>4</v>
      </c>
      <c r="Q3598" s="2">
        <v>0.32</v>
      </c>
      <c r="R3598" s="1">
        <v>5</v>
      </c>
      <c r="S3598" s="1">
        <f>R3598/P3598</f>
        <v>1.25</v>
      </c>
      <c r="T3598" s="1">
        <v>2</v>
      </c>
      <c r="U3598" s="1">
        <v>12.5</v>
      </c>
      <c r="V3598" s="1">
        <v>1171.2418300653596</v>
      </c>
      <c r="W3598" s="1">
        <v>2</v>
      </c>
    </row>
    <row r="3599" spans="1:23" x14ac:dyDescent="0.2">
      <c r="A3599">
        <v>2021</v>
      </c>
      <c r="B3599" t="s">
        <v>23</v>
      </c>
      <c r="C3599" t="s">
        <v>272</v>
      </c>
      <c r="D3599">
        <v>140</v>
      </c>
      <c r="E3599">
        <v>2</v>
      </c>
      <c r="F3599">
        <v>11</v>
      </c>
      <c r="G3599" t="s">
        <v>165</v>
      </c>
      <c r="H3599" s="1">
        <v>5</v>
      </c>
      <c r="I3599" s="1">
        <v>64</v>
      </c>
      <c r="J3599" s="1">
        <v>69</v>
      </c>
      <c r="K3599" s="1">
        <f>J3599-I3599</f>
        <v>5</v>
      </c>
      <c r="L3599" s="1">
        <v>95</v>
      </c>
      <c r="M3599" s="1">
        <v>31</v>
      </c>
      <c r="N3599" s="1">
        <v>2</v>
      </c>
      <c r="O3599" s="1">
        <v>4.5</v>
      </c>
      <c r="P3599" s="1">
        <v>4</v>
      </c>
      <c r="Q3599" s="2">
        <v>0.13</v>
      </c>
      <c r="R3599" s="1">
        <v>3</v>
      </c>
      <c r="S3599" s="1">
        <f>R3599/P3599</f>
        <v>0.75</v>
      </c>
      <c r="T3599" s="1">
        <v>5</v>
      </c>
      <c r="U3599" s="1">
        <v>12.5</v>
      </c>
      <c r="V3599" s="1">
        <v>475.81699346405225</v>
      </c>
      <c r="W3599" s="1">
        <v>6</v>
      </c>
    </row>
    <row r="3600" spans="1:23" x14ac:dyDescent="0.2">
      <c r="A3600">
        <v>2021</v>
      </c>
      <c r="B3600" t="s">
        <v>23</v>
      </c>
      <c r="C3600" t="s">
        <v>272</v>
      </c>
      <c r="D3600">
        <v>141</v>
      </c>
      <c r="E3600">
        <v>1</v>
      </c>
      <c r="F3600">
        <v>14</v>
      </c>
      <c r="G3600" t="s">
        <v>166</v>
      </c>
      <c r="H3600" s="1">
        <v>10</v>
      </c>
      <c r="I3600" s="1">
        <v>62</v>
      </c>
      <c r="J3600" s="1">
        <v>67</v>
      </c>
      <c r="K3600" s="1">
        <f>J3600-I3600</f>
        <v>5</v>
      </c>
      <c r="L3600" s="1">
        <v>102</v>
      </c>
      <c r="M3600" s="1">
        <v>40</v>
      </c>
      <c r="N3600" s="1">
        <v>2.5</v>
      </c>
      <c r="O3600" s="1">
        <v>4.5</v>
      </c>
      <c r="P3600" s="1">
        <v>7</v>
      </c>
      <c r="Q3600" s="2">
        <v>0.188</v>
      </c>
      <c r="R3600" s="1">
        <v>5</v>
      </c>
      <c r="S3600" s="1">
        <f>R3600/P3600</f>
        <v>0.7142857142857143</v>
      </c>
      <c r="T3600" s="1">
        <v>5</v>
      </c>
      <c r="U3600" s="1">
        <v>12.5</v>
      </c>
      <c r="V3600" s="1">
        <v>688.10457516339875</v>
      </c>
      <c r="W3600" s="1">
        <v>5</v>
      </c>
    </row>
    <row r="3601" spans="1:23" x14ac:dyDescent="0.2">
      <c r="A3601">
        <v>2021</v>
      </c>
      <c r="B3601" t="s">
        <v>23</v>
      </c>
      <c r="C3601" t="s">
        <v>272</v>
      </c>
      <c r="D3601">
        <v>141</v>
      </c>
      <c r="E3601">
        <v>2</v>
      </c>
      <c r="F3601">
        <v>14</v>
      </c>
      <c r="G3601" t="s">
        <v>166</v>
      </c>
      <c r="H3601" s="1">
        <v>8</v>
      </c>
      <c r="I3601" s="1">
        <v>57</v>
      </c>
      <c r="J3601" s="1">
        <v>62</v>
      </c>
      <c r="K3601" s="1">
        <f>J3601-I3601</f>
        <v>5</v>
      </c>
      <c r="L3601" s="1">
        <v>177</v>
      </c>
      <c r="M3601" s="1">
        <v>87</v>
      </c>
      <c r="N3601" s="1">
        <v>1</v>
      </c>
      <c r="O3601" s="1">
        <v>2.5</v>
      </c>
      <c r="P3601" s="1">
        <v>8</v>
      </c>
      <c r="Q3601" s="2">
        <v>0.91979999999999995</v>
      </c>
      <c r="R3601" s="1">
        <v>6</v>
      </c>
      <c r="S3601" s="1">
        <f>R3601/P3601</f>
        <v>0.75</v>
      </c>
      <c r="T3601" s="1">
        <v>3</v>
      </c>
      <c r="U3601" s="1">
        <v>12.5</v>
      </c>
      <c r="V3601" s="1">
        <v>3366.5882352941176</v>
      </c>
      <c r="W3601" s="1">
        <v>4</v>
      </c>
    </row>
    <row r="3602" spans="1:23" x14ac:dyDescent="0.2">
      <c r="A3602">
        <v>2021</v>
      </c>
      <c r="B3602" t="s">
        <v>23</v>
      </c>
      <c r="C3602" t="s">
        <v>272</v>
      </c>
      <c r="D3602">
        <v>142</v>
      </c>
      <c r="E3602">
        <v>1</v>
      </c>
      <c r="F3602">
        <v>8</v>
      </c>
      <c r="G3602" t="s">
        <v>167</v>
      </c>
      <c r="H3602">
        <v>16</v>
      </c>
      <c r="I3602">
        <v>56</v>
      </c>
      <c r="J3602">
        <v>60</v>
      </c>
      <c r="K3602">
        <v>4</v>
      </c>
      <c r="L3602">
        <v>146</v>
      </c>
      <c r="M3602">
        <v>65</v>
      </c>
      <c r="N3602">
        <v>1</v>
      </c>
      <c r="O3602">
        <v>1.5</v>
      </c>
      <c r="P3602">
        <v>16</v>
      </c>
      <c r="Q3602">
        <v>1.1000000000000001</v>
      </c>
      <c r="R3602">
        <v>15</v>
      </c>
      <c r="S3602">
        <v>0.9375</v>
      </c>
      <c r="T3602">
        <v>2</v>
      </c>
      <c r="U3602">
        <v>12.1</v>
      </c>
      <c r="V3602">
        <v>4044.549019607844</v>
      </c>
      <c r="W3602">
        <v>2</v>
      </c>
    </row>
    <row r="3603" spans="1:23" x14ac:dyDescent="0.2">
      <c r="A3603">
        <v>2021</v>
      </c>
      <c r="B3603" t="s">
        <v>23</v>
      </c>
      <c r="C3603" t="s">
        <v>272</v>
      </c>
      <c r="D3603">
        <v>142</v>
      </c>
      <c r="E3603">
        <v>2</v>
      </c>
      <c r="F3603">
        <v>1</v>
      </c>
      <c r="G3603" t="s">
        <v>167</v>
      </c>
      <c r="H3603">
        <v>11</v>
      </c>
      <c r="I3603">
        <v>58</v>
      </c>
      <c r="J3603">
        <v>60</v>
      </c>
      <c r="K3603">
        <v>2</v>
      </c>
      <c r="L3603">
        <v>80</v>
      </c>
      <c r="M3603">
        <v>54</v>
      </c>
      <c r="N3603">
        <v>2</v>
      </c>
      <c r="O3603">
        <v>3</v>
      </c>
      <c r="P3603">
        <v>10</v>
      </c>
      <c r="Q3603">
        <v>1</v>
      </c>
      <c r="R3603">
        <v>9</v>
      </c>
      <c r="S3603">
        <v>0.9</v>
      </c>
      <c r="T3603">
        <v>2.5</v>
      </c>
      <c r="U3603">
        <v>12.5</v>
      </c>
      <c r="V3603">
        <v>3660.1307189542486</v>
      </c>
      <c r="W3603">
        <v>2</v>
      </c>
    </row>
    <row r="3604" spans="1:23" x14ac:dyDescent="0.2">
      <c r="A3604">
        <v>2021</v>
      </c>
      <c r="B3604" t="s">
        <v>23</v>
      </c>
      <c r="C3604" t="s">
        <v>272</v>
      </c>
      <c r="D3604">
        <v>143</v>
      </c>
      <c r="E3604">
        <v>1</v>
      </c>
      <c r="F3604">
        <v>5</v>
      </c>
      <c r="G3604" t="s">
        <v>168</v>
      </c>
      <c r="H3604" s="3">
        <v>2</v>
      </c>
      <c r="I3604" s="3">
        <v>70</v>
      </c>
      <c r="J3604" s="3">
        <v>72</v>
      </c>
      <c r="K3604" s="3">
        <f>J3604-I3604</f>
        <v>2</v>
      </c>
      <c r="L3604" s="3">
        <v>158</v>
      </c>
      <c r="M3604" s="3">
        <v>77</v>
      </c>
      <c r="N3604" s="3">
        <v>2</v>
      </c>
      <c r="O3604" s="3">
        <v>2.5</v>
      </c>
      <c r="P3604" s="3">
        <v>8</v>
      </c>
      <c r="Q3604" s="4">
        <v>0.33</v>
      </c>
      <c r="R3604" s="3">
        <v>6</v>
      </c>
      <c r="S3604" s="3">
        <f>R3604/P3604</f>
        <v>0.75</v>
      </c>
      <c r="T3604" s="3">
        <v>4</v>
      </c>
      <c r="U3604" s="3">
        <v>12.5</v>
      </c>
      <c r="V3604" s="3">
        <v>1207.8431372549019</v>
      </c>
      <c r="W3604" s="3">
        <v>5</v>
      </c>
    </row>
    <row r="3605" spans="1:23" x14ac:dyDescent="0.2">
      <c r="A3605">
        <v>2021</v>
      </c>
      <c r="B3605" t="s">
        <v>23</v>
      </c>
      <c r="C3605" t="s">
        <v>272</v>
      </c>
      <c r="D3605">
        <v>143</v>
      </c>
      <c r="E3605">
        <v>2</v>
      </c>
      <c r="F3605">
        <v>13</v>
      </c>
      <c r="G3605" t="s">
        <v>168</v>
      </c>
      <c r="H3605" s="1">
        <v>8</v>
      </c>
      <c r="I3605" s="1">
        <v>64</v>
      </c>
      <c r="J3605" s="1">
        <v>67</v>
      </c>
      <c r="K3605" s="1">
        <f>J3605-I3605</f>
        <v>3</v>
      </c>
      <c r="L3605" s="1">
        <v>158</v>
      </c>
      <c r="M3605" s="1">
        <v>61</v>
      </c>
      <c r="N3605" s="1">
        <v>2</v>
      </c>
      <c r="O3605" s="1">
        <v>3.5</v>
      </c>
      <c r="P3605" s="1">
        <f>H3605-1</f>
        <v>7</v>
      </c>
      <c r="Q3605" s="2">
        <v>0.10012500000000001</v>
      </c>
      <c r="R3605" s="1">
        <v>4</v>
      </c>
      <c r="S3605" s="1">
        <f>R3605/P3605</f>
        <v>0.5714285714285714</v>
      </c>
      <c r="T3605" s="1">
        <v>5</v>
      </c>
      <c r="U3605" s="1">
        <v>12.5</v>
      </c>
      <c r="V3605" s="1">
        <v>366.47058823529409</v>
      </c>
      <c r="W3605" s="1">
        <v>5</v>
      </c>
    </row>
    <row r="3606" spans="1:23" x14ac:dyDescent="0.2">
      <c r="A3606">
        <v>2021</v>
      </c>
      <c r="B3606" t="s">
        <v>23</v>
      </c>
      <c r="C3606" t="s">
        <v>272</v>
      </c>
      <c r="D3606">
        <v>144</v>
      </c>
      <c r="E3606">
        <v>1</v>
      </c>
      <c r="F3606">
        <v>8</v>
      </c>
      <c r="G3606" t="s">
        <v>169</v>
      </c>
      <c r="H3606" s="1">
        <v>13</v>
      </c>
      <c r="I3606" s="1">
        <v>56</v>
      </c>
      <c r="J3606" s="1">
        <v>61</v>
      </c>
      <c r="K3606" s="1">
        <f>J3606-I3606</f>
        <v>5</v>
      </c>
      <c r="L3606" s="1">
        <v>100</v>
      </c>
      <c r="M3606" s="1">
        <v>63</v>
      </c>
      <c r="N3606" s="1">
        <v>2</v>
      </c>
      <c r="O3606" s="1">
        <v>4</v>
      </c>
      <c r="P3606" s="1">
        <f>H3606</f>
        <v>13</v>
      </c>
      <c r="Q3606" s="2">
        <v>0.28649999999999998</v>
      </c>
      <c r="R3606" s="1">
        <v>10</v>
      </c>
      <c r="S3606" s="1">
        <f>R3606/P3606</f>
        <v>0.76923076923076927</v>
      </c>
      <c r="T3606" s="1">
        <v>5</v>
      </c>
      <c r="U3606" s="1">
        <v>12.5</v>
      </c>
      <c r="V3606" s="1">
        <v>1048.6274509803923</v>
      </c>
      <c r="W3606" s="1">
        <v>7</v>
      </c>
    </row>
    <row r="3607" spans="1:23" x14ac:dyDescent="0.2">
      <c r="A3607">
        <v>2021</v>
      </c>
      <c r="B3607" t="s">
        <v>23</v>
      </c>
      <c r="C3607" t="s">
        <v>272</v>
      </c>
      <c r="D3607">
        <v>144</v>
      </c>
      <c r="E3607">
        <v>2</v>
      </c>
      <c r="F3607">
        <v>8</v>
      </c>
      <c r="G3607" t="s">
        <v>169</v>
      </c>
      <c r="H3607" s="1">
        <v>2</v>
      </c>
      <c r="I3607" s="1">
        <v>66</v>
      </c>
      <c r="J3607" s="1">
        <v>69</v>
      </c>
      <c r="K3607" s="1">
        <f>J3607-I3607</f>
        <v>3</v>
      </c>
      <c r="L3607" s="1">
        <v>78</v>
      </c>
      <c r="M3607" s="1">
        <v>51</v>
      </c>
      <c r="N3607" s="1">
        <v>2</v>
      </c>
      <c r="O3607" s="1">
        <v>3</v>
      </c>
      <c r="P3607" s="1">
        <v>2</v>
      </c>
      <c r="Q3607" s="2">
        <v>9.8662500000000014E-2</v>
      </c>
      <c r="R3607" s="1">
        <v>3</v>
      </c>
      <c r="S3607" s="1">
        <f>R3607/P3607</f>
        <v>1.5</v>
      </c>
      <c r="T3607" s="1">
        <v>3</v>
      </c>
      <c r="U3607" s="1">
        <v>12.5</v>
      </c>
      <c r="V3607" s="1">
        <v>361.11764705882365</v>
      </c>
      <c r="W3607" s="1">
        <v>3</v>
      </c>
    </row>
    <row r="3608" spans="1:23" x14ac:dyDescent="0.2">
      <c r="A3608">
        <v>2021</v>
      </c>
      <c r="B3608" t="s">
        <v>23</v>
      </c>
      <c r="C3608" t="s">
        <v>272</v>
      </c>
      <c r="D3608">
        <v>145</v>
      </c>
      <c r="E3608">
        <v>1</v>
      </c>
      <c r="F3608">
        <v>3</v>
      </c>
      <c r="G3608" t="s">
        <v>170</v>
      </c>
      <c r="H3608">
        <v>11</v>
      </c>
      <c r="I3608">
        <v>55</v>
      </c>
      <c r="J3608">
        <v>57</v>
      </c>
      <c r="K3608">
        <v>2</v>
      </c>
      <c r="L3608">
        <v>162</v>
      </c>
      <c r="M3608">
        <v>49</v>
      </c>
      <c r="N3608">
        <v>2</v>
      </c>
      <c r="O3608">
        <v>3</v>
      </c>
      <c r="P3608">
        <v>11</v>
      </c>
      <c r="Q3608">
        <v>1</v>
      </c>
      <c r="R3608">
        <v>12</v>
      </c>
      <c r="S3608">
        <v>1.0909090909090908</v>
      </c>
      <c r="T3608">
        <v>2</v>
      </c>
      <c r="U3608">
        <v>12.5</v>
      </c>
      <c r="V3608">
        <v>3660.1307189542486</v>
      </c>
      <c r="W3608">
        <v>1</v>
      </c>
    </row>
    <row r="3609" spans="1:23" x14ac:dyDescent="0.2">
      <c r="A3609">
        <v>2021</v>
      </c>
      <c r="B3609" t="s">
        <v>23</v>
      </c>
      <c r="C3609" t="s">
        <v>272</v>
      </c>
      <c r="D3609">
        <v>145</v>
      </c>
      <c r="E3609">
        <v>2</v>
      </c>
      <c r="F3609">
        <v>11</v>
      </c>
      <c r="G3609" t="s">
        <v>170</v>
      </c>
      <c r="H3609" s="1">
        <v>10</v>
      </c>
      <c r="I3609" s="1">
        <v>63</v>
      </c>
      <c r="J3609" s="1">
        <v>67</v>
      </c>
      <c r="K3609" s="1">
        <f>J3609-I3609</f>
        <v>4</v>
      </c>
      <c r="L3609" s="1">
        <v>166</v>
      </c>
      <c r="M3609" s="1">
        <v>88</v>
      </c>
      <c r="N3609" s="1">
        <v>2</v>
      </c>
      <c r="O3609" s="1">
        <v>2</v>
      </c>
      <c r="P3609" s="1">
        <v>9</v>
      </c>
      <c r="Q3609" s="2">
        <v>0.31006499999999998</v>
      </c>
      <c r="R3609" s="1">
        <v>7</v>
      </c>
      <c r="S3609" s="1">
        <f>R3609/P3609</f>
        <v>0.77777777777777779</v>
      </c>
      <c r="T3609" s="1">
        <v>3</v>
      </c>
      <c r="U3609" s="1">
        <v>12.5</v>
      </c>
      <c r="V3609" s="1">
        <v>1134.8784313725489</v>
      </c>
      <c r="W3609" s="1">
        <v>3</v>
      </c>
    </row>
    <row r="3610" spans="1:23" x14ac:dyDescent="0.2">
      <c r="A3610">
        <v>2021</v>
      </c>
      <c r="B3610" t="s">
        <v>23</v>
      </c>
      <c r="C3610" t="s">
        <v>272</v>
      </c>
      <c r="D3610">
        <v>146</v>
      </c>
      <c r="E3610">
        <v>1</v>
      </c>
      <c r="F3610">
        <v>5</v>
      </c>
      <c r="G3610" t="s">
        <v>171</v>
      </c>
      <c r="H3610" s="1">
        <v>5</v>
      </c>
      <c r="I3610" s="1">
        <v>62</v>
      </c>
      <c r="J3610" s="1">
        <v>65</v>
      </c>
      <c r="K3610" s="1">
        <f>J3610-I3610</f>
        <v>3</v>
      </c>
      <c r="L3610" s="1">
        <v>131</v>
      </c>
      <c r="M3610" s="1">
        <v>59</v>
      </c>
      <c r="N3610" s="1">
        <v>2</v>
      </c>
      <c r="O3610" s="1">
        <v>4</v>
      </c>
      <c r="P3610" s="1">
        <v>4</v>
      </c>
      <c r="Q3610" s="2">
        <v>3.7499999999999999E-2</v>
      </c>
      <c r="R3610" s="1">
        <v>2</v>
      </c>
      <c r="S3610" s="1">
        <f>R3610/P3610</f>
        <v>0.5</v>
      </c>
      <c r="T3610" s="1">
        <v>5</v>
      </c>
      <c r="U3610" s="1">
        <v>12.5</v>
      </c>
      <c r="V3610" s="1">
        <v>137.25490196078431</v>
      </c>
      <c r="W3610" s="1">
        <v>4</v>
      </c>
    </row>
    <row r="3611" spans="1:23" x14ac:dyDescent="0.2">
      <c r="A3611">
        <v>2021</v>
      </c>
      <c r="B3611" t="s">
        <v>23</v>
      </c>
      <c r="C3611" t="s">
        <v>272</v>
      </c>
      <c r="D3611">
        <v>146</v>
      </c>
      <c r="E3611">
        <v>2</v>
      </c>
      <c r="F3611">
        <v>5</v>
      </c>
      <c r="G3611" t="s">
        <v>171</v>
      </c>
      <c r="H3611">
        <v>9</v>
      </c>
      <c r="I3611">
        <v>63</v>
      </c>
      <c r="J3611">
        <v>67</v>
      </c>
      <c r="K3611">
        <v>4</v>
      </c>
      <c r="L3611">
        <v>140</v>
      </c>
      <c r="M3611">
        <v>60</v>
      </c>
      <c r="N3611">
        <v>2</v>
      </c>
      <c r="O3611">
        <v>3</v>
      </c>
      <c r="P3611">
        <v>9</v>
      </c>
      <c r="Q3611">
        <v>1</v>
      </c>
      <c r="R3611">
        <v>10</v>
      </c>
      <c r="S3611">
        <v>1.1111111111111112</v>
      </c>
      <c r="T3611">
        <v>3</v>
      </c>
      <c r="U3611">
        <v>12.5</v>
      </c>
      <c r="V3611">
        <v>3660.1307189542486</v>
      </c>
      <c r="W3611">
        <v>1</v>
      </c>
    </row>
    <row r="3612" spans="1:23" x14ac:dyDescent="0.2">
      <c r="A3612">
        <v>2021</v>
      </c>
      <c r="B3612" t="s">
        <v>23</v>
      </c>
      <c r="C3612" t="s">
        <v>272</v>
      </c>
      <c r="D3612">
        <v>147</v>
      </c>
      <c r="E3612">
        <v>1</v>
      </c>
      <c r="F3612">
        <v>9</v>
      </c>
      <c r="G3612" t="s">
        <v>172</v>
      </c>
      <c r="H3612" s="1">
        <v>10</v>
      </c>
      <c r="I3612" s="1">
        <v>61</v>
      </c>
      <c r="J3612" s="1">
        <v>65</v>
      </c>
      <c r="K3612" s="1">
        <f>J3612-I3612</f>
        <v>4</v>
      </c>
      <c r="L3612" s="1">
        <v>43</v>
      </c>
      <c r="M3612" s="1">
        <v>20</v>
      </c>
      <c r="N3612" s="1">
        <v>3</v>
      </c>
      <c r="O3612" s="1">
        <v>4.5</v>
      </c>
      <c r="P3612" s="1">
        <v>5</v>
      </c>
      <c r="Q3612" s="2">
        <v>0.152</v>
      </c>
      <c r="R3612" s="1">
        <v>5</v>
      </c>
      <c r="S3612" s="1">
        <f>R3612/P3612</f>
        <v>1</v>
      </c>
      <c r="T3612" s="1">
        <v>5</v>
      </c>
      <c r="U3612" s="1">
        <v>12.5</v>
      </c>
      <c r="V3612" s="1">
        <v>556.33986928104571</v>
      </c>
      <c r="W3612" s="1">
        <v>5</v>
      </c>
    </row>
    <row r="3613" spans="1:23" x14ac:dyDescent="0.2">
      <c r="A3613">
        <v>2021</v>
      </c>
      <c r="B3613" t="s">
        <v>23</v>
      </c>
      <c r="C3613" t="s">
        <v>272</v>
      </c>
      <c r="D3613">
        <v>147</v>
      </c>
      <c r="E3613">
        <v>2</v>
      </c>
      <c r="F3613">
        <v>7</v>
      </c>
      <c r="G3613" t="s">
        <v>172</v>
      </c>
      <c r="H3613">
        <v>3</v>
      </c>
      <c r="I3613">
        <v>56</v>
      </c>
      <c r="J3613">
        <v>61</v>
      </c>
      <c r="K3613">
        <v>5</v>
      </c>
      <c r="L3613">
        <v>142</v>
      </c>
      <c r="M3613">
        <v>29</v>
      </c>
      <c r="N3613">
        <v>2</v>
      </c>
      <c r="O3613">
        <v>4</v>
      </c>
      <c r="P3613">
        <v>3</v>
      </c>
      <c r="Q3613">
        <v>8.4000000000000005E-2</v>
      </c>
      <c r="R3613">
        <v>2</v>
      </c>
      <c r="S3613">
        <v>0.66666666666666663</v>
      </c>
      <c r="T3613">
        <v>3</v>
      </c>
      <c r="U3613">
        <v>12.5</v>
      </c>
      <c r="V3613">
        <v>307.45098039215685</v>
      </c>
      <c r="W3613">
        <v>1</v>
      </c>
    </row>
    <row r="3614" spans="1:23" x14ac:dyDescent="0.2">
      <c r="A3614">
        <v>2021</v>
      </c>
      <c r="B3614" t="s">
        <v>23</v>
      </c>
      <c r="C3614" t="s">
        <v>272</v>
      </c>
      <c r="D3614">
        <v>148</v>
      </c>
      <c r="E3614">
        <v>1</v>
      </c>
      <c r="F3614">
        <v>12</v>
      </c>
      <c r="G3614" t="s">
        <v>173</v>
      </c>
      <c r="H3614">
        <v>12</v>
      </c>
      <c r="I3614">
        <v>54</v>
      </c>
      <c r="J3614">
        <v>56</v>
      </c>
      <c r="K3614">
        <v>2</v>
      </c>
      <c r="L3614">
        <v>88</v>
      </c>
      <c r="M3614">
        <v>74</v>
      </c>
      <c r="N3614">
        <v>1</v>
      </c>
      <c r="O3614">
        <v>1.5</v>
      </c>
      <c r="P3614">
        <v>13</v>
      </c>
      <c r="Q3614">
        <v>1.4</v>
      </c>
      <c r="R3614">
        <v>11</v>
      </c>
      <c r="S3614">
        <v>0.84615384615384615</v>
      </c>
      <c r="T3614">
        <v>3</v>
      </c>
      <c r="U3614">
        <v>12.1</v>
      </c>
      <c r="V3614">
        <v>5147.6078431372553</v>
      </c>
      <c r="W3614">
        <v>1</v>
      </c>
    </row>
    <row r="3615" spans="1:23" x14ac:dyDescent="0.2">
      <c r="A3615">
        <v>2021</v>
      </c>
      <c r="B3615" t="s">
        <v>23</v>
      </c>
      <c r="C3615" t="s">
        <v>272</v>
      </c>
      <c r="D3615">
        <v>148</v>
      </c>
      <c r="E3615">
        <v>2</v>
      </c>
      <c r="F3615">
        <v>10</v>
      </c>
      <c r="G3615" t="s">
        <v>173</v>
      </c>
      <c r="H3615" s="1">
        <v>9</v>
      </c>
      <c r="I3615" s="1">
        <v>56</v>
      </c>
      <c r="J3615" s="1">
        <v>60</v>
      </c>
      <c r="K3615" s="1">
        <f>J3615-I3615</f>
        <v>4</v>
      </c>
      <c r="L3615" s="1">
        <v>116</v>
      </c>
      <c r="M3615" s="1">
        <v>74</v>
      </c>
      <c r="N3615" s="1">
        <v>2</v>
      </c>
      <c r="O3615" s="1">
        <v>2.5</v>
      </c>
      <c r="P3615" s="1">
        <v>8</v>
      </c>
      <c r="Q3615" s="2">
        <v>9.9000000000000005E-2</v>
      </c>
      <c r="R3615" s="1">
        <v>10</v>
      </c>
      <c r="S3615" s="1">
        <f>R3615/P3615</f>
        <v>1.25</v>
      </c>
      <c r="T3615" s="1">
        <v>5</v>
      </c>
      <c r="U3615" s="1">
        <v>12.5</v>
      </c>
      <c r="V3615" s="1">
        <v>362.35294117647055</v>
      </c>
      <c r="W3615" s="1">
        <v>2</v>
      </c>
    </row>
    <row r="3616" spans="1:23" x14ac:dyDescent="0.2">
      <c r="A3616">
        <v>2021</v>
      </c>
      <c r="B3616" t="s">
        <v>23</v>
      </c>
      <c r="C3616" t="s">
        <v>272</v>
      </c>
      <c r="D3616">
        <v>149</v>
      </c>
      <c r="E3616">
        <v>1</v>
      </c>
      <c r="F3616">
        <v>6</v>
      </c>
      <c r="G3616" t="s">
        <v>174</v>
      </c>
      <c r="H3616" s="1">
        <v>12</v>
      </c>
      <c r="I3616" s="1">
        <v>66</v>
      </c>
      <c r="J3616" s="1">
        <v>70</v>
      </c>
      <c r="K3616" s="1">
        <f>J3616-I3616</f>
        <v>4</v>
      </c>
      <c r="L3616" s="1">
        <v>173</v>
      </c>
      <c r="M3616" s="1">
        <v>90</v>
      </c>
      <c r="N3616" s="1">
        <v>2</v>
      </c>
      <c r="O3616" s="1">
        <v>2.5</v>
      </c>
      <c r="P3616" s="1">
        <v>4</v>
      </c>
      <c r="Q3616" s="2">
        <v>0.44736000000000004</v>
      </c>
      <c r="R3616" s="1">
        <v>4</v>
      </c>
      <c r="S3616" s="1">
        <f>R3616/P3616</f>
        <v>1</v>
      </c>
      <c r="T3616" s="1">
        <v>5</v>
      </c>
      <c r="U3616" s="1">
        <v>9.1999999999999993</v>
      </c>
      <c r="V3616" s="1">
        <v>1699.1493019607844</v>
      </c>
      <c r="W3616" s="1">
        <v>5</v>
      </c>
    </row>
    <row r="3617" spans="1:23" x14ac:dyDescent="0.2">
      <c r="A3617">
        <v>2021</v>
      </c>
      <c r="B3617" t="s">
        <v>23</v>
      </c>
      <c r="C3617" t="s">
        <v>272</v>
      </c>
      <c r="D3617">
        <v>149</v>
      </c>
      <c r="E3617">
        <v>2</v>
      </c>
      <c r="F3617">
        <v>6</v>
      </c>
      <c r="G3617" t="s">
        <v>174</v>
      </c>
      <c r="H3617" s="1">
        <v>6</v>
      </c>
      <c r="I3617" s="1">
        <v>61</v>
      </c>
      <c r="J3617" s="1">
        <v>65</v>
      </c>
      <c r="K3617" s="1">
        <f>J3617-I3617</f>
        <v>4</v>
      </c>
      <c r="L3617" s="1">
        <v>133</v>
      </c>
      <c r="M3617" s="1">
        <v>42</v>
      </c>
      <c r="N3617" s="1">
        <v>3</v>
      </c>
      <c r="O3617" s="1">
        <v>4</v>
      </c>
      <c r="P3617" s="1">
        <v>3</v>
      </c>
      <c r="Q3617" s="2">
        <v>0.13</v>
      </c>
      <c r="R3617" s="1">
        <v>3</v>
      </c>
      <c r="S3617" s="1">
        <f>R3617/P3617</f>
        <v>1</v>
      </c>
      <c r="T3617" s="1">
        <v>3</v>
      </c>
      <c r="U3617" s="1">
        <v>12.5</v>
      </c>
      <c r="V3617" s="1">
        <v>475.81699346405225</v>
      </c>
      <c r="W3617" s="1">
        <v>5</v>
      </c>
    </row>
    <row r="3618" spans="1:23" x14ac:dyDescent="0.2">
      <c r="A3618">
        <v>2021</v>
      </c>
      <c r="B3618" t="s">
        <v>23</v>
      </c>
      <c r="C3618" t="s">
        <v>272</v>
      </c>
      <c r="D3618">
        <v>150</v>
      </c>
      <c r="E3618">
        <v>1</v>
      </c>
      <c r="F3618">
        <v>2</v>
      </c>
      <c r="G3618" t="s">
        <v>175</v>
      </c>
      <c r="H3618">
        <v>5</v>
      </c>
      <c r="I3618">
        <v>55</v>
      </c>
      <c r="J3618">
        <v>56</v>
      </c>
      <c r="K3618">
        <v>1</v>
      </c>
      <c r="L3618">
        <v>200</v>
      </c>
      <c r="M3618">
        <v>54</v>
      </c>
      <c r="N3618">
        <v>1.5</v>
      </c>
      <c r="O3618">
        <v>2</v>
      </c>
      <c r="P3618">
        <v>5</v>
      </c>
      <c r="Q3618">
        <v>0.4</v>
      </c>
      <c r="R3618">
        <v>6</v>
      </c>
      <c r="S3618">
        <v>1.2</v>
      </c>
      <c r="T3618">
        <v>2.5</v>
      </c>
      <c r="U3618">
        <v>12.5</v>
      </c>
      <c r="V3618">
        <v>1464.0522875816994</v>
      </c>
      <c r="W3618">
        <v>2</v>
      </c>
    </row>
    <row r="3619" spans="1:23" x14ac:dyDescent="0.2">
      <c r="A3619">
        <v>2021</v>
      </c>
      <c r="B3619" t="s">
        <v>23</v>
      </c>
      <c r="C3619" t="s">
        <v>272</v>
      </c>
      <c r="D3619">
        <v>150</v>
      </c>
      <c r="E3619">
        <v>2</v>
      </c>
      <c r="F3619">
        <v>7</v>
      </c>
      <c r="G3619" t="s">
        <v>175</v>
      </c>
      <c r="H3619" s="1">
        <v>8</v>
      </c>
      <c r="I3619" s="1">
        <v>72</v>
      </c>
      <c r="J3619" s="1">
        <v>76</v>
      </c>
      <c r="K3619" s="1">
        <f>J3619-I3619</f>
        <v>4</v>
      </c>
      <c r="L3619" s="1">
        <v>95</v>
      </c>
      <c r="M3619" s="1">
        <v>38</v>
      </c>
      <c r="N3619" s="1">
        <v>2.5</v>
      </c>
      <c r="O3619" s="1">
        <v>4</v>
      </c>
      <c r="P3619" s="1">
        <v>6</v>
      </c>
      <c r="Q3619" s="2">
        <v>0.28520000000000001</v>
      </c>
      <c r="R3619" s="1">
        <v>5</v>
      </c>
      <c r="S3619" s="1">
        <f>R3619/P3619</f>
        <v>0.83333333333333337</v>
      </c>
      <c r="T3619" s="1">
        <v>4.5</v>
      </c>
      <c r="U3619" s="1">
        <v>12.5</v>
      </c>
      <c r="V3619" s="1">
        <v>1043.8692810457517</v>
      </c>
      <c r="W3619" s="1">
        <v>4</v>
      </c>
    </row>
    <row r="3620" spans="1:23" x14ac:dyDescent="0.2">
      <c r="A3620">
        <v>2021</v>
      </c>
      <c r="B3620" t="s">
        <v>23</v>
      </c>
      <c r="C3620" t="s">
        <v>272</v>
      </c>
      <c r="D3620">
        <v>151</v>
      </c>
      <c r="E3620">
        <v>1</v>
      </c>
      <c r="F3620">
        <v>5</v>
      </c>
      <c r="G3620" t="s">
        <v>176</v>
      </c>
      <c r="H3620" s="1">
        <v>8</v>
      </c>
      <c r="I3620" s="1">
        <v>69</v>
      </c>
      <c r="J3620" s="1">
        <v>73</v>
      </c>
      <c r="K3620" s="1">
        <f>J3620-I3620</f>
        <v>4</v>
      </c>
      <c r="L3620" s="1">
        <v>136</v>
      </c>
      <c r="M3620" s="1">
        <v>46</v>
      </c>
      <c r="N3620" s="1">
        <v>1.5</v>
      </c>
      <c r="O3620" s="1">
        <v>4</v>
      </c>
      <c r="P3620" s="1">
        <v>6</v>
      </c>
      <c r="Q3620" s="2">
        <v>0.15359999999999999</v>
      </c>
      <c r="R3620" s="1">
        <v>4</v>
      </c>
      <c r="S3620" s="1">
        <f>R3620/P3620</f>
        <v>0.66666666666666663</v>
      </c>
      <c r="T3620" s="1">
        <v>3</v>
      </c>
      <c r="U3620" s="1">
        <v>12.5</v>
      </c>
      <c r="V3620" s="1">
        <v>562.1960784313726</v>
      </c>
      <c r="W3620" s="1">
        <v>5</v>
      </c>
    </row>
    <row r="3621" spans="1:23" x14ac:dyDescent="0.2">
      <c r="A3621">
        <v>2021</v>
      </c>
      <c r="B3621" t="s">
        <v>23</v>
      </c>
      <c r="C3621" t="s">
        <v>272</v>
      </c>
      <c r="D3621">
        <v>151</v>
      </c>
      <c r="E3621">
        <v>2</v>
      </c>
      <c r="F3621">
        <v>2</v>
      </c>
      <c r="G3621" t="s">
        <v>176</v>
      </c>
      <c r="H3621">
        <v>2</v>
      </c>
      <c r="I3621">
        <v>54</v>
      </c>
      <c r="J3621">
        <v>60</v>
      </c>
      <c r="K3621">
        <v>6</v>
      </c>
      <c r="L3621">
        <v>63</v>
      </c>
      <c r="M3621">
        <v>21</v>
      </c>
      <c r="N3621">
        <v>3</v>
      </c>
      <c r="O3621">
        <v>4</v>
      </c>
      <c r="P3621">
        <v>2</v>
      </c>
      <c r="Q3621">
        <v>0.14000000000000001</v>
      </c>
      <c r="R3621">
        <v>2</v>
      </c>
      <c r="S3621">
        <v>1</v>
      </c>
      <c r="T3621">
        <v>4</v>
      </c>
      <c r="U3621">
        <v>12.5</v>
      </c>
      <c r="V3621">
        <v>512.41830065359488</v>
      </c>
      <c r="W3621">
        <v>2</v>
      </c>
    </row>
    <row r="3622" spans="1:23" x14ac:dyDescent="0.2">
      <c r="A3622">
        <v>2021</v>
      </c>
      <c r="B3622" t="s">
        <v>23</v>
      </c>
      <c r="C3622" t="s">
        <v>272</v>
      </c>
      <c r="D3622">
        <v>152</v>
      </c>
      <c r="E3622">
        <v>1</v>
      </c>
      <c r="F3622">
        <v>8</v>
      </c>
      <c r="G3622" t="s">
        <v>177</v>
      </c>
      <c r="H3622">
        <v>12</v>
      </c>
      <c r="I3622">
        <v>60</v>
      </c>
      <c r="J3622">
        <v>62</v>
      </c>
      <c r="K3622">
        <v>2</v>
      </c>
      <c r="L3622">
        <v>176</v>
      </c>
      <c r="M3622">
        <v>61</v>
      </c>
      <c r="N3622">
        <v>1.5</v>
      </c>
      <c r="O3622">
        <v>4</v>
      </c>
      <c r="P3622">
        <v>12</v>
      </c>
      <c r="Q3622">
        <v>1.4</v>
      </c>
      <c r="R3622">
        <v>12</v>
      </c>
      <c r="S3622">
        <v>1</v>
      </c>
      <c r="T3622">
        <v>2.5</v>
      </c>
      <c r="U3622">
        <v>12.5</v>
      </c>
      <c r="V3622">
        <v>5124.1830065359472</v>
      </c>
      <c r="W3622">
        <v>1</v>
      </c>
    </row>
    <row r="3623" spans="1:23" x14ac:dyDescent="0.2">
      <c r="A3623">
        <v>2021</v>
      </c>
      <c r="B3623" t="s">
        <v>23</v>
      </c>
      <c r="C3623" t="s">
        <v>272</v>
      </c>
      <c r="D3623">
        <v>152</v>
      </c>
      <c r="E3623">
        <v>2</v>
      </c>
      <c r="F3623">
        <v>8</v>
      </c>
      <c r="G3623" t="s">
        <v>177</v>
      </c>
      <c r="H3623" s="1">
        <v>10</v>
      </c>
      <c r="I3623" s="1">
        <v>66</v>
      </c>
      <c r="J3623" s="1">
        <v>70</v>
      </c>
      <c r="K3623" s="1">
        <f>J3623-I3623</f>
        <v>4</v>
      </c>
      <c r="L3623" s="1">
        <v>114</v>
      </c>
      <c r="M3623" s="1">
        <v>26</v>
      </c>
      <c r="N3623" s="1">
        <v>3</v>
      </c>
      <c r="O3623" s="1">
        <v>4.5</v>
      </c>
      <c r="P3623" s="1">
        <v>4</v>
      </c>
      <c r="Q3623" s="2">
        <v>0.10199999999999999</v>
      </c>
      <c r="R3623" s="1">
        <v>4</v>
      </c>
      <c r="S3623" s="1">
        <f>R3623/P3623</f>
        <v>1</v>
      </c>
      <c r="T3623" s="1">
        <v>5</v>
      </c>
      <c r="U3623" s="1">
        <v>12.5</v>
      </c>
      <c r="V3623" s="1">
        <v>373.33333333333326</v>
      </c>
      <c r="W3623" s="1">
        <v>6</v>
      </c>
    </row>
    <row r="3624" spans="1:23" x14ac:dyDescent="0.2">
      <c r="A3624">
        <v>2021</v>
      </c>
      <c r="B3624" t="s">
        <v>23</v>
      </c>
      <c r="C3624" t="s">
        <v>272</v>
      </c>
      <c r="D3624">
        <v>153</v>
      </c>
      <c r="E3624">
        <v>1</v>
      </c>
      <c r="F3624">
        <v>11</v>
      </c>
      <c r="G3624" t="s">
        <v>178</v>
      </c>
      <c r="H3624">
        <v>11</v>
      </c>
      <c r="I3624">
        <v>50</v>
      </c>
      <c r="J3624">
        <v>54</v>
      </c>
      <c r="K3624">
        <v>4</v>
      </c>
      <c r="L3624">
        <v>136</v>
      </c>
      <c r="M3624">
        <v>56</v>
      </c>
      <c r="N3624">
        <v>2</v>
      </c>
      <c r="O3624">
        <v>2.5</v>
      </c>
      <c r="P3624">
        <v>7</v>
      </c>
      <c r="Q3624">
        <v>0.1</v>
      </c>
      <c r="R3624">
        <v>4</v>
      </c>
      <c r="S3624">
        <v>0.5714285714285714</v>
      </c>
      <c r="T3624">
        <v>4</v>
      </c>
      <c r="U3624">
        <v>11.2</v>
      </c>
      <c r="V3624">
        <v>371.45098039215696</v>
      </c>
      <c r="W3624">
        <v>2</v>
      </c>
    </row>
    <row r="3625" spans="1:23" x14ac:dyDescent="0.2">
      <c r="A3625">
        <v>2021</v>
      </c>
      <c r="B3625" t="s">
        <v>23</v>
      </c>
      <c r="C3625" t="s">
        <v>272</v>
      </c>
      <c r="D3625">
        <v>153</v>
      </c>
      <c r="E3625">
        <v>2</v>
      </c>
      <c r="F3625">
        <v>5</v>
      </c>
      <c r="G3625" t="s">
        <v>178</v>
      </c>
      <c r="H3625" s="1">
        <v>11</v>
      </c>
      <c r="I3625" s="1">
        <v>61</v>
      </c>
      <c r="J3625" s="1">
        <v>66</v>
      </c>
      <c r="K3625" s="1">
        <f>J3625-I3625</f>
        <v>5</v>
      </c>
      <c r="L3625" s="1">
        <v>117</v>
      </c>
      <c r="M3625" s="1">
        <v>45</v>
      </c>
      <c r="N3625" s="1">
        <v>1.5</v>
      </c>
      <c r="O3625" s="1">
        <v>4</v>
      </c>
      <c r="P3625" s="1">
        <v>5</v>
      </c>
      <c r="Q3625" s="2">
        <v>0.28399999999999997</v>
      </c>
      <c r="R3625" s="1">
        <v>5</v>
      </c>
      <c r="S3625" s="1">
        <f>R3625/P3625</f>
        <v>1</v>
      </c>
      <c r="T3625" s="1">
        <v>4</v>
      </c>
      <c r="U3625" s="1">
        <v>12.5</v>
      </c>
      <c r="V3625" s="1">
        <v>1039.4771241830067</v>
      </c>
      <c r="W3625" s="1">
        <v>4</v>
      </c>
    </row>
    <row r="3626" spans="1:23" x14ac:dyDescent="0.2">
      <c r="A3626">
        <v>2021</v>
      </c>
      <c r="B3626" t="s">
        <v>23</v>
      </c>
      <c r="C3626" t="s">
        <v>272</v>
      </c>
      <c r="D3626">
        <v>154</v>
      </c>
      <c r="E3626">
        <v>1</v>
      </c>
      <c r="F3626">
        <v>2</v>
      </c>
      <c r="G3626" t="s">
        <v>179</v>
      </c>
      <c r="H3626" s="1">
        <v>5</v>
      </c>
      <c r="I3626" s="1">
        <v>65</v>
      </c>
      <c r="J3626" s="1">
        <v>68</v>
      </c>
      <c r="K3626" s="1">
        <f>J3626-I3626</f>
        <v>3</v>
      </c>
      <c r="L3626" s="1">
        <v>100</v>
      </c>
      <c r="M3626" s="1">
        <v>44</v>
      </c>
      <c r="N3626" s="1">
        <v>1.5</v>
      </c>
      <c r="O3626" s="1">
        <v>4</v>
      </c>
      <c r="P3626" s="1">
        <v>3</v>
      </c>
      <c r="Q3626" s="2">
        <v>0.13500000000000001</v>
      </c>
      <c r="R3626" s="1">
        <v>3</v>
      </c>
      <c r="S3626" s="1">
        <f>R3626/P3626</f>
        <v>1</v>
      </c>
      <c r="T3626" s="1">
        <v>5</v>
      </c>
      <c r="U3626" s="1">
        <v>12.5</v>
      </c>
      <c r="V3626" s="1">
        <v>494.11764705882354</v>
      </c>
      <c r="W3626" s="1">
        <v>4</v>
      </c>
    </row>
    <row r="3627" spans="1:23" x14ac:dyDescent="0.2">
      <c r="A3627">
        <v>2021</v>
      </c>
      <c r="B3627" t="s">
        <v>23</v>
      </c>
      <c r="C3627" t="s">
        <v>272</v>
      </c>
      <c r="D3627">
        <v>154</v>
      </c>
      <c r="E3627">
        <v>2</v>
      </c>
      <c r="F3627">
        <v>11</v>
      </c>
      <c r="G3627" t="s">
        <v>179</v>
      </c>
      <c r="H3627">
        <v>9</v>
      </c>
      <c r="I3627">
        <v>57</v>
      </c>
      <c r="J3627">
        <v>60</v>
      </c>
      <c r="K3627">
        <v>3</v>
      </c>
      <c r="L3627">
        <v>105</v>
      </c>
      <c r="M3627">
        <v>56</v>
      </c>
      <c r="N3627">
        <v>1.5</v>
      </c>
      <c r="O3627">
        <v>2</v>
      </c>
      <c r="P3627">
        <v>9</v>
      </c>
      <c r="Q3627">
        <v>0.3</v>
      </c>
      <c r="R3627">
        <v>9</v>
      </c>
      <c r="S3627">
        <v>1</v>
      </c>
      <c r="T3627">
        <v>2.5</v>
      </c>
      <c r="U3627">
        <v>12.5</v>
      </c>
      <c r="V3627">
        <v>1098.0392156862745</v>
      </c>
      <c r="W3627">
        <v>1</v>
      </c>
    </row>
    <row r="3628" spans="1:23" x14ac:dyDescent="0.2">
      <c r="A3628">
        <v>2021</v>
      </c>
      <c r="B3628" t="s">
        <v>23</v>
      </c>
      <c r="C3628" t="s">
        <v>272</v>
      </c>
      <c r="D3628">
        <v>155</v>
      </c>
      <c r="E3628">
        <v>1</v>
      </c>
      <c r="F3628">
        <v>2</v>
      </c>
      <c r="G3628" t="s">
        <v>180</v>
      </c>
      <c r="H3628" s="1">
        <v>9</v>
      </c>
      <c r="I3628" s="1">
        <v>67</v>
      </c>
      <c r="J3628" s="1">
        <v>70</v>
      </c>
      <c r="K3628" s="1">
        <f>J3628-I3628</f>
        <v>3</v>
      </c>
      <c r="L3628" s="1">
        <v>144</v>
      </c>
      <c r="M3628" s="1">
        <v>51</v>
      </c>
      <c r="N3628" s="1">
        <v>1.5</v>
      </c>
      <c r="O3628" s="1">
        <v>4</v>
      </c>
      <c r="P3628" s="1">
        <v>4</v>
      </c>
      <c r="Q3628" s="2">
        <v>0.22600000000000001</v>
      </c>
      <c r="R3628" s="1">
        <v>4</v>
      </c>
      <c r="S3628" s="1">
        <f>R3628/P3628</f>
        <v>1</v>
      </c>
      <c r="T3628" s="1">
        <v>3</v>
      </c>
      <c r="U3628" s="1">
        <v>12.5</v>
      </c>
      <c r="V3628" s="1">
        <v>827.18954248366026</v>
      </c>
      <c r="W3628" s="1">
        <v>5</v>
      </c>
    </row>
    <row r="3629" spans="1:23" x14ac:dyDescent="0.2">
      <c r="A3629">
        <v>2021</v>
      </c>
      <c r="B3629" t="s">
        <v>23</v>
      </c>
      <c r="C3629" t="s">
        <v>272</v>
      </c>
      <c r="D3629">
        <v>155</v>
      </c>
      <c r="E3629">
        <v>2</v>
      </c>
      <c r="F3629">
        <v>5</v>
      </c>
      <c r="G3629" t="s">
        <v>180</v>
      </c>
      <c r="H3629" s="1">
        <v>9</v>
      </c>
      <c r="I3629" s="1">
        <v>66</v>
      </c>
      <c r="J3629" s="1">
        <v>71</v>
      </c>
      <c r="K3629" s="1">
        <f>J3629-I3629</f>
        <v>5</v>
      </c>
      <c r="L3629" s="1">
        <v>171</v>
      </c>
      <c r="M3629" s="1">
        <v>85</v>
      </c>
      <c r="N3629" s="1">
        <v>3</v>
      </c>
      <c r="O3629" s="1">
        <v>3</v>
      </c>
      <c r="P3629" s="1">
        <v>9</v>
      </c>
      <c r="Q3629" s="2">
        <v>0.24059999999999998</v>
      </c>
      <c r="R3629" s="1">
        <v>7</v>
      </c>
      <c r="S3629" s="1">
        <f>R3629/P3629</f>
        <v>0.77777777777777779</v>
      </c>
      <c r="T3629" s="1">
        <v>5</v>
      </c>
      <c r="U3629" s="1">
        <v>12.5</v>
      </c>
      <c r="V3629" s="1">
        <v>880.62745098039215</v>
      </c>
      <c r="W3629" s="1">
        <v>4</v>
      </c>
    </row>
    <row r="3630" spans="1:23" x14ac:dyDescent="0.2">
      <c r="A3630">
        <v>2021</v>
      </c>
      <c r="B3630" t="s">
        <v>23</v>
      </c>
      <c r="C3630" t="s">
        <v>272</v>
      </c>
      <c r="D3630">
        <v>156</v>
      </c>
      <c r="E3630">
        <v>1</v>
      </c>
      <c r="F3630">
        <v>8</v>
      </c>
      <c r="G3630" t="s">
        <v>181</v>
      </c>
      <c r="H3630">
        <v>15</v>
      </c>
      <c r="I3630">
        <v>53</v>
      </c>
      <c r="J3630">
        <v>56</v>
      </c>
      <c r="K3630">
        <v>3</v>
      </c>
      <c r="L3630">
        <v>168</v>
      </c>
      <c r="M3630">
        <v>93</v>
      </c>
      <c r="N3630">
        <v>1</v>
      </c>
      <c r="O3630">
        <v>2</v>
      </c>
      <c r="P3630">
        <v>15</v>
      </c>
      <c r="Q3630">
        <v>0.5</v>
      </c>
      <c r="R3630">
        <v>11</v>
      </c>
      <c r="S3630">
        <v>0.73333333333333328</v>
      </c>
      <c r="T3630">
        <v>4</v>
      </c>
      <c r="U3630">
        <v>9.5</v>
      </c>
      <c r="V3630">
        <v>1892.81045751634</v>
      </c>
      <c r="W3630">
        <v>1</v>
      </c>
    </row>
    <row r="3631" spans="1:23" x14ac:dyDescent="0.2">
      <c r="A3631">
        <v>2021</v>
      </c>
      <c r="B3631" t="s">
        <v>23</v>
      </c>
      <c r="C3631" t="s">
        <v>272</v>
      </c>
      <c r="D3631">
        <v>156</v>
      </c>
      <c r="E3631">
        <v>2</v>
      </c>
      <c r="F3631">
        <v>3</v>
      </c>
      <c r="G3631" t="s">
        <v>181</v>
      </c>
      <c r="H3631" s="1">
        <v>10</v>
      </c>
      <c r="I3631" s="1">
        <v>64</v>
      </c>
      <c r="J3631" s="1">
        <v>69</v>
      </c>
      <c r="K3631" s="1">
        <f>J3631-I3631</f>
        <v>5</v>
      </c>
      <c r="L3631" s="1">
        <v>150</v>
      </c>
      <c r="M3631" s="1">
        <v>72</v>
      </c>
      <c r="N3631" s="1">
        <v>2</v>
      </c>
      <c r="O3631" s="1">
        <v>3.5</v>
      </c>
      <c r="P3631" s="1">
        <v>10</v>
      </c>
      <c r="Q3631" s="2">
        <v>0.44</v>
      </c>
      <c r="R3631" s="1">
        <v>8</v>
      </c>
      <c r="S3631" s="1">
        <f>R3631/P3631</f>
        <v>0.8</v>
      </c>
      <c r="T3631" s="1">
        <v>5</v>
      </c>
      <c r="U3631" s="1">
        <v>6.9</v>
      </c>
      <c r="V3631" s="1">
        <v>1713.526797385621</v>
      </c>
      <c r="W3631" s="1">
        <v>4</v>
      </c>
    </row>
    <row r="3632" spans="1:23" x14ac:dyDescent="0.2">
      <c r="A3632">
        <v>2021</v>
      </c>
      <c r="B3632" t="s">
        <v>23</v>
      </c>
      <c r="C3632" t="s">
        <v>272</v>
      </c>
      <c r="D3632">
        <v>157</v>
      </c>
      <c r="E3632">
        <v>1</v>
      </c>
      <c r="F3632">
        <v>9</v>
      </c>
      <c r="G3632" t="s">
        <v>182</v>
      </c>
      <c r="H3632">
        <v>14</v>
      </c>
      <c r="I3632">
        <v>51</v>
      </c>
      <c r="J3632">
        <v>55</v>
      </c>
      <c r="K3632">
        <v>4</v>
      </c>
      <c r="L3632">
        <v>165</v>
      </c>
      <c r="M3632">
        <v>93</v>
      </c>
      <c r="N3632">
        <v>2</v>
      </c>
      <c r="O3632">
        <v>2.5</v>
      </c>
      <c r="P3632">
        <v>11</v>
      </c>
      <c r="Q3632">
        <v>1</v>
      </c>
      <c r="R3632">
        <v>11</v>
      </c>
      <c r="S3632">
        <v>1</v>
      </c>
      <c r="T3632">
        <v>3</v>
      </c>
      <c r="U3632">
        <v>9.6</v>
      </c>
      <c r="V3632">
        <v>3781.4379084967318</v>
      </c>
      <c r="W3632">
        <v>1</v>
      </c>
    </row>
    <row r="3633" spans="1:23" x14ac:dyDescent="0.2">
      <c r="A3633">
        <v>2021</v>
      </c>
      <c r="B3633" t="s">
        <v>23</v>
      </c>
      <c r="C3633" t="s">
        <v>272</v>
      </c>
      <c r="D3633">
        <v>157</v>
      </c>
      <c r="E3633">
        <v>2</v>
      </c>
      <c r="F3633">
        <v>13</v>
      </c>
      <c r="G3633" t="s">
        <v>182</v>
      </c>
      <c r="H3633">
        <v>13</v>
      </c>
      <c r="I3633">
        <v>51</v>
      </c>
      <c r="J3633">
        <v>52</v>
      </c>
      <c r="K3633">
        <v>1</v>
      </c>
      <c r="L3633">
        <v>143</v>
      </c>
      <c r="M3633">
        <v>88</v>
      </c>
      <c r="N3633">
        <v>1</v>
      </c>
      <c r="O3633">
        <v>2</v>
      </c>
      <c r="P3633">
        <v>8</v>
      </c>
      <c r="Q3633">
        <v>1.2</v>
      </c>
      <c r="R3633">
        <v>7</v>
      </c>
      <c r="S3633">
        <v>0.875</v>
      </c>
      <c r="T3633">
        <v>2</v>
      </c>
      <c r="U3633">
        <v>10.199999999999999</v>
      </c>
      <c r="V3633">
        <v>4507.6078431372553</v>
      </c>
      <c r="W3633">
        <v>2</v>
      </c>
    </row>
    <row r="3634" spans="1:23" x14ac:dyDescent="0.2">
      <c r="A3634">
        <v>2021</v>
      </c>
      <c r="B3634" t="s">
        <v>23</v>
      </c>
      <c r="C3634" t="s">
        <v>272</v>
      </c>
      <c r="D3634">
        <v>158</v>
      </c>
      <c r="E3634">
        <v>1</v>
      </c>
      <c r="F3634">
        <v>5</v>
      </c>
      <c r="G3634" t="s">
        <v>183</v>
      </c>
      <c r="H3634" s="3">
        <v>15</v>
      </c>
      <c r="I3634" s="3">
        <v>63</v>
      </c>
      <c r="J3634" s="3">
        <v>65</v>
      </c>
      <c r="K3634" s="3">
        <f>J3634-I3634</f>
        <v>2</v>
      </c>
      <c r="L3634" s="3">
        <v>173</v>
      </c>
      <c r="M3634" s="3">
        <v>66</v>
      </c>
      <c r="N3634" s="3">
        <v>2</v>
      </c>
      <c r="O3634" s="3">
        <v>3.5</v>
      </c>
      <c r="P3634" s="3">
        <f>H3634</f>
        <v>15</v>
      </c>
      <c r="Q3634" s="4">
        <v>0.13950000000000001</v>
      </c>
      <c r="R3634" s="3">
        <v>13</v>
      </c>
      <c r="S3634" s="3">
        <f>R3634/P3634</f>
        <v>0.8666666666666667</v>
      </c>
      <c r="T3634" s="3">
        <v>5</v>
      </c>
      <c r="U3634" s="3">
        <v>12.5</v>
      </c>
      <c r="V3634" s="3">
        <v>510.58823529411762</v>
      </c>
      <c r="W3634" s="3">
        <v>6</v>
      </c>
    </row>
    <row r="3635" spans="1:23" x14ac:dyDescent="0.2">
      <c r="A3635">
        <v>2021</v>
      </c>
      <c r="B3635" t="s">
        <v>23</v>
      </c>
      <c r="C3635" t="s">
        <v>272</v>
      </c>
      <c r="D3635">
        <v>158</v>
      </c>
      <c r="E3635">
        <v>2</v>
      </c>
      <c r="F3635">
        <v>5</v>
      </c>
      <c r="G3635" t="s">
        <v>183</v>
      </c>
      <c r="H3635">
        <v>6</v>
      </c>
      <c r="I3635">
        <v>57</v>
      </c>
      <c r="J3635">
        <v>58</v>
      </c>
      <c r="K3635">
        <v>1</v>
      </c>
      <c r="L3635">
        <v>138</v>
      </c>
      <c r="M3635">
        <v>31</v>
      </c>
      <c r="N3635">
        <v>3</v>
      </c>
      <c r="O3635">
        <v>4</v>
      </c>
      <c r="P3635">
        <v>5</v>
      </c>
      <c r="Q3635">
        <v>0.36299999999999999</v>
      </c>
      <c r="R3635">
        <v>3</v>
      </c>
      <c r="S3635">
        <v>0.6</v>
      </c>
      <c r="T3635">
        <v>3</v>
      </c>
      <c r="U3635">
        <v>12.5</v>
      </c>
      <c r="V3635">
        <v>1328.6274509803923</v>
      </c>
      <c r="W3635">
        <v>1</v>
      </c>
    </row>
    <row r="3636" spans="1:23" x14ac:dyDescent="0.2">
      <c r="A3636">
        <v>2021</v>
      </c>
      <c r="B3636" t="s">
        <v>23</v>
      </c>
      <c r="C3636" t="s">
        <v>272</v>
      </c>
      <c r="D3636">
        <v>159</v>
      </c>
      <c r="E3636">
        <v>1</v>
      </c>
      <c r="F3636">
        <v>9</v>
      </c>
      <c r="G3636" t="s">
        <v>184</v>
      </c>
      <c r="H3636" s="3">
        <v>2</v>
      </c>
      <c r="I3636" s="3">
        <v>62</v>
      </c>
      <c r="J3636" s="3">
        <v>64</v>
      </c>
      <c r="K3636" s="3">
        <f>J3636-I3636</f>
        <v>2</v>
      </c>
      <c r="L3636" s="3">
        <v>53</v>
      </c>
      <c r="M3636" s="3">
        <v>30</v>
      </c>
      <c r="N3636" s="3">
        <v>4</v>
      </c>
      <c r="O3636" s="3">
        <v>5</v>
      </c>
      <c r="P3636" s="3">
        <v>1</v>
      </c>
      <c r="Q3636" s="4">
        <v>0.02</v>
      </c>
      <c r="R3636" s="3">
        <v>1</v>
      </c>
      <c r="S3636" s="3">
        <f>R3636/P3636</f>
        <v>1</v>
      </c>
      <c r="T3636" s="3">
        <v>5</v>
      </c>
      <c r="U3636" s="3">
        <v>12.5</v>
      </c>
      <c r="V3636" s="3">
        <v>73.202614379084977</v>
      </c>
      <c r="W3636" s="3">
        <v>8</v>
      </c>
    </row>
    <row r="3637" spans="1:23" x14ac:dyDescent="0.2">
      <c r="A3637">
        <v>2021</v>
      </c>
      <c r="B3637" t="s">
        <v>23</v>
      </c>
      <c r="C3637" t="s">
        <v>272</v>
      </c>
      <c r="D3637">
        <v>159</v>
      </c>
      <c r="E3637">
        <v>2</v>
      </c>
      <c r="F3637">
        <v>12</v>
      </c>
      <c r="G3637" t="s">
        <v>184</v>
      </c>
      <c r="H3637" s="1">
        <v>14</v>
      </c>
      <c r="I3637" s="1">
        <v>65</v>
      </c>
      <c r="J3637" s="1">
        <v>69</v>
      </c>
      <c r="K3637" s="1">
        <f>J3637-I3637</f>
        <v>4</v>
      </c>
      <c r="L3637" s="1">
        <v>161</v>
      </c>
      <c r="M3637" s="1">
        <v>77</v>
      </c>
      <c r="N3637" s="1">
        <v>2</v>
      </c>
      <c r="O3637" s="1">
        <v>3.5</v>
      </c>
      <c r="P3637" s="1">
        <v>12</v>
      </c>
      <c r="Q3637" s="2">
        <v>0.42749999999999999</v>
      </c>
      <c r="R3637" s="1">
        <v>8</v>
      </c>
      <c r="S3637" s="1">
        <f>R3637/P3637</f>
        <v>0.66666666666666663</v>
      </c>
      <c r="T3637" s="1">
        <v>5</v>
      </c>
      <c r="U3637" s="1">
        <v>12.5</v>
      </c>
      <c r="V3637" s="1">
        <v>1564.7058823529412</v>
      </c>
      <c r="W3637" s="1">
        <v>4</v>
      </c>
    </row>
    <row r="3638" spans="1:23" x14ac:dyDescent="0.2">
      <c r="A3638">
        <v>2021</v>
      </c>
      <c r="B3638" t="s">
        <v>23</v>
      </c>
      <c r="C3638" t="s">
        <v>272</v>
      </c>
      <c r="D3638">
        <v>160</v>
      </c>
      <c r="E3638">
        <v>1</v>
      </c>
      <c r="F3638">
        <v>15</v>
      </c>
      <c r="G3638" t="s">
        <v>185</v>
      </c>
      <c r="H3638" s="1">
        <v>6</v>
      </c>
      <c r="I3638" s="1">
        <v>67</v>
      </c>
      <c r="J3638" s="1">
        <v>72</v>
      </c>
      <c r="K3638" s="1">
        <f>J3638-I3638</f>
        <v>5</v>
      </c>
      <c r="L3638" s="1">
        <v>112</v>
      </c>
      <c r="M3638" s="1">
        <v>46</v>
      </c>
      <c r="N3638" s="1">
        <v>2</v>
      </c>
      <c r="O3638" s="1">
        <v>4.5</v>
      </c>
      <c r="P3638" s="1">
        <v>5</v>
      </c>
      <c r="Q3638" s="2">
        <v>0.26200000000000001</v>
      </c>
      <c r="R3638" s="1">
        <v>4</v>
      </c>
      <c r="S3638" s="1">
        <f>R3638/P3638</f>
        <v>0.8</v>
      </c>
      <c r="T3638" s="1">
        <v>4</v>
      </c>
      <c r="U3638" s="1">
        <v>12.5</v>
      </c>
      <c r="V3638" s="1">
        <v>958.95424836601296</v>
      </c>
      <c r="W3638" s="1">
        <v>4</v>
      </c>
    </row>
    <row r="3639" spans="1:23" x14ac:dyDescent="0.2">
      <c r="A3639">
        <v>2021</v>
      </c>
      <c r="B3639" t="s">
        <v>23</v>
      </c>
      <c r="C3639" t="s">
        <v>272</v>
      </c>
      <c r="D3639">
        <v>160</v>
      </c>
      <c r="E3639">
        <v>2</v>
      </c>
      <c r="F3639">
        <v>4</v>
      </c>
      <c r="G3639" t="s">
        <v>185</v>
      </c>
      <c r="H3639" s="1">
        <v>13</v>
      </c>
      <c r="I3639" s="1">
        <v>66</v>
      </c>
      <c r="J3639" s="1">
        <v>71</v>
      </c>
      <c r="K3639" s="1">
        <f>J3639-I3639</f>
        <v>5</v>
      </c>
      <c r="L3639" s="1">
        <v>151</v>
      </c>
      <c r="M3639" s="1">
        <v>77</v>
      </c>
      <c r="N3639" s="1">
        <v>2</v>
      </c>
      <c r="O3639" s="1">
        <v>3</v>
      </c>
      <c r="P3639" s="1">
        <v>12</v>
      </c>
      <c r="Q3639" s="2">
        <v>0.49</v>
      </c>
      <c r="R3639" s="1">
        <v>12</v>
      </c>
      <c r="S3639" s="1">
        <f>R3639/P3639</f>
        <v>1</v>
      </c>
      <c r="T3639" s="1">
        <v>5</v>
      </c>
      <c r="U3639" s="1">
        <v>9.8000000000000007</v>
      </c>
      <c r="V3639" s="1">
        <v>1848.80522875817</v>
      </c>
      <c r="W3639" s="1">
        <v>5</v>
      </c>
    </row>
    <row r="3640" spans="1:23" x14ac:dyDescent="0.2">
      <c r="A3640">
        <v>2021</v>
      </c>
      <c r="B3640" t="s">
        <v>23</v>
      </c>
      <c r="C3640" t="s">
        <v>272</v>
      </c>
      <c r="D3640">
        <v>161</v>
      </c>
      <c r="E3640">
        <v>1</v>
      </c>
      <c r="F3640">
        <v>3</v>
      </c>
      <c r="G3640" t="s">
        <v>186</v>
      </c>
      <c r="H3640">
        <v>10</v>
      </c>
      <c r="I3640">
        <v>58</v>
      </c>
      <c r="J3640">
        <v>60</v>
      </c>
      <c r="K3640">
        <v>2</v>
      </c>
      <c r="L3640">
        <v>142</v>
      </c>
      <c r="M3640">
        <v>86</v>
      </c>
      <c r="N3640">
        <v>2</v>
      </c>
      <c r="O3640">
        <v>1.5</v>
      </c>
      <c r="P3640">
        <v>9</v>
      </c>
      <c r="Q3640">
        <v>0.6</v>
      </c>
      <c r="R3640">
        <v>7</v>
      </c>
      <c r="S3640">
        <v>0.77777777777777779</v>
      </c>
      <c r="T3640">
        <v>2</v>
      </c>
      <c r="U3640">
        <v>12</v>
      </c>
      <c r="V3640">
        <v>2208.627450980392</v>
      </c>
      <c r="W3640">
        <v>1</v>
      </c>
    </row>
    <row r="3641" spans="1:23" x14ac:dyDescent="0.2">
      <c r="A3641">
        <v>2021</v>
      </c>
      <c r="B3641" t="s">
        <v>23</v>
      </c>
      <c r="C3641" t="s">
        <v>272</v>
      </c>
      <c r="D3641">
        <v>161</v>
      </c>
      <c r="E3641">
        <v>2</v>
      </c>
      <c r="F3641">
        <v>13</v>
      </c>
      <c r="G3641" t="s">
        <v>186</v>
      </c>
      <c r="H3641" s="1">
        <v>2</v>
      </c>
      <c r="I3641" s="1">
        <v>62</v>
      </c>
      <c r="J3641" s="1">
        <v>65</v>
      </c>
      <c r="K3641" s="1">
        <f>J3641-I3641</f>
        <v>3</v>
      </c>
      <c r="L3641" s="1">
        <v>131</v>
      </c>
      <c r="M3641" s="1">
        <v>37</v>
      </c>
      <c r="N3641" s="1">
        <v>2</v>
      </c>
      <c r="O3641" s="1">
        <v>3.5</v>
      </c>
      <c r="P3641" s="1">
        <v>2</v>
      </c>
      <c r="Q3641" s="2">
        <v>0.19700000000000001</v>
      </c>
      <c r="R3641" s="1">
        <v>2</v>
      </c>
      <c r="S3641" s="1">
        <f>R3641/P3641</f>
        <v>1</v>
      </c>
      <c r="T3641" s="1">
        <v>3</v>
      </c>
      <c r="U3641" s="1">
        <v>12.5</v>
      </c>
      <c r="V3641" s="1">
        <v>721.04575163398692</v>
      </c>
      <c r="W3641" s="1">
        <v>4</v>
      </c>
    </row>
    <row r="3642" spans="1:23" x14ac:dyDescent="0.2">
      <c r="A3642">
        <v>2021</v>
      </c>
      <c r="B3642" t="s">
        <v>23</v>
      </c>
      <c r="C3642" t="s">
        <v>272</v>
      </c>
      <c r="D3642">
        <v>162</v>
      </c>
      <c r="E3642">
        <v>1</v>
      </c>
      <c r="F3642">
        <v>10</v>
      </c>
      <c r="G3642" t="s">
        <v>187</v>
      </c>
      <c r="H3642" s="1">
        <v>2</v>
      </c>
      <c r="I3642" s="1">
        <v>62</v>
      </c>
      <c r="J3642" s="1">
        <v>67</v>
      </c>
      <c r="K3642" s="1">
        <f>J3642-I3642</f>
        <v>5</v>
      </c>
      <c r="L3642" s="1">
        <v>146</v>
      </c>
      <c r="M3642" s="1">
        <v>95</v>
      </c>
      <c r="N3642" s="1">
        <v>2</v>
      </c>
      <c r="O3642" s="1">
        <v>2.5</v>
      </c>
      <c r="P3642" s="1">
        <f>H3642</f>
        <v>2</v>
      </c>
      <c r="Q3642" s="2">
        <v>5.7750000000000003E-2</v>
      </c>
      <c r="R3642" s="1">
        <v>2</v>
      </c>
      <c r="S3642" s="1">
        <f>R3642/P3642</f>
        <v>1</v>
      </c>
      <c r="T3642" s="1">
        <v>5</v>
      </c>
      <c r="U3642" s="1">
        <v>12.5</v>
      </c>
      <c r="V3642" s="1">
        <v>211.37254901960787</v>
      </c>
      <c r="W3642" s="1">
        <v>4</v>
      </c>
    </row>
    <row r="3643" spans="1:23" x14ac:dyDescent="0.2">
      <c r="A3643">
        <v>2021</v>
      </c>
      <c r="B3643" t="s">
        <v>23</v>
      </c>
      <c r="C3643" t="s">
        <v>272</v>
      </c>
      <c r="D3643">
        <v>162</v>
      </c>
      <c r="E3643">
        <v>2</v>
      </c>
      <c r="F3643">
        <v>2</v>
      </c>
      <c r="G3643" t="s">
        <v>187</v>
      </c>
      <c r="H3643">
        <v>13</v>
      </c>
      <c r="I3643">
        <v>56</v>
      </c>
      <c r="J3643">
        <v>60</v>
      </c>
      <c r="K3643">
        <v>4</v>
      </c>
      <c r="L3643">
        <v>66</v>
      </c>
      <c r="M3643">
        <v>24</v>
      </c>
      <c r="N3643">
        <v>2</v>
      </c>
      <c r="O3643">
        <v>3</v>
      </c>
      <c r="P3643">
        <v>13</v>
      </c>
      <c r="Q3643">
        <v>1.8</v>
      </c>
      <c r="R3643">
        <v>15</v>
      </c>
      <c r="S3643">
        <v>1.1538461538461537</v>
      </c>
      <c r="T3643">
        <v>2</v>
      </c>
      <c r="U3643">
        <v>12.5</v>
      </c>
      <c r="V3643">
        <v>6588.2352941176468</v>
      </c>
      <c r="W3643">
        <v>1</v>
      </c>
    </row>
    <row r="3644" spans="1:23" x14ac:dyDescent="0.2">
      <c r="A3644">
        <v>2021</v>
      </c>
      <c r="B3644" t="s">
        <v>23</v>
      </c>
      <c r="C3644" t="s">
        <v>272</v>
      </c>
      <c r="D3644">
        <v>163</v>
      </c>
      <c r="E3644">
        <v>1</v>
      </c>
      <c r="F3644">
        <v>15</v>
      </c>
      <c r="G3644" t="s">
        <v>188</v>
      </c>
      <c r="H3644" s="1">
        <v>10</v>
      </c>
      <c r="I3644" s="1">
        <v>66</v>
      </c>
      <c r="J3644" s="1">
        <v>71</v>
      </c>
      <c r="K3644" s="1">
        <f>J3644-I3644</f>
        <v>5</v>
      </c>
      <c r="L3644" s="1">
        <v>108</v>
      </c>
      <c r="M3644" s="1">
        <v>41</v>
      </c>
      <c r="N3644" s="1">
        <v>2</v>
      </c>
      <c r="O3644" s="1">
        <v>4</v>
      </c>
      <c r="P3644" s="1">
        <v>8</v>
      </c>
      <c r="Q3644" s="2">
        <v>0.46400000000000002</v>
      </c>
      <c r="R3644" s="1">
        <v>8</v>
      </c>
      <c r="S3644" s="1">
        <f>R3644/P3644</f>
        <v>1</v>
      </c>
      <c r="T3644" s="1">
        <v>3.5</v>
      </c>
      <c r="U3644" s="1">
        <v>12.5</v>
      </c>
      <c r="V3644" s="1">
        <v>1698.3006535947711</v>
      </c>
      <c r="W3644" s="1">
        <v>3</v>
      </c>
    </row>
    <row r="3645" spans="1:23" x14ac:dyDescent="0.2">
      <c r="A3645">
        <v>2021</v>
      </c>
      <c r="B3645" t="s">
        <v>23</v>
      </c>
      <c r="C3645" t="s">
        <v>272</v>
      </c>
      <c r="D3645">
        <v>163</v>
      </c>
      <c r="E3645">
        <v>2</v>
      </c>
      <c r="F3645">
        <v>8</v>
      </c>
      <c r="G3645" t="s">
        <v>188</v>
      </c>
      <c r="H3645">
        <v>16</v>
      </c>
      <c r="I3645">
        <v>58</v>
      </c>
      <c r="J3645">
        <v>62</v>
      </c>
      <c r="K3645">
        <v>4</v>
      </c>
      <c r="L3645">
        <v>117</v>
      </c>
      <c r="M3645">
        <v>31</v>
      </c>
      <c r="N3645">
        <v>2</v>
      </c>
      <c r="O3645">
        <v>2</v>
      </c>
      <c r="P3645">
        <v>4</v>
      </c>
      <c r="Q3645">
        <v>0.3</v>
      </c>
      <c r="R3645">
        <v>4</v>
      </c>
      <c r="S3645">
        <v>1</v>
      </c>
      <c r="T3645">
        <v>4</v>
      </c>
      <c r="U3645">
        <v>12.6</v>
      </c>
      <c r="V3645">
        <v>1096.7843137254904</v>
      </c>
      <c r="W3645">
        <v>2</v>
      </c>
    </row>
    <row r="3646" spans="1:23" x14ac:dyDescent="0.2">
      <c r="A3646">
        <v>2021</v>
      </c>
      <c r="B3646" t="s">
        <v>23</v>
      </c>
      <c r="C3646" t="s">
        <v>272</v>
      </c>
      <c r="D3646">
        <v>164</v>
      </c>
      <c r="E3646">
        <v>1</v>
      </c>
      <c r="F3646">
        <v>10</v>
      </c>
      <c r="G3646" t="s">
        <v>189</v>
      </c>
      <c r="H3646" s="1">
        <v>6</v>
      </c>
      <c r="I3646" s="1">
        <v>61</v>
      </c>
      <c r="J3646" s="1">
        <v>66</v>
      </c>
      <c r="K3646" s="1">
        <f>J3646-I3646</f>
        <v>5</v>
      </c>
      <c r="L3646" s="1">
        <v>153</v>
      </c>
      <c r="M3646" s="1">
        <v>90</v>
      </c>
      <c r="N3646" s="1">
        <v>2</v>
      </c>
      <c r="O3646" s="1">
        <v>2</v>
      </c>
      <c r="P3646" s="1">
        <v>5</v>
      </c>
      <c r="Q3646" s="2">
        <v>0.92400000000000004</v>
      </c>
      <c r="R3646" s="1">
        <v>5</v>
      </c>
      <c r="S3646" s="1">
        <f>R3646/P3646</f>
        <v>1</v>
      </c>
      <c r="T3646" s="1">
        <v>2</v>
      </c>
      <c r="U3646" s="1">
        <v>10.5</v>
      </c>
      <c r="V3646" s="1">
        <v>3459.2627450980399</v>
      </c>
      <c r="W3646" s="1">
        <v>3</v>
      </c>
    </row>
    <row r="3647" spans="1:23" x14ac:dyDescent="0.2">
      <c r="A3647">
        <v>2021</v>
      </c>
      <c r="B3647" t="s">
        <v>23</v>
      </c>
      <c r="C3647" t="s">
        <v>272</v>
      </c>
      <c r="D3647">
        <v>164</v>
      </c>
      <c r="E3647">
        <v>2</v>
      </c>
      <c r="F3647">
        <v>14</v>
      </c>
      <c r="G3647" t="s">
        <v>189</v>
      </c>
      <c r="H3647" s="1">
        <v>14</v>
      </c>
      <c r="I3647" s="1">
        <v>56</v>
      </c>
      <c r="J3647" s="1">
        <v>59</v>
      </c>
      <c r="K3647" s="1">
        <f>J3647-I3647</f>
        <v>3</v>
      </c>
      <c r="L3647" s="1">
        <v>145</v>
      </c>
      <c r="M3647" s="1">
        <v>72</v>
      </c>
      <c r="N3647" s="1">
        <v>2</v>
      </c>
      <c r="O3647" s="1">
        <v>3.5</v>
      </c>
      <c r="P3647" s="1">
        <v>12</v>
      </c>
      <c r="Q3647" s="2">
        <v>0.11580000000000001</v>
      </c>
      <c r="R3647" s="1">
        <v>6</v>
      </c>
      <c r="S3647" s="1">
        <f>R3647/P3647</f>
        <v>0.5</v>
      </c>
      <c r="T3647" s="1">
        <v>5</v>
      </c>
      <c r="U3647" s="1">
        <v>11.2</v>
      </c>
      <c r="V3647" s="1">
        <v>430.1402352941177</v>
      </c>
      <c r="W3647" s="1">
        <v>4</v>
      </c>
    </row>
    <row r="3648" spans="1:23" x14ac:dyDescent="0.2">
      <c r="A3648">
        <v>2021</v>
      </c>
      <c r="B3648" t="s">
        <v>23</v>
      </c>
      <c r="C3648" t="s">
        <v>272</v>
      </c>
      <c r="D3648">
        <v>165</v>
      </c>
      <c r="E3648">
        <v>1</v>
      </c>
      <c r="F3648">
        <v>10</v>
      </c>
      <c r="G3648" t="s">
        <v>190</v>
      </c>
      <c r="H3648" s="1">
        <v>1</v>
      </c>
      <c r="I3648" s="1">
        <v>60</v>
      </c>
      <c r="J3648" s="1">
        <v>63</v>
      </c>
      <c r="K3648" s="1">
        <f>J3648-I3648</f>
        <v>3</v>
      </c>
      <c r="L3648" s="1">
        <v>107</v>
      </c>
      <c r="M3648" s="1">
        <v>45</v>
      </c>
      <c r="N3648" s="1">
        <v>1.5</v>
      </c>
      <c r="O3648" s="1">
        <v>4.5</v>
      </c>
      <c r="P3648" s="1">
        <v>1</v>
      </c>
      <c r="Q3648" s="2">
        <v>2.2499999999999999E-2</v>
      </c>
      <c r="R3648" s="1">
        <v>1</v>
      </c>
      <c r="S3648" s="1">
        <f>R3648/P3648</f>
        <v>1</v>
      </c>
      <c r="T3648" s="1">
        <v>4</v>
      </c>
      <c r="U3648" s="1">
        <v>12.5</v>
      </c>
      <c r="V3648" s="1">
        <v>82.35294117647058</v>
      </c>
      <c r="W3648" s="1">
        <v>2</v>
      </c>
    </row>
    <row r="3649" spans="1:23" x14ac:dyDescent="0.2">
      <c r="A3649">
        <v>2021</v>
      </c>
      <c r="B3649" t="s">
        <v>23</v>
      </c>
      <c r="C3649" t="s">
        <v>272</v>
      </c>
      <c r="D3649">
        <v>165</v>
      </c>
      <c r="E3649">
        <v>2</v>
      </c>
      <c r="F3649">
        <v>1</v>
      </c>
      <c r="G3649" t="s">
        <v>190</v>
      </c>
      <c r="H3649" s="1">
        <v>13</v>
      </c>
      <c r="I3649" s="1">
        <v>60</v>
      </c>
      <c r="J3649" s="1">
        <v>64</v>
      </c>
      <c r="K3649" s="1">
        <f>J3649-I3649</f>
        <v>4</v>
      </c>
      <c r="L3649" s="1">
        <v>191</v>
      </c>
      <c r="M3649" s="1">
        <v>95</v>
      </c>
      <c r="N3649" s="1">
        <v>2</v>
      </c>
      <c r="O3649" s="1">
        <v>2.5</v>
      </c>
      <c r="P3649" s="1">
        <f>H3649</f>
        <v>13</v>
      </c>
      <c r="Q3649" s="2">
        <v>8.4750000000000006E-2</v>
      </c>
      <c r="R3649" s="1">
        <v>12</v>
      </c>
      <c r="S3649" s="1">
        <f>R3649/P3649</f>
        <v>0.92307692307692313</v>
      </c>
      <c r="T3649" s="1">
        <v>3</v>
      </c>
      <c r="U3649" s="1">
        <v>12.5</v>
      </c>
      <c r="V3649" s="1">
        <v>310.1960784313726</v>
      </c>
      <c r="W3649" s="1">
        <v>5</v>
      </c>
    </row>
    <row r="3650" spans="1:23" x14ac:dyDescent="0.2">
      <c r="A3650">
        <v>2021</v>
      </c>
      <c r="B3650" t="s">
        <v>23</v>
      </c>
      <c r="C3650" t="s">
        <v>272</v>
      </c>
      <c r="D3650">
        <v>166</v>
      </c>
      <c r="E3650">
        <v>1</v>
      </c>
      <c r="F3650">
        <v>2</v>
      </c>
      <c r="G3650" t="s">
        <v>191</v>
      </c>
      <c r="H3650">
        <v>5</v>
      </c>
      <c r="I3650">
        <v>63</v>
      </c>
      <c r="J3650">
        <v>66</v>
      </c>
      <c r="K3650">
        <v>3</v>
      </c>
      <c r="L3650">
        <v>55</v>
      </c>
      <c r="M3650">
        <v>21</v>
      </c>
      <c r="N3650">
        <v>1.5</v>
      </c>
      <c r="O3650">
        <v>2</v>
      </c>
      <c r="P3650">
        <v>5</v>
      </c>
      <c r="Q3650">
        <v>0.9</v>
      </c>
      <c r="R3650">
        <v>5</v>
      </c>
      <c r="S3650">
        <v>1</v>
      </c>
      <c r="T3650">
        <v>2.5</v>
      </c>
      <c r="U3650">
        <v>12.5</v>
      </c>
      <c r="V3650">
        <v>3294.1176470588234</v>
      </c>
      <c r="W3650">
        <v>1</v>
      </c>
    </row>
    <row r="3651" spans="1:23" x14ac:dyDescent="0.2">
      <c r="A3651">
        <v>2021</v>
      </c>
      <c r="B3651" t="s">
        <v>23</v>
      </c>
      <c r="C3651" t="s">
        <v>272</v>
      </c>
      <c r="D3651">
        <v>166</v>
      </c>
      <c r="E3651">
        <v>2</v>
      </c>
      <c r="F3651">
        <v>1</v>
      </c>
      <c r="G3651" t="s">
        <v>191</v>
      </c>
      <c r="H3651" s="1">
        <v>4</v>
      </c>
      <c r="I3651" s="1">
        <v>56</v>
      </c>
      <c r="J3651" s="1">
        <v>61</v>
      </c>
      <c r="K3651" s="1">
        <f>J3651-I3651</f>
        <v>5</v>
      </c>
      <c r="L3651" s="1">
        <v>74</v>
      </c>
      <c r="M3651" s="1">
        <v>30</v>
      </c>
      <c r="N3651" s="1">
        <v>1.5</v>
      </c>
      <c r="O3651" s="1">
        <v>4</v>
      </c>
      <c r="P3651" s="1">
        <v>4</v>
      </c>
      <c r="Q3651" s="2">
        <v>5.5E-2</v>
      </c>
      <c r="R3651" s="1">
        <v>3</v>
      </c>
      <c r="S3651" s="1">
        <f>R3651/P3651</f>
        <v>0.75</v>
      </c>
      <c r="T3651" s="1">
        <v>5</v>
      </c>
      <c r="U3651" s="1">
        <v>12.5</v>
      </c>
      <c r="V3651" s="1">
        <v>201.30718954248366</v>
      </c>
      <c r="W3651" s="1">
        <v>4</v>
      </c>
    </row>
    <row r="3652" spans="1:23" x14ac:dyDescent="0.2">
      <c r="A3652">
        <v>2021</v>
      </c>
      <c r="B3652" t="s">
        <v>23</v>
      </c>
      <c r="C3652" t="s">
        <v>272</v>
      </c>
      <c r="D3652">
        <v>167</v>
      </c>
      <c r="E3652">
        <v>1</v>
      </c>
      <c r="F3652">
        <v>15</v>
      </c>
      <c r="G3652" t="s">
        <v>192</v>
      </c>
      <c r="H3652" s="1">
        <v>8</v>
      </c>
      <c r="I3652" s="1">
        <v>67</v>
      </c>
      <c r="J3652" s="1">
        <v>72</v>
      </c>
      <c r="K3652" s="1">
        <f>J3652-I3652</f>
        <v>5</v>
      </c>
      <c r="L3652" s="1">
        <v>116</v>
      </c>
      <c r="M3652" s="1">
        <v>41</v>
      </c>
      <c r="N3652" s="1">
        <v>2</v>
      </c>
      <c r="O3652" s="1">
        <v>4.5</v>
      </c>
      <c r="P3652" s="1">
        <v>6</v>
      </c>
      <c r="Q3652" s="2">
        <v>0.13500000000000001</v>
      </c>
      <c r="R3652" s="1">
        <v>5</v>
      </c>
      <c r="S3652" s="1">
        <f>R3652/P3652</f>
        <v>0.83333333333333337</v>
      </c>
      <c r="T3652" s="1">
        <v>3</v>
      </c>
      <c r="U3652" s="1">
        <v>12.5</v>
      </c>
      <c r="V3652" s="1">
        <v>494.11764705882354</v>
      </c>
      <c r="W3652" s="1">
        <v>5</v>
      </c>
    </row>
    <row r="3653" spans="1:23" x14ac:dyDescent="0.2">
      <c r="A3653">
        <v>2021</v>
      </c>
      <c r="B3653" t="s">
        <v>23</v>
      </c>
      <c r="C3653" t="s">
        <v>272</v>
      </c>
      <c r="D3653">
        <v>167</v>
      </c>
      <c r="E3653">
        <v>2</v>
      </c>
      <c r="F3653">
        <v>3</v>
      </c>
      <c r="G3653" t="s">
        <v>192</v>
      </c>
      <c r="H3653">
        <v>13</v>
      </c>
      <c r="I3653">
        <v>59</v>
      </c>
      <c r="J3653">
        <v>62</v>
      </c>
      <c r="K3653">
        <v>3</v>
      </c>
      <c r="L3653">
        <v>140</v>
      </c>
      <c r="M3653">
        <v>51</v>
      </c>
      <c r="N3653">
        <v>1.5</v>
      </c>
      <c r="O3653">
        <v>2</v>
      </c>
      <c r="P3653">
        <v>13</v>
      </c>
      <c r="Q3653">
        <v>0.2</v>
      </c>
      <c r="R3653">
        <v>13</v>
      </c>
      <c r="S3653">
        <v>1</v>
      </c>
      <c r="T3653">
        <v>2.5</v>
      </c>
      <c r="U3653">
        <v>12.5</v>
      </c>
      <c r="V3653">
        <v>732.02614379084969</v>
      </c>
      <c r="W3653">
        <v>1</v>
      </c>
    </row>
    <row r="3654" spans="1:23" x14ac:dyDescent="0.2">
      <c r="A3654">
        <v>2021</v>
      </c>
      <c r="B3654" t="s">
        <v>23</v>
      </c>
      <c r="C3654" t="s">
        <v>272</v>
      </c>
      <c r="D3654">
        <v>168</v>
      </c>
      <c r="E3654">
        <v>1</v>
      </c>
      <c r="F3654">
        <v>3</v>
      </c>
      <c r="G3654" t="s">
        <v>193</v>
      </c>
      <c r="H3654" s="1">
        <v>10</v>
      </c>
      <c r="I3654" s="1">
        <v>65</v>
      </c>
      <c r="J3654" s="1">
        <v>69</v>
      </c>
      <c r="K3654" s="1">
        <f>J3654-I3654</f>
        <v>4</v>
      </c>
      <c r="L3654" s="1">
        <v>118</v>
      </c>
      <c r="M3654" s="1">
        <v>41</v>
      </c>
      <c r="N3654" s="1">
        <v>2</v>
      </c>
      <c r="O3654" s="1">
        <v>3.5</v>
      </c>
      <c r="P3654" s="1">
        <v>8</v>
      </c>
      <c r="Q3654" s="2">
        <v>0.32800000000000001</v>
      </c>
      <c r="R3654" s="1">
        <v>7</v>
      </c>
      <c r="S3654" s="1">
        <f>R3654/P3654</f>
        <v>0.875</v>
      </c>
      <c r="T3654" s="1">
        <v>2.5</v>
      </c>
      <c r="U3654" s="1">
        <v>12.5</v>
      </c>
      <c r="V3654" s="1">
        <v>1200.5228758169933</v>
      </c>
      <c r="W3654" s="1">
        <v>6</v>
      </c>
    </row>
    <row r="3655" spans="1:23" x14ac:dyDescent="0.2">
      <c r="A3655">
        <v>2021</v>
      </c>
      <c r="B3655" t="s">
        <v>23</v>
      </c>
      <c r="C3655" t="s">
        <v>272</v>
      </c>
      <c r="D3655">
        <v>168</v>
      </c>
      <c r="E3655">
        <v>2</v>
      </c>
      <c r="F3655">
        <v>13</v>
      </c>
      <c r="G3655" t="s">
        <v>193</v>
      </c>
      <c r="H3655" s="1">
        <v>7</v>
      </c>
      <c r="I3655" s="1">
        <v>62</v>
      </c>
      <c r="J3655" s="1">
        <v>67</v>
      </c>
      <c r="K3655" s="1">
        <f>J3655-I3655</f>
        <v>5</v>
      </c>
      <c r="L3655" s="1">
        <v>106</v>
      </c>
      <c r="M3655" s="1">
        <v>32</v>
      </c>
      <c r="N3655" s="1">
        <v>3.5</v>
      </c>
      <c r="O3655" s="1">
        <v>4.5</v>
      </c>
      <c r="P3655" s="1">
        <v>3</v>
      </c>
      <c r="Q3655" s="2">
        <v>0.13600000000000001</v>
      </c>
      <c r="R3655" s="1">
        <v>3</v>
      </c>
      <c r="S3655" s="1">
        <f>R3655/P3655</f>
        <v>1</v>
      </c>
      <c r="T3655" s="1">
        <v>5</v>
      </c>
      <c r="U3655" s="1">
        <v>12.5</v>
      </c>
      <c r="V3655" s="1">
        <v>497.77777777777777</v>
      </c>
      <c r="W3655" s="1">
        <v>4</v>
      </c>
    </row>
    <row r="3656" spans="1:23" x14ac:dyDescent="0.2">
      <c r="A3656">
        <v>2021</v>
      </c>
      <c r="B3656" t="s">
        <v>23</v>
      </c>
      <c r="C3656" t="s">
        <v>272</v>
      </c>
      <c r="D3656">
        <v>169</v>
      </c>
      <c r="E3656">
        <v>1</v>
      </c>
      <c r="F3656">
        <v>15</v>
      </c>
      <c r="G3656" t="s">
        <v>194</v>
      </c>
      <c r="H3656" s="1">
        <v>8</v>
      </c>
      <c r="I3656" s="1">
        <v>62</v>
      </c>
      <c r="J3656" s="1">
        <v>67</v>
      </c>
      <c r="K3656" s="1">
        <f>J3656-I3656</f>
        <v>5</v>
      </c>
      <c r="L3656" s="1">
        <v>70</v>
      </c>
      <c r="M3656" s="1">
        <v>11</v>
      </c>
      <c r="N3656" s="1">
        <v>2</v>
      </c>
      <c r="O3656" s="1">
        <v>5</v>
      </c>
      <c r="P3656" s="1">
        <v>2</v>
      </c>
      <c r="Q3656" s="2">
        <v>3.7999999999999999E-2</v>
      </c>
      <c r="R3656" s="1">
        <v>1</v>
      </c>
      <c r="S3656" s="1">
        <f>R3656/P3656</f>
        <v>0.5</v>
      </c>
      <c r="T3656" s="1">
        <v>5</v>
      </c>
      <c r="U3656" s="1">
        <v>12.5</v>
      </c>
      <c r="V3656" s="1">
        <v>139.08496732026143</v>
      </c>
      <c r="W3656" s="1">
        <v>5</v>
      </c>
    </row>
    <row r="3657" spans="1:23" x14ac:dyDescent="0.2">
      <c r="A3657">
        <v>2021</v>
      </c>
      <c r="B3657" t="s">
        <v>23</v>
      </c>
      <c r="C3657" t="s">
        <v>272</v>
      </c>
      <c r="D3657">
        <v>169</v>
      </c>
      <c r="E3657">
        <v>2</v>
      </c>
      <c r="F3657">
        <v>9</v>
      </c>
      <c r="G3657" t="s">
        <v>194</v>
      </c>
      <c r="H3657" s="1">
        <v>16</v>
      </c>
      <c r="I3657" s="1">
        <v>68</v>
      </c>
      <c r="J3657" s="1">
        <v>71</v>
      </c>
      <c r="K3657" s="1">
        <f>J3657-I3657</f>
        <v>3</v>
      </c>
      <c r="L3657" s="1">
        <v>118</v>
      </c>
      <c r="M3657" s="1">
        <v>107</v>
      </c>
      <c r="N3657" s="1">
        <v>2</v>
      </c>
      <c r="O3657" s="1">
        <v>3</v>
      </c>
      <c r="P3657" s="1">
        <v>16</v>
      </c>
      <c r="Q3657" s="2">
        <v>0.64800000000000002</v>
      </c>
      <c r="R3657" s="1">
        <v>12</v>
      </c>
      <c r="S3657" s="1">
        <f>R3657/P3657</f>
        <v>0.75</v>
      </c>
      <c r="T3657" s="1">
        <v>2</v>
      </c>
      <c r="U3657" s="1">
        <v>12.5</v>
      </c>
      <c r="V3657" s="1">
        <v>2371.7647058823527</v>
      </c>
      <c r="W3657" s="1">
        <v>2</v>
      </c>
    </row>
    <row r="3658" spans="1:23" x14ac:dyDescent="0.2">
      <c r="A3658">
        <v>2021</v>
      </c>
      <c r="B3658" t="s">
        <v>23</v>
      </c>
      <c r="C3658" t="s">
        <v>272</v>
      </c>
      <c r="D3658">
        <v>170</v>
      </c>
      <c r="E3658">
        <v>1</v>
      </c>
      <c r="F3658">
        <v>13</v>
      </c>
      <c r="G3658" t="s">
        <v>195</v>
      </c>
      <c r="H3658" s="1">
        <v>4</v>
      </c>
      <c r="I3658" s="1">
        <v>65</v>
      </c>
      <c r="J3658" s="1">
        <v>66</v>
      </c>
      <c r="K3658" s="1">
        <f>J3658-I3658</f>
        <v>1</v>
      </c>
      <c r="L3658" s="1">
        <v>132</v>
      </c>
      <c r="M3658" s="1">
        <v>55</v>
      </c>
      <c r="N3658" s="1">
        <v>2</v>
      </c>
      <c r="O3658" s="1">
        <v>3.5</v>
      </c>
      <c r="P3658" s="1">
        <v>3</v>
      </c>
      <c r="Q3658" s="2">
        <v>6.3320000000000001E-2</v>
      </c>
      <c r="R3658" s="1">
        <v>3</v>
      </c>
      <c r="S3658" s="1">
        <f>R3658/P3658</f>
        <v>1</v>
      </c>
      <c r="T3658" s="1">
        <v>5</v>
      </c>
      <c r="U3658" s="1">
        <v>12.5</v>
      </c>
      <c r="V3658" s="1">
        <v>231.75947712418304</v>
      </c>
      <c r="W3658" s="1">
        <v>4</v>
      </c>
    </row>
    <row r="3659" spans="1:23" x14ac:dyDescent="0.2">
      <c r="A3659">
        <v>2021</v>
      </c>
      <c r="B3659" t="s">
        <v>23</v>
      </c>
      <c r="C3659" t="s">
        <v>272</v>
      </c>
      <c r="D3659">
        <v>170</v>
      </c>
      <c r="E3659">
        <v>2</v>
      </c>
      <c r="F3659">
        <v>1</v>
      </c>
      <c r="G3659" t="s">
        <v>195</v>
      </c>
      <c r="H3659">
        <v>11</v>
      </c>
      <c r="I3659">
        <v>55</v>
      </c>
      <c r="J3659">
        <v>58</v>
      </c>
      <c r="K3659">
        <v>3</v>
      </c>
      <c r="L3659">
        <v>121</v>
      </c>
      <c r="M3659">
        <v>28</v>
      </c>
      <c r="N3659">
        <v>2</v>
      </c>
      <c r="O3659">
        <v>2</v>
      </c>
      <c r="P3659">
        <v>7</v>
      </c>
      <c r="Q3659">
        <v>0.4</v>
      </c>
      <c r="R3659">
        <v>6</v>
      </c>
      <c r="S3659">
        <v>0.8571428571428571</v>
      </c>
      <c r="T3659">
        <v>3</v>
      </c>
      <c r="U3659">
        <v>9.9</v>
      </c>
      <c r="V3659">
        <v>1507.5555555555557</v>
      </c>
      <c r="W3659">
        <v>2</v>
      </c>
    </row>
    <row r="3660" spans="1:23" x14ac:dyDescent="0.2">
      <c r="A3660">
        <v>2021</v>
      </c>
      <c r="B3660" t="s">
        <v>23</v>
      </c>
      <c r="C3660" t="s">
        <v>272</v>
      </c>
      <c r="D3660">
        <v>171</v>
      </c>
      <c r="E3660">
        <v>1</v>
      </c>
      <c r="F3660">
        <v>11</v>
      </c>
      <c r="G3660" t="s">
        <v>196</v>
      </c>
      <c r="H3660" s="1">
        <v>13</v>
      </c>
      <c r="I3660" s="1">
        <v>65</v>
      </c>
      <c r="J3660" s="1">
        <v>70</v>
      </c>
      <c r="K3660" s="1">
        <f>J3660-I3660</f>
        <v>5</v>
      </c>
      <c r="L3660" s="1">
        <v>139</v>
      </c>
      <c r="M3660" s="1">
        <v>57</v>
      </c>
      <c r="N3660" s="1">
        <v>2</v>
      </c>
      <c r="O3660" s="1">
        <v>4</v>
      </c>
      <c r="P3660" s="1">
        <f>H3660</f>
        <v>13</v>
      </c>
      <c r="Q3660" s="2">
        <v>0.12</v>
      </c>
      <c r="R3660" s="1">
        <v>13</v>
      </c>
      <c r="S3660" s="1">
        <f>R3660/P3660</f>
        <v>1</v>
      </c>
      <c r="T3660" s="1">
        <v>5</v>
      </c>
      <c r="U3660" s="1">
        <v>12.5</v>
      </c>
      <c r="V3660" s="1">
        <v>439.21568627450984</v>
      </c>
      <c r="W3660" s="1">
        <v>4</v>
      </c>
    </row>
    <row r="3661" spans="1:23" x14ac:dyDescent="0.2">
      <c r="A3661">
        <v>2021</v>
      </c>
      <c r="B3661" t="s">
        <v>23</v>
      </c>
      <c r="C3661" t="s">
        <v>272</v>
      </c>
      <c r="D3661">
        <v>171</v>
      </c>
      <c r="E3661">
        <v>2</v>
      </c>
      <c r="F3661">
        <v>5</v>
      </c>
      <c r="G3661" t="s">
        <v>196</v>
      </c>
      <c r="H3661" s="1">
        <v>12</v>
      </c>
      <c r="I3661" s="1">
        <v>62</v>
      </c>
      <c r="J3661" s="1">
        <v>66</v>
      </c>
      <c r="K3661" s="1">
        <f>J3661-I3661</f>
        <v>4</v>
      </c>
      <c r="L3661" s="1">
        <v>158</v>
      </c>
      <c r="M3661" s="1">
        <v>48</v>
      </c>
      <c r="N3661" s="1">
        <v>2</v>
      </c>
      <c r="O3661" s="1">
        <v>3.5</v>
      </c>
      <c r="P3661" s="1">
        <f>H3661</f>
        <v>12</v>
      </c>
      <c r="Q3661" s="2">
        <v>0.53174999999999994</v>
      </c>
      <c r="R3661" s="1">
        <v>10</v>
      </c>
      <c r="S3661" s="1">
        <f>R3661/P3661</f>
        <v>0.83333333333333337</v>
      </c>
      <c r="T3661" s="1">
        <v>5</v>
      </c>
      <c r="U3661" s="1">
        <v>12.5</v>
      </c>
      <c r="V3661" s="1">
        <v>1946.2745098039215</v>
      </c>
      <c r="W3661" s="1">
        <v>4</v>
      </c>
    </row>
    <row r="3662" spans="1:23" x14ac:dyDescent="0.2">
      <c r="A3662">
        <v>2021</v>
      </c>
      <c r="B3662" t="s">
        <v>23</v>
      </c>
      <c r="C3662" t="s">
        <v>272</v>
      </c>
      <c r="D3662">
        <v>172</v>
      </c>
      <c r="E3662">
        <v>1</v>
      </c>
      <c r="F3662">
        <v>10</v>
      </c>
      <c r="G3662" t="s">
        <v>197</v>
      </c>
      <c r="H3662">
        <v>3</v>
      </c>
      <c r="I3662">
        <v>56</v>
      </c>
      <c r="J3662">
        <v>60</v>
      </c>
      <c r="K3662">
        <v>4</v>
      </c>
      <c r="L3662">
        <v>106</v>
      </c>
      <c r="M3662">
        <v>28</v>
      </c>
      <c r="N3662">
        <v>1.5</v>
      </c>
      <c r="O3662">
        <v>2</v>
      </c>
      <c r="P3662">
        <v>3</v>
      </c>
      <c r="Q3662">
        <v>0.1</v>
      </c>
      <c r="R3662">
        <v>3</v>
      </c>
      <c r="S3662">
        <v>1</v>
      </c>
      <c r="T3662">
        <v>2</v>
      </c>
      <c r="U3662">
        <v>12.5</v>
      </c>
      <c r="V3662">
        <v>366.01307189542484</v>
      </c>
      <c r="W3662">
        <v>2</v>
      </c>
    </row>
    <row r="3663" spans="1:23" x14ac:dyDescent="0.2">
      <c r="A3663">
        <v>2021</v>
      </c>
      <c r="B3663" t="s">
        <v>23</v>
      </c>
      <c r="C3663" t="s">
        <v>272</v>
      </c>
      <c r="D3663">
        <v>172</v>
      </c>
      <c r="E3663">
        <v>2</v>
      </c>
      <c r="F3663">
        <v>9</v>
      </c>
      <c r="G3663" t="s">
        <v>197</v>
      </c>
      <c r="H3663" s="1">
        <v>2</v>
      </c>
      <c r="I3663" s="1">
        <v>68</v>
      </c>
      <c r="J3663" s="1">
        <v>73</v>
      </c>
      <c r="K3663" s="1">
        <f>J3663-I3663</f>
        <v>5</v>
      </c>
      <c r="L3663" s="1">
        <v>117</v>
      </c>
      <c r="M3663" s="1">
        <v>60</v>
      </c>
      <c r="N3663" s="1">
        <v>2</v>
      </c>
      <c r="O3663" s="1">
        <v>3.5</v>
      </c>
      <c r="P3663" s="1">
        <v>2</v>
      </c>
      <c r="Q3663" s="2">
        <v>0.16</v>
      </c>
      <c r="R3663" s="1">
        <v>2</v>
      </c>
      <c r="S3663" s="1">
        <f>R3663/P3663</f>
        <v>1</v>
      </c>
      <c r="T3663" s="1">
        <v>3</v>
      </c>
      <c r="U3663" s="1">
        <v>9.4</v>
      </c>
      <c r="V3663" s="1">
        <v>606.3686274509804</v>
      </c>
      <c r="W3663" s="1">
        <v>5</v>
      </c>
    </row>
    <row r="3664" spans="1:23" x14ac:dyDescent="0.2">
      <c r="A3664">
        <v>2021</v>
      </c>
      <c r="B3664" t="s">
        <v>23</v>
      </c>
      <c r="C3664" t="s">
        <v>272</v>
      </c>
      <c r="D3664">
        <v>173</v>
      </c>
      <c r="E3664">
        <v>1</v>
      </c>
      <c r="F3664">
        <v>13</v>
      </c>
      <c r="G3664" t="s">
        <v>198</v>
      </c>
      <c r="H3664">
        <v>12</v>
      </c>
      <c r="I3664">
        <v>58</v>
      </c>
      <c r="J3664">
        <v>60</v>
      </c>
      <c r="K3664">
        <v>2</v>
      </c>
      <c r="L3664">
        <v>155</v>
      </c>
      <c r="M3664">
        <v>77</v>
      </c>
      <c r="N3664">
        <v>1.5</v>
      </c>
      <c r="O3664">
        <v>2.5</v>
      </c>
      <c r="P3664">
        <v>11</v>
      </c>
      <c r="Q3664">
        <v>1.2</v>
      </c>
      <c r="R3664">
        <v>11</v>
      </c>
      <c r="S3664">
        <v>1</v>
      </c>
      <c r="T3664">
        <v>2.5</v>
      </c>
      <c r="U3664">
        <v>12.5</v>
      </c>
      <c r="V3664">
        <v>4392.1568627450979</v>
      </c>
      <c r="W3664">
        <v>2</v>
      </c>
    </row>
    <row r="3665" spans="1:23" x14ac:dyDescent="0.2">
      <c r="A3665">
        <v>2021</v>
      </c>
      <c r="B3665" t="s">
        <v>23</v>
      </c>
      <c r="C3665" t="s">
        <v>272</v>
      </c>
      <c r="D3665">
        <v>173</v>
      </c>
      <c r="E3665">
        <v>2</v>
      </c>
      <c r="F3665">
        <v>10</v>
      </c>
      <c r="G3665" t="s">
        <v>198</v>
      </c>
      <c r="H3665" s="1">
        <v>11</v>
      </c>
      <c r="I3665" s="1">
        <v>67</v>
      </c>
      <c r="J3665" s="1">
        <v>72</v>
      </c>
      <c r="K3665" s="1">
        <f>J3665-I3665</f>
        <v>5</v>
      </c>
      <c r="L3665" s="1">
        <v>162</v>
      </c>
      <c r="M3665" s="1">
        <v>90</v>
      </c>
      <c r="N3665" s="1">
        <v>2</v>
      </c>
      <c r="O3665" s="1">
        <v>2.5</v>
      </c>
      <c r="P3665" s="1">
        <v>9</v>
      </c>
      <c r="Q3665" s="2">
        <v>0.871</v>
      </c>
      <c r="R3665" s="1">
        <v>9</v>
      </c>
      <c r="S3665" s="1">
        <f>R3665/P3665</f>
        <v>1</v>
      </c>
      <c r="T3665" s="1">
        <v>5</v>
      </c>
      <c r="U3665" s="1">
        <v>12.5</v>
      </c>
      <c r="V3665" s="1">
        <v>3187.9738562091502</v>
      </c>
      <c r="W3665" s="1">
        <v>4</v>
      </c>
    </row>
    <row r="3666" spans="1:23" x14ac:dyDescent="0.2">
      <c r="A3666">
        <v>2021</v>
      </c>
      <c r="B3666" t="s">
        <v>23</v>
      </c>
      <c r="C3666" t="s">
        <v>272</v>
      </c>
      <c r="D3666">
        <v>174</v>
      </c>
      <c r="E3666">
        <v>1</v>
      </c>
      <c r="F3666">
        <v>10</v>
      </c>
      <c r="G3666" t="s">
        <v>199</v>
      </c>
      <c r="H3666">
        <v>14</v>
      </c>
      <c r="I3666">
        <v>55</v>
      </c>
      <c r="J3666">
        <v>56</v>
      </c>
      <c r="K3666">
        <v>1</v>
      </c>
      <c r="L3666">
        <v>193</v>
      </c>
      <c r="M3666">
        <v>80</v>
      </c>
      <c r="N3666">
        <v>2</v>
      </c>
      <c r="O3666">
        <v>2</v>
      </c>
      <c r="P3666">
        <v>7</v>
      </c>
      <c r="Q3666">
        <v>0.5</v>
      </c>
      <c r="R3666">
        <v>7</v>
      </c>
      <c r="S3666">
        <v>1</v>
      </c>
      <c r="T3666">
        <v>2</v>
      </c>
      <c r="U3666">
        <v>10.5</v>
      </c>
      <c r="V3666">
        <v>1871.8954248366015</v>
      </c>
      <c r="W3666">
        <v>2</v>
      </c>
    </row>
    <row r="3667" spans="1:23" x14ac:dyDescent="0.2">
      <c r="A3667">
        <v>2021</v>
      </c>
      <c r="B3667" t="s">
        <v>23</v>
      </c>
      <c r="C3667" t="s">
        <v>272</v>
      </c>
      <c r="D3667">
        <v>174</v>
      </c>
      <c r="E3667">
        <v>2</v>
      </c>
      <c r="F3667">
        <v>4</v>
      </c>
      <c r="G3667" t="s">
        <v>199</v>
      </c>
      <c r="H3667" s="1">
        <v>4</v>
      </c>
      <c r="I3667" s="1">
        <v>63</v>
      </c>
      <c r="J3667" s="1">
        <v>67</v>
      </c>
      <c r="K3667" s="1">
        <f>J3667-I3667</f>
        <v>4</v>
      </c>
      <c r="L3667" s="1">
        <v>117</v>
      </c>
      <c r="M3667" s="1">
        <v>25</v>
      </c>
      <c r="N3667" s="1">
        <v>1.5</v>
      </c>
      <c r="O3667" s="1">
        <v>4.5</v>
      </c>
      <c r="P3667" s="1">
        <v>2</v>
      </c>
      <c r="Q3667" s="2">
        <v>6.3199999999999992E-2</v>
      </c>
      <c r="R3667" s="1">
        <v>2</v>
      </c>
      <c r="S3667" s="1">
        <f>R3667/P3667</f>
        <v>1</v>
      </c>
      <c r="T3667" s="1">
        <v>5</v>
      </c>
      <c r="U3667" s="1">
        <v>12.5</v>
      </c>
      <c r="V3667" s="1">
        <v>231.3202614379085</v>
      </c>
      <c r="W3667" s="1">
        <v>5</v>
      </c>
    </row>
    <row r="3668" spans="1:23" x14ac:dyDescent="0.2">
      <c r="A3668">
        <v>2021</v>
      </c>
      <c r="B3668" t="s">
        <v>23</v>
      </c>
      <c r="C3668" t="s">
        <v>272</v>
      </c>
      <c r="D3668">
        <v>175</v>
      </c>
      <c r="E3668">
        <v>1</v>
      </c>
      <c r="F3668">
        <v>3</v>
      </c>
      <c r="G3668" t="s">
        <v>200</v>
      </c>
      <c r="H3668" s="1">
        <v>6</v>
      </c>
      <c r="I3668" s="1">
        <v>64</v>
      </c>
      <c r="J3668" s="1">
        <v>69</v>
      </c>
      <c r="K3668" s="1">
        <f>J3668-I3668</f>
        <v>5</v>
      </c>
      <c r="L3668" s="1">
        <v>143</v>
      </c>
      <c r="M3668" s="1">
        <v>82</v>
      </c>
      <c r="N3668" s="1">
        <v>1</v>
      </c>
      <c r="O3668" s="1">
        <v>2.5</v>
      </c>
      <c r="P3668" s="1">
        <v>3</v>
      </c>
      <c r="Q3668" s="2">
        <v>0.58199999999999996</v>
      </c>
      <c r="R3668" s="1">
        <v>3</v>
      </c>
      <c r="S3668" s="1">
        <f>R3668/P3668</f>
        <v>1</v>
      </c>
      <c r="T3668" s="1">
        <v>3</v>
      </c>
      <c r="U3668" s="1">
        <v>8.5</v>
      </c>
      <c r="V3668" s="1">
        <v>2227.5764705882348</v>
      </c>
      <c r="W3668" s="1">
        <v>4</v>
      </c>
    </row>
    <row r="3669" spans="1:23" x14ac:dyDescent="0.2">
      <c r="A3669">
        <v>2021</v>
      </c>
      <c r="B3669" t="s">
        <v>23</v>
      </c>
      <c r="C3669" t="s">
        <v>272</v>
      </c>
      <c r="D3669">
        <v>175</v>
      </c>
      <c r="E3669">
        <v>2</v>
      </c>
      <c r="F3669">
        <v>2</v>
      </c>
      <c r="G3669" t="s">
        <v>200</v>
      </c>
      <c r="H3669" s="1">
        <v>8</v>
      </c>
      <c r="I3669" s="1">
        <v>65</v>
      </c>
      <c r="J3669" s="1">
        <v>70</v>
      </c>
      <c r="K3669" s="1">
        <f>J3669-I3669</f>
        <v>5</v>
      </c>
      <c r="L3669" s="1">
        <v>165</v>
      </c>
      <c r="M3669" s="1">
        <v>67</v>
      </c>
      <c r="N3669" s="1">
        <v>2</v>
      </c>
      <c r="O3669" s="1">
        <v>3.5</v>
      </c>
      <c r="P3669" s="1">
        <v>7</v>
      </c>
      <c r="Q3669" s="2">
        <v>0.5</v>
      </c>
      <c r="R3669" s="1">
        <v>7</v>
      </c>
      <c r="S3669" s="1">
        <f>R3669/P3669</f>
        <v>1</v>
      </c>
      <c r="T3669" s="1">
        <v>3</v>
      </c>
      <c r="U3669" s="1">
        <v>8.5</v>
      </c>
      <c r="V3669" s="1">
        <v>1913.7254901960785</v>
      </c>
      <c r="W3669" s="1">
        <v>3</v>
      </c>
    </row>
    <row r="3670" spans="1:23" x14ac:dyDescent="0.2">
      <c r="A3670">
        <v>2021</v>
      </c>
      <c r="B3670" t="s">
        <v>23</v>
      </c>
      <c r="C3670" t="s">
        <v>272</v>
      </c>
      <c r="D3670">
        <v>176</v>
      </c>
      <c r="E3670">
        <v>1</v>
      </c>
      <c r="F3670">
        <v>9</v>
      </c>
      <c r="G3670" t="s">
        <v>201</v>
      </c>
      <c r="H3670" s="1">
        <v>2</v>
      </c>
      <c r="I3670" s="1">
        <v>62</v>
      </c>
      <c r="J3670" s="1">
        <v>65</v>
      </c>
      <c r="K3670" s="1">
        <f>J3670-I3670</f>
        <v>3</v>
      </c>
      <c r="L3670" s="1">
        <v>90</v>
      </c>
      <c r="M3670" s="1">
        <v>21</v>
      </c>
      <c r="N3670" s="1">
        <v>3</v>
      </c>
      <c r="O3670" s="1">
        <v>5</v>
      </c>
      <c r="P3670" s="1">
        <v>2</v>
      </c>
      <c r="Q3670" s="2">
        <v>0.155</v>
      </c>
      <c r="R3670" s="1">
        <v>2</v>
      </c>
      <c r="S3670" s="1">
        <f>R3670/P3670</f>
        <v>1</v>
      </c>
      <c r="T3670" s="1">
        <v>3.5</v>
      </c>
      <c r="U3670" s="1">
        <v>12.5</v>
      </c>
      <c r="V3670" s="1">
        <v>567.32026143790847</v>
      </c>
      <c r="W3670" s="1">
        <v>6</v>
      </c>
    </row>
    <row r="3671" spans="1:23" x14ac:dyDescent="0.2">
      <c r="A3671">
        <v>2021</v>
      </c>
      <c r="B3671" t="s">
        <v>23</v>
      </c>
      <c r="C3671" t="s">
        <v>272</v>
      </c>
      <c r="D3671">
        <v>176</v>
      </c>
      <c r="E3671">
        <v>2</v>
      </c>
      <c r="F3671">
        <v>14</v>
      </c>
      <c r="G3671" t="s">
        <v>201</v>
      </c>
      <c r="H3671">
        <v>13</v>
      </c>
      <c r="I3671">
        <v>51</v>
      </c>
      <c r="J3671">
        <v>53</v>
      </c>
      <c r="K3671">
        <v>2</v>
      </c>
      <c r="L3671">
        <v>165</v>
      </c>
      <c r="M3671">
        <v>49</v>
      </c>
      <c r="N3671">
        <v>2</v>
      </c>
      <c r="O3671">
        <v>2</v>
      </c>
      <c r="P3671">
        <v>8</v>
      </c>
      <c r="Q3671">
        <v>0.6</v>
      </c>
      <c r="R3671">
        <v>7</v>
      </c>
      <c r="S3671">
        <v>0.875</v>
      </c>
      <c r="T3671">
        <v>2</v>
      </c>
      <c r="U3671">
        <v>11.5</v>
      </c>
      <c r="V3671">
        <v>2221.1764705882356</v>
      </c>
      <c r="W3671">
        <v>2</v>
      </c>
    </row>
    <row r="3672" spans="1:23" x14ac:dyDescent="0.2">
      <c r="A3672">
        <v>2021</v>
      </c>
      <c r="B3672" t="s">
        <v>23</v>
      </c>
      <c r="C3672" t="s">
        <v>272</v>
      </c>
      <c r="D3672">
        <v>177</v>
      </c>
      <c r="E3672">
        <v>1</v>
      </c>
      <c r="F3672">
        <v>15</v>
      </c>
      <c r="G3672" t="s">
        <v>202</v>
      </c>
      <c r="H3672">
        <v>10</v>
      </c>
      <c r="I3672">
        <v>56</v>
      </c>
      <c r="J3672">
        <v>58</v>
      </c>
      <c r="K3672">
        <v>2</v>
      </c>
      <c r="L3672">
        <v>157</v>
      </c>
      <c r="M3672">
        <v>88</v>
      </c>
      <c r="N3672">
        <v>1.5</v>
      </c>
      <c r="O3672">
        <v>2.5</v>
      </c>
      <c r="P3672">
        <v>9</v>
      </c>
      <c r="Q3672">
        <v>1</v>
      </c>
      <c r="R3672">
        <v>9</v>
      </c>
      <c r="S3672">
        <v>1</v>
      </c>
      <c r="T3672">
        <v>2.5</v>
      </c>
      <c r="U3672">
        <v>12.5</v>
      </c>
      <c r="V3672">
        <v>3660.1307189542486</v>
      </c>
      <c r="W3672">
        <v>2</v>
      </c>
    </row>
    <row r="3673" spans="1:23" x14ac:dyDescent="0.2">
      <c r="A3673">
        <v>2021</v>
      </c>
      <c r="B3673" t="s">
        <v>23</v>
      </c>
      <c r="C3673" t="s">
        <v>272</v>
      </c>
      <c r="D3673">
        <v>177</v>
      </c>
      <c r="E3673">
        <v>2</v>
      </c>
      <c r="F3673">
        <v>1</v>
      </c>
      <c r="G3673" t="s">
        <v>202</v>
      </c>
      <c r="H3673" s="1">
        <v>8</v>
      </c>
      <c r="I3673" s="1">
        <v>59</v>
      </c>
      <c r="J3673" s="1">
        <v>62</v>
      </c>
      <c r="K3673" s="1">
        <f>J3673-I3673</f>
        <v>3</v>
      </c>
      <c r="L3673" s="1">
        <v>165</v>
      </c>
      <c r="M3673" s="1">
        <v>87</v>
      </c>
      <c r="N3673" s="1">
        <v>2</v>
      </c>
      <c r="O3673" s="1">
        <v>2</v>
      </c>
      <c r="P3673" s="1">
        <v>6</v>
      </c>
      <c r="Q3673" s="2">
        <v>0.52479999999999993</v>
      </c>
      <c r="R3673" s="1">
        <v>7</v>
      </c>
      <c r="S3673" s="1">
        <f>R3673/P3673</f>
        <v>1.1666666666666667</v>
      </c>
      <c r="T3673" s="1">
        <v>5</v>
      </c>
      <c r="U3673" s="1">
        <v>9.1</v>
      </c>
      <c r="V3673" s="1">
        <v>1995.4748235294117</v>
      </c>
      <c r="W3673" s="1">
        <v>5</v>
      </c>
    </row>
    <row r="3674" spans="1:23" x14ac:dyDescent="0.2">
      <c r="A3674">
        <v>2021</v>
      </c>
      <c r="B3674" t="s">
        <v>23</v>
      </c>
      <c r="C3674" t="s">
        <v>272</v>
      </c>
      <c r="D3674">
        <v>178</v>
      </c>
      <c r="E3674">
        <v>1</v>
      </c>
      <c r="F3674">
        <v>1</v>
      </c>
      <c r="G3674" t="s">
        <v>203</v>
      </c>
      <c r="H3674">
        <v>7</v>
      </c>
      <c r="I3674">
        <v>55</v>
      </c>
      <c r="J3674">
        <v>57</v>
      </c>
      <c r="K3674">
        <v>2</v>
      </c>
      <c r="L3674">
        <v>156</v>
      </c>
      <c r="M3674">
        <v>81</v>
      </c>
      <c r="N3674">
        <v>2</v>
      </c>
      <c r="O3674">
        <v>3</v>
      </c>
      <c r="P3674">
        <v>7</v>
      </c>
      <c r="Q3674">
        <v>0.45</v>
      </c>
      <c r="R3674">
        <v>8</v>
      </c>
      <c r="S3674">
        <v>1.1428571428571428</v>
      </c>
      <c r="T3674">
        <v>2.5</v>
      </c>
      <c r="U3674">
        <v>12.5</v>
      </c>
      <c r="V3674">
        <v>1647.0588235294117</v>
      </c>
      <c r="W3674">
        <v>1</v>
      </c>
    </row>
    <row r="3675" spans="1:23" x14ac:dyDescent="0.2">
      <c r="A3675">
        <v>2021</v>
      </c>
      <c r="B3675" t="s">
        <v>23</v>
      </c>
      <c r="C3675" t="s">
        <v>272</v>
      </c>
      <c r="D3675">
        <v>178</v>
      </c>
      <c r="E3675">
        <v>2</v>
      </c>
      <c r="F3675">
        <v>2</v>
      </c>
      <c r="G3675" t="s">
        <v>203</v>
      </c>
      <c r="H3675">
        <v>12</v>
      </c>
      <c r="I3675">
        <v>60</v>
      </c>
      <c r="J3675">
        <v>63</v>
      </c>
      <c r="K3675">
        <v>3</v>
      </c>
      <c r="L3675">
        <v>90</v>
      </c>
      <c r="M3675">
        <v>22</v>
      </c>
      <c r="N3675">
        <v>2.5</v>
      </c>
      <c r="O3675">
        <v>2</v>
      </c>
      <c r="P3675">
        <v>12</v>
      </c>
      <c r="Q3675">
        <v>1.3</v>
      </c>
      <c r="R3675">
        <v>12</v>
      </c>
      <c r="S3675">
        <v>1</v>
      </c>
      <c r="T3675">
        <v>3</v>
      </c>
      <c r="U3675">
        <v>12.5</v>
      </c>
      <c r="V3675">
        <v>4758.169934640523</v>
      </c>
      <c r="W3675">
        <v>2</v>
      </c>
    </row>
    <row r="3676" spans="1:23" x14ac:dyDescent="0.2">
      <c r="A3676">
        <v>2021</v>
      </c>
      <c r="B3676" t="s">
        <v>23</v>
      </c>
      <c r="C3676" t="s">
        <v>272</v>
      </c>
      <c r="D3676">
        <v>179</v>
      </c>
      <c r="E3676">
        <v>1</v>
      </c>
      <c r="F3676">
        <v>8</v>
      </c>
      <c r="G3676" t="s">
        <v>204</v>
      </c>
      <c r="H3676" s="1">
        <v>8</v>
      </c>
      <c r="I3676" s="1">
        <v>64</v>
      </c>
      <c r="J3676" s="1">
        <v>69</v>
      </c>
      <c r="K3676" s="1">
        <f>J3676-I3676</f>
        <v>5</v>
      </c>
      <c r="L3676" s="1">
        <v>114</v>
      </c>
      <c r="M3676" s="1">
        <v>50</v>
      </c>
      <c r="N3676" s="1">
        <v>2.5</v>
      </c>
      <c r="O3676" s="1">
        <v>4</v>
      </c>
      <c r="P3676" s="1">
        <v>5</v>
      </c>
      <c r="Q3676" s="2">
        <v>0.14599999999999999</v>
      </c>
      <c r="R3676" s="1">
        <v>3</v>
      </c>
      <c r="S3676" s="1">
        <f>R3676/P3676</f>
        <v>0.6</v>
      </c>
      <c r="T3676" s="1">
        <v>3</v>
      </c>
      <c r="U3676" s="1">
        <v>12.5</v>
      </c>
      <c r="V3676" s="1">
        <v>534.37908496732018</v>
      </c>
      <c r="W3676" s="1">
        <v>5</v>
      </c>
    </row>
    <row r="3677" spans="1:23" x14ac:dyDescent="0.2">
      <c r="A3677">
        <v>2021</v>
      </c>
      <c r="B3677" t="s">
        <v>23</v>
      </c>
      <c r="C3677" t="s">
        <v>272</v>
      </c>
      <c r="D3677">
        <v>179</v>
      </c>
      <c r="E3677">
        <v>2</v>
      </c>
      <c r="F3677">
        <v>13</v>
      </c>
      <c r="G3677" t="s">
        <v>204</v>
      </c>
      <c r="H3677">
        <v>1</v>
      </c>
      <c r="I3677">
        <v>55</v>
      </c>
      <c r="J3677">
        <v>58</v>
      </c>
      <c r="K3677">
        <v>3</v>
      </c>
      <c r="L3677">
        <v>81</v>
      </c>
      <c r="M3677">
        <v>31</v>
      </c>
      <c r="N3677">
        <v>2</v>
      </c>
      <c r="O3677">
        <v>4</v>
      </c>
      <c r="P3677">
        <v>1</v>
      </c>
      <c r="Q3677">
        <v>0.12</v>
      </c>
      <c r="R3677">
        <v>1</v>
      </c>
      <c r="S3677">
        <v>1</v>
      </c>
      <c r="T3677">
        <v>2</v>
      </c>
      <c r="U3677">
        <v>12.5</v>
      </c>
      <c r="V3677">
        <v>439.21568627450984</v>
      </c>
      <c r="W3677">
        <v>2</v>
      </c>
    </row>
    <row r="3678" spans="1:23" x14ac:dyDescent="0.2">
      <c r="A3678">
        <v>2021</v>
      </c>
      <c r="B3678" t="s">
        <v>23</v>
      </c>
      <c r="C3678" t="s">
        <v>272</v>
      </c>
      <c r="D3678">
        <v>180</v>
      </c>
      <c r="E3678">
        <v>1</v>
      </c>
      <c r="F3678">
        <v>8</v>
      </c>
      <c r="G3678" t="s">
        <v>205</v>
      </c>
      <c r="H3678" s="1">
        <v>9</v>
      </c>
      <c r="I3678" s="1">
        <v>62</v>
      </c>
      <c r="J3678" s="1">
        <v>67</v>
      </c>
      <c r="K3678" s="1">
        <f t="shared" ref="K3678:K3686" si="186">J3678-I3678</f>
        <v>5</v>
      </c>
      <c r="L3678" s="1">
        <v>128</v>
      </c>
      <c r="M3678" s="1">
        <v>48</v>
      </c>
      <c r="N3678" s="1">
        <v>2</v>
      </c>
      <c r="O3678" s="1">
        <v>3.5</v>
      </c>
      <c r="P3678" s="1">
        <v>8</v>
      </c>
      <c r="Q3678" s="2">
        <v>0.21</v>
      </c>
      <c r="R3678" s="1">
        <v>7</v>
      </c>
      <c r="S3678" s="1">
        <f t="shared" ref="S3678:S3686" si="187">R3678/P3678</f>
        <v>0.875</v>
      </c>
      <c r="T3678" s="1">
        <v>3</v>
      </c>
      <c r="U3678" s="1">
        <v>12.5</v>
      </c>
      <c r="V3678" s="1">
        <v>768.62745098039215</v>
      </c>
      <c r="W3678" s="1">
        <v>3</v>
      </c>
    </row>
    <row r="3679" spans="1:23" x14ac:dyDescent="0.2">
      <c r="A3679">
        <v>2021</v>
      </c>
      <c r="B3679" t="s">
        <v>23</v>
      </c>
      <c r="C3679" t="s">
        <v>272</v>
      </c>
      <c r="D3679">
        <v>180</v>
      </c>
      <c r="E3679">
        <v>2</v>
      </c>
      <c r="F3679">
        <v>8</v>
      </c>
      <c r="G3679" t="s">
        <v>205</v>
      </c>
      <c r="H3679" s="1">
        <v>10</v>
      </c>
      <c r="I3679" s="1">
        <v>67</v>
      </c>
      <c r="J3679" s="1">
        <v>71</v>
      </c>
      <c r="K3679" s="1">
        <f t="shared" si="186"/>
        <v>4</v>
      </c>
      <c r="L3679" s="1">
        <v>196</v>
      </c>
      <c r="M3679" s="1">
        <v>85</v>
      </c>
      <c r="N3679" s="1">
        <v>2</v>
      </c>
      <c r="O3679" s="1">
        <v>3.5</v>
      </c>
      <c r="P3679" s="1">
        <v>7</v>
      </c>
      <c r="Q3679" s="2">
        <v>0.29568</v>
      </c>
      <c r="R3679" s="1">
        <v>7</v>
      </c>
      <c r="S3679" s="1">
        <f t="shared" si="187"/>
        <v>1</v>
      </c>
      <c r="T3679" s="1">
        <v>5</v>
      </c>
      <c r="U3679" s="1">
        <v>11.5</v>
      </c>
      <c r="V3679" s="1">
        <v>1094.5957647058826</v>
      </c>
      <c r="W3679" s="1">
        <v>5</v>
      </c>
    </row>
    <row r="3680" spans="1:23" x14ac:dyDescent="0.2">
      <c r="A3680">
        <v>2021</v>
      </c>
      <c r="B3680" t="s">
        <v>23</v>
      </c>
      <c r="C3680" t="s">
        <v>272</v>
      </c>
      <c r="D3680">
        <v>181</v>
      </c>
      <c r="E3680">
        <v>1</v>
      </c>
      <c r="F3680">
        <v>12</v>
      </c>
      <c r="G3680" t="s">
        <v>206</v>
      </c>
      <c r="H3680" s="1">
        <v>6</v>
      </c>
      <c r="I3680" s="1">
        <v>70</v>
      </c>
      <c r="J3680" s="1">
        <v>72</v>
      </c>
      <c r="K3680" s="1">
        <f t="shared" si="186"/>
        <v>2</v>
      </c>
      <c r="L3680" s="1">
        <v>78</v>
      </c>
      <c r="M3680" s="1">
        <v>37</v>
      </c>
      <c r="N3680" s="1">
        <v>2.5</v>
      </c>
      <c r="O3680" s="1">
        <v>4</v>
      </c>
      <c r="P3680" s="1">
        <v>1</v>
      </c>
      <c r="Q3680" s="2">
        <v>0.05</v>
      </c>
      <c r="R3680" s="1">
        <v>1</v>
      </c>
      <c r="S3680" s="1">
        <f t="shared" si="187"/>
        <v>1</v>
      </c>
      <c r="T3680" s="1">
        <v>5</v>
      </c>
      <c r="U3680" s="1">
        <v>12.5</v>
      </c>
      <c r="V3680" s="1">
        <v>183.00653594771242</v>
      </c>
      <c r="W3680" s="1">
        <v>6</v>
      </c>
    </row>
    <row r="3681" spans="1:23" x14ac:dyDescent="0.2">
      <c r="A3681">
        <v>2021</v>
      </c>
      <c r="B3681" t="s">
        <v>23</v>
      </c>
      <c r="C3681" t="s">
        <v>272</v>
      </c>
      <c r="D3681">
        <v>181</v>
      </c>
      <c r="E3681">
        <v>2</v>
      </c>
      <c r="F3681">
        <v>7</v>
      </c>
      <c r="G3681" t="s">
        <v>206</v>
      </c>
      <c r="H3681" s="1">
        <v>11</v>
      </c>
      <c r="I3681" s="1">
        <v>66</v>
      </c>
      <c r="J3681" s="1">
        <v>69</v>
      </c>
      <c r="K3681" s="1">
        <f t="shared" si="186"/>
        <v>3</v>
      </c>
      <c r="L3681" s="1">
        <v>183</v>
      </c>
      <c r="M3681" s="1">
        <v>70</v>
      </c>
      <c r="N3681" s="1">
        <v>2</v>
      </c>
      <c r="O3681" s="1">
        <v>2</v>
      </c>
      <c r="P3681" s="1">
        <v>11</v>
      </c>
      <c r="Q3681" s="2">
        <v>0.65200000000000002</v>
      </c>
      <c r="R3681" s="1">
        <v>7</v>
      </c>
      <c r="S3681" s="1">
        <f t="shared" si="187"/>
        <v>0.63636363636363635</v>
      </c>
      <c r="T3681" s="1">
        <v>3</v>
      </c>
      <c r="U3681" s="1">
        <v>6.8</v>
      </c>
      <c r="V3681" s="1">
        <v>2541.8624836601307</v>
      </c>
      <c r="W3681" s="1">
        <v>5</v>
      </c>
    </row>
    <row r="3682" spans="1:23" x14ac:dyDescent="0.2">
      <c r="A3682">
        <v>2021</v>
      </c>
      <c r="B3682" t="s">
        <v>23</v>
      </c>
      <c r="C3682" t="s">
        <v>272</v>
      </c>
      <c r="D3682">
        <v>182</v>
      </c>
      <c r="E3682">
        <v>1</v>
      </c>
      <c r="F3682">
        <v>6</v>
      </c>
      <c r="G3682" t="s">
        <v>207</v>
      </c>
      <c r="H3682" s="1">
        <v>10</v>
      </c>
      <c r="I3682" s="1">
        <v>67</v>
      </c>
      <c r="J3682" s="1">
        <v>73</v>
      </c>
      <c r="K3682" s="1">
        <f t="shared" si="186"/>
        <v>6</v>
      </c>
      <c r="L3682" s="1">
        <v>125</v>
      </c>
      <c r="M3682" s="1">
        <v>35</v>
      </c>
      <c r="N3682" s="1">
        <v>2</v>
      </c>
      <c r="O3682" s="1">
        <v>4.5</v>
      </c>
      <c r="P3682" s="1">
        <v>6</v>
      </c>
      <c r="Q3682" s="2">
        <v>0.124</v>
      </c>
      <c r="R3682" s="1">
        <v>4</v>
      </c>
      <c r="S3682" s="1">
        <f t="shared" si="187"/>
        <v>0.66666666666666663</v>
      </c>
      <c r="T3682" s="1">
        <v>5</v>
      </c>
      <c r="U3682" s="1">
        <v>12.5</v>
      </c>
      <c r="V3682" s="1">
        <v>453.85620915032678</v>
      </c>
      <c r="W3682" s="1">
        <v>4</v>
      </c>
    </row>
    <row r="3683" spans="1:23" x14ac:dyDescent="0.2">
      <c r="A3683">
        <v>2021</v>
      </c>
      <c r="B3683" t="s">
        <v>23</v>
      </c>
      <c r="C3683" t="s">
        <v>272</v>
      </c>
      <c r="D3683">
        <v>182</v>
      </c>
      <c r="E3683">
        <v>2</v>
      </c>
      <c r="F3683">
        <v>8</v>
      </c>
      <c r="G3683" t="s">
        <v>207</v>
      </c>
      <c r="H3683" s="1">
        <v>11</v>
      </c>
      <c r="I3683" s="1">
        <v>62</v>
      </c>
      <c r="J3683" s="1">
        <v>66</v>
      </c>
      <c r="K3683" s="1">
        <f t="shared" si="186"/>
        <v>4</v>
      </c>
      <c r="L3683" s="1">
        <v>105</v>
      </c>
      <c r="M3683" s="1">
        <v>40</v>
      </c>
      <c r="N3683" s="1">
        <v>2</v>
      </c>
      <c r="O3683" s="1">
        <v>4.5</v>
      </c>
      <c r="P3683" s="1">
        <v>8</v>
      </c>
      <c r="Q3683" s="2">
        <v>0.14480000000000001</v>
      </c>
      <c r="R3683" s="1">
        <v>8</v>
      </c>
      <c r="S3683" s="1">
        <f t="shared" si="187"/>
        <v>1</v>
      </c>
      <c r="T3683" s="1">
        <v>4</v>
      </c>
      <c r="U3683" s="1">
        <v>12.5</v>
      </c>
      <c r="V3683" s="1">
        <v>529.98692810457533</v>
      </c>
      <c r="W3683" s="1">
        <v>5</v>
      </c>
    </row>
    <row r="3684" spans="1:23" x14ac:dyDescent="0.2">
      <c r="A3684">
        <v>2021</v>
      </c>
      <c r="B3684" t="s">
        <v>23</v>
      </c>
      <c r="C3684" t="s">
        <v>272</v>
      </c>
      <c r="D3684">
        <v>183</v>
      </c>
      <c r="E3684">
        <v>1</v>
      </c>
      <c r="F3684">
        <v>5</v>
      </c>
      <c r="G3684" t="s">
        <v>208</v>
      </c>
      <c r="H3684" s="1">
        <v>2</v>
      </c>
      <c r="I3684" s="1">
        <v>64</v>
      </c>
      <c r="J3684" s="1">
        <v>69</v>
      </c>
      <c r="K3684" s="1">
        <f t="shared" si="186"/>
        <v>5</v>
      </c>
      <c r="L3684" s="1">
        <v>70</v>
      </c>
      <c r="M3684" s="1">
        <v>16</v>
      </c>
      <c r="N3684" s="1">
        <v>1.5</v>
      </c>
      <c r="O3684" s="1">
        <v>4</v>
      </c>
      <c r="P3684" s="1">
        <v>1</v>
      </c>
      <c r="Q3684" s="2">
        <v>7.0000000000000007E-2</v>
      </c>
      <c r="R3684" s="1">
        <v>1</v>
      </c>
      <c r="S3684" s="1">
        <f t="shared" si="187"/>
        <v>1</v>
      </c>
      <c r="T3684" s="1">
        <v>5</v>
      </c>
      <c r="U3684" s="1">
        <v>12.5</v>
      </c>
      <c r="V3684" s="1">
        <v>256.20915032679744</v>
      </c>
      <c r="W3684" s="1">
        <v>6</v>
      </c>
    </row>
    <row r="3685" spans="1:23" x14ac:dyDescent="0.2">
      <c r="A3685">
        <v>2021</v>
      </c>
      <c r="B3685" t="s">
        <v>23</v>
      </c>
      <c r="C3685" t="s">
        <v>272</v>
      </c>
      <c r="D3685">
        <v>183</v>
      </c>
      <c r="E3685">
        <v>2</v>
      </c>
      <c r="F3685">
        <v>10</v>
      </c>
      <c r="G3685" t="s">
        <v>208</v>
      </c>
      <c r="H3685" s="1">
        <v>5</v>
      </c>
      <c r="I3685" s="1">
        <v>60</v>
      </c>
      <c r="J3685" s="1">
        <v>63</v>
      </c>
      <c r="K3685" s="1">
        <f t="shared" si="186"/>
        <v>3</v>
      </c>
      <c r="L3685" s="1">
        <v>113</v>
      </c>
      <c r="M3685" s="1">
        <v>95</v>
      </c>
      <c r="N3685" s="1">
        <v>2</v>
      </c>
      <c r="O3685" s="1">
        <v>3</v>
      </c>
      <c r="P3685" s="1">
        <f>H3685</f>
        <v>5</v>
      </c>
      <c r="Q3685" s="2">
        <v>8.2687499999999997E-2</v>
      </c>
      <c r="R3685" s="1">
        <v>5</v>
      </c>
      <c r="S3685" s="1">
        <f t="shared" si="187"/>
        <v>1</v>
      </c>
      <c r="T3685" s="1">
        <v>2</v>
      </c>
      <c r="U3685" s="1">
        <v>12.5</v>
      </c>
      <c r="V3685" s="1">
        <v>302.64705882352945</v>
      </c>
      <c r="W3685" s="1">
        <v>2</v>
      </c>
    </row>
    <row r="3686" spans="1:23" x14ac:dyDescent="0.2">
      <c r="A3686">
        <v>2021</v>
      </c>
      <c r="B3686" t="s">
        <v>23</v>
      </c>
      <c r="C3686" t="s">
        <v>272</v>
      </c>
      <c r="D3686">
        <v>184</v>
      </c>
      <c r="E3686">
        <v>1</v>
      </c>
      <c r="F3686">
        <v>9</v>
      </c>
      <c r="G3686" t="s">
        <v>209</v>
      </c>
      <c r="H3686" s="1">
        <v>13</v>
      </c>
      <c r="I3686" s="1">
        <v>62</v>
      </c>
      <c r="J3686" s="1">
        <v>67</v>
      </c>
      <c r="K3686" s="1">
        <f t="shared" si="186"/>
        <v>5</v>
      </c>
      <c r="L3686" s="1">
        <v>162</v>
      </c>
      <c r="M3686" s="1">
        <v>83</v>
      </c>
      <c r="N3686" s="1">
        <v>2</v>
      </c>
      <c r="O3686" s="1">
        <v>3</v>
      </c>
      <c r="P3686" s="1">
        <v>11</v>
      </c>
      <c r="Q3686" s="2">
        <v>0.70420000000000005</v>
      </c>
      <c r="R3686" s="1">
        <v>7</v>
      </c>
      <c r="S3686" s="1">
        <f t="shared" si="187"/>
        <v>0.63636363636363635</v>
      </c>
      <c r="T3686" s="1">
        <v>5</v>
      </c>
      <c r="U3686" s="1">
        <v>12.5</v>
      </c>
      <c r="V3686" s="1">
        <v>2577.4640522875825</v>
      </c>
      <c r="W3686" s="1">
        <v>5</v>
      </c>
    </row>
    <row r="3687" spans="1:23" x14ac:dyDescent="0.2">
      <c r="A3687">
        <v>2021</v>
      </c>
      <c r="B3687" t="s">
        <v>23</v>
      </c>
      <c r="C3687" t="s">
        <v>272</v>
      </c>
      <c r="D3687">
        <v>184</v>
      </c>
      <c r="E3687">
        <v>2</v>
      </c>
      <c r="F3687">
        <v>11</v>
      </c>
      <c r="G3687" t="s">
        <v>209</v>
      </c>
      <c r="H3687">
        <v>10</v>
      </c>
      <c r="I3687">
        <v>59</v>
      </c>
      <c r="J3687">
        <v>62</v>
      </c>
      <c r="K3687">
        <v>3</v>
      </c>
      <c r="L3687">
        <v>137</v>
      </c>
      <c r="M3687">
        <v>47</v>
      </c>
      <c r="N3687">
        <v>1.5</v>
      </c>
      <c r="O3687">
        <v>3.5</v>
      </c>
      <c r="P3687">
        <v>10</v>
      </c>
      <c r="Q3687">
        <v>0.6</v>
      </c>
      <c r="R3687">
        <v>8</v>
      </c>
      <c r="S3687">
        <v>0.8</v>
      </c>
      <c r="T3687">
        <v>3.5</v>
      </c>
      <c r="U3687">
        <v>12.5</v>
      </c>
      <c r="V3687">
        <v>2196.0784313725489</v>
      </c>
      <c r="W3687">
        <v>1</v>
      </c>
    </row>
    <row r="3688" spans="1:23" x14ac:dyDescent="0.2">
      <c r="A3688">
        <v>2021</v>
      </c>
      <c r="B3688" t="s">
        <v>23</v>
      </c>
      <c r="C3688" t="s">
        <v>272</v>
      </c>
      <c r="D3688">
        <v>185</v>
      </c>
      <c r="E3688">
        <v>1</v>
      </c>
      <c r="F3688">
        <v>2</v>
      </c>
      <c r="G3688" t="s">
        <v>210</v>
      </c>
      <c r="H3688">
        <v>2</v>
      </c>
      <c r="I3688">
        <v>55</v>
      </c>
      <c r="J3688">
        <v>59</v>
      </c>
      <c r="K3688">
        <v>4</v>
      </c>
      <c r="L3688">
        <v>173</v>
      </c>
      <c r="M3688">
        <v>60</v>
      </c>
      <c r="N3688">
        <v>2</v>
      </c>
      <c r="O3688">
        <v>2.5</v>
      </c>
      <c r="P3688">
        <v>2</v>
      </c>
      <c r="Q3688">
        <v>0.1</v>
      </c>
      <c r="R3688">
        <v>2</v>
      </c>
      <c r="S3688">
        <v>1</v>
      </c>
      <c r="T3688">
        <v>4</v>
      </c>
      <c r="U3688">
        <v>10.5</v>
      </c>
      <c r="V3688">
        <v>374.3790849673203</v>
      </c>
      <c r="W3688">
        <v>2</v>
      </c>
    </row>
    <row r="3689" spans="1:23" x14ac:dyDescent="0.2">
      <c r="A3689">
        <v>2021</v>
      </c>
      <c r="B3689" t="s">
        <v>23</v>
      </c>
      <c r="C3689" t="s">
        <v>272</v>
      </c>
      <c r="D3689">
        <v>185</v>
      </c>
      <c r="E3689">
        <v>2</v>
      </c>
      <c r="F3689">
        <v>4</v>
      </c>
      <c r="G3689" t="s">
        <v>210</v>
      </c>
      <c r="H3689">
        <v>7</v>
      </c>
      <c r="I3689">
        <v>62</v>
      </c>
      <c r="J3689">
        <v>65</v>
      </c>
      <c r="K3689">
        <v>3</v>
      </c>
      <c r="L3689">
        <v>155</v>
      </c>
      <c r="M3689">
        <v>85</v>
      </c>
      <c r="N3689">
        <v>1.5</v>
      </c>
      <c r="O3689">
        <v>3.5</v>
      </c>
      <c r="P3689">
        <v>7</v>
      </c>
      <c r="Q3689">
        <v>0.7</v>
      </c>
      <c r="R3689">
        <v>7</v>
      </c>
      <c r="S3689">
        <v>1</v>
      </c>
      <c r="T3689">
        <v>3.5</v>
      </c>
      <c r="U3689">
        <v>12.5</v>
      </c>
      <c r="V3689">
        <v>2562.0915032679736</v>
      </c>
      <c r="W3689">
        <v>2</v>
      </c>
    </row>
    <row r="3690" spans="1:23" x14ac:dyDescent="0.2">
      <c r="A3690">
        <v>2021</v>
      </c>
      <c r="B3690" t="s">
        <v>23</v>
      </c>
      <c r="C3690" t="s">
        <v>272</v>
      </c>
      <c r="D3690">
        <v>186</v>
      </c>
      <c r="E3690">
        <v>1</v>
      </c>
      <c r="F3690">
        <v>3</v>
      </c>
      <c r="G3690" t="s">
        <v>211</v>
      </c>
      <c r="H3690" s="1">
        <v>3</v>
      </c>
      <c r="I3690" s="1">
        <v>62</v>
      </c>
      <c r="J3690" s="1">
        <v>65</v>
      </c>
      <c r="K3690" s="1">
        <f>J3690-I3690</f>
        <v>3</v>
      </c>
      <c r="L3690" s="1">
        <v>137</v>
      </c>
      <c r="M3690" s="1">
        <v>73</v>
      </c>
      <c r="N3690" s="1">
        <v>3</v>
      </c>
      <c r="O3690" s="1">
        <v>3.5</v>
      </c>
      <c r="P3690" s="1">
        <f>H3690</f>
        <v>3</v>
      </c>
      <c r="Q3690" s="2">
        <v>5.6250000000000001E-2</v>
      </c>
      <c r="R3690" s="1">
        <v>2</v>
      </c>
      <c r="S3690" s="1">
        <f>R3690/P3690</f>
        <v>0.66666666666666663</v>
      </c>
      <c r="T3690" s="1">
        <v>5</v>
      </c>
      <c r="U3690" s="1">
        <v>12.5</v>
      </c>
      <c r="V3690" s="1">
        <v>205.88235294117646</v>
      </c>
      <c r="W3690" s="1">
        <v>6</v>
      </c>
    </row>
    <row r="3691" spans="1:23" x14ac:dyDescent="0.2">
      <c r="A3691">
        <v>2021</v>
      </c>
      <c r="B3691" t="s">
        <v>23</v>
      </c>
      <c r="C3691" t="s">
        <v>272</v>
      </c>
      <c r="D3691">
        <v>186</v>
      </c>
      <c r="E3691">
        <v>2</v>
      </c>
      <c r="F3691">
        <v>2</v>
      </c>
      <c r="G3691" t="s">
        <v>211</v>
      </c>
      <c r="H3691" s="1">
        <v>11</v>
      </c>
      <c r="I3691" s="1">
        <v>59</v>
      </c>
      <c r="J3691" s="1">
        <v>63</v>
      </c>
      <c r="K3691" s="1">
        <f>J3691-I3691</f>
        <v>4</v>
      </c>
      <c r="L3691" s="1">
        <v>143</v>
      </c>
      <c r="M3691" s="1">
        <v>83</v>
      </c>
      <c r="N3691" s="1">
        <v>2</v>
      </c>
      <c r="O3691" s="1">
        <v>3.5</v>
      </c>
      <c r="P3691" s="1">
        <v>10</v>
      </c>
      <c r="Q3691" s="2">
        <v>0.35020000000000001</v>
      </c>
      <c r="R3691" s="1">
        <v>6</v>
      </c>
      <c r="S3691" s="1">
        <f>R3691/P3691</f>
        <v>0.6</v>
      </c>
      <c r="T3691" s="1">
        <v>5</v>
      </c>
      <c r="U3691" s="1">
        <v>12.5</v>
      </c>
      <c r="V3691" s="1">
        <v>1281.7777777777778</v>
      </c>
      <c r="W3691" s="1">
        <v>5</v>
      </c>
    </row>
    <row r="3692" spans="1:23" x14ac:dyDescent="0.2">
      <c r="A3692">
        <v>2021</v>
      </c>
      <c r="B3692" t="s">
        <v>23</v>
      </c>
      <c r="C3692" t="s">
        <v>272</v>
      </c>
      <c r="D3692">
        <v>187</v>
      </c>
      <c r="E3692">
        <v>1</v>
      </c>
      <c r="F3692">
        <v>1</v>
      </c>
      <c r="G3692" t="s">
        <v>212</v>
      </c>
      <c r="H3692" s="1">
        <v>12</v>
      </c>
      <c r="I3692" s="1">
        <v>67</v>
      </c>
      <c r="J3692" s="1">
        <v>70</v>
      </c>
      <c r="K3692" s="1">
        <f>J3692-I3692</f>
        <v>3</v>
      </c>
      <c r="L3692" s="1">
        <v>116</v>
      </c>
      <c r="M3692" s="1">
        <v>56</v>
      </c>
      <c r="N3692" s="1">
        <v>1.5</v>
      </c>
      <c r="O3692" s="1">
        <v>4</v>
      </c>
      <c r="P3692" s="1">
        <v>10</v>
      </c>
      <c r="Q3692" s="2">
        <v>0.21199999999999999</v>
      </c>
      <c r="R3692" s="1">
        <v>9</v>
      </c>
      <c r="S3692" s="1">
        <f>R3692/P3692</f>
        <v>0.9</v>
      </c>
      <c r="T3692" s="1">
        <v>4</v>
      </c>
      <c r="U3692" s="1">
        <v>12.5</v>
      </c>
      <c r="V3692" s="1">
        <v>775.94771241830074</v>
      </c>
      <c r="W3692" s="1">
        <v>4</v>
      </c>
    </row>
    <row r="3693" spans="1:23" x14ac:dyDescent="0.2">
      <c r="A3693">
        <v>2021</v>
      </c>
      <c r="B3693" t="s">
        <v>23</v>
      </c>
      <c r="C3693" t="s">
        <v>272</v>
      </c>
      <c r="D3693">
        <v>187</v>
      </c>
      <c r="E3693">
        <v>2</v>
      </c>
      <c r="F3693">
        <v>4</v>
      </c>
      <c r="G3693" t="s">
        <v>212</v>
      </c>
      <c r="H3693" s="1">
        <v>1</v>
      </c>
      <c r="I3693" s="1">
        <v>64</v>
      </c>
      <c r="J3693" s="1">
        <v>69</v>
      </c>
      <c r="K3693" s="1">
        <f>J3693-I3693</f>
        <v>5</v>
      </c>
      <c r="L3693" s="1">
        <v>32</v>
      </c>
      <c r="M3693" s="1">
        <v>70</v>
      </c>
      <c r="N3693" s="1">
        <v>1</v>
      </c>
      <c r="O3693" s="1">
        <v>2.5</v>
      </c>
      <c r="P3693" s="1">
        <v>1</v>
      </c>
      <c r="Q3693" s="2">
        <v>4.9500000000000002E-2</v>
      </c>
      <c r="R3693" s="1">
        <v>1</v>
      </c>
      <c r="S3693" s="1">
        <f>R3693/P3693</f>
        <v>1</v>
      </c>
      <c r="T3693" s="1">
        <v>2</v>
      </c>
      <c r="U3693" s="1">
        <v>12.5</v>
      </c>
      <c r="V3693" s="1">
        <v>181.17647058823528</v>
      </c>
      <c r="W3693" s="1">
        <v>3</v>
      </c>
    </row>
    <row r="3694" spans="1:23" x14ac:dyDescent="0.2">
      <c r="A3694">
        <v>2021</v>
      </c>
      <c r="B3694" t="s">
        <v>23</v>
      </c>
      <c r="C3694" t="s">
        <v>272</v>
      </c>
      <c r="D3694">
        <v>188</v>
      </c>
      <c r="E3694">
        <v>1</v>
      </c>
      <c r="F3694">
        <v>8</v>
      </c>
      <c r="G3694" t="s">
        <v>213</v>
      </c>
      <c r="H3694">
        <v>6</v>
      </c>
      <c r="I3694">
        <v>55</v>
      </c>
      <c r="J3694">
        <v>58</v>
      </c>
      <c r="K3694">
        <v>3</v>
      </c>
      <c r="L3694">
        <v>116</v>
      </c>
      <c r="M3694">
        <v>71</v>
      </c>
      <c r="N3694">
        <v>2.5</v>
      </c>
      <c r="O3694">
        <v>3</v>
      </c>
      <c r="P3694">
        <v>6</v>
      </c>
      <c r="Q3694">
        <v>0.4</v>
      </c>
      <c r="R3694">
        <v>6</v>
      </c>
      <c r="S3694">
        <v>1</v>
      </c>
      <c r="T3694">
        <v>3</v>
      </c>
      <c r="U3694">
        <v>12.5</v>
      </c>
      <c r="V3694">
        <v>1464.0522875816994</v>
      </c>
      <c r="W3694">
        <v>1</v>
      </c>
    </row>
    <row r="3695" spans="1:23" x14ac:dyDescent="0.2">
      <c r="A3695">
        <v>2021</v>
      </c>
      <c r="B3695" t="s">
        <v>23</v>
      </c>
      <c r="C3695" t="s">
        <v>272</v>
      </c>
      <c r="D3695">
        <v>188</v>
      </c>
      <c r="E3695">
        <v>2</v>
      </c>
      <c r="F3695">
        <v>6</v>
      </c>
      <c r="G3695" t="s">
        <v>213</v>
      </c>
      <c r="H3695" s="1">
        <v>4</v>
      </c>
      <c r="I3695" s="1">
        <v>62</v>
      </c>
      <c r="J3695" s="1">
        <v>65</v>
      </c>
      <c r="K3695" s="1">
        <f>J3695-I3695</f>
        <v>3</v>
      </c>
      <c r="L3695" s="1">
        <v>147</v>
      </c>
      <c r="M3695" s="1">
        <v>73</v>
      </c>
      <c r="N3695" s="1">
        <v>2</v>
      </c>
      <c r="O3695" s="1">
        <v>3.5</v>
      </c>
      <c r="P3695" s="1">
        <f>H3695-1</f>
        <v>3</v>
      </c>
      <c r="Q3695" s="2">
        <v>3.2625000000000001E-2</v>
      </c>
      <c r="R3695" s="1">
        <v>3</v>
      </c>
      <c r="S3695" s="1">
        <f>R3695/P3695</f>
        <v>1</v>
      </c>
      <c r="T3695" s="1">
        <v>5</v>
      </c>
      <c r="U3695" s="1">
        <v>12.5</v>
      </c>
      <c r="V3695" s="1">
        <v>119.41176470588238</v>
      </c>
      <c r="W3695" s="1">
        <v>3</v>
      </c>
    </row>
    <row r="3696" spans="1:23" x14ac:dyDescent="0.2">
      <c r="A3696">
        <v>2021</v>
      </c>
      <c r="B3696" t="s">
        <v>23</v>
      </c>
      <c r="C3696" t="s">
        <v>272</v>
      </c>
      <c r="D3696">
        <v>189</v>
      </c>
      <c r="E3696">
        <v>1</v>
      </c>
      <c r="F3696">
        <v>1</v>
      </c>
      <c r="G3696" t="s">
        <v>214</v>
      </c>
      <c r="H3696">
        <v>3</v>
      </c>
      <c r="I3696">
        <v>59</v>
      </c>
      <c r="J3696">
        <v>62</v>
      </c>
      <c r="K3696">
        <v>3</v>
      </c>
      <c r="L3696">
        <v>145</v>
      </c>
      <c r="M3696">
        <v>50</v>
      </c>
      <c r="N3696">
        <v>1.5</v>
      </c>
      <c r="O3696">
        <v>3.5</v>
      </c>
      <c r="P3696">
        <v>3</v>
      </c>
      <c r="Q3696">
        <v>0.2</v>
      </c>
      <c r="R3696">
        <v>3</v>
      </c>
      <c r="S3696">
        <v>1</v>
      </c>
      <c r="T3696">
        <v>3.5</v>
      </c>
      <c r="U3696">
        <v>12.5</v>
      </c>
      <c r="V3696">
        <v>732.02614379084969</v>
      </c>
      <c r="W3696">
        <v>1</v>
      </c>
    </row>
    <row r="3697" spans="1:23" x14ac:dyDescent="0.2">
      <c r="A3697">
        <v>2021</v>
      </c>
      <c r="B3697" t="s">
        <v>23</v>
      </c>
      <c r="C3697" t="s">
        <v>272</v>
      </c>
      <c r="D3697">
        <v>189</v>
      </c>
      <c r="E3697">
        <v>2</v>
      </c>
      <c r="F3697">
        <v>8</v>
      </c>
      <c r="G3697" t="s">
        <v>214</v>
      </c>
      <c r="H3697" s="1">
        <v>8</v>
      </c>
      <c r="I3697" s="1">
        <v>67</v>
      </c>
      <c r="J3697" s="1">
        <v>70</v>
      </c>
      <c r="K3697" s="1">
        <f>J3697-I3697</f>
        <v>3</v>
      </c>
      <c r="L3697" s="1">
        <v>104</v>
      </c>
      <c r="M3697" s="1">
        <v>25</v>
      </c>
      <c r="N3697" s="1">
        <v>2</v>
      </c>
      <c r="O3697" s="1">
        <v>4</v>
      </c>
      <c r="P3697" s="1">
        <v>4</v>
      </c>
      <c r="Q3697" s="2">
        <v>0.16400000000000001</v>
      </c>
      <c r="R3697" s="1">
        <v>3</v>
      </c>
      <c r="S3697" s="1">
        <f>R3697/P3697</f>
        <v>0.75</v>
      </c>
      <c r="T3697" s="1">
        <v>5</v>
      </c>
      <c r="U3697" s="1">
        <v>12.5</v>
      </c>
      <c r="V3697" s="1">
        <v>600.26143790849665</v>
      </c>
      <c r="W3697" s="1">
        <v>4</v>
      </c>
    </row>
    <row r="3698" spans="1:23" x14ac:dyDescent="0.2">
      <c r="A3698">
        <v>2021</v>
      </c>
      <c r="B3698" t="s">
        <v>23</v>
      </c>
      <c r="C3698" t="s">
        <v>272</v>
      </c>
      <c r="D3698">
        <v>190</v>
      </c>
      <c r="E3698">
        <v>1</v>
      </c>
      <c r="F3698">
        <v>9</v>
      </c>
      <c r="G3698" t="s">
        <v>215</v>
      </c>
      <c r="H3698">
        <v>15</v>
      </c>
      <c r="I3698">
        <v>58</v>
      </c>
      <c r="J3698">
        <v>61</v>
      </c>
      <c r="K3698">
        <v>3</v>
      </c>
      <c r="L3698">
        <v>150</v>
      </c>
      <c r="M3698">
        <v>87</v>
      </c>
      <c r="N3698">
        <v>2</v>
      </c>
      <c r="O3698">
        <v>2</v>
      </c>
      <c r="P3698">
        <v>12</v>
      </c>
      <c r="Q3698">
        <v>1</v>
      </c>
      <c r="R3698">
        <v>10</v>
      </c>
      <c r="S3698">
        <v>0.83333333333333337</v>
      </c>
      <c r="T3698">
        <v>2</v>
      </c>
      <c r="U3698">
        <v>8.6</v>
      </c>
      <c r="V3698">
        <v>3823.2679738562092</v>
      </c>
      <c r="W3698">
        <v>2</v>
      </c>
    </row>
    <row r="3699" spans="1:23" x14ac:dyDescent="0.2">
      <c r="A3699">
        <v>2021</v>
      </c>
      <c r="B3699" t="s">
        <v>23</v>
      </c>
      <c r="C3699" t="s">
        <v>272</v>
      </c>
      <c r="D3699">
        <v>190</v>
      </c>
      <c r="E3699">
        <v>2</v>
      </c>
      <c r="F3699">
        <v>6</v>
      </c>
      <c r="G3699" t="s">
        <v>215</v>
      </c>
      <c r="H3699" s="1">
        <v>8</v>
      </c>
      <c r="I3699" s="1">
        <v>66</v>
      </c>
      <c r="J3699" s="1">
        <v>67</v>
      </c>
      <c r="K3699" s="1">
        <f t="shared" ref="K3699:K3704" si="188">J3699-I3699</f>
        <v>1</v>
      </c>
      <c r="L3699" s="1">
        <v>109</v>
      </c>
      <c r="M3699" s="1">
        <v>27</v>
      </c>
      <c r="N3699" s="1">
        <v>2.5</v>
      </c>
      <c r="O3699" s="1">
        <v>5</v>
      </c>
      <c r="P3699" s="1">
        <v>4</v>
      </c>
      <c r="Q3699" s="2">
        <v>8.5500000000000007E-2</v>
      </c>
      <c r="R3699" s="1">
        <v>3</v>
      </c>
      <c r="S3699" s="1">
        <f t="shared" ref="S3699:S3704" si="189">R3699/P3699</f>
        <v>0.75</v>
      </c>
      <c r="T3699" s="1">
        <v>4</v>
      </c>
      <c r="U3699" s="1">
        <v>12.5</v>
      </c>
      <c r="V3699" s="1">
        <v>312.94117647058823</v>
      </c>
      <c r="W3699" s="1">
        <v>5</v>
      </c>
    </row>
    <row r="3700" spans="1:23" x14ac:dyDescent="0.2">
      <c r="A3700">
        <v>2021</v>
      </c>
      <c r="B3700" t="s">
        <v>23</v>
      </c>
      <c r="C3700" t="s">
        <v>272</v>
      </c>
      <c r="D3700">
        <v>191</v>
      </c>
      <c r="E3700">
        <v>1</v>
      </c>
      <c r="F3700">
        <v>3</v>
      </c>
      <c r="G3700" t="s">
        <v>216</v>
      </c>
      <c r="H3700" s="1">
        <v>6</v>
      </c>
      <c r="I3700" s="1">
        <v>69</v>
      </c>
      <c r="J3700" s="1">
        <v>70</v>
      </c>
      <c r="K3700" s="1">
        <f t="shared" si="188"/>
        <v>1</v>
      </c>
      <c r="L3700" s="1">
        <v>156</v>
      </c>
      <c r="M3700" s="1">
        <v>72</v>
      </c>
      <c r="N3700" s="1">
        <v>2.5</v>
      </c>
      <c r="O3700" s="1">
        <v>4.5</v>
      </c>
      <c r="P3700" s="1">
        <v>6</v>
      </c>
      <c r="Q3700" s="2">
        <v>0.124</v>
      </c>
      <c r="R3700" s="1">
        <v>3</v>
      </c>
      <c r="S3700" s="1">
        <f t="shared" si="189"/>
        <v>0.5</v>
      </c>
      <c r="T3700" s="1">
        <v>3.5</v>
      </c>
      <c r="U3700" s="1">
        <v>12.5</v>
      </c>
      <c r="V3700" s="1">
        <v>453.85620915032678</v>
      </c>
      <c r="W3700" s="1">
        <v>6</v>
      </c>
    </row>
    <row r="3701" spans="1:23" x14ac:dyDescent="0.2">
      <c r="A3701">
        <v>2021</v>
      </c>
      <c r="B3701" t="s">
        <v>23</v>
      </c>
      <c r="C3701" t="s">
        <v>272</v>
      </c>
      <c r="D3701">
        <v>191</v>
      </c>
      <c r="E3701">
        <v>2</v>
      </c>
      <c r="F3701">
        <v>10</v>
      </c>
      <c r="G3701" t="s">
        <v>216</v>
      </c>
      <c r="H3701" s="1">
        <v>1</v>
      </c>
      <c r="I3701" s="1">
        <v>61</v>
      </c>
      <c r="J3701" s="1">
        <v>65</v>
      </c>
      <c r="K3701" s="1">
        <f t="shared" si="188"/>
        <v>4</v>
      </c>
      <c r="L3701" s="1">
        <v>101</v>
      </c>
      <c r="M3701" s="1">
        <v>41</v>
      </c>
      <c r="N3701" s="1">
        <v>1.5</v>
      </c>
      <c r="O3701" s="1">
        <v>4</v>
      </c>
      <c r="P3701" s="1">
        <v>1</v>
      </c>
      <c r="Q3701" s="2">
        <v>4.2000000000000003E-2</v>
      </c>
      <c r="R3701" s="1">
        <v>1</v>
      </c>
      <c r="S3701" s="1">
        <f t="shared" si="189"/>
        <v>1</v>
      </c>
      <c r="T3701" s="1">
        <v>4</v>
      </c>
      <c r="U3701" s="1">
        <v>12.5</v>
      </c>
      <c r="V3701" s="1">
        <v>153.72549019607843</v>
      </c>
      <c r="W3701" s="1">
        <v>3</v>
      </c>
    </row>
    <row r="3702" spans="1:23" x14ac:dyDescent="0.2">
      <c r="A3702">
        <v>2021</v>
      </c>
      <c r="B3702" t="s">
        <v>23</v>
      </c>
      <c r="C3702" t="s">
        <v>272</v>
      </c>
      <c r="D3702">
        <v>192</v>
      </c>
      <c r="E3702">
        <v>1</v>
      </c>
      <c r="F3702">
        <v>9</v>
      </c>
      <c r="G3702" t="s">
        <v>217</v>
      </c>
      <c r="H3702" s="1">
        <v>13</v>
      </c>
      <c r="I3702" s="1">
        <v>64</v>
      </c>
      <c r="J3702" s="1">
        <v>67</v>
      </c>
      <c r="K3702" s="1">
        <f t="shared" si="188"/>
        <v>3</v>
      </c>
      <c r="L3702" s="1">
        <v>208</v>
      </c>
      <c r="M3702" s="1">
        <v>96</v>
      </c>
      <c r="N3702" s="1">
        <v>2</v>
      </c>
      <c r="O3702" s="1">
        <v>2.5</v>
      </c>
      <c r="P3702" s="1">
        <f>H3702</f>
        <v>13</v>
      </c>
      <c r="Q3702" s="2">
        <v>0.14174999999999999</v>
      </c>
      <c r="R3702" s="1">
        <v>13</v>
      </c>
      <c r="S3702" s="1">
        <f t="shared" si="189"/>
        <v>1</v>
      </c>
      <c r="T3702" s="1">
        <v>5</v>
      </c>
      <c r="U3702" s="1">
        <v>12.5</v>
      </c>
      <c r="V3702" s="1">
        <v>518.82352941176464</v>
      </c>
      <c r="W3702" s="1">
        <v>4</v>
      </c>
    </row>
    <row r="3703" spans="1:23" x14ac:dyDescent="0.2">
      <c r="A3703">
        <v>2021</v>
      </c>
      <c r="B3703" t="s">
        <v>23</v>
      </c>
      <c r="C3703" t="s">
        <v>272</v>
      </c>
      <c r="D3703">
        <v>192</v>
      </c>
      <c r="E3703">
        <v>2</v>
      </c>
      <c r="F3703">
        <v>14</v>
      </c>
      <c r="G3703" t="s">
        <v>217</v>
      </c>
      <c r="H3703" s="1">
        <v>8</v>
      </c>
      <c r="I3703" s="1">
        <v>69</v>
      </c>
      <c r="J3703" s="1">
        <v>73</v>
      </c>
      <c r="K3703" s="1">
        <f t="shared" si="188"/>
        <v>4</v>
      </c>
      <c r="L3703" s="1">
        <v>90</v>
      </c>
      <c r="M3703" s="1">
        <v>25</v>
      </c>
      <c r="N3703" s="1">
        <v>1.5</v>
      </c>
      <c r="O3703" s="1">
        <v>5</v>
      </c>
      <c r="P3703" s="1">
        <v>5</v>
      </c>
      <c r="Q3703" s="2">
        <v>9.4399999999999998E-2</v>
      </c>
      <c r="R3703" s="1">
        <v>3</v>
      </c>
      <c r="S3703" s="1">
        <f t="shared" si="189"/>
        <v>0.6</v>
      </c>
      <c r="T3703" s="1">
        <v>5</v>
      </c>
      <c r="U3703" s="1">
        <v>12.5</v>
      </c>
      <c r="V3703" s="1">
        <v>345.51633986928101</v>
      </c>
      <c r="W3703" s="1">
        <v>6</v>
      </c>
    </row>
    <row r="3704" spans="1:23" x14ac:dyDescent="0.2">
      <c r="A3704">
        <v>2021</v>
      </c>
      <c r="B3704" t="s">
        <v>23</v>
      </c>
      <c r="C3704" t="s">
        <v>272</v>
      </c>
      <c r="D3704">
        <v>193</v>
      </c>
      <c r="E3704">
        <v>1</v>
      </c>
      <c r="F3704">
        <v>7</v>
      </c>
      <c r="G3704" t="s">
        <v>218</v>
      </c>
      <c r="H3704" s="1">
        <v>12</v>
      </c>
      <c r="I3704" s="1">
        <v>65</v>
      </c>
      <c r="J3704" s="1">
        <v>68</v>
      </c>
      <c r="K3704" s="1">
        <f t="shared" si="188"/>
        <v>3</v>
      </c>
      <c r="L3704" s="1">
        <v>148</v>
      </c>
      <c r="M3704" s="1">
        <v>65</v>
      </c>
      <c r="N3704" s="1">
        <v>2</v>
      </c>
      <c r="O3704" s="1">
        <v>3.5</v>
      </c>
      <c r="P3704" s="1">
        <f>H3704</f>
        <v>12</v>
      </c>
      <c r="Q3704" s="2">
        <v>0.62812500000000004</v>
      </c>
      <c r="R3704" s="1">
        <v>9</v>
      </c>
      <c r="S3704" s="1">
        <f t="shared" si="189"/>
        <v>0.75</v>
      </c>
      <c r="T3704" s="1">
        <v>5</v>
      </c>
      <c r="U3704" s="1">
        <v>12.5</v>
      </c>
      <c r="V3704" s="1">
        <v>2299.0196078431381</v>
      </c>
      <c r="W3704" s="1">
        <v>4</v>
      </c>
    </row>
    <row r="3705" spans="1:23" x14ac:dyDescent="0.2">
      <c r="A3705">
        <v>2021</v>
      </c>
      <c r="B3705" t="s">
        <v>23</v>
      </c>
      <c r="C3705" t="s">
        <v>272</v>
      </c>
      <c r="D3705">
        <v>193</v>
      </c>
      <c r="E3705">
        <v>2</v>
      </c>
      <c r="F3705">
        <v>9</v>
      </c>
      <c r="G3705" t="s">
        <v>218</v>
      </c>
      <c r="H3705">
        <v>16</v>
      </c>
      <c r="I3705">
        <v>55</v>
      </c>
      <c r="J3705">
        <v>61</v>
      </c>
      <c r="K3705">
        <v>6</v>
      </c>
      <c r="L3705">
        <v>168</v>
      </c>
      <c r="M3705">
        <v>98</v>
      </c>
      <c r="N3705">
        <v>2</v>
      </c>
      <c r="O3705">
        <v>2</v>
      </c>
      <c r="P3705">
        <v>16</v>
      </c>
      <c r="Q3705">
        <v>1.2</v>
      </c>
      <c r="R3705">
        <v>12</v>
      </c>
      <c r="S3705">
        <v>0.75</v>
      </c>
      <c r="T3705">
        <v>3</v>
      </c>
      <c r="U3705">
        <v>10.199999999999999</v>
      </c>
      <c r="V3705">
        <v>4507.6078431372553</v>
      </c>
      <c r="W3705">
        <v>1</v>
      </c>
    </row>
    <row r="3706" spans="1:23" x14ac:dyDescent="0.2">
      <c r="A3706">
        <v>2021</v>
      </c>
      <c r="B3706" t="s">
        <v>23</v>
      </c>
      <c r="C3706" t="s">
        <v>272</v>
      </c>
      <c r="D3706">
        <v>194</v>
      </c>
      <c r="E3706">
        <v>1</v>
      </c>
      <c r="F3706">
        <v>1</v>
      </c>
      <c r="G3706" t="s">
        <v>219</v>
      </c>
      <c r="H3706" s="1">
        <v>14</v>
      </c>
      <c r="I3706" s="1">
        <v>61</v>
      </c>
      <c r="J3706" s="1">
        <v>66</v>
      </c>
      <c r="K3706" s="1">
        <f>J3706-I3706</f>
        <v>5</v>
      </c>
      <c r="L3706" s="1">
        <v>135</v>
      </c>
      <c r="M3706" s="1">
        <v>103</v>
      </c>
      <c r="N3706" s="1">
        <v>2</v>
      </c>
      <c r="O3706" s="1">
        <v>2.5</v>
      </c>
      <c r="P3706" s="1">
        <f>H3706-2</f>
        <v>12</v>
      </c>
      <c r="Q3706" s="2">
        <v>0.32550000000000001</v>
      </c>
      <c r="R3706" s="1">
        <v>9</v>
      </c>
      <c r="S3706" s="1">
        <f>R3706/P3706</f>
        <v>0.75</v>
      </c>
      <c r="T3706" s="1">
        <v>5</v>
      </c>
      <c r="U3706" s="1">
        <v>12.5</v>
      </c>
      <c r="V3706" s="1">
        <v>1191.3725490196077</v>
      </c>
      <c r="W3706" s="1">
        <v>5</v>
      </c>
    </row>
    <row r="3707" spans="1:23" x14ac:dyDescent="0.2">
      <c r="A3707">
        <v>2021</v>
      </c>
      <c r="B3707" t="s">
        <v>23</v>
      </c>
      <c r="C3707" t="s">
        <v>272</v>
      </c>
      <c r="D3707">
        <v>194</v>
      </c>
      <c r="E3707">
        <v>2</v>
      </c>
      <c r="F3707">
        <v>11</v>
      </c>
      <c r="G3707" t="s">
        <v>219</v>
      </c>
      <c r="H3707" s="1">
        <v>13</v>
      </c>
      <c r="I3707" s="1">
        <v>63</v>
      </c>
      <c r="J3707" s="1">
        <v>66</v>
      </c>
      <c r="K3707" s="1">
        <f>J3707-I3707</f>
        <v>3</v>
      </c>
      <c r="L3707" s="1">
        <v>110</v>
      </c>
      <c r="M3707" s="1">
        <v>51</v>
      </c>
      <c r="N3707" s="1">
        <v>3</v>
      </c>
      <c r="O3707" s="1">
        <v>3.5</v>
      </c>
      <c r="P3707" s="1">
        <f>H3707</f>
        <v>13</v>
      </c>
      <c r="Q3707" s="2">
        <v>0.32850000000000001</v>
      </c>
      <c r="R3707" s="1">
        <v>10</v>
      </c>
      <c r="S3707" s="1">
        <f>R3707/P3707</f>
        <v>0.76923076923076927</v>
      </c>
      <c r="T3707" s="1">
        <v>5</v>
      </c>
      <c r="U3707" s="1">
        <v>12.5</v>
      </c>
      <c r="V3707" s="1">
        <v>1202.3529411764707</v>
      </c>
      <c r="W3707" s="1">
        <v>5</v>
      </c>
    </row>
    <row r="3708" spans="1:23" x14ac:dyDescent="0.2">
      <c r="A3708">
        <v>2021</v>
      </c>
      <c r="B3708" t="s">
        <v>23</v>
      </c>
      <c r="C3708" t="s">
        <v>272</v>
      </c>
      <c r="D3708">
        <v>195</v>
      </c>
      <c r="E3708">
        <v>1</v>
      </c>
      <c r="F3708">
        <v>2</v>
      </c>
      <c r="G3708" t="s">
        <v>220</v>
      </c>
      <c r="H3708">
        <v>2</v>
      </c>
      <c r="I3708">
        <v>63</v>
      </c>
      <c r="J3708">
        <v>65</v>
      </c>
      <c r="K3708">
        <v>2</v>
      </c>
      <c r="L3708">
        <v>175</v>
      </c>
      <c r="M3708">
        <v>60</v>
      </c>
      <c r="N3708">
        <v>1.5</v>
      </c>
      <c r="O3708">
        <v>2</v>
      </c>
      <c r="P3708">
        <v>2</v>
      </c>
      <c r="Q3708">
        <v>0.4</v>
      </c>
      <c r="R3708">
        <v>3</v>
      </c>
      <c r="S3708">
        <v>1.5</v>
      </c>
      <c r="T3708">
        <v>2.5</v>
      </c>
      <c r="U3708">
        <v>12.5</v>
      </c>
      <c r="V3708">
        <v>1464.0522875816994</v>
      </c>
      <c r="W3708">
        <v>2</v>
      </c>
    </row>
    <row r="3709" spans="1:23" x14ac:dyDescent="0.2">
      <c r="A3709">
        <v>2021</v>
      </c>
      <c r="B3709" t="s">
        <v>23</v>
      </c>
      <c r="C3709" t="s">
        <v>272</v>
      </c>
      <c r="D3709">
        <v>195</v>
      </c>
      <c r="E3709">
        <v>2</v>
      </c>
      <c r="F3709">
        <v>14</v>
      </c>
      <c r="G3709" t="s">
        <v>220</v>
      </c>
      <c r="H3709" s="1">
        <v>8</v>
      </c>
      <c r="I3709" s="1">
        <v>65</v>
      </c>
      <c r="J3709" s="1">
        <v>70</v>
      </c>
      <c r="K3709" s="1">
        <f>J3709-I3709</f>
        <v>5</v>
      </c>
      <c r="L3709" s="1">
        <v>83</v>
      </c>
      <c r="M3709" s="1">
        <v>41</v>
      </c>
      <c r="N3709" s="1">
        <v>3</v>
      </c>
      <c r="O3709" s="1">
        <v>5</v>
      </c>
      <c r="P3709" s="1">
        <v>5</v>
      </c>
      <c r="Q3709" s="2">
        <v>0.14599999999999999</v>
      </c>
      <c r="R3709" s="1">
        <v>4</v>
      </c>
      <c r="S3709" s="1">
        <f>R3709/P3709</f>
        <v>0.8</v>
      </c>
      <c r="T3709" s="1">
        <v>5</v>
      </c>
      <c r="U3709" s="1">
        <v>12.5</v>
      </c>
      <c r="V3709" s="1">
        <v>534.37908496732018</v>
      </c>
      <c r="W3709" s="1">
        <v>5</v>
      </c>
    </row>
    <row r="3710" spans="1:23" x14ac:dyDescent="0.2">
      <c r="A3710">
        <v>2021</v>
      </c>
      <c r="B3710" t="s">
        <v>23</v>
      </c>
      <c r="C3710" t="s">
        <v>272</v>
      </c>
      <c r="D3710">
        <v>196</v>
      </c>
      <c r="E3710">
        <v>1</v>
      </c>
      <c r="F3710">
        <v>5</v>
      </c>
      <c r="G3710" t="s">
        <v>221</v>
      </c>
      <c r="H3710" s="1">
        <v>12</v>
      </c>
      <c r="I3710" s="1">
        <v>59</v>
      </c>
      <c r="J3710" s="1">
        <v>64</v>
      </c>
      <c r="K3710" s="1">
        <f>J3710-I3710</f>
        <v>5</v>
      </c>
      <c r="L3710" s="1">
        <v>132</v>
      </c>
      <c r="M3710" s="1">
        <v>67</v>
      </c>
      <c r="N3710" s="1">
        <v>3</v>
      </c>
      <c r="O3710" s="1">
        <v>4</v>
      </c>
      <c r="P3710" s="1">
        <v>7</v>
      </c>
      <c r="Q3710" s="2">
        <v>0.17460000000000001</v>
      </c>
      <c r="R3710" s="1">
        <v>4</v>
      </c>
      <c r="S3710" s="1">
        <f>R3710/P3710</f>
        <v>0.5714285714285714</v>
      </c>
      <c r="T3710" s="1">
        <v>5</v>
      </c>
      <c r="U3710" s="1">
        <v>12.5</v>
      </c>
      <c r="V3710" s="1">
        <v>639.05882352941182</v>
      </c>
      <c r="W3710" s="1">
        <v>5</v>
      </c>
    </row>
    <row r="3711" spans="1:23" x14ac:dyDescent="0.2">
      <c r="A3711">
        <v>2021</v>
      </c>
      <c r="B3711" t="s">
        <v>23</v>
      </c>
      <c r="C3711" t="s">
        <v>272</v>
      </c>
      <c r="D3711">
        <v>196</v>
      </c>
      <c r="E3711">
        <v>2</v>
      </c>
      <c r="F3711">
        <v>4</v>
      </c>
      <c r="G3711" t="s">
        <v>221</v>
      </c>
      <c r="H3711">
        <v>1</v>
      </c>
      <c r="I3711">
        <v>64</v>
      </c>
      <c r="J3711">
        <v>67</v>
      </c>
      <c r="K3711">
        <v>3</v>
      </c>
      <c r="L3711">
        <v>110</v>
      </c>
      <c r="M3711">
        <v>66</v>
      </c>
      <c r="N3711">
        <v>1.5</v>
      </c>
      <c r="O3711">
        <v>3.5</v>
      </c>
      <c r="P3711">
        <v>1</v>
      </c>
      <c r="Q3711">
        <v>0.1</v>
      </c>
      <c r="R3711">
        <v>1</v>
      </c>
      <c r="S3711">
        <v>1</v>
      </c>
      <c r="T3711">
        <v>3.5</v>
      </c>
      <c r="U3711">
        <v>12.5</v>
      </c>
      <c r="V3711">
        <v>366.01307189542484</v>
      </c>
      <c r="W3711">
        <v>1</v>
      </c>
    </row>
    <row r="3712" spans="1:23" x14ac:dyDescent="0.2">
      <c r="A3712">
        <v>2021</v>
      </c>
      <c r="B3712" t="s">
        <v>23</v>
      </c>
      <c r="C3712" t="s">
        <v>272</v>
      </c>
      <c r="D3712">
        <v>197</v>
      </c>
      <c r="E3712">
        <v>1</v>
      </c>
      <c r="F3712">
        <v>3</v>
      </c>
      <c r="G3712" t="s">
        <v>222</v>
      </c>
      <c r="H3712" s="1">
        <v>13</v>
      </c>
      <c r="I3712" s="1">
        <v>62</v>
      </c>
      <c r="J3712" s="1">
        <v>67</v>
      </c>
      <c r="K3712" s="1">
        <f t="shared" ref="K3712:K3717" si="190">J3712-I3712</f>
        <v>5</v>
      </c>
      <c r="L3712" s="1">
        <v>147</v>
      </c>
      <c r="M3712" s="1">
        <v>71</v>
      </c>
      <c r="N3712" s="1">
        <v>2</v>
      </c>
      <c r="O3712" s="1">
        <v>3.5</v>
      </c>
      <c r="P3712" s="1">
        <f>H3712</f>
        <v>13</v>
      </c>
      <c r="Q3712" s="2">
        <v>0.26700000000000002</v>
      </c>
      <c r="R3712" s="1">
        <v>10</v>
      </c>
      <c r="S3712" s="1">
        <f t="shared" ref="S3712:S3717" si="191">R3712/P3712</f>
        <v>0.76923076923076927</v>
      </c>
      <c r="T3712" s="1">
        <v>5</v>
      </c>
      <c r="U3712" s="1">
        <v>12.5</v>
      </c>
      <c r="V3712" s="1">
        <v>977.25490196078442</v>
      </c>
      <c r="W3712" s="1">
        <v>6</v>
      </c>
    </row>
    <row r="3713" spans="1:23" x14ac:dyDescent="0.2">
      <c r="A3713">
        <v>2021</v>
      </c>
      <c r="B3713" t="s">
        <v>23</v>
      </c>
      <c r="C3713" t="s">
        <v>272</v>
      </c>
      <c r="D3713">
        <v>197</v>
      </c>
      <c r="E3713">
        <v>2</v>
      </c>
      <c r="F3713">
        <v>12</v>
      </c>
      <c r="G3713" t="s">
        <v>222</v>
      </c>
      <c r="H3713" s="1">
        <v>4</v>
      </c>
      <c r="I3713" s="1">
        <v>64</v>
      </c>
      <c r="J3713" s="1">
        <v>67</v>
      </c>
      <c r="K3713" s="1">
        <f t="shared" si="190"/>
        <v>3</v>
      </c>
      <c r="L3713" s="1">
        <v>146</v>
      </c>
      <c r="M3713" s="1">
        <v>68</v>
      </c>
      <c r="N3713" s="1">
        <v>2</v>
      </c>
      <c r="O3713" s="1">
        <v>2</v>
      </c>
      <c r="P3713" s="1">
        <v>4</v>
      </c>
      <c r="Q3713" s="2">
        <v>0.1053</v>
      </c>
      <c r="R3713" s="1">
        <v>5</v>
      </c>
      <c r="S3713" s="1">
        <f t="shared" si="191"/>
        <v>1.25</v>
      </c>
      <c r="T3713" s="1">
        <v>3</v>
      </c>
      <c r="U3713" s="1">
        <v>12.5</v>
      </c>
      <c r="V3713" s="1">
        <v>385.41176470588243</v>
      </c>
      <c r="W3713" s="1">
        <v>3</v>
      </c>
    </row>
    <row r="3714" spans="1:23" x14ac:dyDescent="0.2">
      <c r="A3714">
        <v>2021</v>
      </c>
      <c r="B3714" t="s">
        <v>23</v>
      </c>
      <c r="C3714" t="s">
        <v>272</v>
      </c>
      <c r="D3714">
        <v>198</v>
      </c>
      <c r="E3714">
        <v>1</v>
      </c>
      <c r="F3714">
        <v>7</v>
      </c>
      <c r="G3714" t="s">
        <v>223</v>
      </c>
      <c r="H3714" s="1">
        <v>6</v>
      </c>
      <c r="I3714" s="1">
        <v>66</v>
      </c>
      <c r="J3714" s="1">
        <v>70</v>
      </c>
      <c r="K3714" s="1">
        <f t="shared" si="190"/>
        <v>4</v>
      </c>
      <c r="L3714" s="1">
        <v>75</v>
      </c>
      <c r="M3714" s="1">
        <v>47</v>
      </c>
      <c r="N3714" s="1">
        <v>2</v>
      </c>
      <c r="O3714" s="1">
        <v>3</v>
      </c>
      <c r="P3714" s="1">
        <v>6</v>
      </c>
      <c r="Q3714" s="2">
        <v>0.42099999999999999</v>
      </c>
      <c r="R3714" s="1">
        <v>2</v>
      </c>
      <c r="S3714" s="1">
        <f t="shared" si="191"/>
        <v>0.33333333333333331</v>
      </c>
      <c r="T3714" s="1">
        <v>5</v>
      </c>
      <c r="U3714" s="1">
        <v>12.5</v>
      </c>
      <c r="V3714" s="1">
        <v>1540.9150326797385</v>
      </c>
      <c r="W3714" s="1">
        <v>3</v>
      </c>
    </row>
    <row r="3715" spans="1:23" x14ac:dyDescent="0.2">
      <c r="A3715">
        <v>2021</v>
      </c>
      <c r="B3715" t="s">
        <v>23</v>
      </c>
      <c r="C3715" t="s">
        <v>272</v>
      </c>
      <c r="D3715">
        <v>198</v>
      </c>
      <c r="E3715">
        <v>2</v>
      </c>
      <c r="F3715">
        <v>11</v>
      </c>
      <c r="G3715" t="s">
        <v>223</v>
      </c>
      <c r="H3715" s="1">
        <v>10</v>
      </c>
      <c r="I3715" s="1">
        <v>60</v>
      </c>
      <c r="J3715" s="1">
        <v>65</v>
      </c>
      <c r="K3715" s="1">
        <f t="shared" si="190"/>
        <v>5</v>
      </c>
      <c r="L3715" s="1">
        <v>120</v>
      </c>
      <c r="M3715" s="1">
        <v>46</v>
      </c>
      <c r="N3715" s="1">
        <v>1.5</v>
      </c>
      <c r="O3715" s="1">
        <v>4.5</v>
      </c>
      <c r="P3715" s="1">
        <v>6</v>
      </c>
      <c r="Q3715" s="2">
        <v>0.24</v>
      </c>
      <c r="R3715" s="1">
        <v>4</v>
      </c>
      <c r="S3715" s="1">
        <f t="shared" si="191"/>
        <v>0.66666666666666663</v>
      </c>
      <c r="T3715" s="1">
        <v>5</v>
      </c>
      <c r="U3715" s="1">
        <v>12.5</v>
      </c>
      <c r="V3715" s="1">
        <v>878.43137254901967</v>
      </c>
      <c r="W3715" s="1">
        <v>5</v>
      </c>
    </row>
    <row r="3716" spans="1:23" x14ac:dyDescent="0.2">
      <c r="A3716">
        <v>2021</v>
      </c>
      <c r="B3716" t="s">
        <v>23</v>
      </c>
      <c r="C3716" t="s">
        <v>272</v>
      </c>
      <c r="D3716">
        <v>199</v>
      </c>
      <c r="E3716">
        <v>1</v>
      </c>
      <c r="F3716">
        <v>12</v>
      </c>
      <c r="G3716" t="s">
        <v>224</v>
      </c>
      <c r="H3716" s="1">
        <v>6</v>
      </c>
      <c r="I3716" s="1">
        <v>64</v>
      </c>
      <c r="J3716" s="1">
        <v>69</v>
      </c>
      <c r="K3716" s="1">
        <f t="shared" si="190"/>
        <v>5</v>
      </c>
      <c r="L3716" s="1">
        <v>143</v>
      </c>
      <c r="M3716" s="1">
        <v>82</v>
      </c>
      <c r="N3716" s="1">
        <v>1</v>
      </c>
      <c r="O3716" s="1">
        <v>2.5</v>
      </c>
      <c r="P3716" s="1">
        <v>3</v>
      </c>
      <c r="Q3716" s="2">
        <v>0.58199999999999996</v>
      </c>
      <c r="R3716" s="1">
        <v>3</v>
      </c>
      <c r="S3716" s="1">
        <f t="shared" si="191"/>
        <v>1</v>
      </c>
      <c r="T3716" s="1">
        <v>3</v>
      </c>
      <c r="U3716" s="1">
        <v>8.5</v>
      </c>
      <c r="V3716" s="1">
        <v>2227.5764705882348</v>
      </c>
      <c r="W3716" s="1">
        <v>4</v>
      </c>
    </row>
    <row r="3717" spans="1:23" x14ac:dyDescent="0.2">
      <c r="A3717">
        <v>2021</v>
      </c>
      <c r="B3717" t="s">
        <v>23</v>
      </c>
      <c r="C3717" t="s">
        <v>272</v>
      </c>
      <c r="D3717">
        <v>199</v>
      </c>
      <c r="E3717">
        <v>2</v>
      </c>
      <c r="F3717">
        <v>8</v>
      </c>
      <c r="G3717" t="s">
        <v>224</v>
      </c>
      <c r="H3717" s="1">
        <v>12</v>
      </c>
      <c r="I3717" s="1">
        <v>66</v>
      </c>
      <c r="J3717" s="1">
        <v>70</v>
      </c>
      <c r="K3717" s="1">
        <f t="shared" si="190"/>
        <v>4</v>
      </c>
      <c r="L3717" s="1">
        <v>178</v>
      </c>
      <c r="M3717" s="1">
        <v>83</v>
      </c>
      <c r="N3717" s="1">
        <v>2</v>
      </c>
      <c r="O3717" s="1">
        <v>4</v>
      </c>
      <c r="P3717" s="1">
        <v>6</v>
      </c>
      <c r="Q3717" s="2">
        <v>0.33239999999999997</v>
      </c>
      <c r="R3717" s="1">
        <v>7</v>
      </c>
      <c r="S3717" s="1">
        <f t="shared" si="191"/>
        <v>1.1666666666666667</v>
      </c>
      <c r="T3717" s="1">
        <v>5</v>
      </c>
      <c r="U3717" s="1">
        <v>10.1</v>
      </c>
      <c r="V3717" s="1">
        <v>1249.9978039215689</v>
      </c>
      <c r="W3717" s="1">
        <v>6</v>
      </c>
    </row>
    <row r="3718" spans="1:23" x14ac:dyDescent="0.2">
      <c r="A3718">
        <v>2021</v>
      </c>
      <c r="B3718" t="s">
        <v>23</v>
      </c>
      <c r="C3718" t="s">
        <v>272</v>
      </c>
      <c r="D3718">
        <v>200</v>
      </c>
      <c r="E3718">
        <v>1</v>
      </c>
      <c r="F3718">
        <v>12</v>
      </c>
      <c r="G3718" t="s">
        <v>225</v>
      </c>
      <c r="H3718">
        <v>8</v>
      </c>
      <c r="I3718">
        <v>58</v>
      </c>
      <c r="J3718">
        <v>61</v>
      </c>
      <c r="K3718">
        <v>3</v>
      </c>
      <c r="L3718">
        <v>122</v>
      </c>
      <c r="M3718">
        <v>35</v>
      </c>
      <c r="N3718">
        <v>1.5</v>
      </c>
      <c r="O3718">
        <v>2</v>
      </c>
      <c r="P3718">
        <v>8</v>
      </c>
      <c r="Q3718">
        <v>0.3</v>
      </c>
      <c r="R3718">
        <v>8</v>
      </c>
      <c r="S3718">
        <v>1</v>
      </c>
      <c r="T3718">
        <v>2.5</v>
      </c>
      <c r="U3718">
        <v>12.5</v>
      </c>
      <c r="V3718">
        <v>1098.0392156862745</v>
      </c>
      <c r="W3718">
        <v>1</v>
      </c>
    </row>
    <row r="3719" spans="1:23" x14ac:dyDescent="0.2">
      <c r="A3719">
        <v>2021</v>
      </c>
      <c r="B3719" t="s">
        <v>23</v>
      </c>
      <c r="C3719" t="s">
        <v>272</v>
      </c>
      <c r="D3719">
        <v>200</v>
      </c>
      <c r="E3719">
        <v>2</v>
      </c>
      <c r="F3719">
        <v>6</v>
      </c>
      <c r="G3719" t="s">
        <v>225</v>
      </c>
      <c r="H3719" s="1">
        <v>10</v>
      </c>
      <c r="I3719" s="1">
        <v>61</v>
      </c>
      <c r="J3719" s="1">
        <v>65</v>
      </c>
      <c r="K3719" s="1">
        <f>J3719-I3719</f>
        <v>4</v>
      </c>
      <c r="L3719" s="1">
        <v>95</v>
      </c>
      <c r="M3719" s="1">
        <v>30</v>
      </c>
      <c r="N3719" s="1">
        <v>3</v>
      </c>
      <c r="O3719" s="1">
        <v>4</v>
      </c>
      <c r="P3719" s="1">
        <v>6</v>
      </c>
      <c r="Q3719" s="2">
        <v>0.222</v>
      </c>
      <c r="R3719" s="1">
        <v>6</v>
      </c>
      <c r="S3719" s="1">
        <f>R3719/P3719</f>
        <v>1</v>
      </c>
      <c r="T3719" s="1">
        <v>3.5</v>
      </c>
      <c r="U3719" s="1">
        <v>12.5</v>
      </c>
      <c r="V3719" s="1">
        <v>812.54901960784309</v>
      </c>
      <c r="W3719" s="1">
        <v>5</v>
      </c>
    </row>
    <row r="3720" spans="1:23" x14ac:dyDescent="0.2">
      <c r="A3720">
        <v>2021</v>
      </c>
      <c r="B3720" t="s">
        <v>23</v>
      </c>
      <c r="C3720" t="s">
        <v>272</v>
      </c>
      <c r="D3720">
        <v>201</v>
      </c>
      <c r="E3720">
        <v>1</v>
      </c>
      <c r="F3720">
        <v>1</v>
      </c>
      <c r="G3720" t="s">
        <v>226</v>
      </c>
      <c r="H3720">
        <v>15</v>
      </c>
      <c r="I3720">
        <v>55</v>
      </c>
      <c r="J3720">
        <v>56</v>
      </c>
      <c r="K3720">
        <v>1</v>
      </c>
      <c r="L3720">
        <v>163</v>
      </c>
      <c r="M3720">
        <v>83</v>
      </c>
      <c r="N3720">
        <v>2</v>
      </c>
      <c r="O3720">
        <v>2</v>
      </c>
      <c r="P3720">
        <v>12</v>
      </c>
      <c r="Q3720">
        <v>0.6</v>
      </c>
      <c r="R3720">
        <v>12</v>
      </c>
      <c r="S3720">
        <v>1</v>
      </c>
      <c r="T3720">
        <v>3</v>
      </c>
      <c r="U3720">
        <v>7.9</v>
      </c>
      <c r="V3720">
        <v>2311.5294117647059</v>
      </c>
      <c r="W3720">
        <v>2</v>
      </c>
    </row>
    <row r="3721" spans="1:23" x14ac:dyDescent="0.2">
      <c r="A3721">
        <v>2021</v>
      </c>
      <c r="B3721" t="s">
        <v>23</v>
      </c>
      <c r="C3721" t="s">
        <v>272</v>
      </c>
      <c r="D3721">
        <v>201</v>
      </c>
      <c r="E3721">
        <v>2</v>
      </c>
      <c r="F3721">
        <v>2</v>
      </c>
      <c r="G3721" t="s">
        <v>226</v>
      </c>
      <c r="H3721">
        <v>16</v>
      </c>
      <c r="I3721">
        <v>57</v>
      </c>
      <c r="J3721">
        <v>60</v>
      </c>
      <c r="K3721">
        <v>3</v>
      </c>
      <c r="L3721">
        <v>166</v>
      </c>
      <c r="M3721">
        <v>65</v>
      </c>
      <c r="N3721">
        <v>2</v>
      </c>
      <c r="O3721">
        <v>3</v>
      </c>
      <c r="P3721">
        <v>11</v>
      </c>
      <c r="Q3721">
        <v>0.7</v>
      </c>
      <c r="R3721">
        <v>12</v>
      </c>
      <c r="S3721">
        <v>1.0909090909090908</v>
      </c>
      <c r="T3721">
        <v>3</v>
      </c>
      <c r="U3721">
        <v>9</v>
      </c>
      <c r="V3721">
        <v>2664.5751633986929</v>
      </c>
      <c r="W3721">
        <v>2</v>
      </c>
    </row>
    <row r="3722" spans="1:23" x14ac:dyDescent="0.2">
      <c r="A3722">
        <v>2021</v>
      </c>
      <c r="B3722" t="s">
        <v>23</v>
      </c>
      <c r="C3722" t="s">
        <v>272</v>
      </c>
      <c r="D3722">
        <v>202</v>
      </c>
      <c r="E3722">
        <v>1</v>
      </c>
      <c r="F3722">
        <v>2</v>
      </c>
      <c r="G3722" t="s">
        <v>227</v>
      </c>
      <c r="H3722" s="1">
        <v>8</v>
      </c>
      <c r="I3722" s="1">
        <v>64</v>
      </c>
      <c r="J3722" s="1">
        <v>67</v>
      </c>
      <c r="K3722" s="1">
        <f>J3722-I3722</f>
        <v>3</v>
      </c>
      <c r="L3722" s="1">
        <v>95</v>
      </c>
      <c r="M3722" s="1">
        <v>35</v>
      </c>
      <c r="N3722" s="1">
        <v>3</v>
      </c>
      <c r="O3722" s="1">
        <v>5</v>
      </c>
      <c r="P3722" s="1">
        <v>4</v>
      </c>
      <c r="Q3722" s="2">
        <v>2.4E-2</v>
      </c>
      <c r="R3722" s="1">
        <v>1</v>
      </c>
      <c r="S3722" s="1">
        <f>R3722/P3722</f>
        <v>0.25</v>
      </c>
      <c r="T3722" s="1">
        <v>5</v>
      </c>
      <c r="U3722" s="1">
        <v>12.5</v>
      </c>
      <c r="V3722" s="1">
        <v>87.843137254901961</v>
      </c>
      <c r="W3722" s="1">
        <v>6</v>
      </c>
    </row>
    <row r="3723" spans="1:23" x14ac:dyDescent="0.2">
      <c r="A3723">
        <v>2021</v>
      </c>
      <c r="B3723" t="s">
        <v>23</v>
      </c>
      <c r="C3723" t="s">
        <v>272</v>
      </c>
      <c r="D3723">
        <v>202</v>
      </c>
      <c r="E3723">
        <v>2</v>
      </c>
      <c r="F3723">
        <v>9</v>
      </c>
      <c r="G3723" t="s">
        <v>227</v>
      </c>
      <c r="H3723">
        <v>13</v>
      </c>
      <c r="I3723">
        <v>64</v>
      </c>
      <c r="J3723">
        <v>67</v>
      </c>
      <c r="K3723">
        <v>3</v>
      </c>
      <c r="L3723">
        <v>134</v>
      </c>
      <c r="M3723">
        <v>60</v>
      </c>
      <c r="N3723">
        <v>1.5</v>
      </c>
      <c r="O3723">
        <v>3.5</v>
      </c>
      <c r="P3723">
        <v>13</v>
      </c>
      <c r="Q3723">
        <v>0.8</v>
      </c>
      <c r="R3723">
        <v>10</v>
      </c>
      <c r="S3723">
        <v>0.76923076923076927</v>
      </c>
      <c r="T3723">
        <v>3.5</v>
      </c>
      <c r="U3723">
        <v>12.5</v>
      </c>
      <c r="V3723">
        <v>2928.1045751633987</v>
      </c>
      <c r="W3723">
        <v>2</v>
      </c>
    </row>
    <row r="3724" spans="1:23" x14ac:dyDescent="0.2">
      <c r="A3724">
        <v>2021</v>
      </c>
      <c r="B3724" t="s">
        <v>23</v>
      </c>
      <c r="C3724" t="s">
        <v>272</v>
      </c>
      <c r="D3724">
        <v>203</v>
      </c>
      <c r="E3724">
        <v>1</v>
      </c>
      <c r="F3724">
        <v>1</v>
      </c>
      <c r="G3724" t="s">
        <v>228</v>
      </c>
      <c r="H3724" s="1">
        <v>10</v>
      </c>
      <c r="I3724" s="1">
        <v>60</v>
      </c>
      <c r="J3724" s="1">
        <v>63</v>
      </c>
      <c r="K3724" s="1">
        <f>J3724-I3724</f>
        <v>3</v>
      </c>
      <c r="L3724" s="1">
        <v>187</v>
      </c>
      <c r="M3724" s="1">
        <v>93</v>
      </c>
      <c r="N3724" s="1">
        <v>2</v>
      </c>
      <c r="O3724" s="1">
        <v>2.5</v>
      </c>
      <c r="P3724" s="1">
        <v>8</v>
      </c>
      <c r="Q3724" s="2">
        <v>0.47399999999999998</v>
      </c>
      <c r="R3724" s="1">
        <v>6</v>
      </c>
      <c r="S3724" s="1">
        <f>R3724/P3724</f>
        <v>0.75</v>
      </c>
      <c r="T3724" s="1">
        <v>5</v>
      </c>
      <c r="U3724" s="1">
        <v>11.1</v>
      </c>
      <c r="V3724" s="1">
        <v>1762.6603921568631</v>
      </c>
      <c r="W3724" s="1">
        <v>5</v>
      </c>
    </row>
    <row r="3725" spans="1:23" x14ac:dyDescent="0.2">
      <c r="A3725">
        <v>2021</v>
      </c>
      <c r="B3725" t="s">
        <v>23</v>
      </c>
      <c r="C3725" t="s">
        <v>272</v>
      </c>
      <c r="D3725">
        <v>203</v>
      </c>
      <c r="E3725">
        <v>2</v>
      </c>
      <c r="F3725">
        <v>7</v>
      </c>
      <c r="G3725" t="s">
        <v>228</v>
      </c>
      <c r="H3725" s="3">
        <v>1</v>
      </c>
      <c r="I3725" s="3">
        <v>65</v>
      </c>
      <c r="J3725" s="3">
        <v>68</v>
      </c>
      <c r="K3725" s="3">
        <f>J3725-I3725</f>
        <v>3</v>
      </c>
      <c r="L3725" s="3">
        <v>66</v>
      </c>
      <c r="M3725" s="3">
        <v>40</v>
      </c>
      <c r="N3725" s="3">
        <v>1.5</v>
      </c>
      <c r="O3725" s="3">
        <v>4</v>
      </c>
      <c r="P3725" s="3">
        <v>1</v>
      </c>
      <c r="Q3725" s="4">
        <v>6.2E-2</v>
      </c>
      <c r="R3725" s="3">
        <v>1</v>
      </c>
      <c r="S3725" s="3">
        <f>R3725/P3725</f>
        <v>1</v>
      </c>
      <c r="T3725" s="3">
        <v>4</v>
      </c>
      <c r="U3725" s="3">
        <v>12.5</v>
      </c>
      <c r="V3725" s="3">
        <v>226.92810457516339</v>
      </c>
      <c r="W3725" s="3">
        <v>3</v>
      </c>
    </row>
    <row r="3726" spans="1:23" x14ac:dyDescent="0.2">
      <c r="A3726">
        <v>2021</v>
      </c>
      <c r="B3726" t="s">
        <v>23</v>
      </c>
      <c r="C3726" t="s">
        <v>272</v>
      </c>
      <c r="D3726">
        <v>204</v>
      </c>
      <c r="E3726">
        <v>1</v>
      </c>
      <c r="F3726">
        <v>11</v>
      </c>
      <c r="G3726" t="s">
        <v>229</v>
      </c>
      <c r="H3726" s="1">
        <v>9</v>
      </c>
      <c r="I3726" s="1">
        <v>59</v>
      </c>
      <c r="J3726" s="1">
        <v>64</v>
      </c>
      <c r="K3726" s="1">
        <f>J3726-I3726</f>
        <v>5</v>
      </c>
      <c r="L3726" s="1">
        <v>102</v>
      </c>
      <c r="M3726" s="1">
        <v>47</v>
      </c>
      <c r="N3726" s="1">
        <v>2</v>
      </c>
      <c r="O3726" s="1">
        <v>3.5</v>
      </c>
      <c r="P3726" s="1">
        <v>8</v>
      </c>
      <c r="Q3726" s="2">
        <v>0.25</v>
      </c>
      <c r="R3726" s="1">
        <v>7</v>
      </c>
      <c r="S3726" s="1">
        <f>R3726/P3726</f>
        <v>0.875</v>
      </c>
      <c r="T3726" s="1">
        <v>3</v>
      </c>
      <c r="U3726" s="1">
        <v>12.5</v>
      </c>
      <c r="V3726" s="1">
        <v>915.03267973856214</v>
      </c>
      <c r="W3726" s="1">
        <v>3</v>
      </c>
    </row>
    <row r="3727" spans="1:23" x14ac:dyDescent="0.2">
      <c r="A3727">
        <v>2021</v>
      </c>
      <c r="B3727" t="s">
        <v>23</v>
      </c>
      <c r="C3727" t="s">
        <v>272</v>
      </c>
      <c r="D3727">
        <v>204</v>
      </c>
      <c r="E3727">
        <v>2</v>
      </c>
      <c r="F3727">
        <v>6</v>
      </c>
      <c r="G3727" t="s">
        <v>229</v>
      </c>
      <c r="H3727" s="1">
        <v>10</v>
      </c>
      <c r="I3727" s="1">
        <v>62</v>
      </c>
      <c r="J3727" s="1">
        <v>65</v>
      </c>
      <c r="K3727" s="1">
        <f>J3727-I3727</f>
        <v>3</v>
      </c>
      <c r="L3727" s="1">
        <v>205</v>
      </c>
      <c r="M3727" s="1">
        <v>95</v>
      </c>
      <c r="N3727" s="1">
        <v>2</v>
      </c>
      <c r="O3727" s="1">
        <v>2</v>
      </c>
      <c r="P3727" s="1">
        <v>10</v>
      </c>
      <c r="Q3727" s="2">
        <v>0.70050000000000001</v>
      </c>
      <c r="R3727" s="1">
        <v>9</v>
      </c>
      <c r="S3727" s="1">
        <f>R3727/P3727</f>
        <v>0.9</v>
      </c>
      <c r="T3727" s="1">
        <v>3</v>
      </c>
      <c r="U3727" s="1">
        <v>8.5</v>
      </c>
      <c r="V3727" s="1">
        <v>2681.1294117647062</v>
      </c>
      <c r="W3727" s="1">
        <v>3</v>
      </c>
    </row>
    <row r="3728" spans="1:23" x14ac:dyDescent="0.2">
      <c r="A3728">
        <v>2021</v>
      </c>
      <c r="B3728" t="s">
        <v>23</v>
      </c>
      <c r="C3728" t="s">
        <v>272</v>
      </c>
      <c r="D3728">
        <v>205</v>
      </c>
      <c r="E3728">
        <v>1</v>
      </c>
      <c r="F3728">
        <v>11</v>
      </c>
      <c r="G3728" t="s">
        <v>230</v>
      </c>
      <c r="H3728" s="1">
        <v>13</v>
      </c>
      <c r="I3728" s="1">
        <v>60</v>
      </c>
      <c r="J3728" s="1">
        <v>65</v>
      </c>
      <c r="K3728" s="1">
        <f>J3728-I3728</f>
        <v>5</v>
      </c>
      <c r="L3728" s="1">
        <v>120</v>
      </c>
      <c r="M3728" s="1">
        <v>70</v>
      </c>
      <c r="N3728" s="1">
        <v>2</v>
      </c>
      <c r="O3728" s="1">
        <v>3.5</v>
      </c>
      <c r="P3728" s="1">
        <f>H3728-2</f>
        <v>11</v>
      </c>
      <c r="Q3728" s="2">
        <v>0.09</v>
      </c>
      <c r="R3728" s="1">
        <v>8</v>
      </c>
      <c r="S3728" s="1">
        <f>R3728/P3728</f>
        <v>0.72727272727272729</v>
      </c>
      <c r="T3728" s="1">
        <v>5</v>
      </c>
      <c r="U3728" s="1">
        <v>12.5</v>
      </c>
      <c r="V3728" s="1">
        <v>329.41176470588232</v>
      </c>
      <c r="W3728" s="1">
        <v>4</v>
      </c>
    </row>
    <row r="3729" spans="1:23" x14ac:dyDescent="0.2">
      <c r="A3729">
        <v>2021</v>
      </c>
      <c r="B3729" t="s">
        <v>23</v>
      </c>
      <c r="C3729" t="s">
        <v>272</v>
      </c>
      <c r="D3729">
        <v>205</v>
      </c>
      <c r="E3729">
        <v>2</v>
      </c>
      <c r="F3729">
        <v>6</v>
      </c>
      <c r="G3729" t="s">
        <v>230</v>
      </c>
      <c r="H3729">
        <v>14</v>
      </c>
      <c r="I3729">
        <v>53</v>
      </c>
      <c r="J3729">
        <v>55</v>
      </c>
      <c r="K3729">
        <v>2</v>
      </c>
      <c r="L3729">
        <v>152</v>
      </c>
      <c r="M3729">
        <v>62</v>
      </c>
      <c r="N3729">
        <v>2</v>
      </c>
      <c r="O3729">
        <v>1.5</v>
      </c>
      <c r="P3729">
        <v>6</v>
      </c>
      <c r="Q3729">
        <v>0.3</v>
      </c>
      <c r="R3729">
        <v>6</v>
      </c>
      <c r="S3729">
        <v>1</v>
      </c>
      <c r="T3729">
        <v>3</v>
      </c>
      <c r="U3729">
        <v>10.6</v>
      </c>
      <c r="V3729">
        <v>1121.8823529411764</v>
      </c>
      <c r="W3729">
        <v>2</v>
      </c>
    </row>
    <row r="3730" spans="1:23" x14ac:dyDescent="0.2">
      <c r="A3730">
        <v>2021</v>
      </c>
      <c r="B3730" t="s">
        <v>23</v>
      </c>
      <c r="C3730" t="s">
        <v>272</v>
      </c>
      <c r="D3730">
        <v>206</v>
      </c>
      <c r="E3730">
        <v>1</v>
      </c>
      <c r="F3730">
        <v>15</v>
      </c>
      <c r="G3730" t="s">
        <v>231</v>
      </c>
      <c r="H3730" s="1">
        <v>3</v>
      </c>
      <c r="I3730" s="1">
        <v>62</v>
      </c>
      <c r="J3730" s="1">
        <v>67</v>
      </c>
      <c r="K3730" s="1">
        <f>J3730-I3730</f>
        <v>5</v>
      </c>
      <c r="L3730" s="1">
        <v>71</v>
      </c>
      <c r="M3730" s="1">
        <v>52</v>
      </c>
      <c r="N3730" s="1">
        <v>2</v>
      </c>
      <c r="O3730" s="1">
        <v>3.5</v>
      </c>
      <c r="P3730" s="1">
        <v>3</v>
      </c>
      <c r="Q3730" s="2">
        <v>7.6799999999999993E-2</v>
      </c>
      <c r="R3730" s="1">
        <v>5</v>
      </c>
      <c r="S3730" s="1">
        <f>R3730/P3730</f>
        <v>1.6666666666666667</v>
      </c>
      <c r="T3730" s="1">
        <v>5</v>
      </c>
      <c r="U3730" s="1">
        <v>10.6</v>
      </c>
      <c r="V3730" s="1">
        <v>287.2018823529412</v>
      </c>
      <c r="W3730" s="1">
        <v>4</v>
      </c>
    </row>
    <row r="3731" spans="1:23" x14ac:dyDescent="0.2">
      <c r="A3731">
        <v>2021</v>
      </c>
      <c r="B3731" t="s">
        <v>23</v>
      </c>
      <c r="C3731" t="s">
        <v>272</v>
      </c>
      <c r="D3731">
        <v>206</v>
      </c>
      <c r="E3731">
        <v>2</v>
      </c>
      <c r="F3731">
        <v>15</v>
      </c>
      <c r="G3731" t="s">
        <v>231</v>
      </c>
      <c r="H3731" s="1">
        <v>7</v>
      </c>
      <c r="I3731" s="1">
        <v>66</v>
      </c>
      <c r="J3731" s="1">
        <v>69</v>
      </c>
      <c r="K3731" s="1">
        <f>J3731-I3731</f>
        <v>3</v>
      </c>
      <c r="L3731" s="1">
        <v>122</v>
      </c>
      <c r="M3731" s="1">
        <v>40</v>
      </c>
      <c r="N3731" s="1">
        <v>1.5</v>
      </c>
      <c r="O3731" s="1">
        <v>4</v>
      </c>
      <c r="P3731" s="1">
        <v>4</v>
      </c>
      <c r="Q3731" s="2">
        <v>0.26</v>
      </c>
      <c r="R3731" s="1">
        <v>4</v>
      </c>
      <c r="S3731" s="1">
        <f>R3731/P3731</f>
        <v>1</v>
      </c>
      <c r="T3731" s="1">
        <v>4</v>
      </c>
      <c r="U3731" s="1">
        <v>12.5</v>
      </c>
      <c r="V3731" s="1">
        <v>951.63398692810449</v>
      </c>
      <c r="W3731" s="1">
        <v>4</v>
      </c>
    </row>
    <row r="3732" spans="1:23" x14ac:dyDescent="0.2">
      <c r="A3732">
        <v>2021</v>
      </c>
      <c r="B3732" t="s">
        <v>23</v>
      </c>
      <c r="C3732" t="s">
        <v>272</v>
      </c>
      <c r="D3732">
        <v>207</v>
      </c>
      <c r="E3732">
        <v>1</v>
      </c>
      <c r="F3732">
        <v>1</v>
      </c>
      <c r="G3732" t="s">
        <v>232</v>
      </c>
      <c r="H3732" s="1">
        <v>12</v>
      </c>
      <c r="I3732" s="1">
        <v>59</v>
      </c>
      <c r="J3732" s="1">
        <v>65</v>
      </c>
      <c r="K3732" s="1">
        <f>J3732-I3732</f>
        <v>6</v>
      </c>
      <c r="L3732" s="1">
        <v>114</v>
      </c>
      <c r="M3732" s="1">
        <v>46</v>
      </c>
      <c r="N3732" s="1">
        <v>3</v>
      </c>
      <c r="O3732" s="1">
        <v>4.5</v>
      </c>
      <c r="P3732" s="1">
        <v>3</v>
      </c>
      <c r="Q3732" s="2">
        <v>0.122</v>
      </c>
      <c r="R3732" s="1">
        <v>3</v>
      </c>
      <c r="S3732" s="1">
        <f>R3732/P3732</f>
        <v>1</v>
      </c>
      <c r="T3732" s="1">
        <v>3</v>
      </c>
      <c r="U3732" s="1">
        <v>12.5</v>
      </c>
      <c r="V3732" s="1">
        <v>446.53594771241831</v>
      </c>
      <c r="W3732" s="1">
        <v>5</v>
      </c>
    </row>
    <row r="3733" spans="1:23" x14ac:dyDescent="0.2">
      <c r="A3733">
        <v>2021</v>
      </c>
      <c r="B3733" t="s">
        <v>23</v>
      </c>
      <c r="C3733" t="s">
        <v>272</v>
      </c>
      <c r="D3733">
        <v>207</v>
      </c>
      <c r="E3733">
        <v>2</v>
      </c>
      <c r="F3733">
        <v>5</v>
      </c>
      <c r="G3733" t="s">
        <v>232</v>
      </c>
      <c r="H3733">
        <v>16</v>
      </c>
      <c r="I3733">
        <v>52</v>
      </c>
      <c r="J3733">
        <v>54</v>
      </c>
      <c r="K3733">
        <v>2</v>
      </c>
      <c r="L3733">
        <v>155</v>
      </c>
      <c r="M3733">
        <v>68</v>
      </c>
      <c r="N3733">
        <v>2</v>
      </c>
      <c r="O3733">
        <v>2</v>
      </c>
      <c r="P3733">
        <v>12</v>
      </c>
      <c r="Q3733">
        <v>1.6</v>
      </c>
      <c r="R3733">
        <v>11</v>
      </c>
      <c r="S3733">
        <v>0.91666666666666663</v>
      </c>
      <c r="T3733">
        <v>2</v>
      </c>
      <c r="U3733">
        <v>8.6999999999999993</v>
      </c>
      <c r="V3733">
        <v>6110.5359477124193</v>
      </c>
      <c r="W3733">
        <v>2</v>
      </c>
    </row>
    <row r="3734" spans="1:23" x14ac:dyDescent="0.2">
      <c r="A3734">
        <v>2021</v>
      </c>
      <c r="B3734" t="s">
        <v>23</v>
      </c>
      <c r="C3734" t="s">
        <v>272</v>
      </c>
      <c r="D3734">
        <v>208</v>
      </c>
      <c r="E3734">
        <v>1</v>
      </c>
      <c r="F3734">
        <v>3</v>
      </c>
      <c r="G3734" t="s">
        <v>233</v>
      </c>
      <c r="H3734">
        <v>13</v>
      </c>
      <c r="I3734">
        <v>55</v>
      </c>
      <c r="J3734">
        <v>56</v>
      </c>
      <c r="K3734">
        <v>1</v>
      </c>
      <c r="L3734">
        <v>172</v>
      </c>
      <c r="M3734">
        <v>49</v>
      </c>
      <c r="N3734">
        <v>2</v>
      </c>
      <c r="O3734">
        <v>3</v>
      </c>
      <c r="P3734">
        <v>13</v>
      </c>
      <c r="Q3734">
        <v>1.4</v>
      </c>
      <c r="R3734">
        <v>12</v>
      </c>
      <c r="S3734">
        <v>0.92307692307692313</v>
      </c>
      <c r="T3734">
        <v>2.5</v>
      </c>
      <c r="U3734">
        <v>12.5</v>
      </c>
      <c r="V3734">
        <v>5124.1830065359472</v>
      </c>
      <c r="W3734">
        <v>1</v>
      </c>
    </row>
    <row r="3735" spans="1:23" x14ac:dyDescent="0.2">
      <c r="A3735">
        <v>2021</v>
      </c>
      <c r="B3735" t="s">
        <v>23</v>
      </c>
      <c r="C3735" t="s">
        <v>272</v>
      </c>
      <c r="D3735">
        <v>208</v>
      </c>
      <c r="E3735">
        <v>2</v>
      </c>
      <c r="F3735">
        <v>12</v>
      </c>
      <c r="G3735" t="s">
        <v>233</v>
      </c>
      <c r="H3735" s="1">
        <v>8</v>
      </c>
      <c r="I3735" s="1">
        <v>67</v>
      </c>
      <c r="J3735" s="1">
        <v>70</v>
      </c>
      <c r="K3735" s="1">
        <f>J3735-I3735</f>
        <v>3</v>
      </c>
      <c r="L3735" s="1">
        <v>104</v>
      </c>
      <c r="M3735" s="1">
        <v>25</v>
      </c>
      <c r="N3735" s="1">
        <v>2</v>
      </c>
      <c r="O3735" s="1">
        <v>4</v>
      </c>
      <c r="P3735" s="1">
        <v>4</v>
      </c>
      <c r="Q3735" s="2">
        <v>0.16400000000000001</v>
      </c>
      <c r="R3735" s="1">
        <v>3</v>
      </c>
      <c r="S3735" s="1">
        <f>R3735/P3735</f>
        <v>0.75</v>
      </c>
      <c r="T3735" s="1">
        <v>5</v>
      </c>
      <c r="U3735" s="1">
        <v>12.5</v>
      </c>
      <c r="V3735" s="1">
        <v>600.26143790849665</v>
      </c>
      <c r="W3735" s="1">
        <v>4</v>
      </c>
    </row>
    <row r="3736" spans="1:23" x14ac:dyDescent="0.2">
      <c r="A3736">
        <v>2021</v>
      </c>
      <c r="B3736" t="s">
        <v>23</v>
      </c>
      <c r="C3736" t="s">
        <v>272</v>
      </c>
      <c r="D3736">
        <v>209</v>
      </c>
      <c r="E3736">
        <v>1</v>
      </c>
      <c r="F3736">
        <v>11</v>
      </c>
      <c r="G3736" t="s">
        <v>234</v>
      </c>
      <c r="H3736" s="1">
        <v>4</v>
      </c>
      <c r="I3736" s="1">
        <v>64</v>
      </c>
      <c r="J3736" s="1">
        <v>68</v>
      </c>
      <c r="K3736" s="1">
        <f>J3736-I3736</f>
        <v>4</v>
      </c>
      <c r="L3736" s="1">
        <v>127</v>
      </c>
      <c r="M3736" s="1">
        <v>51</v>
      </c>
      <c r="N3736" s="1">
        <v>2</v>
      </c>
      <c r="O3736" s="1">
        <v>4.5</v>
      </c>
      <c r="P3736" s="1">
        <v>4</v>
      </c>
      <c r="Q3736" s="2">
        <v>8.1000000000000003E-2</v>
      </c>
      <c r="R3736" s="1">
        <v>4</v>
      </c>
      <c r="S3736" s="1">
        <f>R3736/P3736</f>
        <v>1</v>
      </c>
      <c r="T3736" s="1">
        <v>5</v>
      </c>
      <c r="U3736" s="1">
        <v>12.5</v>
      </c>
      <c r="V3736" s="1">
        <v>296.47058823529409</v>
      </c>
      <c r="W3736" s="1">
        <v>5</v>
      </c>
    </row>
    <row r="3737" spans="1:23" x14ac:dyDescent="0.2">
      <c r="A3737">
        <v>2021</v>
      </c>
      <c r="B3737" t="s">
        <v>23</v>
      </c>
      <c r="C3737" t="s">
        <v>272</v>
      </c>
      <c r="D3737">
        <v>209</v>
      </c>
      <c r="E3737">
        <v>2</v>
      </c>
      <c r="F3737">
        <v>8</v>
      </c>
      <c r="G3737" t="s">
        <v>234</v>
      </c>
      <c r="H3737" s="1">
        <v>6</v>
      </c>
      <c r="I3737" s="1">
        <v>62</v>
      </c>
      <c r="J3737" s="1">
        <v>63</v>
      </c>
      <c r="K3737" s="1">
        <f>J3737-I3737</f>
        <v>1</v>
      </c>
      <c r="L3737" s="1">
        <v>173</v>
      </c>
      <c r="M3737" s="1">
        <v>85</v>
      </c>
      <c r="N3737" s="1">
        <v>2</v>
      </c>
      <c r="O3737" s="1">
        <v>3.5</v>
      </c>
      <c r="P3737" s="1">
        <v>6</v>
      </c>
      <c r="Q3737" s="2">
        <v>4.0600000000000004E-2</v>
      </c>
      <c r="R3737" s="1">
        <v>4</v>
      </c>
      <c r="S3737" s="1">
        <f>R3737/P3737</f>
        <v>0.66666666666666663</v>
      </c>
      <c r="T3737" s="1">
        <v>5</v>
      </c>
      <c r="U3737" s="1">
        <v>12.5</v>
      </c>
      <c r="V3737" s="1">
        <v>148.6013071895425</v>
      </c>
      <c r="W3737" s="1">
        <v>2</v>
      </c>
    </row>
    <row r="3738" spans="1:23" x14ac:dyDescent="0.2">
      <c r="A3738">
        <v>2021</v>
      </c>
      <c r="B3738" t="s">
        <v>23</v>
      </c>
      <c r="C3738" t="s">
        <v>272</v>
      </c>
      <c r="D3738">
        <v>210</v>
      </c>
      <c r="E3738">
        <v>1</v>
      </c>
      <c r="F3738">
        <v>15</v>
      </c>
      <c r="G3738" t="s">
        <v>235</v>
      </c>
      <c r="H3738">
        <v>1</v>
      </c>
      <c r="I3738">
        <v>63</v>
      </c>
      <c r="J3738">
        <v>65</v>
      </c>
      <c r="K3738">
        <v>2</v>
      </c>
      <c r="L3738">
        <v>160</v>
      </c>
      <c r="M3738">
        <v>60</v>
      </c>
      <c r="N3738">
        <v>1.5</v>
      </c>
      <c r="O3738">
        <v>3.5</v>
      </c>
      <c r="P3738">
        <v>1</v>
      </c>
      <c r="Q3738">
        <v>0.1</v>
      </c>
      <c r="R3738">
        <v>1</v>
      </c>
      <c r="S3738">
        <v>1</v>
      </c>
      <c r="T3738">
        <v>2.5</v>
      </c>
      <c r="U3738">
        <v>12.5</v>
      </c>
      <c r="V3738">
        <v>366.01307189542484</v>
      </c>
      <c r="W3738">
        <v>1</v>
      </c>
    </row>
    <row r="3739" spans="1:23" x14ac:dyDescent="0.2">
      <c r="A3739">
        <v>2021</v>
      </c>
      <c r="B3739" t="s">
        <v>23</v>
      </c>
      <c r="C3739" t="s">
        <v>272</v>
      </c>
      <c r="D3739">
        <v>210</v>
      </c>
      <c r="E3739">
        <v>2</v>
      </c>
      <c r="F3739">
        <v>10</v>
      </c>
      <c r="G3739" t="s">
        <v>235</v>
      </c>
      <c r="H3739">
        <v>1</v>
      </c>
      <c r="I3739">
        <v>64</v>
      </c>
      <c r="J3739">
        <v>67</v>
      </c>
      <c r="K3739">
        <v>3</v>
      </c>
      <c r="L3739">
        <v>110</v>
      </c>
      <c r="M3739">
        <v>66</v>
      </c>
      <c r="N3739">
        <v>2</v>
      </c>
      <c r="O3739">
        <v>3</v>
      </c>
      <c r="P3739">
        <v>1</v>
      </c>
      <c r="Q3739">
        <v>0.1</v>
      </c>
      <c r="R3739">
        <v>1</v>
      </c>
      <c r="S3739">
        <v>1</v>
      </c>
      <c r="T3739">
        <v>2.5</v>
      </c>
      <c r="U3739">
        <v>12.5</v>
      </c>
      <c r="V3739">
        <v>366.01307189542484</v>
      </c>
      <c r="W3739">
        <v>1</v>
      </c>
    </row>
    <row r="3740" spans="1:23" x14ac:dyDescent="0.2">
      <c r="A3740">
        <v>2021</v>
      </c>
      <c r="B3740" t="s">
        <v>23</v>
      </c>
      <c r="C3740" t="s">
        <v>272</v>
      </c>
      <c r="D3740">
        <v>211</v>
      </c>
      <c r="E3740">
        <v>1</v>
      </c>
      <c r="F3740">
        <v>1</v>
      </c>
      <c r="G3740" t="s">
        <v>236</v>
      </c>
      <c r="H3740" s="1">
        <v>7</v>
      </c>
      <c r="I3740" s="1">
        <v>63</v>
      </c>
      <c r="J3740" s="1">
        <v>66</v>
      </c>
      <c r="K3740" s="1">
        <f>J3740-I3740</f>
        <v>3</v>
      </c>
      <c r="L3740" s="1">
        <v>122</v>
      </c>
      <c r="M3740" s="1">
        <v>58</v>
      </c>
      <c r="N3740" s="1">
        <v>2</v>
      </c>
      <c r="O3740" s="1">
        <v>3.5</v>
      </c>
      <c r="P3740" s="1">
        <v>7</v>
      </c>
      <c r="Q3740" s="2">
        <v>2.9531249999999998E-2</v>
      </c>
      <c r="R3740" s="1">
        <v>2</v>
      </c>
      <c r="S3740" s="1">
        <f>R3740/P3740</f>
        <v>0.2857142857142857</v>
      </c>
      <c r="T3740" s="1">
        <v>5</v>
      </c>
      <c r="U3740" s="1">
        <v>12.5</v>
      </c>
      <c r="V3740" s="1">
        <v>108.08823529411764</v>
      </c>
      <c r="W3740" s="1">
        <v>4</v>
      </c>
    </row>
    <row r="3741" spans="1:23" x14ac:dyDescent="0.2">
      <c r="A3741">
        <v>2021</v>
      </c>
      <c r="B3741" t="s">
        <v>23</v>
      </c>
      <c r="C3741" t="s">
        <v>272</v>
      </c>
      <c r="D3741">
        <v>211</v>
      </c>
      <c r="E3741">
        <v>2</v>
      </c>
      <c r="F3741">
        <v>14</v>
      </c>
      <c r="G3741" t="s">
        <v>236</v>
      </c>
      <c r="H3741">
        <v>3</v>
      </c>
      <c r="I3741">
        <v>56</v>
      </c>
      <c r="J3741">
        <v>60</v>
      </c>
      <c r="K3741">
        <v>4</v>
      </c>
      <c r="L3741">
        <v>137</v>
      </c>
      <c r="M3741">
        <v>65</v>
      </c>
      <c r="N3741">
        <v>4</v>
      </c>
      <c r="O3741">
        <v>3</v>
      </c>
      <c r="P3741">
        <v>1</v>
      </c>
      <c r="Q3741">
        <v>8.6999999999999994E-2</v>
      </c>
      <c r="R3741">
        <v>1</v>
      </c>
      <c r="S3741">
        <v>1</v>
      </c>
      <c r="T3741">
        <v>3</v>
      </c>
      <c r="U3741">
        <v>12.5</v>
      </c>
      <c r="V3741">
        <v>318.43137254901961</v>
      </c>
      <c r="W3741">
        <v>2</v>
      </c>
    </row>
    <row r="3742" spans="1:23" x14ac:dyDescent="0.2">
      <c r="A3742">
        <v>2021</v>
      </c>
      <c r="B3742" t="s">
        <v>23</v>
      </c>
      <c r="C3742" t="s">
        <v>272</v>
      </c>
      <c r="D3742">
        <v>212</v>
      </c>
      <c r="E3742">
        <v>1</v>
      </c>
      <c r="F3742">
        <v>13</v>
      </c>
      <c r="G3742" t="s">
        <v>237</v>
      </c>
      <c r="H3742">
        <v>3</v>
      </c>
      <c r="I3742">
        <v>58</v>
      </c>
      <c r="J3742">
        <v>60</v>
      </c>
      <c r="K3742">
        <v>2</v>
      </c>
      <c r="L3742">
        <v>154</v>
      </c>
      <c r="M3742">
        <v>82</v>
      </c>
      <c r="N3742">
        <v>2</v>
      </c>
      <c r="O3742">
        <v>2</v>
      </c>
      <c r="P3742">
        <v>2</v>
      </c>
      <c r="Q3742">
        <v>0.2</v>
      </c>
      <c r="R3742">
        <v>2</v>
      </c>
      <c r="S3742">
        <v>1</v>
      </c>
      <c r="T3742">
        <v>3</v>
      </c>
      <c r="U3742">
        <v>12.5</v>
      </c>
      <c r="V3742">
        <v>732.02614379084969</v>
      </c>
      <c r="W3742">
        <v>2</v>
      </c>
    </row>
    <row r="3743" spans="1:23" x14ac:dyDescent="0.2">
      <c r="A3743">
        <v>2021</v>
      </c>
      <c r="B3743" t="s">
        <v>23</v>
      </c>
      <c r="C3743" t="s">
        <v>272</v>
      </c>
      <c r="D3743">
        <v>212</v>
      </c>
      <c r="E3743">
        <v>2</v>
      </c>
      <c r="F3743">
        <v>5</v>
      </c>
      <c r="G3743" t="s">
        <v>237</v>
      </c>
      <c r="H3743" s="1">
        <v>8</v>
      </c>
      <c r="I3743" s="1">
        <v>64</v>
      </c>
      <c r="J3743" s="1">
        <v>67</v>
      </c>
      <c r="K3743" s="1">
        <f>J3743-I3743</f>
        <v>3</v>
      </c>
      <c r="L3743" s="1">
        <v>112</v>
      </c>
      <c r="M3743" s="1">
        <v>25</v>
      </c>
      <c r="N3743" s="1">
        <v>3</v>
      </c>
      <c r="O3743" s="1">
        <v>4.5</v>
      </c>
      <c r="P3743" s="1">
        <v>2</v>
      </c>
      <c r="Q3743" s="2">
        <v>5.7500000000000002E-2</v>
      </c>
      <c r="R3743" s="1">
        <v>2</v>
      </c>
      <c r="S3743" s="1">
        <f>R3743/P3743</f>
        <v>1</v>
      </c>
      <c r="T3743" s="1">
        <v>5</v>
      </c>
      <c r="U3743" s="1">
        <v>12.5</v>
      </c>
      <c r="V3743" s="1">
        <v>210.45751633986927</v>
      </c>
      <c r="W3743" s="1">
        <v>6</v>
      </c>
    </row>
    <row r="3744" spans="1:23" x14ac:dyDescent="0.2">
      <c r="A3744">
        <v>2021</v>
      </c>
      <c r="B3744" t="s">
        <v>23</v>
      </c>
      <c r="C3744" t="s">
        <v>272</v>
      </c>
      <c r="D3744">
        <v>213</v>
      </c>
      <c r="E3744">
        <v>1</v>
      </c>
      <c r="F3744">
        <v>9</v>
      </c>
      <c r="G3744" t="s">
        <v>238</v>
      </c>
      <c r="H3744">
        <v>4</v>
      </c>
      <c r="I3744">
        <v>55</v>
      </c>
      <c r="J3744">
        <v>59</v>
      </c>
      <c r="K3744">
        <v>4</v>
      </c>
      <c r="L3744">
        <v>108</v>
      </c>
      <c r="M3744">
        <v>11</v>
      </c>
      <c r="N3744">
        <v>3</v>
      </c>
      <c r="O3744">
        <v>4</v>
      </c>
      <c r="P3744">
        <v>4</v>
      </c>
      <c r="Q3744">
        <v>0.13100000000000001</v>
      </c>
      <c r="R3744">
        <v>4</v>
      </c>
      <c r="S3744">
        <v>1</v>
      </c>
      <c r="T3744">
        <v>4</v>
      </c>
      <c r="U3744">
        <v>12.5</v>
      </c>
      <c r="V3744">
        <v>479.47712418300648</v>
      </c>
      <c r="W3744">
        <v>1</v>
      </c>
    </row>
    <row r="3745" spans="1:23" x14ac:dyDescent="0.2">
      <c r="A3745">
        <v>2021</v>
      </c>
      <c r="B3745" t="s">
        <v>23</v>
      </c>
      <c r="C3745" t="s">
        <v>272</v>
      </c>
      <c r="D3745">
        <v>213</v>
      </c>
      <c r="E3745">
        <v>2</v>
      </c>
      <c r="F3745">
        <v>6</v>
      </c>
      <c r="G3745" t="s">
        <v>238</v>
      </c>
      <c r="H3745" s="1">
        <v>11</v>
      </c>
      <c r="I3745" s="1">
        <v>68</v>
      </c>
      <c r="J3745" s="1">
        <v>72</v>
      </c>
      <c r="K3745" s="1">
        <f>J3745-I3745</f>
        <v>4</v>
      </c>
      <c r="L3745" s="1">
        <v>143</v>
      </c>
      <c r="M3745" s="1">
        <v>82</v>
      </c>
      <c r="N3745" s="1">
        <v>2</v>
      </c>
      <c r="O3745" s="1">
        <v>2.5</v>
      </c>
      <c r="P3745" s="1">
        <f>H3745</f>
        <v>11</v>
      </c>
      <c r="Q3745" s="2">
        <v>0.23579999999999998</v>
      </c>
      <c r="R3745" s="1">
        <v>11</v>
      </c>
      <c r="S3745" s="1">
        <f>R3745/P3745</f>
        <v>1</v>
      </c>
      <c r="T3745" s="1">
        <v>5</v>
      </c>
      <c r="U3745" s="1">
        <v>12.5</v>
      </c>
      <c r="V3745" s="1">
        <v>863.05882352941182</v>
      </c>
      <c r="W3745" s="1">
        <v>6</v>
      </c>
    </row>
    <row r="3746" spans="1:23" x14ac:dyDescent="0.2">
      <c r="A3746">
        <v>2021</v>
      </c>
      <c r="B3746" t="s">
        <v>23</v>
      </c>
      <c r="C3746" t="s">
        <v>272</v>
      </c>
      <c r="D3746">
        <v>214</v>
      </c>
      <c r="E3746">
        <v>1</v>
      </c>
      <c r="F3746">
        <v>11</v>
      </c>
      <c r="G3746" t="s">
        <v>239</v>
      </c>
      <c r="H3746">
        <v>15</v>
      </c>
      <c r="I3746">
        <v>57</v>
      </c>
      <c r="J3746">
        <v>60</v>
      </c>
      <c r="K3746">
        <v>3</v>
      </c>
      <c r="L3746">
        <v>132</v>
      </c>
      <c r="M3746">
        <v>78</v>
      </c>
      <c r="N3746">
        <v>2</v>
      </c>
      <c r="O3746">
        <v>1.5</v>
      </c>
      <c r="P3746">
        <v>14</v>
      </c>
      <c r="Q3746">
        <v>1</v>
      </c>
      <c r="R3746">
        <v>12</v>
      </c>
      <c r="S3746">
        <v>0.8571428571428571</v>
      </c>
      <c r="T3746">
        <v>3</v>
      </c>
      <c r="U3746">
        <v>10.1</v>
      </c>
      <c r="V3746">
        <v>3760.5228758169937</v>
      </c>
      <c r="W3746">
        <v>1</v>
      </c>
    </row>
    <row r="3747" spans="1:23" x14ac:dyDescent="0.2">
      <c r="A3747">
        <v>2021</v>
      </c>
      <c r="B3747" t="s">
        <v>23</v>
      </c>
      <c r="C3747" t="s">
        <v>272</v>
      </c>
      <c r="D3747">
        <v>214</v>
      </c>
      <c r="E3747">
        <v>2</v>
      </c>
      <c r="F3747">
        <v>11</v>
      </c>
      <c r="G3747" t="s">
        <v>239</v>
      </c>
      <c r="H3747">
        <v>3</v>
      </c>
      <c r="I3747">
        <v>63</v>
      </c>
      <c r="J3747">
        <v>67</v>
      </c>
      <c r="K3747">
        <v>4</v>
      </c>
      <c r="L3747">
        <v>135</v>
      </c>
      <c r="M3747">
        <v>60</v>
      </c>
      <c r="N3747">
        <v>2</v>
      </c>
      <c r="O3747">
        <v>3</v>
      </c>
      <c r="P3747">
        <v>3</v>
      </c>
      <c r="Q3747">
        <v>0.4</v>
      </c>
      <c r="R3747">
        <v>4</v>
      </c>
      <c r="S3747">
        <v>1.3333333333333333</v>
      </c>
      <c r="T3747">
        <v>3</v>
      </c>
      <c r="U3747">
        <v>12.5</v>
      </c>
      <c r="V3747">
        <v>1464.0522875816994</v>
      </c>
      <c r="W3747">
        <v>1</v>
      </c>
    </row>
    <row r="3748" spans="1:23" x14ac:dyDescent="0.2">
      <c r="A3748">
        <v>2021</v>
      </c>
      <c r="B3748" t="s">
        <v>23</v>
      </c>
      <c r="C3748" t="s">
        <v>272</v>
      </c>
      <c r="D3748">
        <v>215</v>
      </c>
      <c r="E3748">
        <v>1</v>
      </c>
      <c r="F3748">
        <v>10</v>
      </c>
      <c r="G3748" t="s">
        <v>240</v>
      </c>
      <c r="H3748" s="1">
        <v>4</v>
      </c>
      <c r="I3748" s="1">
        <v>66</v>
      </c>
      <c r="J3748" s="1">
        <v>71</v>
      </c>
      <c r="K3748" s="1">
        <f>J3748-I3748</f>
        <v>5</v>
      </c>
      <c r="L3748" s="1">
        <v>124</v>
      </c>
      <c r="M3748" s="1">
        <v>44</v>
      </c>
      <c r="N3748" s="1">
        <v>1.5</v>
      </c>
      <c r="O3748" s="1">
        <v>3.5</v>
      </c>
      <c r="P3748" s="1">
        <v>4</v>
      </c>
      <c r="Q3748" s="2">
        <v>0.115</v>
      </c>
      <c r="R3748" s="1">
        <v>3</v>
      </c>
      <c r="S3748" s="1">
        <f>R3748/P3748</f>
        <v>0.75</v>
      </c>
      <c r="T3748" s="1">
        <v>4.5</v>
      </c>
      <c r="U3748" s="1">
        <v>12.5</v>
      </c>
      <c r="V3748" s="1">
        <v>420.91503267973854</v>
      </c>
      <c r="W3748" s="1">
        <v>3</v>
      </c>
    </row>
    <row r="3749" spans="1:23" x14ac:dyDescent="0.2">
      <c r="A3749">
        <v>2021</v>
      </c>
      <c r="B3749" t="s">
        <v>23</v>
      </c>
      <c r="C3749" t="s">
        <v>272</v>
      </c>
      <c r="D3749">
        <v>215</v>
      </c>
      <c r="E3749">
        <v>2</v>
      </c>
      <c r="F3749">
        <v>4</v>
      </c>
      <c r="G3749" t="s">
        <v>240</v>
      </c>
      <c r="H3749" s="1">
        <v>3</v>
      </c>
      <c r="I3749" s="1">
        <v>66</v>
      </c>
      <c r="J3749" s="1">
        <v>67</v>
      </c>
      <c r="K3749" s="1">
        <f>J3749-I3749</f>
        <v>1</v>
      </c>
      <c r="L3749" s="1">
        <v>47</v>
      </c>
      <c r="M3749" s="1">
        <v>43</v>
      </c>
      <c r="N3749" s="1">
        <v>2</v>
      </c>
      <c r="O3749" s="1">
        <v>3.5</v>
      </c>
      <c r="P3749" s="1">
        <v>3</v>
      </c>
      <c r="Q3749" s="2">
        <v>0.12</v>
      </c>
      <c r="R3749" s="1">
        <v>5</v>
      </c>
      <c r="S3749" s="1">
        <f>R3749/P3749</f>
        <v>1.6666666666666667</v>
      </c>
      <c r="T3749" s="1">
        <v>4</v>
      </c>
      <c r="U3749" s="1">
        <v>12.2</v>
      </c>
      <c r="V3749" s="1">
        <v>440.72156862745101</v>
      </c>
      <c r="W3749" s="1">
        <v>5</v>
      </c>
    </row>
    <row r="3750" spans="1:23" x14ac:dyDescent="0.2">
      <c r="A3750">
        <v>2021</v>
      </c>
      <c r="B3750" t="s">
        <v>23</v>
      </c>
      <c r="C3750" t="s">
        <v>272</v>
      </c>
      <c r="D3750">
        <v>216</v>
      </c>
      <c r="E3750">
        <v>1</v>
      </c>
      <c r="F3750">
        <v>6</v>
      </c>
      <c r="G3750" t="s">
        <v>241</v>
      </c>
      <c r="H3750">
        <v>4</v>
      </c>
      <c r="I3750">
        <v>58</v>
      </c>
      <c r="J3750">
        <v>60</v>
      </c>
      <c r="K3750">
        <v>2</v>
      </c>
      <c r="L3750">
        <v>130</v>
      </c>
      <c r="M3750">
        <v>55</v>
      </c>
      <c r="N3750">
        <v>1.5</v>
      </c>
      <c r="O3750">
        <v>3.5</v>
      </c>
      <c r="P3750">
        <v>4</v>
      </c>
      <c r="Q3750">
        <v>0.1</v>
      </c>
      <c r="R3750">
        <v>1</v>
      </c>
      <c r="S3750">
        <v>0.25</v>
      </c>
      <c r="T3750">
        <v>4</v>
      </c>
      <c r="U3750">
        <v>15</v>
      </c>
      <c r="V3750">
        <v>355.55555555555554</v>
      </c>
      <c r="W3750">
        <v>1</v>
      </c>
    </row>
    <row r="3751" spans="1:23" x14ac:dyDescent="0.2">
      <c r="A3751">
        <v>2021</v>
      </c>
      <c r="B3751" t="s">
        <v>23</v>
      </c>
      <c r="C3751" t="s">
        <v>272</v>
      </c>
      <c r="D3751">
        <v>216</v>
      </c>
      <c r="E3751">
        <v>2</v>
      </c>
      <c r="F3751">
        <v>10</v>
      </c>
      <c r="G3751" t="s">
        <v>241</v>
      </c>
      <c r="H3751" s="1">
        <v>9</v>
      </c>
      <c r="I3751" s="1">
        <v>58</v>
      </c>
      <c r="J3751" s="1">
        <v>61</v>
      </c>
      <c r="K3751" s="1">
        <f>J3751-I3751</f>
        <v>3</v>
      </c>
      <c r="L3751" s="1">
        <v>173</v>
      </c>
      <c r="M3751" s="1">
        <v>91</v>
      </c>
      <c r="N3751" s="1">
        <v>2</v>
      </c>
      <c r="O3751" s="1">
        <v>3</v>
      </c>
      <c r="P3751" s="1">
        <f>H3751</f>
        <v>9</v>
      </c>
      <c r="Q3751" s="2">
        <v>0.19350000000000001</v>
      </c>
      <c r="R3751" s="1">
        <v>9</v>
      </c>
      <c r="S3751" s="1">
        <f>R3751/P3751</f>
        <v>1</v>
      </c>
      <c r="T3751" s="1">
        <v>5</v>
      </c>
      <c r="U3751" s="1">
        <v>12.5</v>
      </c>
      <c r="V3751" s="1">
        <v>708.2352941176473</v>
      </c>
      <c r="W3751" s="1">
        <v>3</v>
      </c>
    </row>
    <row r="3752" spans="1:23" x14ac:dyDescent="0.2">
      <c r="A3752">
        <v>2021</v>
      </c>
      <c r="B3752" t="s">
        <v>23</v>
      </c>
      <c r="C3752" t="s">
        <v>272</v>
      </c>
      <c r="D3752">
        <v>217</v>
      </c>
      <c r="E3752">
        <v>1</v>
      </c>
      <c r="F3752">
        <v>14</v>
      </c>
      <c r="G3752" t="s">
        <v>242</v>
      </c>
      <c r="H3752" s="1">
        <v>8</v>
      </c>
      <c r="I3752" s="1">
        <v>58</v>
      </c>
      <c r="J3752" s="1">
        <v>62</v>
      </c>
      <c r="K3752" s="1">
        <f>J3752-I3752</f>
        <v>4</v>
      </c>
      <c r="L3752" s="1">
        <v>143</v>
      </c>
      <c r="M3752" s="1">
        <v>42</v>
      </c>
      <c r="N3752" s="1">
        <v>2</v>
      </c>
      <c r="O3752" s="1">
        <v>2.5</v>
      </c>
      <c r="P3752" s="1">
        <v>6</v>
      </c>
      <c r="Q3752" s="2">
        <v>0.60599999999999998</v>
      </c>
      <c r="R3752" s="1">
        <v>6</v>
      </c>
      <c r="S3752" s="1">
        <f>R3752/P3752</f>
        <v>1</v>
      </c>
      <c r="T3752" s="1">
        <v>2</v>
      </c>
      <c r="U3752" s="1">
        <v>12.5</v>
      </c>
      <c r="V3752" s="1">
        <v>2218.0392156862745</v>
      </c>
      <c r="W3752" s="1">
        <v>2</v>
      </c>
    </row>
    <row r="3753" spans="1:23" x14ac:dyDescent="0.2">
      <c r="A3753">
        <v>2021</v>
      </c>
      <c r="B3753" t="s">
        <v>23</v>
      </c>
      <c r="C3753" t="s">
        <v>272</v>
      </c>
      <c r="D3753">
        <v>217</v>
      </c>
      <c r="E3753">
        <v>2</v>
      </c>
      <c r="F3753">
        <v>12</v>
      </c>
      <c r="G3753" t="s">
        <v>242</v>
      </c>
      <c r="H3753">
        <v>6</v>
      </c>
      <c r="I3753">
        <v>55</v>
      </c>
      <c r="J3753">
        <v>57</v>
      </c>
      <c r="K3753">
        <v>2</v>
      </c>
      <c r="L3753">
        <v>177</v>
      </c>
      <c r="M3753">
        <v>36</v>
      </c>
      <c r="N3753">
        <v>3</v>
      </c>
      <c r="O3753">
        <v>4</v>
      </c>
      <c r="P3753">
        <v>6</v>
      </c>
      <c r="Q3753">
        <v>0.17100000000000001</v>
      </c>
      <c r="R3753">
        <v>5</v>
      </c>
      <c r="S3753">
        <v>0.83333333333333337</v>
      </c>
      <c r="T3753">
        <v>3</v>
      </c>
      <c r="U3753">
        <v>12.5</v>
      </c>
      <c r="V3753">
        <v>625.88235294117646</v>
      </c>
      <c r="W3753">
        <v>1</v>
      </c>
    </row>
    <row r="3754" spans="1:23" x14ac:dyDescent="0.2">
      <c r="A3754">
        <v>2021</v>
      </c>
      <c r="B3754" t="s">
        <v>23</v>
      </c>
      <c r="C3754" t="s">
        <v>272</v>
      </c>
      <c r="D3754">
        <v>218</v>
      </c>
      <c r="E3754">
        <v>1</v>
      </c>
      <c r="F3754">
        <v>2</v>
      </c>
      <c r="G3754" t="s">
        <v>243</v>
      </c>
      <c r="H3754" s="1">
        <v>14</v>
      </c>
      <c r="I3754" s="1">
        <v>64</v>
      </c>
      <c r="J3754" s="1">
        <v>69</v>
      </c>
      <c r="K3754" s="1">
        <f t="shared" ref="K3754:K3760" si="192">J3754-I3754</f>
        <v>5</v>
      </c>
      <c r="L3754" s="1">
        <v>135</v>
      </c>
      <c r="M3754" s="1">
        <v>80</v>
      </c>
      <c r="N3754" s="1">
        <v>2.5</v>
      </c>
      <c r="O3754" s="1">
        <v>3.5</v>
      </c>
      <c r="P3754" s="1">
        <v>12</v>
      </c>
      <c r="Q3754" s="2">
        <v>0.51200000000000001</v>
      </c>
      <c r="R3754" s="1">
        <v>11</v>
      </c>
      <c r="S3754" s="1">
        <f t="shared" ref="S3754:S3760" si="193">R3754/P3754</f>
        <v>0.91666666666666663</v>
      </c>
      <c r="T3754" s="1">
        <v>3</v>
      </c>
      <c r="U3754" s="1">
        <v>12.5</v>
      </c>
      <c r="V3754" s="1">
        <v>1873.9869281045753</v>
      </c>
      <c r="W3754" s="1">
        <v>4</v>
      </c>
    </row>
    <row r="3755" spans="1:23" x14ac:dyDescent="0.2">
      <c r="A3755">
        <v>2021</v>
      </c>
      <c r="B3755" t="s">
        <v>23</v>
      </c>
      <c r="C3755" t="s">
        <v>272</v>
      </c>
      <c r="D3755">
        <v>218</v>
      </c>
      <c r="E3755">
        <v>2</v>
      </c>
      <c r="F3755">
        <v>15</v>
      </c>
      <c r="G3755" t="s">
        <v>243</v>
      </c>
      <c r="H3755" s="1">
        <v>8</v>
      </c>
      <c r="I3755" s="1">
        <v>59</v>
      </c>
      <c r="J3755" s="1">
        <v>64</v>
      </c>
      <c r="K3755" s="1">
        <f t="shared" si="192"/>
        <v>5</v>
      </c>
      <c r="L3755" s="1">
        <v>177</v>
      </c>
      <c r="M3755" s="1">
        <v>102</v>
      </c>
      <c r="N3755" s="1">
        <v>2</v>
      </c>
      <c r="O3755" s="1">
        <v>2.5</v>
      </c>
      <c r="P3755" s="1">
        <v>8</v>
      </c>
      <c r="Q3755" s="2">
        <v>1.2002000000000002</v>
      </c>
      <c r="R3755" s="1">
        <v>8</v>
      </c>
      <c r="S3755" s="1">
        <f t="shared" si="193"/>
        <v>1</v>
      </c>
      <c r="T3755" s="1">
        <v>2</v>
      </c>
      <c r="U3755" s="1">
        <v>9.6</v>
      </c>
      <c r="V3755" s="1">
        <v>4538.481777777778</v>
      </c>
      <c r="W3755" s="1">
        <v>4</v>
      </c>
    </row>
    <row r="3756" spans="1:23" x14ac:dyDescent="0.2">
      <c r="A3756">
        <v>2021</v>
      </c>
      <c r="B3756" t="s">
        <v>23</v>
      </c>
      <c r="C3756" t="s">
        <v>272</v>
      </c>
      <c r="D3756">
        <v>219</v>
      </c>
      <c r="E3756">
        <v>1</v>
      </c>
      <c r="F3756">
        <v>13</v>
      </c>
      <c r="G3756" t="s">
        <v>244</v>
      </c>
      <c r="H3756" s="1">
        <v>9</v>
      </c>
      <c r="I3756" s="1">
        <v>60</v>
      </c>
      <c r="J3756" s="1">
        <v>66</v>
      </c>
      <c r="K3756" s="1">
        <f t="shared" si="192"/>
        <v>6</v>
      </c>
      <c r="L3756" s="1">
        <v>133</v>
      </c>
      <c r="M3756" s="1">
        <v>75</v>
      </c>
      <c r="N3756" s="1">
        <v>2</v>
      </c>
      <c r="O3756" s="1">
        <v>3</v>
      </c>
      <c r="P3756" s="1">
        <v>9</v>
      </c>
      <c r="Q3756" s="2">
        <v>6.7425000000000013E-2</v>
      </c>
      <c r="R3756" s="1">
        <v>5</v>
      </c>
      <c r="S3756" s="1">
        <f t="shared" si="193"/>
        <v>0.55555555555555558</v>
      </c>
      <c r="T3756" s="1">
        <v>5</v>
      </c>
      <c r="U3756" s="1">
        <v>12.5</v>
      </c>
      <c r="V3756" s="1">
        <v>246.78431372549028</v>
      </c>
      <c r="W3756" s="1">
        <v>2</v>
      </c>
    </row>
    <row r="3757" spans="1:23" x14ac:dyDescent="0.2">
      <c r="A3757">
        <v>2021</v>
      </c>
      <c r="B3757" t="s">
        <v>23</v>
      </c>
      <c r="C3757" t="s">
        <v>272</v>
      </c>
      <c r="D3757">
        <v>219</v>
      </c>
      <c r="E3757">
        <v>2</v>
      </c>
      <c r="F3757">
        <v>2</v>
      </c>
      <c r="G3757" t="s">
        <v>244</v>
      </c>
      <c r="H3757" s="1">
        <v>7</v>
      </c>
      <c r="I3757" s="1">
        <v>68</v>
      </c>
      <c r="J3757" s="1">
        <v>71</v>
      </c>
      <c r="K3757" s="1">
        <f t="shared" si="192"/>
        <v>3</v>
      </c>
      <c r="L3757" s="1">
        <v>165</v>
      </c>
      <c r="M3757" s="1">
        <v>70</v>
      </c>
      <c r="N3757" s="1">
        <v>1.5</v>
      </c>
      <c r="O3757" s="1">
        <v>3.5</v>
      </c>
      <c r="P3757" s="1">
        <v>6</v>
      </c>
      <c r="Q3757" s="2">
        <v>0.372</v>
      </c>
      <c r="R3757" s="1">
        <v>4</v>
      </c>
      <c r="S3757" s="1">
        <f t="shared" si="193"/>
        <v>0.66666666666666663</v>
      </c>
      <c r="T3757" s="1">
        <v>3</v>
      </c>
      <c r="U3757" s="1">
        <v>12.5</v>
      </c>
      <c r="V3757" s="1">
        <v>1361.5686274509803</v>
      </c>
      <c r="W3757" s="1">
        <v>4</v>
      </c>
    </row>
    <row r="3758" spans="1:23" x14ac:dyDescent="0.2">
      <c r="A3758">
        <v>2021</v>
      </c>
      <c r="B3758" t="s">
        <v>23</v>
      </c>
      <c r="C3758" t="s">
        <v>272</v>
      </c>
      <c r="D3758">
        <v>220</v>
      </c>
      <c r="E3758">
        <v>1</v>
      </c>
      <c r="F3758">
        <v>11</v>
      </c>
      <c r="G3758" t="s">
        <v>245</v>
      </c>
      <c r="H3758" s="1">
        <v>10</v>
      </c>
      <c r="I3758" s="1">
        <v>63</v>
      </c>
      <c r="J3758" s="1">
        <v>68</v>
      </c>
      <c r="K3758" s="1">
        <f t="shared" si="192"/>
        <v>5</v>
      </c>
      <c r="L3758" s="1">
        <v>114</v>
      </c>
      <c r="M3758" s="1">
        <v>55</v>
      </c>
      <c r="N3758" s="1">
        <v>2</v>
      </c>
      <c r="O3758" s="1">
        <v>4</v>
      </c>
      <c r="P3758" s="1">
        <v>8</v>
      </c>
      <c r="Q3758" s="2">
        <v>0.52600000000000002</v>
      </c>
      <c r="R3758" s="1">
        <v>8</v>
      </c>
      <c r="S3758" s="1">
        <f t="shared" si="193"/>
        <v>1</v>
      </c>
      <c r="T3758" s="1">
        <v>2</v>
      </c>
      <c r="U3758" s="1">
        <v>12.5</v>
      </c>
      <c r="V3758" s="1">
        <v>1925.2287581699347</v>
      </c>
      <c r="W3758" s="1">
        <v>4</v>
      </c>
    </row>
    <row r="3759" spans="1:23" x14ac:dyDescent="0.2">
      <c r="A3759">
        <v>2021</v>
      </c>
      <c r="B3759" t="s">
        <v>23</v>
      </c>
      <c r="C3759" t="s">
        <v>272</v>
      </c>
      <c r="D3759">
        <v>220</v>
      </c>
      <c r="E3759">
        <v>2</v>
      </c>
      <c r="F3759">
        <v>14</v>
      </c>
      <c r="G3759" t="s">
        <v>245</v>
      </c>
      <c r="H3759" s="1">
        <v>10</v>
      </c>
      <c r="I3759" s="1">
        <v>66</v>
      </c>
      <c r="J3759" s="1">
        <v>71</v>
      </c>
      <c r="K3759" s="1">
        <f t="shared" si="192"/>
        <v>5</v>
      </c>
      <c r="L3759" s="1">
        <v>145</v>
      </c>
      <c r="M3759" s="1">
        <v>60</v>
      </c>
      <c r="N3759" s="1">
        <v>2.5</v>
      </c>
      <c r="O3759" s="1">
        <v>4.5</v>
      </c>
      <c r="P3759" s="1">
        <v>8</v>
      </c>
      <c r="Q3759" s="2">
        <v>0.26</v>
      </c>
      <c r="R3759" s="1">
        <v>6</v>
      </c>
      <c r="S3759" s="1">
        <f t="shared" si="193"/>
        <v>0.75</v>
      </c>
      <c r="T3759" s="1">
        <v>3.5</v>
      </c>
      <c r="U3759" s="1">
        <v>12.5</v>
      </c>
      <c r="V3759" s="1">
        <v>951.63398692810449</v>
      </c>
      <c r="W3759" s="1">
        <v>4</v>
      </c>
    </row>
    <row r="3760" spans="1:23" x14ac:dyDescent="0.2">
      <c r="A3760">
        <v>2021</v>
      </c>
      <c r="B3760" t="s">
        <v>23</v>
      </c>
      <c r="C3760" t="s">
        <v>272</v>
      </c>
      <c r="D3760">
        <v>221</v>
      </c>
      <c r="E3760">
        <v>1</v>
      </c>
      <c r="F3760">
        <v>11</v>
      </c>
      <c r="G3760" t="s">
        <v>246</v>
      </c>
      <c r="H3760" s="1">
        <v>10</v>
      </c>
      <c r="I3760" s="1">
        <v>60</v>
      </c>
      <c r="J3760" s="1">
        <v>63</v>
      </c>
      <c r="K3760" s="1">
        <f t="shared" si="192"/>
        <v>3</v>
      </c>
      <c r="L3760" s="1">
        <v>141</v>
      </c>
      <c r="M3760" s="1">
        <v>63</v>
      </c>
      <c r="N3760" s="1">
        <v>2</v>
      </c>
      <c r="O3760" s="1">
        <v>2</v>
      </c>
      <c r="P3760" s="1">
        <f>H3760</f>
        <v>10</v>
      </c>
      <c r="Q3760" s="2">
        <v>0.19650000000000001</v>
      </c>
      <c r="R3760" s="1">
        <v>6</v>
      </c>
      <c r="S3760" s="1">
        <f t="shared" si="193"/>
        <v>0.6</v>
      </c>
      <c r="T3760" s="1">
        <v>5</v>
      </c>
      <c r="U3760" s="1">
        <v>12.5</v>
      </c>
      <c r="V3760" s="1">
        <v>719.21568627450984</v>
      </c>
      <c r="W3760" s="1">
        <v>7</v>
      </c>
    </row>
    <row r="3761" spans="1:23" x14ac:dyDescent="0.2">
      <c r="A3761">
        <v>2021</v>
      </c>
      <c r="B3761" t="s">
        <v>23</v>
      </c>
      <c r="C3761" t="s">
        <v>272</v>
      </c>
      <c r="D3761">
        <v>221</v>
      </c>
      <c r="E3761">
        <v>2</v>
      </c>
      <c r="F3761">
        <v>12</v>
      </c>
      <c r="G3761" t="s">
        <v>246</v>
      </c>
      <c r="H3761">
        <v>15</v>
      </c>
      <c r="I3761">
        <v>53</v>
      </c>
      <c r="J3761">
        <v>54</v>
      </c>
      <c r="K3761">
        <v>1</v>
      </c>
      <c r="L3761">
        <v>125</v>
      </c>
      <c r="M3761">
        <v>80</v>
      </c>
      <c r="N3761">
        <v>2</v>
      </c>
      <c r="O3761">
        <v>2</v>
      </c>
      <c r="P3761">
        <v>11</v>
      </c>
      <c r="Q3761">
        <v>1</v>
      </c>
      <c r="R3761">
        <v>11</v>
      </c>
      <c r="S3761">
        <v>1</v>
      </c>
      <c r="T3761">
        <v>2</v>
      </c>
      <c r="U3761">
        <v>8.6</v>
      </c>
      <c r="V3761">
        <v>3823.2679738562092</v>
      </c>
      <c r="W3761">
        <v>2</v>
      </c>
    </row>
    <row r="3762" spans="1:23" x14ac:dyDescent="0.2">
      <c r="A3762">
        <v>2021</v>
      </c>
      <c r="B3762" t="s">
        <v>23</v>
      </c>
      <c r="C3762" t="s">
        <v>272</v>
      </c>
      <c r="D3762">
        <v>222</v>
      </c>
      <c r="E3762">
        <v>1</v>
      </c>
      <c r="F3762">
        <v>13</v>
      </c>
      <c r="G3762" t="s">
        <v>247</v>
      </c>
      <c r="H3762" s="1">
        <v>10</v>
      </c>
      <c r="I3762" s="1">
        <v>62</v>
      </c>
      <c r="J3762" s="1">
        <v>66</v>
      </c>
      <c r="K3762" s="1">
        <f>J3762-I3762</f>
        <v>4</v>
      </c>
      <c r="L3762" s="1">
        <v>193</v>
      </c>
      <c r="M3762" s="1">
        <v>100</v>
      </c>
      <c r="N3762" s="1">
        <v>2</v>
      </c>
      <c r="O3762" s="1">
        <v>2</v>
      </c>
      <c r="P3762" s="1">
        <v>10</v>
      </c>
      <c r="Q3762" s="2">
        <v>0.78552</v>
      </c>
      <c r="R3762" s="1">
        <v>10</v>
      </c>
      <c r="S3762" s="1">
        <f>R3762/P3762</f>
        <v>1</v>
      </c>
      <c r="T3762" s="1">
        <v>2</v>
      </c>
      <c r="U3762" s="1">
        <v>9.6</v>
      </c>
      <c r="V3762" s="1">
        <v>2970.3951058823536</v>
      </c>
      <c r="W3762" s="1">
        <v>3</v>
      </c>
    </row>
    <row r="3763" spans="1:23" x14ac:dyDescent="0.2">
      <c r="A3763">
        <v>2021</v>
      </c>
      <c r="B3763" t="s">
        <v>23</v>
      </c>
      <c r="C3763" t="s">
        <v>272</v>
      </c>
      <c r="D3763">
        <v>222</v>
      </c>
      <c r="E3763">
        <v>2</v>
      </c>
      <c r="F3763">
        <v>1</v>
      </c>
      <c r="G3763" t="s">
        <v>247</v>
      </c>
      <c r="H3763" s="1">
        <v>3</v>
      </c>
      <c r="I3763" s="1">
        <v>63</v>
      </c>
      <c r="J3763" s="1">
        <v>67</v>
      </c>
      <c r="K3763" s="1">
        <f>J3763-I3763</f>
        <v>4</v>
      </c>
      <c r="L3763" s="1">
        <v>87</v>
      </c>
      <c r="M3763" s="1">
        <v>35</v>
      </c>
      <c r="N3763" s="1">
        <v>2</v>
      </c>
      <c r="O3763" s="1">
        <v>4</v>
      </c>
      <c r="P3763" s="1">
        <v>3</v>
      </c>
      <c r="Q3763" s="2">
        <v>9.0799999999999992E-2</v>
      </c>
      <c r="R3763" s="1">
        <v>3</v>
      </c>
      <c r="S3763" s="1">
        <f>R3763/P3763</f>
        <v>1</v>
      </c>
      <c r="T3763" s="1">
        <v>4</v>
      </c>
      <c r="U3763" s="1">
        <v>12.5</v>
      </c>
      <c r="V3763" s="1">
        <v>332.33986928104576</v>
      </c>
      <c r="W3763" s="1">
        <v>4</v>
      </c>
    </row>
    <row r="3764" spans="1:23" x14ac:dyDescent="0.2">
      <c r="A3764">
        <v>2021</v>
      </c>
      <c r="B3764" t="s">
        <v>23</v>
      </c>
      <c r="C3764" t="s">
        <v>272</v>
      </c>
      <c r="D3764">
        <v>223</v>
      </c>
      <c r="E3764">
        <v>1</v>
      </c>
      <c r="F3764">
        <v>8</v>
      </c>
      <c r="G3764" t="s">
        <v>248</v>
      </c>
      <c r="H3764" s="1">
        <v>6</v>
      </c>
      <c r="I3764" s="1">
        <v>62</v>
      </c>
      <c r="J3764" s="1">
        <v>67</v>
      </c>
      <c r="K3764" s="1">
        <f>J3764-I3764</f>
        <v>5</v>
      </c>
      <c r="L3764" s="1">
        <v>93</v>
      </c>
      <c r="M3764" s="1">
        <v>67</v>
      </c>
      <c r="N3764" s="1">
        <v>2</v>
      </c>
      <c r="O3764" s="1">
        <v>3.5</v>
      </c>
      <c r="P3764" s="1">
        <f>H3764-2</f>
        <v>4</v>
      </c>
      <c r="Q3764" s="2">
        <v>0.12</v>
      </c>
      <c r="R3764" s="1">
        <v>2</v>
      </c>
      <c r="S3764" s="1">
        <f>R3764/P3764</f>
        <v>0.5</v>
      </c>
      <c r="T3764" s="1">
        <v>5</v>
      </c>
      <c r="U3764" s="1">
        <v>12.5</v>
      </c>
      <c r="V3764" s="1">
        <v>439.21568627450984</v>
      </c>
      <c r="W3764" s="1">
        <v>2</v>
      </c>
    </row>
    <row r="3765" spans="1:23" x14ac:dyDescent="0.2">
      <c r="A3765">
        <v>2021</v>
      </c>
      <c r="B3765" t="s">
        <v>23</v>
      </c>
      <c r="C3765" t="s">
        <v>272</v>
      </c>
      <c r="D3765">
        <v>223</v>
      </c>
      <c r="E3765">
        <v>2</v>
      </c>
      <c r="F3765">
        <v>9</v>
      </c>
      <c r="G3765" t="s">
        <v>248</v>
      </c>
      <c r="H3765" s="1">
        <v>12</v>
      </c>
      <c r="I3765" s="1">
        <v>57</v>
      </c>
      <c r="J3765" s="1">
        <v>60</v>
      </c>
      <c r="K3765" s="1">
        <f>J3765-I3765</f>
        <v>3</v>
      </c>
      <c r="L3765" s="1">
        <v>151</v>
      </c>
      <c r="M3765" s="1">
        <v>57</v>
      </c>
      <c r="N3765" s="1">
        <v>3</v>
      </c>
      <c r="O3765" s="1">
        <v>3.5</v>
      </c>
      <c r="P3765" s="1">
        <v>8</v>
      </c>
      <c r="Q3765" s="2">
        <v>0.25679999999999997</v>
      </c>
      <c r="R3765" s="1">
        <v>10</v>
      </c>
      <c r="S3765" s="1">
        <f>R3765/P3765</f>
        <v>1.25</v>
      </c>
      <c r="T3765" s="1">
        <v>5</v>
      </c>
      <c r="U3765" s="1">
        <v>12.5</v>
      </c>
      <c r="V3765" s="1">
        <v>939.92156862745105</v>
      </c>
      <c r="W3765" s="1">
        <v>3</v>
      </c>
    </row>
    <row r="3766" spans="1:23" x14ac:dyDescent="0.2">
      <c r="A3766">
        <v>2021</v>
      </c>
      <c r="B3766" t="s">
        <v>23</v>
      </c>
      <c r="C3766" t="s">
        <v>272</v>
      </c>
      <c r="D3766">
        <v>224</v>
      </c>
      <c r="E3766">
        <v>1</v>
      </c>
      <c r="F3766">
        <v>4</v>
      </c>
      <c r="G3766" t="s">
        <v>249</v>
      </c>
      <c r="H3766">
        <v>14</v>
      </c>
      <c r="I3766">
        <v>58</v>
      </c>
      <c r="J3766">
        <v>62</v>
      </c>
      <c r="K3766">
        <v>4</v>
      </c>
      <c r="L3766">
        <v>147</v>
      </c>
      <c r="M3766">
        <v>45</v>
      </c>
      <c r="N3766">
        <v>2</v>
      </c>
      <c r="O3766">
        <v>1.5</v>
      </c>
      <c r="P3766">
        <v>12</v>
      </c>
      <c r="Q3766">
        <v>1</v>
      </c>
      <c r="R3766">
        <v>9</v>
      </c>
      <c r="S3766">
        <v>0.75</v>
      </c>
      <c r="T3766">
        <v>2</v>
      </c>
      <c r="U3766">
        <v>11.2</v>
      </c>
      <c r="V3766">
        <v>3714.5098039215686</v>
      </c>
      <c r="W3766">
        <v>2</v>
      </c>
    </row>
    <row r="3767" spans="1:23" x14ac:dyDescent="0.2">
      <c r="A3767">
        <v>2021</v>
      </c>
      <c r="B3767" t="s">
        <v>23</v>
      </c>
      <c r="C3767" t="s">
        <v>272</v>
      </c>
      <c r="D3767">
        <v>224</v>
      </c>
      <c r="E3767">
        <v>2</v>
      </c>
      <c r="F3767">
        <v>3</v>
      </c>
      <c r="G3767" t="s">
        <v>249</v>
      </c>
      <c r="H3767">
        <v>9</v>
      </c>
      <c r="I3767">
        <v>63</v>
      </c>
      <c r="J3767">
        <v>65</v>
      </c>
      <c r="K3767">
        <v>2</v>
      </c>
      <c r="L3767">
        <v>137</v>
      </c>
      <c r="M3767">
        <v>75</v>
      </c>
      <c r="N3767">
        <v>1.5</v>
      </c>
      <c r="O3767">
        <v>3.5</v>
      </c>
      <c r="P3767">
        <v>9</v>
      </c>
      <c r="Q3767">
        <v>0.9</v>
      </c>
      <c r="R3767">
        <v>9</v>
      </c>
      <c r="S3767">
        <v>1</v>
      </c>
      <c r="T3767">
        <v>3.5</v>
      </c>
      <c r="U3767">
        <v>12.5</v>
      </c>
      <c r="V3767">
        <v>3294.1176470588234</v>
      </c>
      <c r="W3767">
        <v>1</v>
      </c>
    </row>
    <row r="3768" spans="1:23" x14ac:dyDescent="0.2">
      <c r="A3768">
        <v>2021</v>
      </c>
      <c r="B3768" t="s">
        <v>23</v>
      </c>
      <c r="C3768" t="s">
        <v>272</v>
      </c>
      <c r="D3768">
        <v>225</v>
      </c>
      <c r="E3768">
        <v>1</v>
      </c>
      <c r="F3768">
        <v>13</v>
      </c>
      <c r="G3768" t="s">
        <v>250</v>
      </c>
      <c r="H3768" s="1">
        <v>7</v>
      </c>
      <c r="I3768" s="1">
        <v>67</v>
      </c>
      <c r="J3768" s="1">
        <v>72</v>
      </c>
      <c r="K3768" s="1">
        <f>J3768-I3768</f>
        <v>5</v>
      </c>
      <c r="L3768" s="1">
        <v>145</v>
      </c>
      <c r="M3768" s="1">
        <v>63</v>
      </c>
      <c r="N3768" s="1">
        <v>2</v>
      </c>
      <c r="O3768" s="1">
        <v>2</v>
      </c>
      <c r="P3768" s="1">
        <f>H3768-2</f>
        <v>5</v>
      </c>
      <c r="Q3768" s="2">
        <v>0.156</v>
      </c>
      <c r="R3768" s="1">
        <v>3</v>
      </c>
      <c r="S3768" s="1">
        <f>R3768/P3768</f>
        <v>0.6</v>
      </c>
      <c r="T3768" s="1">
        <v>3</v>
      </c>
      <c r="U3768" s="1">
        <v>12.5</v>
      </c>
      <c r="V3768" s="1">
        <v>570.98039215686276</v>
      </c>
      <c r="W3768" s="1">
        <v>5</v>
      </c>
    </row>
    <row r="3769" spans="1:23" x14ac:dyDescent="0.2">
      <c r="A3769">
        <v>2021</v>
      </c>
      <c r="B3769" t="s">
        <v>23</v>
      </c>
      <c r="C3769" t="s">
        <v>272</v>
      </c>
      <c r="D3769">
        <v>225</v>
      </c>
      <c r="E3769">
        <v>2</v>
      </c>
      <c r="F3769">
        <v>2</v>
      </c>
      <c r="G3769" t="s">
        <v>250</v>
      </c>
      <c r="H3769" s="1">
        <v>6</v>
      </c>
      <c r="I3769" s="1">
        <v>70</v>
      </c>
      <c r="J3769" s="1">
        <v>74</v>
      </c>
      <c r="K3769" s="1">
        <f>J3769-I3769</f>
        <v>4</v>
      </c>
      <c r="L3769" s="1">
        <v>94</v>
      </c>
      <c r="M3769" s="1">
        <v>21</v>
      </c>
      <c r="N3769" s="1">
        <v>2</v>
      </c>
      <c r="O3769" s="1">
        <v>5</v>
      </c>
      <c r="P3769" s="1">
        <v>2</v>
      </c>
      <c r="Q3769" s="2">
        <v>6.2399999999999997E-2</v>
      </c>
      <c r="R3769" s="1">
        <v>2</v>
      </c>
      <c r="S3769" s="1">
        <f>R3769/P3769</f>
        <v>1</v>
      </c>
      <c r="T3769" s="1">
        <v>5</v>
      </c>
      <c r="U3769" s="1">
        <v>12.5</v>
      </c>
      <c r="V3769" s="1">
        <v>228.39215686274508</v>
      </c>
      <c r="W3769" s="1">
        <v>6</v>
      </c>
    </row>
    <row r="3770" spans="1:23" x14ac:dyDescent="0.2">
      <c r="A3770">
        <v>2021</v>
      </c>
      <c r="B3770" t="s">
        <v>23</v>
      </c>
      <c r="C3770" t="s">
        <v>272</v>
      </c>
      <c r="D3770">
        <v>226</v>
      </c>
      <c r="E3770">
        <v>1</v>
      </c>
      <c r="F3770">
        <v>2</v>
      </c>
      <c r="G3770" t="s">
        <v>251</v>
      </c>
      <c r="H3770" s="1">
        <v>7</v>
      </c>
      <c r="I3770" s="1">
        <v>62</v>
      </c>
      <c r="J3770" s="1">
        <v>67</v>
      </c>
      <c r="K3770" s="1">
        <f>J3770-I3770</f>
        <v>5</v>
      </c>
      <c r="L3770" s="1">
        <v>165</v>
      </c>
      <c r="M3770" s="1">
        <v>73</v>
      </c>
      <c r="N3770" s="1">
        <v>1</v>
      </c>
      <c r="O3770" s="1">
        <v>3.5</v>
      </c>
      <c r="P3770" s="1">
        <v>6</v>
      </c>
      <c r="Q3770" s="2">
        <v>0.6008</v>
      </c>
      <c r="R3770" s="1">
        <v>6</v>
      </c>
      <c r="S3770" s="1">
        <f>R3770/P3770</f>
        <v>1</v>
      </c>
      <c r="T3770" s="1">
        <v>5</v>
      </c>
      <c r="U3770" s="1">
        <v>12.5</v>
      </c>
      <c r="V3770" s="1">
        <v>2199.0065359477126</v>
      </c>
      <c r="W3770" s="1">
        <v>4</v>
      </c>
    </row>
    <row r="3771" spans="1:23" x14ac:dyDescent="0.2">
      <c r="A3771">
        <v>2021</v>
      </c>
      <c r="B3771" t="s">
        <v>23</v>
      </c>
      <c r="C3771" t="s">
        <v>272</v>
      </c>
      <c r="D3771">
        <v>226</v>
      </c>
      <c r="E3771">
        <v>2</v>
      </c>
      <c r="F3771">
        <v>7</v>
      </c>
      <c r="G3771" t="s">
        <v>251</v>
      </c>
      <c r="H3771" s="1">
        <v>5</v>
      </c>
      <c r="I3771" s="1">
        <v>64</v>
      </c>
      <c r="J3771" s="1">
        <v>69</v>
      </c>
      <c r="K3771" s="1">
        <f>J3771-I3771</f>
        <v>5</v>
      </c>
      <c r="L3771" s="1">
        <v>66</v>
      </c>
      <c r="M3771" s="1">
        <v>30</v>
      </c>
      <c r="N3771" s="1">
        <v>2</v>
      </c>
      <c r="O3771" s="1">
        <v>4.5</v>
      </c>
      <c r="P3771" s="1">
        <v>4</v>
      </c>
      <c r="Q3771" s="2">
        <v>9.1999999999999998E-2</v>
      </c>
      <c r="R3771" s="1">
        <v>3</v>
      </c>
      <c r="S3771" s="1">
        <f>R3771/P3771</f>
        <v>0.75</v>
      </c>
      <c r="T3771" s="1">
        <v>5</v>
      </c>
      <c r="U3771" s="1">
        <v>12.5</v>
      </c>
      <c r="V3771" s="1">
        <v>336.73202614379085</v>
      </c>
      <c r="W3771" s="1">
        <v>6</v>
      </c>
    </row>
    <row r="3772" spans="1:23" x14ac:dyDescent="0.2">
      <c r="A3772">
        <v>2021</v>
      </c>
      <c r="B3772" t="s">
        <v>23</v>
      </c>
      <c r="C3772" t="s">
        <v>272</v>
      </c>
      <c r="D3772">
        <v>227</v>
      </c>
      <c r="E3772">
        <v>1</v>
      </c>
      <c r="F3772">
        <v>11</v>
      </c>
      <c r="G3772" t="s">
        <v>252</v>
      </c>
      <c r="H3772">
        <v>10</v>
      </c>
      <c r="I3772">
        <v>63</v>
      </c>
      <c r="J3772">
        <v>67</v>
      </c>
      <c r="K3772">
        <v>4</v>
      </c>
      <c r="L3772">
        <v>115</v>
      </c>
      <c r="M3772">
        <v>61</v>
      </c>
      <c r="N3772">
        <v>2</v>
      </c>
      <c r="O3772">
        <v>3</v>
      </c>
      <c r="P3772">
        <v>10</v>
      </c>
      <c r="Q3772">
        <v>1</v>
      </c>
      <c r="R3772">
        <v>7</v>
      </c>
      <c r="S3772">
        <v>0.7</v>
      </c>
      <c r="T3772">
        <v>2.5</v>
      </c>
      <c r="U3772">
        <v>12.5</v>
      </c>
      <c r="V3772">
        <v>3660.1307189542486</v>
      </c>
      <c r="W3772">
        <v>1</v>
      </c>
    </row>
    <row r="3773" spans="1:23" x14ac:dyDescent="0.2">
      <c r="A3773">
        <v>2021</v>
      </c>
      <c r="B3773" t="s">
        <v>23</v>
      </c>
      <c r="C3773" t="s">
        <v>272</v>
      </c>
      <c r="D3773">
        <v>227</v>
      </c>
      <c r="E3773">
        <v>2</v>
      </c>
      <c r="F3773">
        <v>2</v>
      </c>
      <c r="G3773" t="s">
        <v>252</v>
      </c>
      <c r="H3773" s="1">
        <v>15</v>
      </c>
      <c r="I3773" s="1">
        <v>58</v>
      </c>
      <c r="J3773" s="1">
        <v>62</v>
      </c>
      <c r="K3773" s="1">
        <f t="shared" ref="K3773:K3778" si="194">J3773-I3773</f>
        <v>4</v>
      </c>
      <c r="L3773" s="1">
        <v>133</v>
      </c>
      <c r="M3773" s="1">
        <v>63</v>
      </c>
      <c r="N3773" s="1">
        <v>2</v>
      </c>
      <c r="O3773" s="1">
        <v>3.5</v>
      </c>
      <c r="P3773" s="1">
        <f>H3773-2</f>
        <v>13</v>
      </c>
      <c r="Q3773" s="2">
        <v>9.7199999999999995E-2</v>
      </c>
      <c r="R3773" s="1">
        <v>10</v>
      </c>
      <c r="S3773" s="1">
        <f t="shared" ref="S3773:S3778" si="195">R3773/P3773</f>
        <v>0.76923076923076927</v>
      </c>
      <c r="T3773" s="1">
        <v>5</v>
      </c>
      <c r="U3773" s="1">
        <v>12.5</v>
      </c>
      <c r="V3773" s="1">
        <v>355.76470588235287</v>
      </c>
      <c r="W3773" s="1">
        <v>6</v>
      </c>
    </row>
    <row r="3774" spans="1:23" x14ac:dyDescent="0.2">
      <c r="A3774">
        <v>2021</v>
      </c>
      <c r="B3774" t="s">
        <v>23</v>
      </c>
      <c r="C3774" t="s">
        <v>272</v>
      </c>
      <c r="D3774">
        <v>228</v>
      </c>
      <c r="E3774">
        <v>1</v>
      </c>
      <c r="F3774">
        <v>3</v>
      </c>
      <c r="G3774" t="s">
        <v>253</v>
      </c>
      <c r="H3774" s="1">
        <v>8</v>
      </c>
      <c r="I3774" s="1">
        <v>63</v>
      </c>
      <c r="J3774" s="1">
        <v>66</v>
      </c>
      <c r="K3774" s="1">
        <f t="shared" si="194"/>
        <v>3</v>
      </c>
      <c r="L3774" s="1">
        <v>98</v>
      </c>
      <c r="M3774" s="1">
        <v>51</v>
      </c>
      <c r="N3774" s="1">
        <v>3.5</v>
      </c>
      <c r="O3774" s="1">
        <v>4</v>
      </c>
      <c r="P3774" s="1">
        <v>6</v>
      </c>
      <c r="Q3774" s="2">
        <v>0.128</v>
      </c>
      <c r="R3774" s="1">
        <v>5</v>
      </c>
      <c r="S3774" s="1">
        <f t="shared" si="195"/>
        <v>0.83333333333333337</v>
      </c>
      <c r="T3774" s="1">
        <v>5</v>
      </c>
      <c r="U3774" s="1">
        <v>12.5</v>
      </c>
      <c r="V3774" s="1">
        <v>468.49673202614383</v>
      </c>
      <c r="W3774" s="1">
        <v>5</v>
      </c>
    </row>
    <row r="3775" spans="1:23" x14ac:dyDescent="0.2">
      <c r="A3775">
        <v>2021</v>
      </c>
      <c r="B3775" t="s">
        <v>23</v>
      </c>
      <c r="C3775" t="s">
        <v>272</v>
      </c>
      <c r="D3775">
        <v>228</v>
      </c>
      <c r="E3775">
        <v>2</v>
      </c>
      <c r="F3775">
        <v>9</v>
      </c>
      <c r="G3775" t="s">
        <v>253</v>
      </c>
      <c r="H3775" s="3">
        <v>2</v>
      </c>
      <c r="I3775" s="3">
        <v>65</v>
      </c>
      <c r="J3775" s="3">
        <v>67</v>
      </c>
      <c r="K3775" s="3">
        <f t="shared" si="194"/>
        <v>2</v>
      </c>
      <c r="L3775" s="3">
        <v>53</v>
      </c>
      <c r="M3775" s="3">
        <v>30</v>
      </c>
      <c r="N3775" s="3">
        <v>4</v>
      </c>
      <c r="O3775" s="3">
        <v>5</v>
      </c>
      <c r="P3775" s="3">
        <v>1</v>
      </c>
      <c r="Q3775" s="4">
        <v>0.02</v>
      </c>
      <c r="R3775" s="3">
        <v>1</v>
      </c>
      <c r="S3775" s="3">
        <f t="shared" si="195"/>
        <v>1</v>
      </c>
      <c r="T3775" s="3">
        <v>5</v>
      </c>
      <c r="U3775" s="3">
        <v>12.5</v>
      </c>
      <c r="V3775" s="3">
        <v>73.202614379084977</v>
      </c>
      <c r="W3775" s="3">
        <v>8</v>
      </c>
    </row>
    <row r="3776" spans="1:23" x14ac:dyDescent="0.2">
      <c r="A3776">
        <v>2021</v>
      </c>
      <c r="B3776" t="s">
        <v>23</v>
      </c>
      <c r="C3776" t="s">
        <v>272</v>
      </c>
      <c r="D3776">
        <v>229</v>
      </c>
      <c r="E3776">
        <v>1</v>
      </c>
      <c r="F3776">
        <v>10</v>
      </c>
      <c r="G3776" t="s">
        <v>254</v>
      </c>
      <c r="H3776" s="1">
        <v>11</v>
      </c>
      <c r="I3776" s="1">
        <v>62</v>
      </c>
      <c r="J3776" s="1">
        <v>66</v>
      </c>
      <c r="K3776" s="1">
        <f t="shared" si="194"/>
        <v>4</v>
      </c>
      <c r="L3776" s="1">
        <v>134</v>
      </c>
      <c r="M3776" s="1">
        <v>55</v>
      </c>
      <c r="N3776" s="1">
        <v>1.5</v>
      </c>
      <c r="O3776" s="1">
        <v>4</v>
      </c>
      <c r="P3776" s="1">
        <v>6</v>
      </c>
      <c r="Q3776" s="2">
        <v>0.122</v>
      </c>
      <c r="R3776" s="1">
        <v>6</v>
      </c>
      <c r="S3776" s="1">
        <f t="shared" si="195"/>
        <v>1</v>
      </c>
      <c r="T3776" s="1">
        <v>5</v>
      </c>
      <c r="U3776" s="1">
        <v>12.5</v>
      </c>
      <c r="V3776" s="1">
        <v>446.53594771241831</v>
      </c>
      <c r="W3776" s="1">
        <v>4</v>
      </c>
    </row>
    <row r="3777" spans="1:23" x14ac:dyDescent="0.2">
      <c r="A3777">
        <v>2021</v>
      </c>
      <c r="B3777" t="s">
        <v>23</v>
      </c>
      <c r="C3777" t="s">
        <v>272</v>
      </c>
      <c r="D3777">
        <v>229</v>
      </c>
      <c r="E3777">
        <v>2</v>
      </c>
      <c r="F3777">
        <v>8</v>
      </c>
      <c r="G3777" t="s">
        <v>254</v>
      </c>
      <c r="H3777" s="1">
        <v>11</v>
      </c>
      <c r="I3777" s="1">
        <v>67</v>
      </c>
      <c r="J3777" s="1">
        <v>70</v>
      </c>
      <c r="K3777" s="1">
        <f t="shared" si="194"/>
        <v>3</v>
      </c>
      <c r="L3777" s="1">
        <v>140</v>
      </c>
      <c r="M3777" s="1">
        <v>50</v>
      </c>
      <c r="N3777" s="1">
        <v>1.5</v>
      </c>
      <c r="O3777" s="1">
        <v>4</v>
      </c>
      <c r="P3777" s="1">
        <v>5</v>
      </c>
      <c r="Q3777" s="2">
        <v>0.19800000000000001</v>
      </c>
      <c r="R3777" s="1">
        <v>5</v>
      </c>
      <c r="S3777" s="1">
        <f t="shared" si="195"/>
        <v>1</v>
      </c>
      <c r="T3777" s="1">
        <v>4</v>
      </c>
      <c r="U3777" s="1">
        <v>12.5</v>
      </c>
      <c r="V3777" s="1">
        <v>724.7058823529411</v>
      </c>
      <c r="W3777" s="1">
        <v>4</v>
      </c>
    </row>
    <row r="3778" spans="1:23" x14ac:dyDescent="0.2">
      <c r="A3778">
        <v>2021</v>
      </c>
      <c r="B3778" t="s">
        <v>23</v>
      </c>
      <c r="C3778" t="s">
        <v>272</v>
      </c>
      <c r="D3778">
        <v>230</v>
      </c>
      <c r="E3778">
        <v>1</v>
      </c>
      <c r="F3778">
        <v>13</v>
      </c>
      <c r="G3778" t="s">
        <v>255</v>
      </c>
      <c r="H3778" s="3">
        <v>4</v>
      </c>
      <c r="I3778" s="3">
        <v>68</v>
      </c>
      <c r="J3778" s="3">
        <v>71</v>
      </c>
      <c r="K3778" s="3">
        <f t="shared" si="194"/>
        <v>3</v>
      </c>
      <c r="L3778" s="3">
        <v>84</v>
      </c>
      <c r="M3778" s="3">
        <v>39</v>
      </c>
      <c r="N3778" s="3">
        <v>2</v>
      </c>
      <c r="O3778" s="3">
        <v>3</v>
      </c>
      <c r="P3778" s="3">
        <f>H3778</f>
        <v>4</v>
      </c>
      <c r="Q3778" s="4">
        <v>6.5250000000000002E-2</v>
      </c>
      <c r="R3778" s="3">
        <v>2</v>
      </c>
      <c r="S3778" s="3">
        <f t="shared" si="195"/>
        <v>0.5</v>
      </c>
      <c r="T3778" s="3">
        <v>4</v>
      </c>
      <c r="U3778" s="3">
        <v>12.5</v>
      </c>
      <c r="V3778" s="3">
        <v>238.82352941176475</v>
      </c>
      <c r="W3778" s="3">
        <v>3</v>
      </c>
    </row>
    <row r="3779" spans="1:23" x14ac:dyDescent="0.2">
      <c r="A3779">
        <v>2021</v>
      </c>
      <c r="B3779" t="s">
        <v>23</v>
      </c>
      <c r="C3779" t="s">
        <v>272</v>
      </c>
      <c r="D3779">
        <v>230</v>
      </c>
      <c r="E3779">
        <v>2</v>
      </c>
      <c r="F3779">
        <v>9</v>
      </c>
      <c r="G3779" t="s">
        <v>255</v>
      </c>
      <c r="H3779">
        <v>15</v>
      </c>
      <c r="I3779">
        <v>50</v>
      </c>
      <c r="J3779">
        <v>54</v>
      </c>
      <c r="K3779">
        <v>4</v>
      </c>
      <c r="L3779">
        <v>170</v>
      </c>
      <c r="M3779">
        <v>53</v>
      </c>
      <c r="N3779">
        <v>2</v>
      </c>
      <c r="O3779">
        <v>2</v>
      </c>
      <c r="P3779">
        <v>12</v>
      </c>
      <c r="Q3779">
        <v>0.5</v>
      </c>
      <c r="R3779">
        <v>10</v>
      </c>
      <c r="S3779">
        <v>0.83333333333333337</v>
      </c>
      <c r="T3779">
        <v>2</v>
      </c>
      <c r="U3779">
        <v>9.9</v>
      </c>
      <c r="V3779">
        <v>1884.4444444444443</v>
      </c>
      <c r="W3779">
        <v>1</v>
      </c>
    </row>
    <row r="3780" spans="1:23" x14ac:dyDescent="0.2">
      <c r="A3780">
        <v>2021</v>
      </c>
      <c r="B3780" t="s">
        <v>23</v>
      </c>
      <c r="C3780" t="s">
        <v>272</v>
      </c>
      <c r="D3780">
        <v>231</v>
      </c>
      <c r="E3780">
        <v>1</v>
      </c>
      <c r="F3780">
        <v>3</v>
      </c>
      <c r="G3780" t="s">
        <v>256</v>
      </c>
      <c r="H3780" s="1">
        <v>11</v>
      </c>
      <c r="I3780" s="1">
        <v>63</v>
      </c>
      <c r="J3780" s="1">
        <v>68</v>
      </c>
      <c r="K3780" s="1">
        <f>J3780-I3780</f>
        <v>5</v>
      </c>
      <c r="L3780" s="1">
        <v>185</v>
      </c>
      <c r="M3780" s="1">
        <v>87</v>
      </c>
      <c r="N3780" s="1">
        <v>2</v>
      </c>
      <c r="O3780" s="1">
        <v>2.5</v>
      </c>
      <c r="P3780" s="1">
        <v>11</v>
      </c>
      <c r="Q3780" s="2">
        <v>0.95199999999999996</v>
      </c>
      <c r="R3780" s="1">
        <v>11</v>
      </c>
      <c r="S3780" s="1">
        <f>R3780/P3780</f>
        <v>1</v>
      </c>
      <c r="T3780" s="1">
        <v>4</v>
      </c>
      <c r="U3780" s="1">
        <v>9.1</v>
      </c>
      <c r="V3780" s="1">
        <v>3619.84</v>
      </c>
      <c r="W3780" s="1">
        <v>4</v>
      </c>
    </row>
    <row r="3781" spans="1:23" x14ac:dyDescent="0.2">
      <c r="A3781">
        <v>2021</v>
      </c>
      <c r="B3781" t="s">
        <v>23</v>
      </c>
      <c r="C3781" t="s">
        <v>272</v>
      </c>
      <c r="D3781">
        <v>231</v>
      </c>
      <c r="E3781">
        <v>2</v>
      </c>
      <c r="F3781">
        <v>7</v>
      </c>
      <c r="G3781" t="s">
        <v>256</v>
      </c>
      <c r="H3781" s="3">
        <v>16</v>
      </c>
      <c r="I3781" s="3">
        <v>66</v>
      </c>
      <c r="J3781" s="3">
        <v>70</v>
      </c>
      <c r="K3781" s="3">
        <f>J3781-I3781</f>
        <v>4</v>
      </c>
      <c r="L3781" s="3">
        <v>139</v>
      </c>
      <c r="M3781" s="3">
        <v>83</v>
      </c>
      <c r="N3781" s="3">
        <v>2</v>
      </c>
      <c r="O3781" s="3">
        <v>3</v>
      </c>
      <c r="P3781" s="3">
        <v>16</v>
      </c>
      <c r="Q3781" s="4">
        <v>0.54</v>
      </c>
      <c r="R3781" s="3">
        <v>12</v>
      </c>
      <c r="S3781" s="3">
        <f>R3781/P3781</f>
        <v>0.75</v>
      </c>
      <c r="T3781" s="3">
        <v>2</v>
      </c>
      <c r="U3781" s="3">
        <v>12.5</v>
      </c>
      <c r="V3781" s="3">
        <v>1976.4705882352941</v>
      </c>
      <c r="W3781" s="3">
        <v>2</v>
      </c>
    </row>
    <row r="3782" spans="1:23" x14ac:dyDescent="0.2">
      <c r="A3782">
        <v>2021</v>
      </c>
      <c r="B3782" t="s">
        <v>23</v>
      </c>
      <c r="C3782" t="s">
        <v>272</v>
      </c>
      <c r="D3782">
        <v>232</v>
      </c>
      <c r="E3782">
        <v>1</v>
      </c>
      <c r="F3782">
        <v>2</v>
      </c>
      <c r="G3782" t="s">
        <v>257</v>
      </c>
      <c r="H3782" s="1">
        <v>7</v>
      </c>
      <c r="I3782" s="1">
        <v>65</v>
      </c>
      <c r="J3782" s="1">
        <v>68</v>
      </c>
      <c r="K3782" s="1">
        <f>J3782-I3782</f>
        <v>3</v>
      </c>
      <c r="L3782" s="1">
        <v>110</v>
      </c>
      <c r="M3782" s="1">
        <v>30</v>
      </c>
      <c r="N3782" s="1">
        <v>2</v>
      </c>
      <c r="O3782" s="1">
        <v>4</v>
      </c>
      <c r="P3782" s="1">
        <v>5</v>
      </c>
      <c r="Q3782" s="2">
        <v>0.126</v>
      </c>
      <c r="R3782" s="1">
        <v>4</v>
      </c>
      <c r="S3782" s="1">
        <f>R3782/P3782</f>
        <v>0.8</v>
      </c>
      <c r="T3782" s="1">
        <v>5</v>
      </c>
      <c r="U3782" s="1">
        <v>12.5</v>
      </c>
      <c r="V3782" s="1">
        <v>461.17647058823536</v>
      </c>
      <c r="W3782" s="1">
        <v>6</v>
      </c>
    </row>
    <row r="3783" spans="1:23" x14ac:dyDescent="0.2">
      <c r="A3783">
        <v>2021</v>
      </c>
      <c r="B3783" t="s">
        <v>23</v>
      </c>
      <c r="C3783" t="s">
        <v>272</v>
      </c>
      <c r="D3783">
        <v>232</v>
      </c>
      <c r="E3783">
        <v>2</v>
      </c>
      <c r="F3783">
        <v>14</v>
      </c>
      <c r="G3783" t="s">
        <v>257</v>
      </c>
      <c r="H3783" s="1">
        <v>10</v>
      </c>
      <c r="I3783" s="1">
        <v>64</v>
      </c>
      <c r="J3783" s="1">
        <v>69</v>
      </c>
      <c r="K3783" s="1">
        <f>J3783-I3783</f>
        <v>5</v>
      </c>
      <c r="L3783" s="1">
        <v>120</v>
      </c>
      <c r="M3783" s="1">
        <v>62</v>
      </c>
      <c r="N3783" s="1">
        <v>2</v>
      </c>
      <c r="O3783" s="1">
        <v>4</v>
      </c>
      <c r="P3783" s="1">
        <v>7</v>
      </c>
      <c r="Q3783" s="2">
        <v>0.25600000000000001</v>
      </c>
      <c r="R3783" s="1">
        <v>7</v>
      </c>
      <c r="S3783" s="1">
        <f>R3783/P3783</f>
        <v>1</v>
      </c>
      <c r="T3783" s="1">
        <v>3.5</v>
      </c>
      <c r="U3783" s="1">
        <v>12.5</v>
      </c>
      <c r="V3783" s="1">
        <v>936.99346405228766</v>
      </c>
      <c r="W3783" s="1">
        <v>6</v>
      </c>
    </row>
    <row r="3784" spans="1:23" x14ac:dyDescent="0.2">
      <c r="A3784">
        <v>2021</v>
      </c>
      <c r="B3784" t="s">
        <v>23</v>
      </c>
      <c r="C3784" t="s">
        <v>272</v>
      </c>
      <c r="D3784">
        <v>233</v>
      </c>
      <c r="E3784">
        <v>1</v>
      </c>
      <c r="F3784">
        <v>12</v>
      </c>
      <c r="G3784" t="s">
        <v>258</v>
      </c>
      <c r="H3784">
        <v>6</v>
      </c>
      <c r="I3784">
        <v>59</v>
      </c>
      <c r="J3784">
        <v>62</v>
      </c>
      <c r="K3784">
        <v>3</v>
      </c>
      <c r="L3784">
        <v>127</v>
      </c>
      <c r="M3784">
        <v>58</v>
      </c>
      <c r="N3784">
        <v>2</v>
      </c>
      <c r="O3784">
        <v>3</v>
      </c>
      <c r="P3784">
        <v>6</v>
      </c>
      <c r="Q3784">
        <v>0.4</v>
      </c>
      <c r="R3784">
        <v>8</v>
      </c>
      <c r="S3784">
        <v>1.3333333333333333</v>
      </c>
      <c r="T3784">
        <v>2</v>
      </c>
      <c r="U3784">
        <v>12.5</v>
      </c>
      <c r="V3784">
        <v>1464.0522875816994</v>
      </c>
      <c r="W3784">
        <v>2</v>
      </c>
    </row>
    <row r="3785" spans="1:23" x14ac:dyDescent="0.2">
      <c r="A3785">
        <v>2021</v>
      </c>
      <c r="B3785" t="s">
        <v>23</v>
      </c>
      <c r="C3785" t="s">
        <v>272</v>
      </c>
      <c r="D3785">
        <v>233</v>
      </c>
      <c r="E3785">
        <v>2</v>
      </c>
      <c r="F3785">
        <v>4</v>
      </c>
      <c r="G3785" t="s">
        <v>258</v>
      </c>
      <c r="H3785" s="1">
        <v>5</v>
      </c>
      <c r="I3785" s="1">
        <v>60</v>
      </c>
      <c r="J3785" s="1">
        <v>65</v>
      </c>
      <c r="K3785" s="1">
        <f t="shared" ref="K3785:K3795" si="196">J3785-I3785</f>
        <v>5</v>
      </c>
      <c r="L3785" s="1">
        <v>113</v>
      </c>
      <c r="M3785" s="1">
        <v>45</v>
      </c>
      <c r="N3785" s="1">
        <v>2</v>
      </c>
      <c r="O3785" s="1">
        <v>4.5</v>
      </c>
      <c r="P3785" s="1">
        <v>3</v>
      </c>
      <c r="Q3785" s="2">
        <v>8.4000000000000005E-2</v>
      </c>
      <c r="R3785" s="1">
        <v>1</v>
      </c>
      <c r="S3785" s="1">
        <f t="shared" ref="S3785:S3795" si="197">R3785/P3785</f>
        <v>0.33333333333333331</v>
      </c>
      <c r="T3785" s="1">
        <v>5</v>
      </c>
      <c r="U3785" s="1">
        <v>12.5</v>
      </c>
      <c r="V3785" s="1">
        <v>307.45098039215685</v>
      </c>
      <c r="W3785" s="1">
        <v>5</v>
      </c>
    </row>
    <row r="3786" spans="1:23" x14ac:dyDescent="0.2">
      <c r="A3786">
        <v>2021</v>
      </c>
      <c r="B3786" t="s">
        <v>23</v>
      </c>
      <c r="C3786" t="s">
        <v>272</v>
      </c>
      <c r="D3786">
        <v>234</v>
      </c>
      <c r="E3786">
        <v>1</v>
      </c>
      <c r="F3786">
        <v>11</v>
      </c>
      <c r="G3786" t="s">
        <v>259</v>
      </c>
      <c r="H3786" s="3">
        <v>2</v>
      </c>
      <c r="I3786" s="3">
        <v>65</v>
      </c>
      <c r="J3786" s="3">
        <v>67</v>
      </c>
      <c r="K3786" s="3">
        <f t="shared" si="196"/>
        <v>2</v>
      </c>
      <c r="L3786" s="3">
        <v>53</v>
      </c>
      <c r="M3786" s="3">
        <v>30</v>
      </c>
      <c r="N3786" s="3">
        <v>4</v>
      </c>
      <c r="O3786" s="3">
        <v>5</v>
      </c>
      <c r="P3786" s="3">
        <v>1</v>
      </c>
      <c r="Q3786" s="4">
        <v>0.02</v>
      </c>
      <c r="R3786" s="3">
        <v>1</v>
      </c>
      <c r="S3786" s="3">
        <f t="shared" si="197"/>
        <v>1</v>
      </c>
      <c r="T3786" s="3">
        <v>5</v>
      </c>
      <c r="U3786" s="3">
        <v>12.5</v>
      </c>
      <c r="V3786" s="3">
        <v>73.202614379084977</v>
      </c>
      <c r="W3786" s="3">
        <v>8</v>
      </c>
    </row>
    <row r="3787" spans="1:23" x14ac:dyDescent="0.2">
      <c r="A3787">
        <v>2021</v>
      </c>
      <c r="B3787" t="s">
        <v>23</v>
      </c>
      <c r="C3787" t="s">
        <v>272</v>
      </c>
      <c r="D3787">
        <v>234</v>
      </c>
      <c r="E3787">
        <v>2</v>
      </c>
      <c r="F3787">
        <v>1</v>
      </c>
      <c r="G3787" t="s">
        <v>259</v>
      </c>
      <c r="H3787" s="1">
        <v>10</v>
      </c>
      <c r="I3787" s="1">
        <v>65</v>
      </c>
      <c r="J3787" s="1">
        <v>70</v>
      </c>
      <c r="K3787" s="1">
        <f t="shared" si="196"/>
        <v>5</v>
      </c>
      <c r="L3787" s="1">
        <v>116</v>
      </c>
      <c r="M3787" s="1">
        <v>46</v>
      </c>
      <c r="N3787" s="1">
        <v>2</v>
      </c>
      <c r="O3787" s="1">
        <v>3.5</v>
      </c>
      <c r="P3787" s="1">
        <v>5</v>
      </c>
      <c r="Q3787" s="2">
        <v>0.13500000000000001</v>
      </c>
      <c r="R3787" s="1">
        <v>5</v>
      </c>
      <c r="S3787" s="1">
        <f t="shared" si="197"/>
        <v>1</v>
      </c>
      <c r="T3787" s="1">
        <v>4</v>
      </c>
      <c r="U3787" s="1">
        <v>12.5</v>
      </c>
      <c r="V3787" s="1">
        <v>494.11764705882354</v>
      </c>
      <c r="W3787" s="1">
        <v>3</v>
      </c>
    </row>
    <row r="3788" spans="1:23" x14ac:dyDescent="0.2">
      <c r="A3788">
        <v>2021</v>
      </c>
      <c r="B3788" t="s">
        <v>23</v>
      </c>
      <c r="C3788" t="s">
        <v>272</v>
      </c>
      <c r="D3788">
        <v>235</v>
      </c>
      <c r="E3788">
        <v>1</v>
      </c>
      <c r="F3788">
        <v>11</v>
      </c>
      <c r="G3788" t="s">
        <v>268</v>
      </c>
      <c r="H3788" s="1">
        <v>13</v>
      </c>
      <c r="I3788" s="1">
        <v>66</v>
      </c>
      <c r="J3788" s="1">
        <v>69</v>
      </c>
      <c r="K3788" s="1">
        <f t="shared" si="196"/>
        <v>3</v>
      </c>
      <c r="L3788" s="1">
        <v>191</v>
      </c>
      <c r="M3788" s="1">
        <v>86</v>
      </c>
      <c r="N3788" s="1">
        <v>2</v>
      </c>
      <c r="O3788" s="1">
        <v>3</v>
      </c>
      <c r="P3788" s="1">
        <f>H3788</f>
        <v>13</v>
      </c>
      <c r="Q3788" s="2">
        <v>0.67</v>
      </c>
      <c r="R3788" s="1">
        <v>10</v>
      </c>
      <c r="S3788" s="1">
        <f t="shared" si="197"/>
        <v>0.76923076923076927</v>
      </c>
      <c r="T3788" s="1">
        <v>3</v>
      </c>
      <c r="U3788" s="1">
        <v>12.5</v>
      </c>
      <c r="V3788" s="1">
        <v>2452.2875816993464</v>
      </c>
      <c r="W3788" s="1">
        <v>4</v>
      </c>
    </row>
    <row r="3789" spans="1:23" x14ac:dyDescent="0.2">
      <c r="A3789">
        <v>2021</v>
      </c>
      <c r="B3789" t="s">
        <v>23</v>
      </c>
      <c r="C3789" t="s">
        <v>272</v>
      </c>
      <c r="D3789">
        <v>235</v>
      </c>
      <c r="E3789">
        <v>2</v>
      </c>
      <c r="F3789">
        <v>11</v>
      </c>
      <c r="G3789" t="s">
        <v>268</v>
      </c>
      <c r="H3789" s="1">
        <v>8</v>
      </c>
      <c r="I3789" s="1">
        <v>67</v>
      </c>
      <c r="J3789" s="1">
        <v>70</v>
      </c>
      <c r="K3789" s="1">
        <f t="shared" si="196"/>
        <v>3</v>
      </c>
      <c r="L3789" s="1">
        <v>94</v>
      </c>
      <c r="M3789" s="1">
        <v>31</v>
      </c>
      <c r="N3789" s="1">
        <v>3</v>
      </c>
      <c r="O3789" s="1">
        <v>5</v>
      </c>
      <c r="P3789" s="1">
        <v>6</v>
      </c>
      <c r="Q3789" s="2">
        <v>8.2000000000000003E-2</v>
      </c>
      <c r="R3789" s="1">
        <v>4</v>
      </c>
      <c r="S3789" s="1">
        <f t="shared" si="197"/>
        <v>0.66666666666666663</v>
      </c>
      <c r="T3789" s="1">
        <v>5</v>
      </c>
      <c r="U3789" s="1">
        <v>12.5</v>
      </c>
      <c r="V3789" s="1">
        <v>300.13071895424832</v>
      </c>
      <c r="W3789" s="1">
        <v>6</v>
      </c>
    </row>
    <row r="3790" spans="1:23" x14ac:dyDescent="0.2">
      <c r="A3790">
        <v>2021</v>
      </c>
      <c r="B3790" t="s">
        <v>23</v>
      </c>
      <c r="C3790" t="s">
        <v>272</v>
      </c>
      <c r="D3790">
        <v>236</v>
      </c>
      <c r="E3790">
        <v>1</v>
      </c>
      <c r="F3790">
        <v>6</v>
      </c>
      <c r="G3790" t="s">
        <v>269</v>
      </c>
      <c r="H3790" s="1">
        <v>10</v>
      </c>
      <c r="I3790" s="1">
        <v>67</v>
      </c>
      <c r="J3790" s="1">
        <v>69</v>
      </c>
      <c r="K3790" s="1">
        <f t="shared" si="196"/>
        <v>2</v>
      </c>
      <c r="L3790" s="1">
        <v>196</v>
      </c>
      <c r="M3790" s="1">
        <v>71</v>
      </c>
      <c r="N3790" s="1">
        <v>2</v>
      </c>
      <c r="O3790" s="1">
        <v>2.5</v>
      </c>
      <c r="P3790" s="1">
        <v>10</v>
      </c>
      <c r="Q3790" s="2">
        <v>0.51779999999999993</v>
      </c>
      <c r="R3790" s="1">
        <v>10</v>
      </c>
      <c r="S3790" s="1">
        <f t="shared" si="197"/>
        <v>1</v>
      </c>
      <c r="T3790" s="1">
        <v>3</v>
      </c>
      <c r="U3790" s="1">
        <v>12.5</v>
      </c>
      <c r="V3790" s="1">
        <v>1895.2156862745094</v>
      </c>
      <c r="W3790" s="1">
        <v>5</v>
      </c>
    </row>
    <row r="3791" spans="1:23" x14ac:dyDescent="0.2">
      <c r="A3791">
        <v>2021</v>
      </c>
      <c r="B3791" t="s">
        <v>23</v>
      </c>
      <c r="C3791" t="s">
        <v>272</v>
      </c>
      <c r="D3791">
        <v>236</v>
      </c>
      <c r="E3791">
        <v>2</v>
      </c>
      <c r="F3791">
        <v>15</v>
      </c>
      <c r="G3791" t="s">
        <v>269</v>
      </c>
      <c r="H3791" s="1">
        <v>10</v>
      </c>
      <c r="I3791" s="1">
        <v>60</v>
      </c>
      <c r="J3791" s="1">
        <v>65</v>
      </c>
      <c r="K3791" s="1">
        <f t="shared" si="196"/>
        <v>5</v>
      </c>
      <c r="L3791" s="1">
        <v>148</v>
      </c>
      <c r="M3791" s="1">
        <v>86</v>
      </c>
      <c r="N3791" s="1">
        <v>2</v>
      </c>
      <c r="O3791" s="1">
        <v>4</v>
      </c>
      <c r="P3791" s="1">
        <v>7</v>
      </c>
      <c r="Q3791" s="2">
        <v>0.41595000000000004</v>
      </c>
      <c r="R3791" s="1">
        <v>7</v>
      </c>
      <c r="S3791" s="1">
        <f t="shared" si="197"/>
        <v>1</v>
      </c>
      <c r="T3791" s="1">
        <v>5</v>
      </c>
      <c r="U3791" s="1">
        <v>12.5</v>
      </c>
      <c r="V3791" s="1">
        <v>1522.4313725490197</v>
      </c>
      <c r="W3791" s="1">
        <v>7</v>
      </c>
    </row>
    <row r="3792" spans="1:23" x14ac:dyDescent="0.2">
      <c r="A3792">
        <v>2021</v>
      </c>
      <c r="B3792" t="s">
        <v>23</v>
      </c>
      <c r="C3792" t="s">
        <v>272</v>
      </c>
      <c r="D3792">
        <v>237</v>
      </c>
      <c r="E3792">
        <v>1</v>
      </c>
      <c r="F3792">
        <v>8</v>
      </c>
      <c r="G3792" t="s">
        <v>270</v>
      </c>
      <c r="H3792" s="1">
        <v>10</v>
      </c>
      <c r="I3792" s="1">
        <v>67</v>
      </c>
      <c r="J3792" s="1">
        <v>73</v>
      </c>
      <c r="K3792" s="1">
        <f t="shared" si="196"/>
        <v>6</v>
      </c>
      <c r="L3792" s="1">
        <v>125</v>
      </c>
      <c r="M3792" s="1">
        <v>35</v>
      </c>
      <c r="N3792" s="1">
        <v>2</v>
      </c>
      <c r="O3792" s="1">
        <v>4.5</v>
      </c>
      <c r="P3792" s="1">
        <v>6</v>
      </c>
      <c r="Q3792" s="2">
        <v>0.124</v>
      </c>
      <c r="R3792" s="1">
        <v>4</v>
      </c>
      <c r="S3792" s="1">
        <f t="shared" si="197"/>
        <v>0.66666666666666663</v>
      </c>
      <c r="T3792" s="1">
        <v>5</v>
      </c>
      <c r="U3792" s="1">
        <v>12.5</v>
      </c>
      <c r="V3792" s="1">
        <v>453.85620915032678</v>
      </c>
      <c r="W3792" s="1">
        <v>4</v>
      </c>
    </row>
    <row r="3793" spans="1:23" x14ac:dyDescent="0.2">
      <c r="A3793">
        <v>2021</v>
      </c>
      <c r="B3793" t="s">
        <v>23</v>
      </c>
      <c r="C3793" t="s">
        <v>272</v>
      </c>
      <c r="D3793">
        <v>237</v>
      </c>
      <c r="E3793">
        <v>2</v>
      </c>
      <c r="F3793">
        <v>9</v>
      </c>
      <c r="G3793" t="s">
        <v>270</v>
      </c>
      <c r="H3793" s="1">
        <v>4</v>
      </c>
      <c r="I3793" s="1">
        <v>66</v>
      </c>
      <c r="J3793" s="1">
        <v>71</v>
      </c>
      <c r="K3793" s="1">
        <f t="shared" si="196"/>
        <v>5</v>
      </c>
      <c r="L3793" s="1">
        <v>152</v>
      </c>
      <c r="M3793" s="1">
        <v>77</v>
      </c>
      <c r="N3793" s="1">
        <v>2</v>
      </c>
      <c r="O3793" s="1">
        <v>2.5</v>
      </c>
      <c r="P3793" s="1">
        <v>4</v>
      </c>
      <c r="Q3793" s="2">
        <v>0.5464</v>
      </c>
      <c r="R3793" s="1">
        <v>4</v>
      </c>
      <c r="S3793" s="1">
        <f t="shared" si="197"/>
        <v>1</v>
      </c>
      <c r="T3793" s="1">
        <v>4</v>
      </c>
      <c r="U3793" s="1">
        <v>11.6</v>
      </c>
      <c r="V3793" s="1">
        <v>2020.4657777777782</v>
      </c>
      <c r="W3793" s="1">
        <v>4</v>
      </c>
    </row>
    <row r="3794" spans="1:23" x14ac:dyDescent="0.2">
      <c r="A3794">
        <v>2022</v>
      </c>
      <c r="B3794" t="s">
        <v>23</v>
      </c>
      <c r="C3794" t="s">
        <v>272</v>
      </c>
      <c r="D3794">
        <v>1</v>
      </c>
      <c r="E3794">
        <v>1</v>
      </c>
      <c r="F3794">
        <v>9</v>
      </c>
      <c r="G3794" t="s">
        <v>25</v>
      </c>
      <c r="H3794" s="1">
        <v>13</v>
      </c>
      <c r="I3794" s="1">
        <v>62</v>
      </c>
      <c r="J3794" s="1">
        <v>66</v>
      </c>
      <c r="K3794" s="1">
        <f t="shared" si="196"/>
        <v>4</v>
      </c>
      <c r="L3794" s="1">
        <v>120</v>
      </c>
      <c r="M3794" s="1">
        <v>90</v>
      </c>
      <c r="N3794" s="1">
        <v>1</v>
      </c>
      <c r="O3794" s="1">
        <v>2</v>
      </c>
      <c r="P3794" s="1">
        <f>H3794</f>
        <v>13</v>
      </c>
      <c r="Q3794" s="2">
        <v>4.9049999999999996E-2</v>
      </c>
      <c r="R3794" s="1">
        <v>10</v>
      </c>
      <c r="S3794" s="1">
        <f t="shared" si="197"/>
        <v>0.76923076923076927</v>
      </c>
      <c r="T3794" s="1">
        <v>4</v>
      </c>
      <c r="U3794" s="1">
        <v>12.5</v>
      </c>
      <c r="V3794" s="1">
        <v>179.52941176470588</v>
      </c>
      <c r="W3794" s="1">
        <v>5</v>
      </c>
    </row>
    <row r="3795" spans="1:23" x14ac:dyDescent="0.2">
      <c r="A3795">
        <v>2022</v>
      </c>
      <c r="B3795" t="s">
        <v>23</v>
      </c>
      <c r="C3795" t="s">
        <v>272</v>
      </c>
      <c r="D3795">
        <v>1</v>
      </c>
      <c r="E3795">
        <v>2</v>
      </c>
      <c r="F3795">
        <v>4</v>
      </c>
      <c r="G3795" t="s">
        <v>25</v>
      </c>
      <c r="H3795" s="1">
        <v>9</v>
      </c>
      <c r="I3795" s="1">
        <v>65</v>
      </c>
      <c r="J3795" s="1">
        <v>66</v>
      </c>
      <c r="K3795" s="1">
        <f t="shared" si="196"/>
        <v>1</v>
      </c>
      <c r="L3795" s="1">
        <v>108</v>
      </c>
      <c r="M3795" s="1">
        <v>83</v>
      </c>
      <c r="N3795" s="1">
        <v>2</v>
      </c>
      <c r="O3795" s="1">
        <v>3.5</v>
      </c>
      <c r="P3795" s="1">
        <v>7</v>
      </c>
      <c r="Q3795" s="2">
        <v>2.4243750000000001E-2</v>
      </c>
      <c r="R3795" s="1">
        <v>3</v>
      </c>
      <c r="S3795" s="1">
        <f t="shared" si="197"/>
        <v>0.42857142857142855</v>
      </c>
      <c r="T3795" s="1">
        <v>5</v>
      </c>
      <c r="U3795" s="1">
        <v>12.5</v>
      </c>
      <c r="V3795" s="1">
        <v>88.735294117647072</v>
      </c>
      <c r="W3795" s="1">
        <v>6</v>
      </c>
    </row>
    <row r="3796" spans="1:23" x14ac:dyDescent="0.2">
      <c r="A3796">
        <v>2022</v>
      </c>
      <c r="B3796" t="s">
        <v>23</v>
      </c>
      <c r="C3796" t="s">
        <v>272</v>
      </c>
      <c r="D3796">
        <v>2</v>
      </c>
      <c r="E3796">
        <v>1</v>
      </c>
      <c r="F3796">
        <v>5</v>
      </c>
      <c r="G3796" t="s">
        <v>26</v>
      </c>
      <c r="H3796">
        <v>9</v>
      </c>
      <c r="I3796">
        <v>55</v>
      </c>
      <c r="J3796">
        <v>57</v>
      </c>
      <c r="K3796">
        <v>2</v>
      </c>
      <c r="L3796">
        <v>190</v>
      </c>
      <c r="M3796">
        <v>64</v>
      </c>
      <c r="N3796">
        <v>2</v>
      </c>
      <c r="O3796">
        <v>2</v>
      </c>
      <c r="P3796">
        <v>9</v>
      </c>
      <c r="Q3796">
        <v>0.14499999999999999</v>
      </c>
      <c r="R3796">
        <v>9</v>
      </c>
      <c r="S3796">
        <v>1</v>
      </c>
      <c r="T3796">
        <v>3</v>
      </c>
      <c r="U3796">
        <v>12.5</v>
      </c>
      <c r="V3796">
        <v>530.718954248366</v>
      </c>
      <c r="W3796">
        <v>1</v>
      </c>
    </row>
    <row r="3797" spans="1:23" x14ac:dyDescent="0.2">
      <c r="A3797">
        <v>2022</v>
      </c>
      <c r="B3797" t="s">
        <v>23</v>
      </c>
      <c r="C3797" t="s">
        <v>272</v>
      </c>
      <c r="D3797">
        <v>2</v>
      </c>
      <c r="E3797">
        <v>2</v>
      </c>
      <c r="F3797">
        <v>5</v>
      </c>
      <c r="G3797" t="s">
        <v>26</v>
      </c>
      <c r="H3797">
        <v>9</v>
      </c>
      <c r="I3797">
        <v>63</v>
      </c>
      <c r="J3797">
        <v>67</v>
      </c>
      <c r="K3797">
        <v>4</v>
      </c>
      <c r="L3797">
        <v>120</v>
      </c>
      <c r="M3797">
        <v>60</v>
      </c>
      <c r="N3797">
        <v>2</v>
      </c>
      <c r="O3797">
        <v>3</v>
      </c>
      <c r="P3797">
        <v>9</v>
      </c>
      <c r="Q3797">
        <v>0.6</v>
      </c>
      <c r="R3797">
        <v>8</v>
      </c>
      <c r="S3797">
        <v>0.88888888888888884</v>
      </c>
      <c r="T3797">
        <v>2.5</v>
      </c>
      <c r="U3797">
        <v>12.5</v>
      </c>
      <c r="V3797">
        <v>2196.0784313725489</v>
      </c>
      <c r="W3797">
        <v>1</v>
      </c>
    </row>
    <row r="3798" spans="1:23" x14ac:dyDescent="0.2">
      <c r="A3798">
        <v>2022</v>
      </c>
      <c r="B3798" t="s">
        <v>23</v>
      </c>
      <c r="C3798" t="s">
        <v>272</v>
      </c>
      <c r="D3798">
        <v>3</v>
      </c>
      <c r="E3798">
        <v>1</v>
      </c>
      <c r="F3798">
        <v>6</v>
      </c>
      <c r="G3798" t="s">
        <v>27</v>
      </c>
      <c r="H3798" s="1">
        <v>2</v>
      </c>
      <c r="I3798" s="1">
        <v>62</v>
      </c>
      <c r="J3798" s="1">
        <v>66</v>
      </c>
      <c r="K3798" s="1">
        <f>J3798-I3798</f>
        <v>4</v>
      </c>
      <c r="L3798" s="1">
        <v>129</v>
      </c>
      <c r="M3798" s="1">
        <v>43</v>
      </c>
      <c r="N3798" s="1">
        <v>2</v>
      </c>
      <c r="O3798" s="1">
        <v>3</v>
      </c>
      <c r="P3798" s="1">
        <v>2</v>
      </c>
      <c r="Q3798" s="2">
        <v>5.3600000000000002E-2</v>
      </c>
      <c r="R3798" s="1">
        <v>1</v>
      </c>
      <c r="S3798" s="1">
        <f>R3798/P3798</f>
        <v>0.5</v>
      </c>
      <c r="T3798" s="1">
        <v>4</v>
      </c>
      <c r="U3798" s="1">
        <v>12.5</v>
      </c>
      <c r="V3798" s="1">
        <v>196.18300653594775</v>
      </c>
      <c r="W3798" s="1">
        <v>4</v>
      </c>
    </row>
    <row r="3799" spans="1:23" x14ac:dyDescent="0.2">
      <c r="A3799">
        <v>2022</v>
      </c>
      <c r="B3799" t="s">
        <v>23</v>
      </c>
      <c r="C3799" t="s">
        <v>272</v>
      </c>
      <c r="D3799">
        <v>3</v>
      </c>
      <c r="E3799">
        <v>2</v>
      </c>
      <c r="F3799">
        <v>15</v>
      </c>
      <c r="G3799" t="s">
        <v>27</v>
      </c>
      <c r="H3799">
        <v>5</v>
      </c>
      <c r="I3799">
        <v>55</v>
      </c>
      <c r="J3799">
        <v>61</v>
      </c>
      <c r="K3799">
        <v>6</v>
      </c>
      <c r="L3799">
        <v>76</v>
      </c>
      <c r="M3799">
        <v>47</v>
      </c>
      <c r="N3799">
        <v>5</v>
      </c>
      <c r="O3799">
        <v>5</v>
      </c>
      <c r="P3799">
        <v>4</v>
      </c>
      <c r="Q3799">
        <v>0.25</v>
      </c>
      <c r="R3799">
        <v>5</v>
      </c>
      <c r="S3799">
        <v>1.25</v>
      </c>
      <c r="T3799">
        <v>3</v>
      </c>
      <c r="U3799">
        <v>12.5</v>
      </c>
      <c r="V3799">
        <v>915.03267973856214</v>
      </c>
      <c r="W3799">
        <v>1</v>
      </c>
    </row>
    <row r="3800" spans="1:23" x14ac:dyDescent="0.2">
      <c r="A3800">
        <v>2022</v>
      </c>
      <c r="B3800" t="s">
        <v>23</v>
      </c>
      <c r="C3800" t="s">
        <v>272</v>
      </c>
      <c r="D3800">
        <v>4</v>
      </c>
      <c r="E3800">
        <v>1</v>
      </c>
      <c r="F3800">
        <v>11</v>
      </c>
      <c r="G3800" t="s">
        <v>28</v>
      </c>
      <c r="H3800" s="1">
        <v>9</v>
      </c>
      <c r="I3800" s="1">
        <v>60</v>
      </c>
      <c r="J3800" s="1">
        <v>65</v>
      </c>
      <c r="K3800" s="1">
        <f>J3800-I3800</f>
        <v>5</v>
      </c>
      <c r="L3800" s="1">
        <v>180</v>
      </c>
      <c r="M3800" s="1">
        <v>108</v>
      </c>
      <c r="N3800" s="1">
        <v>2</v>
      </c>
      <c r="O3800" s="1">
        <v>2</v>
      </c>
      <c r="P3800" s="1">
        <v>8</v>
      </c>
      <c r="Q3800" s="2">
        <v>0.27</v>
      </c>
      <c r="R3800" s="1">
        <v>5</v>
      </c>
      <c r="S3800" s="1">
        <f>R3800/P3800</f>
        <v>0.625</v>
      </c>
      <c r="T3800" s="1">
        <v>4</v>
      </c>
      <c r="U3800" s="1">
        <v>6.9</v>
      </c>
      <c r="V3800" s="1">
        <v>1051.4823529411765</v>
      </c>
      <c r="W3800" s="1">
        <v>4</v>
      </c>
    </row>
    <row r="3801" spans="1:23" x14ac:dyDescent="0.2">
      <c r="A3801">
        <v>2022</v>
      </c>
      <c r="B3801" t="s">
        <v>23</v>
      </c>
      <c r="C3801" t="s">
        <v>272</v>
      </c>
      <c r="D3801">
        <v>4</v>
      </c>
      <c r="E3801">
        <v>2</v>
      </c>
      <c r="F3801">
        <v>10</v>
      </c>
      <c r="G3801" t="s">
        <v>28</v>
      </c>
      <c r="H3801" s="1">
        <v>4</v>
      </c>
      <c r="I3801" s="1">
        <v>68</v>
      </c>
      <c r="J3801" s="1">
        <v>72</v>
      </c>
      <c r="K3801" s="1">
        <f>J3801-I3801</f>
        <v>4</v>
      </c>
      <c r="L3801" s="1">
        <v>118</v>
      </c>
      <c r="M3801" s="1">
        <v>40</v>
      </c>
      <c r="N3801" s="1">
        <v>2</v>
      </c>
      <c r="O3801" s="1">
        <v>3.5</v>
      </c>
      <c r="P3801" s="1">
        <v>4</v>
      </c>
      <c r="Q3801" s="2">
        <v>0.36</v>
      </c>
      <c r="R3801" s="1">
        <v>5</v>
      </c>
      <c r="S3801" s="1">
        <f>R3801/P3801</f>
        <v>1.25</v>
      </c>
      <c r="T3801" s="1">
        <v>3</v>
      </c>
      <c r="U3801" s="1">
        <v>12.5</v>
      </c>
      <c r="V3801" s="1">
        <v>1317.6470588235293</v>
      </c>
      <c r="W3801" s="1">
        <v>2</v>
      </c>
    </row>
    <row r="3802" spans="1:23" x14ac:dyDescent="0.2">
      <c r="A3802">
        <v>2022</v>
      </c>
      <c r="B3802" t="s">
        <v>23</v>
      </c>
      <c r="C3802" t="s">
        <v>272</v>
      </c>
      <c r="D3802">
        <v>5</v>
      </c>
      <c r="E3802">
        <v>1</v>
      </c>
      <c r="F3802">
        <v>9</v>
      </c>
      <c r="G3802" t="s">
        <v>29</v>
      </c>
      <c r="H3802">
        <v>16</v>
      </c>
      <c r="I3802">
        <v>58</v>
      </c>
      <c r="J3802">
        <v>61</v>
      </c>
      <c r="K3802">
        <v>3</v>
      </c>
      <c r="L3802">
        <v>155</v>
      </c>
      <c r="M3802">
        <v>100</v>
      </c>
      <c r="N3802">
        <v>2</v>
      </c>
      <c r="O3802">
        <v>2</v>
      </c>
      <c r="P3802">
        <v>15</v>
      </c>
      <c r="Q3802">
        <v>1</v>
      </c>
      <c r="R3802">
        <v>12</v>
      </c>
      <c r="S3802">
        <v>0.8</v>
      </c>
      <c r="T3802">
        <v>3</v>
      </c>
      <c r="U3802">
        <v>8.9</v>
      </c>
      <c r="V3802">
        <v>3810.7189542483661</v>
      </c>
      <c r="W3802">
        <v>1</v>
      </c>
    </row>
    <row r="3803" spans="1:23" x14ac:dyDescent="0.2">
      <c r="A3803">
        <v>2022</v>
      </c>
      <c r="B3803" t="s">
        <v>23</v>
      </c>
      <c r="C3803" t="s">
        <v>272</v>
      </c>
      <c r="D3803">
        <v>5</v>
      </c>
      <c r="E3803">
        <v>2</v>
      </c>
      <c r="F3803">
        <v>3</v>
      </c>
      <c r="G3803" t="s">
        <v>29</v>
      </c>
      <c r="H3803" s="1">
        <v>9</v>
      </c>
      <c r="I3803" s="1">
        <v>60</v>
      </c>
      <c r="J3803" s="1">
        <v>63</v>
      </c>
      <c r="K3803" s="1">
        <f t="shared" ref="K3803:K3813" si="198">J3803-I3803</f>
        <v>3</v>
      </c>
      <c r="L3803" s="1">
        <v>148</v>
      </c>
      <c r="M3803" s="1">
        <v>87</v>
      </c>
      <c r="N3803" s="1">
        <v>2</v>
      </c>
      <c r="O3803" s="1">
        <v>3.5</v>
      </c>
      <c r="P3803" s="1">
        <v>9</v>
      </c>
      <c r="Q3803" s="2">
        <v>0.6009000000000001</v>
      </c>
      <c r="R3803" s="1">
        <v>6</v>
      </c>
      <c r="S3803" s="1">
        <f t="shared" ref="S3803:S3813" si="199">R3803/P3803</f>
        <v>0.66666666666666663</v>
      </c>
      <c r="T3803" s="1">
        <v>5</v>
      </c>
      <c r="U3803" s="1">
        <v>10.5</v>
      </c>
      <c r="V3803" s="1">
        <v>2249.6439215686282</v>
      </c>
      <c r="W3803" s="1">
        <v>5</v>
      </c>
    </row>
    <row r="3804" spans="1:23" x14ac:dyDescent="0.2">
      <c r="A3804">
        <v>2022</v>
      </c>
      <c r="B3804" t="s">
        <v>23</v>
      </c>
      <c r="C3804" t="s">
        <v>272</v>
      </c>
      <c r="D3804">
        <v>6</v>
      </c>
      <c r="E3804">
        <v>1</v>
      </c>
      <c r="F3804">
        <v>14</v>
      </c>
      <c r="G3804" t="s">
        <v>30</v>
      </c>
      <c r="H3804" s="1">
        <v>10</v>
      </c>
      <c r="I3804" s="1">
        <v>61</v>
      </c>
      <c r="J3804" s="1">
        <v>65</v>
      </c>
      <c r="K3804" s="1">
        <f t="shared" si="198"/>
        <v>4</v>
      </c>
      <c r="L3804" s="1">
        <v>172</v>
      </c>
      <c r="M3804" s="1">
        <v>55</v>
      </c>
      <c r="N3804" s="1">
        <v>2</v>
      </c>
      <c r="O3804" s="1">
        <v>3.5</v>
      </c>
      <c r="P3804" s="1">
        <v>7</v>
      </c>
      <c r="Q3804" s="2">
        <v>0.11359999999999999</v>
      </c>
      <c r="R3804" s="1">
        <v>3</v>
      </c>
      <c r="S3804" s="1">
        <f t="shared" si="199"/>
        <v>0.42857142857142855</v>
      </c>
      <c r="T3804" s="1">
        <v>3.5</v>
      </c>
      <c r="U3804" s="1">
        <v>12.5</v>
      </c>
      <c r="V3804" s="1">
        <v>415.79084967320262</v>
      </c>
      <c r="W3804" s="1">
        <v>4</v>
      </c>
    </row>
    <row r="3805" spans="1:23" x14ac:dyDescent="0.2">
      <c r="A3805">
        <v>2022</v>
      </c>
      <c r="B3805" t="s">
        <v>23</v>
      </c>
      <c r="C3805" t="s">
        <v>272</v>
      </c>
      <c r="D3805">
        <v>6</v>
      </c>
      <c r="E3805">
        <v>2</v>
      </c>
      <c r="F3805">
        <v>4</v>
      </c>
      <c r="G3805" t="s">
        <v>30</v>
      </c>
      <c r="H3805" s="1">
        <v>16</v>
      </c>
      <c r="I3805" s="1">
        <v>65</v>
      </c>
      <c r="J3805" s="1">
        <v>67</v>
      </c>
      <c r="K3805" s="1">
        <f t="shared" si="198"/>
        <v>2</v>
      </c>
      <c r="L3805" s="1">
        <v>150</v>
      </c>
      <c r="M3805" s="1">
        <v>53</v>
      </c>
      <c r="N3805" s="1">
        <v>3.5</v>
      </c>
      <c r="O3805" s="1">
        <v>4.5</v>
      </c>
      <c r="P3805" s="1">
        <v>12</v>
      </c>
      <c r="Q3805" s="2">
        <v>0.22600000000000001</v>
      </c>
      <c r="R3805" s="1">
        <v>11</v>
      </c>
      <c r="S3805" s="1">
        <f t="shared" si="199"/>
        <v>0.91666666666666663</v>
      </c>
      <c r="T3805" s="1">
        <v>4</v>
      </c>
      <c r="U3805" s="1">
        <v>12.5</v>
      </c>
      <c r="V3805" s="1">
        <v>827.18954248366026</v>
      </c>
      <c r="W3805" s="1">
        <v>6</v>
      </c>
    </row>
    <row r="3806" spans="1:23" x14ac:dyDescent="0.2">
      <c r="A3806">
        <v>2022</v>
      </c>
      <c r="B3806" t="s">
        <v>23</v>
      </c>
      <c r="C3806" t="s">
        <v>272</v>
      </c>
      <c r="D3806">
        <v>7</v>
      </c>
      <c r="E3806">
        <v>1</v>
      </c>
      <c r="F3806">
        <v>6</v>
      </c>
      <c r="G3806" t="s">
        <v>31</v>
      </c>
      <c r="H3806" s="1">
        <v>12</v>
      </c>
      <c r="I3806" s="1">
        <v>60</v>
      </c>
      <c r="J3806" s="1">
        <v>63</v>
      </c>
      <c r="K3806" s="1">
        <f t="shared" si="198"/>
        <v>3</v>
      </c>
      <c r="L3806" s="1">
        <v>73</v>
      </c>
      <c r="M3806" s="1">
        <v>33</v>
      </c>
      <c r="N3806" s="1">
        <v>2</v>
      </c>
      <c r="O3806" s="1">
        <v>2.5</v>
      </c>
      <c r="P3806" s="1">
        <f>H3806</f>
        <v>12</v>
      </c>
      <c r="Q3806" s="2">
        <v>0.15375</v>
      </c>
      <c r="R3806" s="1">
        <v>8</v>
      </c>
      <c r="S3806" s="1">
        <f t="shared" si="199"/>
        <v>0.66666666666666663</v>
      </c>
      <c r="T3806" s="1">
        <v>2</v>
      </c>
      <c r="U3806" s="1">
        <v>12.5</v>
      </c>
      <c r="V3806" s="1">
        <v>562.74509803921569</v>
      </c>
      <c r="W3806" s="1">
        <v>4</v>
      </c>
    </row>
    <row r="3807" spans="1:23" x14ac:dyDescent="0.2">
      <c r="A3807">
        <v>2022</v>
      </c>
      <c r="B3807" t="s">
        <v>23</v>
      </c>
      <c r="C3807" t="s">
        <v>272</v>
      </c>
      <c r="D3807">
        <v>7</v>
      </c>
      <c r="E3807">
        <v>2</v>
      </c>
      <c r="F3807">
        <v>8</v>
      </c>
      <c r="G3807" t="s">
        <v>31</v>
      </c>
      <c r="H3807" s="1">
        <v>11</v>
      </c>
      <c r="I3807" s="1">
        <v>58</v>
      </c>
      <c r="J3807" s="1">
        <v>63</v>
      </c>
      <c r="K3807" s="1">
        <f t="shared" si="198"/>
        <v>5</v>
      </c>
      <c r="L3807" s="1">
        <v>117</v>
      </c>
      <c r="M3807" s="1">
        <v>93</v>
      </c>
      <c r="N3807" s="1">
        <v>2</v>
      </c>
      <c r="O3807" s="1">
        <v>3.5</v>
      </c>
      <c r="P3807" s="1">
        <f>H3807</f>
        <v>11</v>
      </c>
      <c r="Q3807" s="2">
        <v>0.42075000000000001</v>
      </c>
      <c r="R3807" s="1">
        <v>11</v>
      </c>
      <c r="S3807" s="1">
        <f t="shared" si="199"/>
        <v>1</v>
      </c>
      <c r="T3807" s="1">
        <v>5</v>
      </c>
      <c r="U3807" s="1">
        <v>12.5</v>
      </c>
      <c r="V3807" s="1">
        <v>1540.0000000000005</v>
      </c>
      <c r="W3807" s="1">
        <v>5</v>
      </c>
    </row>
    <row r="3808" spans="1:23" x14ac:dyDescent="0.2">
      <c r="A3808">
        <v>2022</v>
      </c>
      <c r="B3808" t="s">
        <v>23</v>
      </c>
      <c r="C3808" t="s">
        <v>272</v>
      </c>
      <c r="D3808">
        <v>8</v>
      </c>
      <c r="E3808">
        <v>1</v>
      </c>
      <c r="F3808">
        <v>14</v>
      </c>
      <c r="G3808" t="s">
        <v>32</v>
      </c>
      <c r="H3808" s="1">
        <v>4</v>
      </c>
      <c r="I3808" s="1">
        <v>65</v>
      </c>
      <c r="J3808" s="1">
        <v>70</v>
      </c>
      <c r="K3808" s="1">
        <f t="shared" si="198"/>
        <v>5</v>
      </c>
      <c r="L3808" s="1">
        <v>131</v>
      </c>
      <c r="M3808" s="1">
        <v>70</v>
      </c>
      <c r="N3808" s="1">
        <v>1.5</v>
      </c>
      <c r="O3808" s="1">
        <v>4</v>
      </c>
      <c r="P3808" s="1">
        <v>4</v>
      </c>
      <c r="Q3808" s="2">
        <v>0.23</v>
      </c>
      <c r="R3808" s="1">
        <v>4</v>
      </c>
      <c r="S3808" s="1">
        <f t="shared" si="199"/>
        <v>1</v>
      </c>
      <c r="T3808" s="1">
        <v>3</v>
      </c>
      <c r="U3808" s="1">
        <v>12.5</v>
      </c>
      <c r="V3808" s="1">
        <v>841.83006535947709</v>
      </c>
      <c r="W3808" s="1">
        <v>4</v>
      </c>
    </row>
    <row r="3809" spans="1:23" x14ac:dyDescent="0.2">
      <c r="A3809">
        <v>2022</v>
      </c>
      <c r="B3809" t="s">
        <v>23</v>
      </c>
      <c r="C3809" t="s">
        <v>272</v>
      </c>
      <c r="D3809">
        <v>8</v>
      </c>
      <c r="E3809">
        <v>2</v>
      </c>
      <c r="F3809">
        <v>10</v>
      </c>
      <c r="G3809" t="s">
        <v>32</v>
      </c>
      <c r="H3809" s="1">
        <v>4</v>
      </c>
      <c r="I3809" s="1">
        <v>61</v>
      </c>
      <c r="J3809" s="1">
        <v>65</v>
      </c>
      <c r="K3809" s="1">
        <f t="shared" si="198"/>
        <v>4</v>
      </c>
      <c r="L3809" s="1">
        <v>127</v>
      </c>
      <c r="M3809" s="1">
        <v>55</v>
      </c>
      <c r="N3809" s="1">
        <v>2</v>
      </c>
      <c r="O3809" s="1">
        <v>4.5</v>
      </c>
      <c r="P3809" s="1">
        <v>4</v>
      </c>
      <c r="Q3809" s="2">
        <v>0.22879999999999998</v>
      </c>
      <c r="R3809" s="1">
        <v>5</v>
      </c>
      <c r="S3809" s="1">
        <f t="shared" si="199"/>
        <v>1.25</v>
      </c>
      <c r="T3809" s="1">
        <v>2</v>
      </c>
      <c r="U3809" s="1">
        <v>12.5</v>
      </c>
      <c r="V3809" s="1">
        <v>837.43790849673201</v>
      </c>
      <c r="W3809" s="1">
        <v>4</v>
      </c>
    </row>
    <row r="3810" spans="1:23" x14ac:dyDescent="0.2">
      <c r="A3810">
        <v>2022</v>
      </c>
      <c r="B3810" t="s">
        <v>23</v>
      </c>
      <c r="C3810" t="s">
        <v>272</v>
      </c>
      <c r="D3810">
        <v>9</v>
      </c>
      <c r="E3810">
        <v>1</v>
      </c>
      <c r="F3810">
        <v>12</v>
      </c>
      <c r="G3810" t="s">
        <v>33</v>
      </c>
      <c r="H3810" s="1">
        <v>8</v>
      </c>
      <c r="I3810" s="1">
        <v>70</v>
      </c>
      <c r="J3810" s="1">
        <v>73</v>
      </c>
      <c r="K3810" s="1">
        <f t="shared" si="198"/>
        <v>3</v>
      </c>
      <c r="L3810" s="1">
        <v>104</v>
      </c>
      <c r="M3810" s="1">
        <v>30</v>
      </c>
      <c r="N3810" s="1">
        <v>2</v>
      </c>
      <c r="O3810" s="1">
        <v>4</v>
      </c>
      <c r="P3810" s="1">
        <v>5</v>
      </c>
      <c r="Q3810" s="2">
        <v>0.14000000000000001</v>
      </c>
      <c r="R3810" s="1">
        <v>3</v>
      </c>
      <c r="S3810" s="1">
        <f t="shared" si="199"/>
        <v>0.6</v>
      </c>
      <c r="T3810" s="1">
        <v>5</v>
      </c>
      <c r="U3810" s="1">
        <v>12.5</v>
      </c>
      <c r="V3810" s="1">
        <v>512.41830065359488</v>
      </c>
      <c r="W3810" s="1">
        <v>5</v>
      </c>
    </row>
    <row r="3811" spans="1:23" x14ac:dyDescent="0.2">
      <c r="A3811">
        <v>2022</v>
      </c>
      <c r="B3811" t="s">
        <v>23</v>
      </c>
      <c r="C3811" t="s">
        <v>272</v>
      </c>
      <c r="D3811">
        <v>9</v>
      </c>
      <c r="E3811">
        <v>2</v>
      </c>
      <c r="F3811">
        <v>5</v>
      </c>
      <c r="G3811" t="s">
        <v>33</v>
      </c>
      <c r="H3811" s="1">
        <v>12</v>
      </c>
      <c r="I3811" s="1">
        <v>60</v>
      </c>
      <c r="J3811" s="1">
        <v>63</v>
      </c>
      <c r="K3811" s="1">
        <f t="shared" si="198"/>
        <v>3</v>
      </c>
      <c r="L3811" s="1">
        <v>147</v>
      </c>
      <c r="M3811" s="1">
        <v>72</v>
      </c>
      <c r="N3811" s="1">
        <v>2</v>
      </c>
      <c r="O3811" s="1">
        <v>2.5</v>
      </c>
      <c r="P3811" s="1">
        <v>10</v>
      </c>
      <c r="Q3811" s="2">
        <v>0.14499999999999999</v>
      </c>
      <c r="R3811" s="1">
        <v>7</v>
      </c>
      <c r="S3811" s="1">
        <f t="shared" si="199"/>
        <v>0.7</v>
      </c>
      <c r="T3811" s="1">
        <v>5</v>
      </c>
      <c r="U3811" s="1">
        <v>12.5</v>
      </c>
      <c r="V3811" s="1">
        <v>530.718954248366</v>
      </c>
      <c r="W3811" s="1">
        <v>4</v>
      </c>
    </row>
    <row r="3812" spans="1:23" x14ac:dyDescent="0.2">
      <c r="A3812">
        <v>2022</v>
      </c>
      <c r="B3812" t="s">
        <v>23</v>
      </c>
      <c r="C3812" t="s">
        <v>272</v>
      </c>
      <c r="D3812">
        <v>10</v>
      </c>
      <c r="E3812">
        <v>1</v>
      </c>
      <c r="F3812">
        <v>7</v>
      </c>
      <c r="G3812" t="s">
        <v>34</v>
      </c>
      <c r="H3812" s="1">
        <v>10</v>
      </c>
      <c r="I3812" s="1">
        <v>54</v>
      </c>
      <c r="J3812" s="1">
        <v>59</v>
      </c>
      <c r="K3812" s="1">
        <f t="shared" si="198"/>
        <v>5</v>
      </c>
      <c r="L3812" s="1">
        <v>130</v>
      </c>
      <c r="M3812" s="1">
        <v>51</v>
      </c>
      <c r="N3812" s="1">
        <v>2.5</v>
      </c>
      <c r="O3812" s="1">
        <v>3.5</v>
      </c>
      <c r="P3812" s="1">
        <v>8</v>
      </c>
      <c r="Q3812" s="2">
        <v>0.502</v>
      </c>
      <c r="R3812" s="1">
        <v>8</v>
      </c>
      <c r="S3812" s="1">
        <f t="shared" si="199"/>
        <v>1</v>
      </c>
      <c r="T3812" s="1">
        <v>1.5</v>
      </c>
      <c r="U3812" s="1">
        <v>12.5</v>
      </c>
      <c r="V3812" s="1">
        <v>1837.3856209150326</v>
      </c>
      <c r="W3812" s="1">
        <v>3</v>
      </c>
    </row>
    <row r="3813" spans="1:23" x14ac:dyDescent="0.2">
      <c r="A3813">
        <v>2022</v>
      </c>
      <c r="B3813" t="s">
        <v>23</v>
      </c>
      <c r="C3813" t="s">
        <v>272</v>
      </c>
      <c r="D3813">
        <v>10</v>
      </c>
      <c r="E3813">
        <v>2</v>
      </c>
      <c r="F3813">
        <v>8</v>
      </c>
      <c r="G3813" t="s">
        <v>34</v>
      </c>
      <c r="H3813" s="1">
        <v>12</v>
      </c>
      <c r="I3813" s="1">
        <v>56</v>
      </c>
      <c r="J3813" s="1">
        <v>60</v>
      </c>
      <c r="K3813" s="1">
        <f t="shared" si="198"/>
        <v>4</v>
      </c>
      <c r="L3813" s="1">
        <v>152</v>
      </c>
      <c r="M3813" s="1">
        <v>82</v>
      </c>
      <c r="N3813" s="1">
        <v>2</v>
      </c>
      <c r="O3813" s="1">
        <v>3.5</v>
      </c>
      <c r="P3813" s="1">
        <v>12</v>
      </c>
      <c r="Q3813" s="2">
        <v>0.192</v>
      </c>
      <c r="R3813" s="1">
        <v>9</v>
      </c>
      <c r="S3813" s="1">
        <f t="shared" si="199"/>
        <v>0.75</v>
      </c>
      <c r="T3813" s="1">
        <v>5</v>
      </c>
      <c r="U3813" s="1">
        <v>12.5</v>
      </c>
      <c r="V3813" s="1">
        <v>702.74509803921569</v>
      </c>
      <c r="W3813" s="1">
        <v>4</v>
      </c>
    </row>
    <row r="3814" spans="1:23" x14ac:dyDescent="0.2">
      <c r="A3814">
        <v>2022</v>
      </c>
      <c r="B3814" t="s">
        <v>23</v>
      </c>
      <c r="C3814" t="s">
        <v>272</v>
      </c>
      <c r="D3814">
        <v>11</v>
      </c>
      <c r="E3814">
        <v>1</v>
      </c>
      <c r="F3814">
        <v>6</v>
      </c>
      <c r="G3814" t="s">
        <v>35</v>
      </c>
      <c r="H3814">
        <v>5</v>
      </c>
      <c r="I3814">
        <v>55</v>
      </c>
      <c r="J3814">
        <v>58</v>
      </c>
      <c r="K3814">
        <v>3</v>
      </c>
      <c r="L3814">
        <v>130</v>
      </c>
      <c r="M3814">
        <v>51</v>
      </c>
      <c r="N3814">
        <v>2</v>
      </c>
      <c r="O3814">
        <v>3</v>
      </c>
      <c r="P3814">
        <v>5</v>
      </c>
      <c r="Q3814">
        <v>0.2</v>
      </c>
      <c r="R3814">
        <v>5</v>
      </c>
      <c r="S3814">
        <v>1</v>
      </c>
      <c r="T3814">
        <v>3</v>
      </c>
      <c r="U3814">
        <v>12.5</v>
      </c>
      <c r="V3814">
        <v>732.02614379084969</v>
      </c>
      <c r="W3814">
        <v>2</v>
      </c>
    </row>
    <row r="3815" spans="1:23" x14ac:dyDescent="0.2">
      <c r="A3815">
        <v>2022</v>
      </c>
      <c r="B3815" t="s">
        <v>23</v>
      </c>
      <c r="C3815" t="s">
        <v>272</v>
      </c>
      <c r="D3815">
        <v>11</v>
      </c>
      <c r="E3815">
        <v>2</v>
      </c>
      <c r="F3815">
        <v>15</v>
      </c>
      <c r="G3815" t="s">
        <v>35</v>
      </c>
      <c r="H3815" s="1">
        <v>2</v>
      </c>
      <c r="I3815" s="1">
        <v>61</v>
      </c>
      <c r="J3815" s="1">
        <v>65</v>
      </c>
      <c r="K3815" s="1">
        <f>J3815-I3815</f>
        <v>4</v>
      </c>
      <c r="L3815" s="1">
        <v>106</v>
      </c>
      <c r="M3815" s="1">
        <v>33</v>
      </c>
      <c r="N3815" s="1">
        <v>2</v>
      </c>
      <c r="O3815" s="1">
        <v>3.5</v>
      </c>
      <c r="P3815" s="1">
        <v>2</v>
      </c>
      <c r="Q3815" s="2">
        <v>0.20279999999999998</v>
      </c>
      <c r="R3815" s="1">
        <v>3</v>
      </c>
      <c r="S3815" s="1">
        <f>R3815/P3815</f>
        <v>1.5</v>
      </c>
      <c r="T3815" s="1">
        <v>3</v>
      </c>
      <c r="U3815" s="1">
        <v>12.5</v>
      </c>
      <c r="V3815" s="1">
        <v>742.27450980392143</v>
      </c>
      <c r="W3815" s="1">
        <v>3</v>
      </c>
    </row>
    <row r="3816" spans="1:23" x14ac:dyDescent="0.2">
      <c r="A3816">
        <v>2022</v>
      </c>
      <c r="B3816" t="s">
        <v>23</v>
      </c>
      <c r="C3816" t="s">
        <v>272</v>
      </c>
      <c r="D3816">
        <v>12</v>
      </c>
      <c r="E3816">
        <v>1</v>
      </c>
      <c r="F3816">
        <v>11</v>
      </c>
      <c r="G3816" t="s">
        <v>36</v>
      </c>
      <c r="H3816">
        <v>7</v>
      </c>
      <c r="I3816">
        <v>64</v>
      </c>
      <c r="J3816">
        <v>67</v>
      </c>
      <c r="K3816">
        <v>3</v>
      </c>
      <c r="L3816">
        <v>80</v>
      </c>
      <c r="M3816">
        <v>26</v>
      </c>
      <c r="N3816">
        <v>1.5</v>
      </c>
      <c r="O3816">
        <v>2</v>
      </c>
      <c r="P3816">
        <v>7</v>
      </c>
      <c r="Q3816">
        <v>0.4</v>
      </c>
      <c r="R3816">
        <v>7</v>
      </c>
      <c r="S3816">
        <v>1</v>
      </c>
      <c r="T3816">
        <v>2.5</v>
      </c>
      <c r="U3816">
        <v>12.5</v>
      </c>
      <c r="V3816">
        <v>1464.0522875816994</v>
      </c>
      <c r="W3816">
        <v>2</v>
      </c>
    </row>
    <row r="3817" spans="1:23" x14ac:dyDescent="0.2">
      <c r="A3817">
        <v>2022</v>
      </c>
      <c r="B3817" t="s">
        <v>23</v>
      </c>
      <c r="C3817" t="s">
        <v>272</v>
      </c>
      <c r="D3817">
        <v>12</v>
      </c>
      <c r="E3817">
        <v>2</v>
      </c>
      <c r="F3817">
        <v>5</v>
      </c>
      <c r="G3817" t="s">
        <v>36</v>
      </c>
      <c r="H3817" s="1">
        <v>10</v>
      </c>
      <c r="I3817" s="1">
        <v>66</v>
      </c>
      <c r="J3817" s="1">
        <v>70</v>
      </c>
      <c r="K3817" s="1">
        <f>J3817-I3817</f>
        <v>4</v>
      </c>
      <c r="L3817" s="1">
        <v>114</v>
      </c>
      <c r="M3817" s="1">
        <v>26</v>
      </c>
      <c r="N3817" s="1">
        <v>3</v>
      </c>
      <c r="O3817" s="1">
        <v>4.5</v>
      </c>
      <c r="P3817" s="1">
        <v>4</v>
      </c>
      <c r="Q3817" s="2">
        <v>0.10199999999999999</v>
      </c>
      <c r="R3817" s="1">
        <v>4</v>
      </c>
      <c r="S3817" s="1">
        <f>R3817/P3817</f>
        <v>1</v>
      </c>
      <c r="T3817" s="1">
        <v>5</v>
      </c>
      <c r="U3817" s="1">
        <v>12.5</v>
      </c>
      <c r="V3817" s="1">
        <v>373.33333333333326</v>
      </c>
      <c r="W3817" s="1">
        <v>6</v>
      </c>
    </row>
    <row r="3818" spans="1:23" x14ac:dyDescent="0.2">
      <c r="A3818">
        <v>2022</v>
      </c>
      <c r="B3818" t="s">
        <v>23</v>
      </c>
      <c r="C3818" t="s">
        <v>272</v>
      </c>
      <c r="D3818">
        <v>13</v>
      </c>
      <c r="E3818">
        <v>1</v>
      </c>
      <c r="F3818">
        <v>5</v>
      </c>
      <c r="G3818" t="s">
        <v>37</v>
      </c>
      <c r="H3818" s="1">
        <v>7</v>
      </c>
      <c r="I3818" s="1">
        <v>66</v>
      </c>
      <c r="J3818" s="1">
        <v>71</v>
      </c>
      <c r="K3818" s="1">
        <f>J3818-I3818</f>
        <v>5</v>
      </c>
      <c r="L3818" s="1">
        <v>119</v>
      </c>
      <c r="M3818" s="1">
        <v>38</v>
      </c>
      <c r="N3818" s="1">
        <v>2.5</v>
      </c>
      <c r="O3818" s="1">
        <v>4</v>
      </c>
      <c r="P3818" s="1">
        <v>5</v>
      </c>
      <c r="Q3818" s="2">
        <v>0.1188</v>
      </c>
      <c r="R3818" s="1">
        <v>5</v>
      </c>
      <c r="S3818" s="1">
        <f>R3818/P3818</f>
        <v>1</v>
      </c>
      <c r="T3818" s="1">
        <v>5</v>
      </c>
      <c r="U3818" s="1">
        <v>12.5</v>
      </c>
      <c r="V3818" s="1">
        <v>434.8235294117647</v>
      </c>
      <c r="W3818" s="1">
        <v>5</v>
      </c>
    </row>
    <row r="3819" spans="1:23" x14ac:dyDescent="0.2">
      <c r="A3819">
        <v>2022</v>
      </c>
      <c r="B3819" t="s">
        <v>23</v>
      </c>
      <c r="C3819" t="s">
        <v>272</v>
      </c>
      <c r="D3819">
        <v>13</v>
      </c>
      <c r="E3819">
        <v>2</v>
      </c>
      <c r="F3819">
        <v>1</v>
      </c>
      <c r="G3819" t="s">
        <v>37</v>
      </c>
      <c r="H3819" s="1">
        <v>3</v>
      </c>
      <c r="I3819" s="1">
        <v>59</v>
      </c>
      <c r="J3819" s="1">
        <v>64</v>
      </c>
      <c r="K3819" s="1">
        <f>J3819-I3819</f>
        <v>5</v>
      </c>
      <c r="L3819" s="1">
        <v>65</v>
      </c>
      <c r="M3819" s="1">
        <v>25</v>
      </c>
      <c r="N3819" s="1">
        <v>3</v>
      </c>
      <c r="O3819" s="1">
        <v>4</v>
      </c>
      <c r="P3819" s="1">
        <v>2</v>
      </c>
      <c r="Q3819" s="2">
        <v>0.10199999999999999</v>
      </c>
      <c r="R3819" s="1">
        <v>2</v>
      </c>
      <c r="S3819" s="1">
        <f>R3819/P3819</f>
        <v>1</v>
      </c>
      <c r="T3819" s="1">
        <v>5</v>
      </c>
      <c r="U3819" s="1">
        <v>12.5</v>
      </c>
      <c r="V3819" s="1">
        <v>373.33333333333326</v>
      </c>
      <c r="W3819" s="1">
        <v>5</v>
      </c>
    </row>
    <row r="3820" spans="1:23" x14ac:dyDescent="0.2">
      <c r="A3820">
        <v>2022</v>
      </c>
      <c r="B3820" t="s">
        <v>23</v>
      </c>
      <c r="C3820" t="s">
        <v>272</v>
      </c>
      <c r="D3820">
        <v>14</v>
      </c>
      <c r="E3820">
        <v>1</v>
      </c>
      <c r="F3820">
        <v>15</v>
      </c>
      <c r="G3820" t="s">
        <v>38</v>
      </c>
      <c r="H3820" s="1">
        <v>8</v>
      </c>
      <c r="I3820" s="1">
        <v>64</v>
      </c>
      <c r="J3820" s="1">
        <v>68</v>
      </c>
      <c r="K3820" s="1">
        <f>J3820-I3820</f>
        <v>4</v>
      </c>
      <c r="L3820" s="1">
        <v>167</v>
      </c>
      <c r="M3820" s="1">
        <v>95</v>
      </c>
      <c r="N3820" s="1">
        <v>2</v>
      </c>
      <c r="O3820" s="1">
        <v>3</v>
      </c>
      <c r="P3820" s="1">
        <v>5</v>
      </c>
      <c r="Q3820" s="2">
        <v>0.33279999999999998</v>
      </c>
      <c r="R3820" s="1">
        <v>3</v>
      </c>
      <c r="S3820" s="1">
        <f>R3820/P3820</f>
        <v>0.6</v>
      </c>
      <c r="T3820" s="1">
        <v>5</v>
      </c>
      <c r="U3820" s="1">
        <v>8</v>
      </c>
      <c r="V3820" s="1">
        <v>1280.7362091503269</v>
      </c>
      <c r="W3820" s="1">
        <v>4</v>
      </c>
    </row>
    <row r="3821" spans="1:23" x14ac:dyDescent="0.2">
      <c r="A3821">
        <v>2022</v>
      </c>
      <c r="B3821" t="s">
        <v>23</v>
      </c>
      <c r="C3821" t="s">
        <v>272</v>
      </c>
      <c r="D3821">
        <v>14</v>
      </c>
      <c r="E3821">
        <v>2</v>
      </c>
      <c r="F3821">
        <v>15</v>
      </c>
      <c r="G3821" t="s">
        <v>38</v>
      </c>
      <c r="H3821">
        <v>10</v>
      </c>
      <c r="I3821">
        <v>55</v>
      </c>
      <c r="J3821">
        <v>58</v>
      </c>
      <c r="K3821">
        <v>3</v>
      </c>
      <c r="L3821">
        <v>136</v>
      </c>
      <c r="M3821">
        <v>51</v>
      </c>
      <c r="N3821">
        <v>1</v>
      </c>
      <c r="O3821">
        <v>2</v>
      </c>
      <c r="P3821">
        <v>10</v>
      </c>
      <c r="Q3821">
        <v>1.4</v>
      </c>
      <c r="R3821">
        <v>10</v>
      </c>
      <c r="S3821">
        <v>1</v>
      </c>
      <c r="T3821">
        <v>3</v>
      </c>
      <c r="U3821">
        <v>12.5</v>
      </c>
      <c r="V3821">
        <v>5124.1830065359472</v>
      </c>
      <c r="W3821">
        <v>2</v>
      </c>
    </row>
    <row r="3822" spans="1:23" x14ac:dyDescent="0.2">
      <c r="A3822">
        <v>2022</v>
      </c>
      <c r="B3822" t="s">
        <v>23</v>
      </c>
      <c r="C3822" t="s">
        <v>272</v>
      </c>
      <c r="D3822">
        <v>15</v>
      </c>
      <c r="E3822">
        <v>1</v>
      </c>
      <c r="F3822">
        <v>14</v>
      </c>
      <c r="G3822" t="s">
        <v>39</v>
      </c>
      <c r="H3822" s="1">
        <v>12</v>
      </c>
      <c r="I3822" s="1">
        <v>62</v>
      </c>
      <c r="J3822" s="1">
        <v>67</v>
      </c>
      <c r="K3822" s="1">
        <f>J3822-I3822</f>
        <v>5</v>
      </c>
      <c r="L3822" s="1">
        <v>152</v>
      </c>
      <c r="M3822" s="1">
        <v>73</v>
      </c>
      <c r="N3822" s="1">
        <v>2</v>
      </c>
      <c r="O3822" s="1">
        <v>3.5</v>
      </c>
      <c r="P3822" s="1">
        <v>12</v>
      </c>
      <c r="Q3822" s="2">
        <v>0.54</v>
      </c>
      <c r="R3822" s="1">
        <v>11</v>
      </c>
      <c r="S3822" s="1">
        <f>R3822/P3822</f>
        <v>0.91666666666666663</v>
      </c>
      <c r="T3822" s="1">
        <v>4</v>
      </c>
      <c r="U3822" s="1">
        <v>9</v>
      </c>
      <c r="V3822" s="1">
        <v>2055.5294117647059</v>
      </c>
      <c r="W3822" s="1">
        <v>5</v>
      </c>
    </row>
    <row r="3823" spans="1:23" x14ac:dyDescent="0.2">
      <c r="A3823">
        <v>2022</v>
      </c>
      <c r="B3823" t="s">
        <v>23</v>
      </c>
      <c r="C3823" t="s">
        <v>272</v>
      </c>
      <c r="D3823">
        <v>15</v>
      </c>
      <c r="E3823">
        <v>2</v>
      </c>
      <c r="F3823">
        <v>13</v>
      </c>
      <c r="G3823" t="s">
        <v>39</v>
      </c>
      <c r="H3823" s="1">
        <v>9</v>
      </c>
      <c r="I3823" s="1">
        <v>64</v>
      </c>
      <c r="J3823" s="1">
        <v>68</v>
      </c>
      <c r="K3823" s="1">
        <f>J3823-I3823</f>
        <v>4</v>
      </c>
      <c r="L3823" s="1">
        <v>113</v>
      </c>
      <c r="M3823" s="1">
        <v>41</v>
      </c>
      <c r="N3823" s="1">
        <v>2</v>
      </c>
      <c r="O3823" s="1">
        <v>4</v>
      </c>
      <c r="P3823" s="1">
        <v>5</v>
      </c>
      <c r="Q3823" s="2">
        <v>0.184</v>
      </c>
      <c r="R3823" s="1">
        <v>4</v>
      </c>
      <c r="S3823" s="1">
        <f>R3823/P3823</f>
        <v>0.8</v>
      </c>
      <c r="T3823" s="1">
        <v>5</v>
      </c>
      <c r="U3823" s="1">
        <v>12.5</v>
      </c>
      <c r="V3823" s="1">
        <v>673.46405228758169</v>
      </c>
      <c r="W3823" s="1">
        <v>5</v>
      </c>
    </row>
    <row r="3824" spans="1:23" x14ac:dyDescent="0.2">
      <c r="A3824">
        <v>2022</v>
      </c>
      <c r="B3824" t="s">
        <v>23</v>
      </c>
      <c r="C3824" t="s">
        <v>272</v>
      </c>
      <c r="D3824">
        <v>16</v>
      </c>
      <c r="E3824">
        <v>1</v>
      </c>
      <c r="F3824">
        <v>5</v>
      </c>
      <c r="G3824" t="s">
        <v>40</v>
      </c>
      <c r="H3824" s="1">
        <v>7</v>
      </c>
      <c r="I3824" s="1">
        <v>69</v>
      </c>
      <c r="J3824" s="1">
        <v>74</v>
      </c>
      <c r="K3824" s="1">
        <f>J3824-I3824</f>
        <v>5</v>
      </c>
      <c r="L3824" s="1">
        <v>136</v>
      </c>
      <c r="M3824" s="1">
        <v>65</v>
      </c>
      <c r="N3824" s="1">
        <v>1.5</v>
      </c>
      <c r="O3824" s="1">
        <v>4</v>
      </c>
      <c r="P3824" s="1">
        <v>6</v>
      </c>
      <c r="Q3824" s="2">
        <v>0.34599999999999997</v>
      </c>
      <c r="R3824" s="1">
        <v>4</v>
      </c>
      <c r="S3824" s="1">
        <f>R3824/P3824</f>
        <v>0.66666666666666663</v>
      </c>
      <c r="T3824" s="1">
        <v>2</v>
      </c>
      <c r="U3824" s="1">
        <v>12.5</v>
      </c>
      <c r="V3824" s="1">
        <v>1266.4052287581699</v>
      </c>
      <c r="W3824" s="1">
        <v>6</v>
      </c>
    </row>
    <row r="3825" spans="1:23" x14ac:dyDescent="0.2">
      <c r="A3825">
        <v>2022</v>
      </c>
      <c r="B3825" t="s">
        <v>23</v>
      </c>
      <c r="C3825" t="s">
        <v>272</v>
      </c>
      <c r="D3825">
        <v>16</v>
      </c>
      <c r="E3825">
        <v>2</v>
      </c>
      <c r="F3825">
        <v>9</v>
      </c>
      <c r="G3825" t="s">
        <v>40</v>
      </c>
      <c r="H3825" s="1">
        <v>10</v>
      </c>
      <c r="I3825" s="1">
        <v>55</v>
      </c>
      <c r="J3825" s="1">
        <v>58</v>
      </c>
      <c r="K3825" s="1">
        <f>J3825-I3825</f>
        <v>3</v>
      </c>
      <c r="L3825" s="1">
        <v>144</v>
      </c>
      <c r="M3825" s="1">
        <v>50</v>
      </c>
      <c r="N3825" s="1">
        <v>3</v>
      </c>
      <c r="O3825" s="1">
        <v>4</v>
      </c>
      <c r="P3825" s="1">
        <v>10</v>
      </c>
      <c r="Q3825" s="2">
        <v>0.38150000000000001</v>
      </c>
      <c r="R3825" s="1">
        <v>10</v>
      </c>
      <c r="S3825" s="1">
        <f>R3825/P3825</f>
        <v>1</v>
      </c>
      <c r="T3825" s="1">
        <v>3</v>
      </c>
      <c r="U3825" s="1">
        <v>12.5</v>
      </c>
      <c r="V3825" s="1">
        <v>1396.3398692810458</v>
      </c>
      <c r="W3825" s="1">
        <v>2</v>
      </c>
    </row>
    <row r="3826" spans="1:23" x14ac:dyDescent="0.2">
      <c r="A3826">
        <v>2022</v>
      </c>
      <c r="B3826" t="s">
        <v>23</v>
      </c>
      <c r="C3826" t="s">
        <v>272</v>
      </c>
      <c r="D3826">
        <v>17</v>
      </c>
      <c r="E3826">
        <v>1</v>
      </c>
      <c r="F3826">
        <v>10</v>
      </c>
      <c r="G3826" t="s">
        <v>41</v>
      </c>
      <c r="H3826">
        <v>2</v>
      </c>
      <c r="I3826">
        <v>63</v>
      </c>
      <c r="J3826">
        <v>67</v>
      </c>
      <c r="K3826">
        <v>4</v>
      </c>
      <c r="L3826">
        <v>170</v>
      </c>
      <c r="M3826">
        <v>61</v>
      </c>
      <c r="N3826">
        <v>1.5</v>
      </c>
      <c r="O3826">
        <v>2</v>
      </c>
      <c r="P3826">
        <v>2</v>
      </c>
      <c r="Q3826">
        <v>0.1</v>
      </c>
      <c r="R3826">
        <v>3</v>
      </c>
      <c r="S3826">
        <v>1.5</v>
      </c>
      <c r="T3826">
        <v>2.5</v>
      </c>
      <c r="U3826">
        <v>12.5</v>
      </c>
      <c r="V3826">
        <v>366.01307189542484</v>
      </c>
      <c r="W3826">
        <v>2</v>
      </c>
    </row>
    <row r="3827" spans="1:23" x14ac:dyDescent="0.2">
      <c r="A3827">
        <v>2022</v>
      </c>
      <c r="B3827" t="s">
        <v>23</v>
      </c>
      <c r="C3827" t="s">
        <v>272</v>
      </c>
      <c r="D3827">
        <v>17</v>
      </c>
      <c r="E3827">
        <v>2</v>
      </c>
      <c r="F3827">
        <v>1</v>
      </c>
      <c r="G3827" t="s">
        <v>41</v>
      </c>
      <c r="H3827" s="1">
        <v>2</v>
      </c>
      <c r="I3827" s="1">
        <v>68</v>
      </c>
      <c r="J3827" s="1">
        <v>72</v>
      </c>
      <c r="K3827" s="1">
        <f>J3827-I3827</f>
        <v>4</v>
      </c>
      <c r="L3827" s="1">
        <v>102</v>
      </c>
      <c r="M3827" s="1">
        <v>47</v>
      </c>
      <c r="N3827" s="1">
        <v>2</v>
      </c>
      <c r="O3827" s="1">
        <v>3</v>
      </c>
      <c r="P3827" s="1">
        <v>2</v>
      </c>
      <c r="Q3827" s="2">
        <v>0.13700000000000001</v>
      </c>
      <c r="R3827" s="1">
        <v>2</v>
      </c>
      <c r="S3827" s="1">
        <f>R3827/P3827</f>
        <v>1</v>
      </c>
      <c r="T3827" s="1">
        <v>3</v>
      </c>
      <c r="U3827" s="1">
        <v>11.3</v>
      </c>
      <c r="V3827" s="1">
        <v>508.3147712418301</v>
      </c>
      <c r="W3827" s="1">
        <v>4</v>
      </c>
    </row>
    <row r="3828" spans="1:23" x14ac:dyDescent="0.2">
      <c r="A3828">
        <v>2022</v>
      </c>
      <c r="B3828" t="s">
        <v>23</v>
      </c>
      <c r="C3828" t="s">
        <v>272</v>
      </c>
      <c r="D3828">
        <v>18</v>
      </c>
      <c r="E3828">
        <v>1</v>
      </c>
      <c r="F3828">
        <v>7</v>
      </c>
      <c r="G3828" t="s">
        <v>42</v>
      </c>
      <c r="H3828" s="1">
        <v>3</v>
      </c>
      <c r="I3828" s="1">
        <v>61</v>
      </c>
      <c r="J3828" s="1">
        <v>66</v>
      </c>
      <c r="K3828" s="1">
        <f>J3828-I3828</f>
        <v>5</v>
      </c>
      <c r="L3828" s="1">
        <v>114</v>
      </c>
      <c r="M3828" s="1">
        <v>33</v>
      </c>
      <c r="N3828" s="1">
        <v>2.5</v>
      </c>
      <c r="O3828" s="1">
        <v>3.5</v>
      </c>
      <c r="P3828" s="1">
        <v>3</v>
      </c>
      <c r="Q3828" s="2">
        <v>0.215</v>
      </c>
      <c r="R3828" s="1">
        <v>3</v>
      </c>
      <c r="S3828" s="1">
        <f>R3828/P3828</f>
        <v>1</v>
      </c>
      <c r="T3828" s="1">
        <v>2.5</v>
      </c>
      <c r="U3828" s="1">
        <v>12.5</v>
      </c>
      <c r="V3828" s="1">
        <v>786.92810457516339</v>
      </c>
      <c r="W3828" s="1">
        <v>4</v>
      </c>
    </row>
    <row r="3829" spans="1:23" x14ac:dyDescent="0.2">
      <c r="A3829">
        <v>2022</v>
      </c>
      <c r="B3829" t="s">
        <v>23</v>
      </c>
      <c r="C3829" t="s">
        <v>272</v>
      </c>
      <c r="D3829">
        <v>18</v>
      </c>
      <c r="E3829">
        <v>2</v>
      </c>
      <c r="F3829">
        <v>7</v>
      </c>
      <c r="G3829" t="s">
        <v>42</v>
      </c>
      <c r="H3829" s="3">
        <v>12</v>
      </c>
      <c r="I3829" s="3">
        <v>68</v>
      </c>
      <c r="J3829" s="3">
        <v>72</v>
      </c>
      <c r="K3829" s="3">
        <f>J3829-I3829</f>
        <v>4</v>
      </c>
      <c r="L3829" s="3">
        <v>179</v>
      </c>
      <c r="M3829" s="3">
        <v>64</v>
      </c>
      <c r="N3829" s="3">
        <v>2</v>
      </c>
      <c r="O3829" s="3">
        <v>2.5</v>
      </c>
      <c r="P3829" s="3">
        <f>H3829</f>
        <v>12</v>
      </c>
      <c r="Q3829" s="4">
        <v>0.13350000000000001</v>
      </c>
      <c r="R3829" s="3">
        <v>9</v>
      </c>
      <c r="S3829" s="3">
        <f>R3829/P3829</f>
        <v>0.75</v>
      </c>
      <c r="T3829" s="3">
        <v>5</v>
      </c>
      <c r="U3829" s="3">
        <v>12.5</v>
      </c>
      <c r="V3829" s="3">
        <v>488.62745098039221</v>
      </c>
      <c r="W3829" s="3">
        <v>4</v>
      </c>
    </row>
    <row r="3830" spans="1:23" x14ac:dyDescent="0.2">
      <c r="A3830">
        <v>2022</v>
      </c>
      <c r="B3830" t="s">
        <v>23</v>
      </c>
      <c r="C3830" t="s">
        <v>272</v>
      </c>
      <c r="D3830">
        <v>19</v>
      </c>
      <c r="E3830">
        <v>1</v>
      </c>
      <c r="F3830">
        <v>6</v>
      </c>
      <c r="G3830" t="s">
        <v>263</v>
      </c>
      <c r="H3830">
        <v>16</v>
      </c>
      <c r="I3830">
        <v>58</v>
      </c>
      <c r="J3830">
        <v>62</v>
      </c>
      <c r="K3830">
        <v>4</v>
      </c>
      <c r="L3830">
        <v>153</v>
      </c>
      <c r="M3830">
        <v>79</v>
      </c>
      <c r="N3830">
        <v>2</v>
      </c>
      <c r="O3830">
        <v>2.5</v>
      </c>
      <c r="P3830">
        <v>10</v>
      </c>
      <c r="Q3830">
        <v>0.8</v>
      </c>
      <c r="R3830">
        <v>13</v>
      </c>
      <c r="S3830">
        <v>1.3</v>
      </c>
      <c r="T3830">
        <v>4</v>
      </c>
      <c r="U3830">
        <v>10.9</v>
      </c>
      <c r="V3830">
        <v>2981.6470588235297</v>
      </c>
      <c r="W3830">
        <v>2</v>
      </c>
    </row>
    <row r="3831" spans="1:23" x14ac:dyDescent="0.2">
      <c r="A3831">
        <v>2022</v>
      </c>
      <c r="B3831" t="s">
        <v>23</v>
      </c>
      <c r="C3831" t="s">
        <v>272</v>
      </c>
      <c r="D3831">
        <v>19</v>
      </c>
      <c r="E3831">
        <v>2</v>
      </c>
      <c r="F3831">
        <v>10</v>
      </c>
      <c r="G3831" t="s">
        <v>263</v>
      </c>
      <c r="H3831">
        <v>7</v>
      </c>
      <c r="I3831">
        <v>55</v>
      </c>
      <c r="J3831">
        <v>56</v>
      </c>
      <c r="K3831">
        <v>1</v>
      </c>
      <c r="L3831">
        <v>172</v>
      </c>
      <c r="M3831">
        <v>56</v>
      </c>
      <c r="N3831">
        <v>1</v>
      </c>
      <c r="O3831">
        <v>2</v>
      </c>
      <c r="P3831">
        <v>7</v>
      </c>
      <c r="Q3831">
        <v>0.45</v>
      </c>
      <c r="R3831">
        <v>7</v>
      </c>
      <c r="S3831">
        <v>1</v>
      </c>
      <c r="T3831">
        <v>3</v>
      </c>
      <c r="U3831">
        <v>12.5</v>
      </c>
      <c r="V3831">
        <v>1647.0588235294117</v>
      </c>
      <c r="W3831">
        <v>1</v>
      </c>
    </row>
    <row r="3832" spans="1:23" x14ac:dyDescent="0.2">
      <c r="A3832">
        <v>2022</v>
      </c>
      <c r="B3832" t="s">
        <v>23</v>
      </c>
      <c r="C3832" t="s">
        <v>272</v>
      </c>
      <c r="D3832">
        <v>20</v>
      </c>
      <c r="E3832">
        <v>1</v>
      </c>
      <c r="F3832">
        <v>2</v>
      </c>
      <c r="G3832" t="s">
        <v>264</v>
      </c>
      <c r="H3832">
        <v>13</v>
      </c>
      <c r="I3832">
        <v>58</v>
      </c>
      <c r="J3832">
        <v>62</v>
      </c>
      <c r="K3832">
        <v>4</v>
      </c>
      <c r="L3832">
        <v>175</v>
      </c>
      <c r="M3832">
        <v>62</v>
      </c>
      <c r="N3832">
        <v>2</v>
      </c>
      <c r="O3832">
        <v>2</v>
      </c>
      <c r="P3832">
        <v>15</v>
      </c>
      <c r="Q3832">
        <v>0.5</v>
      </c>
      <c r="R3832">
        <v>13</v>
      </c>
      <c r="S3832">
        <v>0.8666666666666667</v>
      </c>
      <c r="T3832">
        <v>2</v>
      </c>
      <c r="U3832">
        <v>11.5</v>
      </c>
      <c r="V3832">
        <v>1850.9803921568628</v>
      </c>
      <c r="W3832">
        <v>2</v>
      </c>
    </row>
    <row r="3833" spans="1:23" x14ac:dyDescent="0.2">
      <c r="A3833">
        <v>2022</v>
      </c>
      <c r="B3833" t="s">
        <v>23</v>
      </c>
      <c r="C3833" t="s">
        <v>272</v>
      </c>
      <c r="D3833">
        <v>20</v>
      </c>
      <c r="E3833">
        <v>2</v>
      </c>
      <c r="F3833">
        <v>3</v>
      </c>
      <c r="G3833" t="s">
        <v>264</v>
      </c>
      <c r="H3833" s="1">
        <v>12</v>
      </c>
      <c r="I3833" s="1">
        <v>70</v>
      </c>
      <c r="J3833" s="1">
        <v>72</v>
      </c>
      <c r="K3833" s="1">
        <f t="shared" ref="K3833:K3838" si="200">J3833-I3833</f>
        <v>2</v>
      </c>
      <c r="L3833" s="1">
        <v>192</v>
      </c>
      <c r="M3833" s="1">
        <v>102</v>
      </c>
      <c r="N3833" s="1">
        <v>2</v>
      </c>
      <c r="O3833" s="1">
        <v>1.5</v>
      </c>
      <c r="P3833" s="1">
        <v>10</v>
      </c>
      <c r="Q3833" s="2">
        <v>1.46</v>
      </c>
      <c r="R3833" s="1">
        <v>7</v>
      </c>
      <c r="S3833" s="1">
        <f t="shared" ref="S3833:S3838" si="201">R3833/P3833</f>
        <v>0.7</v>
      </c>
      <c r="T3833" s="1">
        <v>2</v>
      </c>
      <c r="U3833" s="1">
        <v>6.9</v>
      </c>
      <c r="V3833" s="1">
        <v>5685.7934640522863</v>
      </c>
      <c r="W3833" s="1">
        <v>3</v>
      </c>
    </row>
    <row r="3834" spans="1:23" x14ac:dyDescent="0.2">
      <c r="A3834">
        <v>2022</v>
      </c>
      <c r="B3834" t="s">
        <v>23</v>
      </c>
      <c r="C3834" t="s">
        <v>272</v>
      </c>
      <c r="D3834">
        <v>21</v>
      </c>
      <c r="E3834">
        <v>1</v>
      </c>
      <c r="F3834">
        <v>14</v>
      </c>
      <c r="G3834" t="s">
        <v>265</v>
      </c>
      <c r="H3834" s="1">
        <v>10</v>
      </c>
      <c r="I3834" s="1">
        <v>63</v>
      </c>
      <c r="J3834" s="1">
        <v>68</v>
      </c>
      <c r="K3834" s="1">
        <f t="shared" si="200"/>
        <v>5</v>
      </c>
      <c r="L3834" s="1">
        <v>128</v>
      </c>
      <c r="M3834" s="1">
        <v>68</v>
      </c>
      <c r="N3834" s="1">
        <v>3</v>
      </c>
      <c r="O3834" s="1">
        <v>4</v>
      </c>
      <c r="P3834" s="1">
        <f>H3834-1</f>
        <v>9</v>
      </c>
      <c r="Q3834" s="2">
        <v>0.183</v>
      </c>
      <c r="R3834" s="1">
        <v>10</v>
      </c>
      <c r="S3834" s="1">
        <f t="shared" si="201"/>
        <v>1.1111111111111112</v>
      </c>
      <c r="T3834" s="1">
        <v>5</v>
      </c>
      <c r="U3834" s="1">
        <v>12.5</v>
      </c>
      <c r="V3834" s="1">
        <v>669.8039215686274</v>
      </c>
      <c r="W3834" s="1">
        <v>4</v>
      </c>
    </row>
    <row r="3835" spans="1:23" x14ac:dyDescent="0.2">
      <c r="A3835">
        <v>2022</v>
      </c>
      <c r="B3835" t="s">
        <v>23</v>
      </c>
      <c r="C3835" t="s">
        <v>272</v>
      </c>
      <c r="D3835">
        <v>21</v>
      </c>
      <c r="E3835">
        <v>2</v>
      </c>
      <c r="F3835">
        <v>11</v>
      </c>
      <c r="G3835" t="s">
        <v>265</v>
      </c>
      <c r="H3835" s="1">
        <v>10</v>
      </c>
      <c r="I3835" s="1">
        <v>69</v>
      </c>
      <c r="J3835" s="1">
        <v>72</v>
      </c>
      <c r="K3835" s="1">
        <f t="shared" si="200"/>
        <v>3</v>
      </c>
      <c r="L3835" s="1">
        <v>125</v>
      </c>
      <c r="M3835" s="1">
        <v>36</v>
      </c>
      <c r="N3835" s="1">
        <v>1.5</v>
      </c>
      <c r="O3835" s="1">
        <v>4</v>
      </c>
      <c r="P3835" s="1">
        <v>8</v>
      </c>
      <c r="Q3835" s="2">
        <v>0.2465</v>
      </c>
      <c r="R3835" s="1">
        <v>7</v>
      </c>
      <c r="S3835" s="1">
        <f t="shared" si="201"/>
        <v>0.875</v>
      </c>
      <c r="T3835" s="1">
        <v>4</v>
      </c>
      <c r="U3835" s="1">
        <v>12.5</v>
      </c>
      <c r="V3835" s="1">
        <v>902.22222222222217</v>
      </c>
      <c r="W3835" s="1">
        <v>3</v>
      </c>
    </row>
    <row r="3836" spans="1:23" x14ac:dyDescent="0.2">
      <c r="A3836">
        <v>2022</v>
      </c>
      <c r="B3836" t="s">
        <v>23</v>
      </c>
      <c r="C3836" t="s">
        <v>272</v>
      </c>
      <c r="D3836">
        <v>22</v>
      </c>
      <c r="E3836">
        <v>1</v>
      </c>
      <c r="F3836">
        <v>7</v>
      </c>
      <c r="G3836" t="s">
        <v>46</v>
      </c>
      <c r="H3836" s="1">
        <v>10</v>
      </c>
      <c r="I3836" s="1">
        <v>64</v>
      </c>
      <c r="J3836" s="1">
        <v>67</v>
      </c>
      <c r="K3836" s="1">
        <f t="shared" si="200"/>
        <v>3</v>
      </c>
      <c r="L3836" s="1">
        <v>124</v>
      </c>
      <c r="M3836" s="1">
        <v>42</v>
      </c>
      <c r="N3836" s="1">
        <v>2</v>
      </c>
      <c r="O3836" s="1">
        <v>4</v>
      </c>
      <c r="P3836" s="1">
        <v>8</v>
      </c>
      <c r="Q3836" s="2">
        <v>0.65900000000000003</v>
      </c>
      <c r="R3836" s="1">
        <v>8</v>
      </c>
      <c r="S3836" s="1">
        <f t="shared" si="201"/>
        <v>1</v>
      </c>
      <c r="T3836" s="1">
        <v>3.5</v>
      </c>
      <c r="U3836" s="1">
        <v>12.5</v>
      </c>
      <c r="V3836" s="1">
        <v>2412.0261437908498</v>
      </c>
      <c r="W3836" s="1">
        <v>3</v>
      </c>
    </row>
    <row r="3837" spans="1:23" x14ac:dyDescent="0.2">
      <c r="A3837">
        <v>2022</v>
      </c>
      <c r="B3837" t="s">
        <v>23</v>
      </c>
      <c r="C3837" t="s">
        <v>272</v>
      </c>
      <c r="D3837">
        <v>22</v>
      </c>
      <c r="E3837">
        <v>2</v>
      </c>
      <c r="F3837">
        <v>14</v>
      </c>
      <c r="G3837" t="s">
        <v>46</v>
      </c>
      <c r="H3837" s="1">
        <v>11</v>
      </c>
      <c r="I3837" s="1">
        <v>66</v>
      </c>
      <c r="J3837" s="1">
        <v>71</v>
      </c>
      <c r="K3837" s="1">
        <f t="shared" si="200"/>
        <v>5</v>
      </c>
      <c r="L3837" s="1">
        <v>187</v>
      </c>
      <c r="M3837" s="1">
        <v>100</v>
      </c>
      <c r="N3837" s="1">
        <v>2</v>
      </c>
      <c r="O3837" s="1">
        <v>2</v>
      </c>
      <c r="P3837" s="1">
        <v>10</v>
      </c>
      <c r="Q3837" s="2">
        <v>0.92400000000000004</v>
      </c>
      <c r="R3837" s="1">
        <v>7</v>
      </c>
      <c r="S3837" s="1">
        <f t="shared" si="201"/>
        <v>0.7</v>
      </c>
      <c r="T3837" s="1">
        <v>3</v>
      </c>
      <c r="U3837" s="1">
        <v>12.5</v>
      </c>
      <c r="V3837" s="1">
        <v>3381.960784313726</v>
      </c>
      <c r="W3837" s="1">
        <v>5</v>
      </c>
    </row>
    <row r="3838" spans="1:23" x14ac:dyDescent="0.2">
      <c r="A3838">
        <v>2022</v>
      </c>
      <c r="B3838" t="s">
        <v>23</v>
      </c>
      <c r="C3838" t="s">
        <v>272</v>
      </c>
      <c r="D3838">
        <v>23</v>
      </c>
      <c r="E3838">
        <v>1</v>
      </c>
      <c r="F3838">
        <v>4</v>
      </c>
      <c r="G3838" t="s">
        <v>47</v>
      </c>
      <c r="H3838" s="1">
        <v>9</v>
      </c>
      <c r="I3838" s="1">
        <v>54</v>
      </c>
      <c r="J3838" s="1">
        <v>59</v>
      </c>
      <c r="K3838" s="1">
        <f t="shared" si="200"/>
        <v>5</v>
      </c>
      <c r="L3838" s="1">
        <v>117</v>
      </c>
      <c r="M3838" s="1">
        <v>58</v>
      </c>
      <c r="N3838" s="1">
        <v>1</v>
      </c>
      <c r="O3838" s="1">
        <v>2.5</v>
      </c>
      <c r="P3838" s="1">
        <v>9</v>
      </c>
      <c r="Q3838" s="2">
        <v>0.12</v>
      </c>
      <c r="R3838" s="1">
        <v>6</v>
      </c>
      <c r="S3838" s="1">
        <f t="shared" si="201"/>
        <v>0.66666666666666663</v>
      </c>
      <c r="T3838" s="1">
        <v>5</v>
      </c>
      <c r="U3838" s="1">
        <v>12.5</v>
      </c>
      <c r="V3838" s="1">
        <v>439.21568627450984</v>
      </c>
      <c r="W3838" s="1">
        <v>6</v>
      </c>
    </row>
    <row r="3839" spans="1:23" x14ac:dyDescent="0.2">
      <c r="A3839">
        <v>2022</v>
      </c>
      <c r="B3839" t="s">
        <v>23</v>
      </c>
      <c r="C3839" t="s">
        <v>272</v>
      </c>
      <c r="D3839">
        <v>23</v>
      </c>
      <c r="E3839">
        <v>2</v>
      </c>
      <c r="F3839">
        <v>8</v>
      </c>
      <c r="G3839" t="s">
        <v>47</v>
      </c>
      <c r="H3839">
        <v>14</v>
      </c>
      <c r="I3839">
        <v>56</v>
      </c>
      <c r="J3839">
        <v>58</v>
      </c>
      <c r="K3839">
        <v>2</v>
      </c>
      <c r="L3839">
        <v>157</v>
      </c>
      <c r="M3839">
        <v>75</v>
      </c>
      <c r="N3839">
        <v>2</v>
      </c>
      <c r="O3839">
        <v>1</v>
      </c>
      <c r="P3839">
        <v>10</v>
      </c>
      <c r="Q3839">
        <v>0.8</v>
      </c>
      <c r="R3839">
        <v>7</v>
      </c>
      <c r="S3839">
        <v>0.7</v>
      </c>
      <c r="T3839">
        <v>3</v>
      </c>
      <c r="U3839">
        <v>8.5</v>
      </c>
      <c r="V3839">
        <v>3061.9607843137255</v>
      </c>
      <c r="W3839">
        <v>2</v>
      </c>
    </row>
    <row r="3840" spans="1:23" x14ac:dyDescent="0.2">
      <c r="A3840">
        <v>2022</v>
      </c>
      <c r="B3840" t="s">
        <v>23</v>
      </c>
      <c r="C3840" t="s">
        <v>272</v>
      </c>
      <c r="D3840">
        <v>24</v>
      </c>
      <c r="E3840">
        <v>1</v>
      </c>
      <c r="F3840">
        <v>14</v>
      </c>
      <c r="G3840" t="s">
        <v>48</v>
      </c>
      <c r="H3840" s="1">
        <v>12</v>
      </c>
      <c r="I3840" s="1">
        <v>64</v>
      </c>
      <c r="J3840" s="1">
        <v>67</v>
      </c>
      <c r="K3840" s="1">
        <f>J3840-I3840</f>
        <v>3</v>
      </c>
      <c r="L3840" s="1">
        <v>186</v>
      </c>
      <c r="M3840" s="1">
        <v>84</v>
      </c>
      <c r="N3840" s="1">
        <v>1</v>
      </c>
      <c r="O3840" s="1">
        <v>2</v>
      </c>
      <c r="P3840" s="1">
        <v>10</v>
      </c>
      <c r="Q3840" s="2">
        <v>6.3300000000000009E-2</v>
      </c>
      <c r="R3840" s="1">
        <v>10</v>
      </c>
      <c r="S3840" s="1">
        <f>R3840/P3840</f>
        <v>1</v>
      </c>
      <c r="T3840" s="1">
        <v>4</v>
      </c>
      <c r="U3840" s="1">
        <v>12.5</v>
      </c>
      <c r="V3840" s="1">
        <v>231.68627450980401</v>
      </c>
      <c r="W3840" s="1">
        <v>5</v>
      </c>
    </row>
    <row r="3841" spans="1:23" x14ac:dyDescent="0.2">
      <c r="A3841">
        <v>2022</v>
      </c>
      <c r="B3841" t="s">
        <v>23</v>
      </c>
      <c r="C3841" t="s">
        <v>272</v>
      </c>
      <c r="D3841">
        <v>24</v>
      </c>
      <c r="E3841">
        <v>2</v>
      </c>
      <c r="F3841">
        <v>13</v>
      </c>
      <c r="G3841" t="s">
        <v>48</v>
      </c>
      <c r="H3841" s="3">
        <v>2</v>
      </c>
      <c r="I3841" s="3">
        <v>65</v>
      </c>
      <c r="J3841" s="3">
        <v>67</v>
      </c>
      <c r="K3841" s="3">
        <f>J3841-I3841</f>
        <v>2</v>
      </c>
      <c r="L3841" s="3">
        <v>53</v>
      </c>
      <c r="M3841" s="3">
        <v>30</v>
      </c>
      <c r="N3841" s="3">
        <v>4</v>
      </c>
      <c r="O3841" s="3">
        <v>5</v>
      </c>
      <c r="P3841" s="3">
        <v>1</v>
      </c>
      <c r="Q3841" s="4">
        <v>0.02</v>
      </c>
      <c r="R3841" s="3">
        <v>1</v>
      </c>
      <c r="S3841" s="3">
        <f>R3841/P3841</f>
        <v>1</v>
      </c>
      <c r="T3841" s="3">
        <v>5</v>
      </c>
      <c r="U3841" s="3">
        <v>12.5</v>
      </c>
      <c r="V3841" s="3">
        <v>73.202614379084977</v>
      </c>
      <c r="W3841" s="3">
        <v>8</v>
      </c>
    </row>
    <row r="3842" spans="1:23" x14ac:dyDescent="0.2">
      <c r="A3842">
        <v>2022</v>
      </c>
      <c r="B3842" t="s">
        <v>23</v>
      </c>
      <c r="C3842" t="s">
        <v>272</v>
      </c>
      <c r="D3842">
        <v>25</v>
      </c>
      <c r="E3842">
        <v>1</v>
      </c>
      <c r="F3842">
        <v>8</v>
      </c>
      <c r="G3842" t="s">
        <v>49</v>
      </c>
      <c r="H3842">
        <v>10</v>
      </c>
      <c r="I3842">
        <v>56</v>
      </c>
      <c r="J3842">
        <v>58</v>
      </c>
      <c r="K3842">
        <v>2</v>
      </c>
      <c r="L3842">
        <v>165</v>
      </c>
      <c r="M3842">
        <v>83</v>
      </c>
      <c r="N3842">
        <v>1.5</v>
      </c>
      <c r="O3842">
        <v>2</v>
      </c>
      <c r="P3842">
        <v>9</v>
      </c>
      <c r="Q3842">
        <v>1.2</v>
      </c>
      <c r="R3842">
        <v>9</v>
      </c>
      <c r="S3842">
        <v>1</v>
      </c>
      <c r="T3842">
        <v>2.5</v>
      </c>
      <c r="U3842">
        <v>12.5</v>
      </c>
      <c r="V3842">
        <v>4392.1568627450979</v>
      </c>
      <c r="W3842">
        <v>2</v>
      </c>
    </row>
    <row r="3843" spans="1:23" x14ac:dyDescent="0.2">
      <c r="A3843">
        <v>2022</v>
      </c>
      <c r="B3843" t="s">
        <v>23</v>
      </c>
      <c r="C3843" t="s">
        <v>272</v>
      </c>
      <c r="D3843">
        <v>25</v>
      </c>
      <c r="E3843">
        <v>2</v>
      </c>
      <c r="F3843">
        <v>7</v>
      </c>
      <c r="G3843" t="s">
        <v>49</v>
      </c>
      <c r="H3843" s="1">
        <v>5</v>
      </c>
      <c r="I3843" s="1">
        <v>65</v>
      </c>
      <c r="J3843" s="1">
        <v>70</v>
      </c>
      <c r="K3843" s="1">
        <f>J3843-I3843</f>
        <v>5</v>
      </c>
      <c r="L3843" s="1">
        <v>98</v>
      </c>
      <c r="M3843" s="1">
        <v>41</v>
      </c>
      <c r="N3843" s="1">
        <v>1.5</v>
      </c>
      <c r="O3843" s="1">
        <v>5</v>
      </c>
      <c r="P3843" s="1">
        <v>4</v>
      </c>
      <c r="Q3843" s="2">
        <v>0.06</v>
      </c>
      <c r="R3843" s="1">
        <v>5</v>
      </c>
      <c r="S3843" s="1">
        <f>R3843/P3843</f>
        <v>1.25</v>
      </c>
      <c r="T3843" s="1">
        <v>5</v>
      </c>
      <c r="U3843" s="1">
        <v>12.5</v>
      </c>
      <c r="V3843" s="1">
        <v>219.60784313725492</v>
      </c>
      <c r="W3843" s="1">
        <v>5</v>
      </c>
    </row>
    <row r="3844" spans="1:23" x14ac:dyDescent="0.2">
      <c r="A3844">
        <v>2022</v>
      </c>
      <c r="B3844" t="s">
        <v>23</v>
      </c>
      <c r="C3844" t="s">
        <v>272</v>
      </c>
      <c r="D3844">
        <v>26</v>
      </c>
      <c r="E3844">
        <v>1</v>
      </c>
      <c r="F3844">
        <v>1</v>
      </c>
      <c r="G3844" t="s">
        <v>50</v>
      </c>
      <c r="H3844" s="1">
        <v>6</v>
      </c>
      <c r="I3844" s="1">
        <v>58</v>
      </c>
      <c r="J3844" s="1">
        <v>63</v>
      </c>
      <c r="K3844" s="1">
        <f>J3844-I3844</f>
        <v>5</v>
      </c>
      <c r="L3844" s="1">
        <v>170</v>
      </c>
      <c r="M3844" s="1">
        <v>108</v>
      </c>
      <c r="N3844" s="1">
        <v>2</v>
      </c>
      <c r="O3844" s="1">
        <v>2.5</v>
      </c>
      <c r="P3844" s="1">
        <v>6</v>
      </c>
      <c r="Q3844" s="2">
        <v>7.4999999999999997E-2</v>
      </c>
      <c r="R3844" s="1">
        <v>6</v>
      </c>
      <c r="S3844" s="1">
        <f>R3844/P3844</f>
        <v>1</v>
      </c>
      <c r="T3844" s="1">
        <v>3</v>
      </c>
      <c r="U3844" s="1">
        <v>12.5</v>
      </c>
      <c r="V3844" s="1">
        <v>274.50980392156862</v>
      </c>
      <c r="W3844" s="1">
        <v>3</v>
      </c>
    </row>
    <row r="3845" spans="1:23" x14ac:dyDescent="0.2">
      <c r="A3845">
        <v>2022</v>
      </c>
      <c r="B3845" t="s">
        <v>23</v>
      </c>
      <c r="C3845" t="s">
        <v>272</v>
      </c>
      <c r="D3845">
        <v>26</v>
      </c>
      <c r="E3845">
        <v>2</v>
      </c>
      <c r="F3845">
        <v>1</v>
      </c>
      <c r="G3845" t="s">
        <v>50</v>
      </c>
      <c r="H3845">
        <v>1</v>
      </c>
      <c r="I3845">
        <v>59</v>
      </c>
      <c r="J3845">
        <v>62</v>
      </c>
      <c r="K3845">
        <v>3</v>
      </c>
      <c r="L3845">
        <v>137</v>
      </c>
      <c r="M3845">
        <v>40</v>
      </c>
      <c r="N3845">
        <v>1.5</v>
      </c>
      <c r="O3845">
        <v>2.5</v>
      </c>
      <c r="P3845">
        <v>1</v>
      </c>
      <c r="Q3845">
        <v>0.1</v>
      </c>
      <c r="R3845">
        <v>1</v>
      </c>
      <c r="S3845">
        <v>1</v>
      </c>
      <c r="T3845" t="s">
        <v>273</v>
      </c>
      <c r="U3845">
        <v>12.5</v>
      </c>
      <c r="V3845">
        <v>366.01307189542484</v>
      </c>
      <c r="W3845">
        <v>1</v>
      </c>
    </row>
    <row r="3846" spans="1:23" x14ac:dyDescent="0.2">
      <c r="A3846">
        <v>2022</v>
      </c>
      <c r="B3846" t="s">
        <v>23</v>
      </c>
      <c r="C3846" t="s">
        <v>272</v>
      </c>
      <c r="D3846">
        <v>27</v>
      </c>
      <c r="E3846">
        <v>1</v>
      </c>
      <c r="F3846">
        <v>12</v>
      </c>
      <c r="G3846" t="s">
        <v>51</v>
      </c>
      <c r="H3846">
        <v>16</v>
      </c>
      <c r="I3846">
        <v>58</v>
      </c>
      <c r="J3846">
        <v>62</v>
      </c>
      <c r="K3846">
        <v>4</v>
      </c>
      <c r="L3846">
        <v>152</v>
      </c>
      <c r="M3846">
        <v>70</v>
      </c>
      <c r="N3846">
        <v>1</v>
      </c>
      <c r="O3846">
        <v>2</v>
      </c>
      <c r="P3846">
        <v>14</v>
      </c>
      <c r="Q3846">
        <v>1.4</v>
      </c>
      <c r="R3846">
        <v>11</v>
      </c>
      <c r="S3846">
        <v>0.7857142857142857</v>
      </c>
      <c r="T3846">
        <v>2</v>
      </c>
      <c r="U3846">
        <v>10.1</v>
      </c>
      <c r="V3846">
        <v>5264.7320261437908</v>
      </c>
      <c r="W3846">
        <v>2</v>
      </c>
    </row>
    <row r="3847" spans="1:23" x14ac:dyDescent="0.2">
      <c r="A3847">
        <v>2022</v>
      </c>
      <c r="B3847" t="s">
        <v>23</v>
      </c>
      <c r="C3847" t="s">
        <v>272</v>
      </c>
      <c r="D3847">
        <v>27</v>
      </c>
      <c r="E3847">
        <v>2</v>
      </c>
      <c r="F3847">
        <v>11</v>
      </c>
      <c r="G3847" t="s">
        <v>51</v>
      </c>
      <c r="H3847" s="1">
        <v>11</v>
      </c>
      <c r="I3847" s="1">
        <v>65</v>
      </c>
      <c r="J3847" s="1">
        <v>68</v>
      </c>
      <c r="K3847" s="1">
        <f>J3847-I3847</f>
        <v>3</v>
      </c>
      <c r="L3847" s="1">
        <v>160</v>
      </c>
      <c r="M3847" s="1">
        <v>78</v>
      </c>
      <c r="N3847" s="1">
        <v>2</v>
      </c>
      <c r="O3847" s="1">
        <v>3</v>
      </c>
      <c r="P3847" s="1">
        <v>9</v>
      </c>
      <c r="Q3847" s="2">
        <v>0.86669999999999991</v>
      </c>
      <c r="R3847" s="1">
        <v>10</v>
      </c>
      <c r="S3847" s="1">
        <f>R3847/P3847</f>
        <v>1.1111111111111112</v>
      </c>
      <c r="T3847" s="1">
        <v>5</v>
      </c>
      <c r="U3847" s="1">
        <v>7.6</v>
      </c>
      <c r="V3847" s="1">
        <v>3349.8804705882353</v>
      </c>
      <c r="W3847" s="1">
        <v>5</v>
      </c>
    </row>
    <row r="3848" spans="1:23" x14ac:dyDescent="0.2">
      <c r="A3848">
        <v>2022</v>
      </c>
      <c r="B3848" t="s">
        <v>23</v>
      </c>
      <c r="C3848" t="s">
        <v>272</v>
      </c>
      <c r="D3848">
        <v>28</v>
      </c>
      <c r="E3848">
        <v>1</v>
      </c>
      <c r="F3848">
        <v>8</v>
      </c>
      <c r="G3848" t="s">
        <v>52</v>
      </c>
      <c r="H3848" s="1">
        <v>13</v>
      </c>
      <c r="I3848" s="1">
        <v>65</v>
      </c>
      <c r="J3848" s="1">
        <v>68</v>
      </c>
      <c r="K3848" s="1">
        <f>J3848-I3848</f>
        <v>3</v>
      </c>
      <c r="L3848" s="1">
        <v>157</v>
      </c>
      <c r="M3848" s="1">
        <v>70</v>
      </c>
      <c r="N3848" s="1">
        <v>3</v>
      </c>
      <c r="O3848" s="1">
        <v>3.5</v>
      </c>
      <c r="P3848" s="1">
        <v>12</v>
      </c>
      <c r="Q3848" s="2">
        <v>0.216</v>
      </c>
      <c r="R3848" s="1">
        <v>8</v>
      </c>
      <c r="S3848" s="1">
        <f>R3848/P3848</f>
        <v>0.66666666666666663</v>
      </c>
      <c r="T3848" s="1">
        <v>5</v>
      </c>
      <c r="U3848" s="1">
        <v>12.5</v>
      </c>
      <c r="V3848" s="1">
        <v>790.58823529411757</v>
      </c>
      <c r="W3848" s="1">
        <v>4</v>
      </c>
    </row>
    <row r="3849" spans="1:23" x14ac:dyDescent="0.2">
      <c r="A3849">
        <v>2022</v>
      </c>
      <c r="B3849" t="s">
        <v>23</v>
      </c>
      <c r="C3849" t="s">
        <v>272</v>
      </c>
      <c r="D3849">
        <v>28</v>
      </c>
      <c r="E3849">
        <v>2</v>
      </c>
      <c r="F3849">
        <v>15</v>
      </c>
      <c r="G3849" t="s">
        <v>52</v>
      </c>
      <c r="H3849" s="1">
        <v>7</v>
      </c>
      <c r="I3849" s="1">
        <v>56</v>
      </c>
      <c r="J3849" s="1">
        <v>59</v>
      </c>
      <c r="K3849" s="1">
        <f>J3849-I3849</f>
        <v>3</v>
      </c>
      <c r="L3849" s="1">
        <v>167</v>
      </c>
      <c r="M3849" s="1">
        <v>53</v>
      </c>
      <c r="N3849" s="1">
        <v>2</v>
      </c>
      <c r="O3849" s="1">
        <v>3.5</v>
      </c>
      <c r="P3849" s="1">
        <v>7</v>
      </c>
      <c r="Q3849" s="2">
        <v>0.15875</v>
      </c>
      <c r="R3849" s="1">
        <v>5</v>
      </c>
      <c r="S3849" s="1">
        <f>R3849/P3849</f>
        <v>0.7142857142857143</v>
      </c>
      <c r="T3849" s="1">
        <v>5</v>
      </c>
      <c r="U3849" s="1">
        <v>12.5</v>
      </c>
      <c r="V3849" s="1">
        <v>581.04575163398692</v>
      </c>
      <c r="W3849" s="1">
        <v>5</v>
      </c>
    </row>
    <row r="3850" spans="1:23" x14ac:dyDescent="0.2">
      <c r="A3850">
        <v>2022</v>
      </c>
      <c r="B3850" t="s">
        <v>23</v>
      </c>
      <c r="C3850" t="s">
        <v>272</v>
      </c>
      <c r="D3850">
        <v>29</v>
      </c>
      <c r="E3850">
        <v>1</v>
      </c>
      <c r="F3850">
        <v>1</v>
      </c>
      <c r="G3850" t="s">
        <v>53</v>
      </c>
      <c r="H3850" s="1">
        <v>4</v>
      </c>
      <c r="I3850" s="1">
        <v>66</v>
      </c>
      <c r="J3850" s="1">
        <v>69</v>
      </c>
      <c r="K3850" s="1">
        <f>J3850-I3850</f>
        <v>3</v>
      </c>
      <c r="L3850" s="1">
        <v>106</v>
      </c>
      <c r="M3850" s="1">
        <v>26</v>
      </c>
      <c r="N3850" s="1">
        <v>1.5</v>
      </c>
      <c r="O3850" s="1">
        <v>4.5</v>
      </c>
      <c r="P3850" s="1">
        <v>2</v>
      </c>
      <c r="Q3850" s="2">
        <v>0.10199999999999999</v>
      </c>
      <c r="R3850" s="1">
        <v>2</v>
      </c>
      <c r="S3850" s="1">
        <f>R3850/P3850</f>
        <v>1</v>
      </c>
      <c r="T3850" s="1">
        <v>5</v>
      </c>
      <c r="U3850" s="1">
        <v>12.5</v>
      </c>
      <c r="V3850" s="1">
        <v>373.33333333333326</v>
      </c>
      <c r="W3850" s="1">
        <v>5</v>
      </c>
    </row>
    <row r="3851" spans="1:23" x14ac:dyDescent="0.2">
      <c r="A3851">
        <v>2022</v>
      </c>
      <c r="B3851" t="s">
        <v>23</v>
      </c>
      <c r="C3851" t="s">
        <v>272</v>
      </c>
      <c r="D3851">
        <v>29</v>
      </c>
      <c r="E3851">
        <v>2</v>
      </c>
      <c r="F3851">
        <v>11</v>
      </c>
      <c r="G3851" t="s">
        <v>53</v>
      </c>
      <c r="H3851">
        <v>8</v>
      </c>
      <c r="I3851">
        <v>60</v>
      </c>
      <c r="J3851">
        <v>62</v>
      </c>
      <c r="K3851">
        <v>2</v>
      </c>
      <c r="L3851">
        <v>196</v>
      </c>
      <c r="M3851">
        <v>62</v>
      </c>
      <c r="N3851">
        <v>2</v>
      </c>
      <c r="O3851">
        <v>3</v>
      </c>
      <c r="P3851">
        <v>8</v>
      </c>
      <c r="Q3851">
        <v>0.4</v>
      </c>
      <c r="R3851">
        <v>8</v>
      </c>
      <c r="S3851">
        <v>1</v>
      </c>
      <c r="T3851">
        <v>2.5</v>
      </c>
      <c r="U3851">
        <v>12.5</v>
      </c>
      <c r="V3851">
        <v>1464.0522875816994</v>
      </c>
      <c r="W3851">
        <v>1</v>
      </c>
    </row>
    <row r="3852" spans="1:23" x14ac:dyDescent="0.2">
      <c r="A3852">
        <v>2022</v>
      </c>
      <c r="B3852" t="s">
        <v>23</v>
      </c>
      <c r="C3852" t="s">
        <v>272</v>
      </c>
      <c r="D3852">
        <v>30</v>
      </c>
      <c r="E3852">
        <v>1</v>
      </c>
      <c r="F3852">
        <v>10</v>
      </c>
      <c r="G3852" t="s">
        <v>54</v>
      </c>
      <c r="H3852" s="1">
        <v>1</v>
      </c>
      <c r="I3852" s="1">
        <v>61</v>
      </c>
      <c r="J3852" s="1">
        <v>65</v>
      </c>
      <c r="K3852" s="1">
        <f t="shared" ref="K3852:K3857" si="202">J3852-I3852</f>
        <v>4</v>
      </c>
      <c r="L3852" s="1">
        <v>78</v>
      </c>
      <c r="M3852" s="1">
        <v>42</v>
      </c>
      <c r="N3852" s="1">
        <v>2</v>
      </c>
      <c r="O3852" s="1">
        <v>3</v>
      </c>
      <c r="P3852" s="1">
        <v>1</v>
      </c>
      <c r="Q3852" s="2">
        <v>8.2879999999999995E-2</v>
      </c>
      <c r="R3852" s="1">
        <v>1</v>
      </c>
      <c r="S3852" s="1">
        <f t="shared" ref="S3852:S3857" si="203">R3852/P3852</f>
        <v>1</v>
      </c>
      <c r="T3852" s="1">
        <v>5</v>
      </c>
      <c r="U3852" s="1">
        <v>12.5</v>
      </c>
      <c r="V3852" s="1">
        <v>303.35163398692811</v>
      </c>
      <c r="W3852" s="1">
        <v>4</v>
      </c>
    </row>
    <row r="3853" spans="1:23" x14ac:dyDescent="0.2">
      <c r="A3853">
        <v>2022</v>
      </c>
      <c r="B3853" t="s">
        <v>23</v>
      </c>
      <c r="C3853" t="s">
        <v>272</v>
      </c>
      <c r="D3853">
        <v>30</v>
      </c>
      <c r="E3853">
        <v>2</v>
      </c>
      <c r="F3853">
        <v>9</v>
      </c>
      <c r="G3853" t="s">
        <v>54</v>
      </c>
      <c r="H3853" s="1">
        <v>3</v>
      </c>
      <c r="I3853" s="1">
        <v>61</v>
      </c>
      <c r="J3853" s="1">
        <v>64</v>
      </c>
      <c r="K3853" s="1">
        <f t="shared" si="202"/>
        <v>3</v>
      </c>
      <c r="L3853" s="1">
        <v>151</v>
      </c>
      <c r="M3853" s="1">
        <v>68</v>
      </c>
      <c r="N3853" s="1">
        <v>2</v>
      </c>
      <c r="O3853" s="1">
        <v>3.5</v>
      </c>
      <c r="P3853" s="1">
        <v>3</v>
      </c>
      <c r="Q3853" s="2">
        <v>0.22650000000000001</v>
      </c>
      <c r="R3853" s="1">
        <v>3</v>
      </c>
      <c r="S3853" s="1">
        <f t="shared" si="203"/>
        <v>1</v>
      </c>
      <c r="T3853" s="1">
        <v>5</v>
      </c>
      <c r="U3853" s="1">
        <v>12.5</v>
      </c>
      <c r="V3853" s="1">
        <v>829.01960784313724</v>
      </c>
      <c r="W3853" s="1">
        <v>3</v>
      </c>
    </row>
    <row r="3854" spans="1:23" x14ac:dyDescent="0.2">
      <c r="A3854">
        <v>2022</v>
      </c>
      <c r="B3854" t="s">
        <v>23</v>
      </c>
      <c r="C3854" t="s">
        <v>272</v>
      </c>
      <c r="D3854">
        <v>31</v>
      </c>
      <c r="E3854">
        <v>1</v>
      </c>
      <c r="F3854">
        <v>5</v>
      </c>
      <c r="G3854" t="s">
        <v>55</v>
      </c>
      <c r="H3854" s="1">
        <v>8</v>
      </c>
      <c r="I3854" s="1">
        <v>63</v>
      </c>
      <c r="J3854" s="1">
        <v>64</v>
      </c>
      <c r="K3854" s="1">
        <f t="shared" si="202"/>
        <v>1</v>
      </c>
      <c r="L3854" s="1">
        <v>145</v>
      </c>
      <c r="M3854" s="1">
        <v>47</v>
      </c>
      <c r="N3854" s="1">
        <v>2</v>
      </c>
      <c r="O3854" s="1">
        <v>2.5</v>
      </c>
      <c r="P3854" s="1">
        <v>6</v>
      </c>
      <c r="Q3854" s="2">
        <v>0.64800000000000002</v>
      </c>
      <c r="R3854" s="1">
        <v>6</v>
      </c>
      <c r="S3854" s="1">
        <f t="shared" si="203"/>
        <v>1</v>
      </c>
      <c r="T3854" s="1">
        <v>2</v>
      </c>
      <c r="U3854" s="1">
        <v>12.5</v>
      </c>
      <c r="V3854" s="1">
        <v>2371.7647058823527</v>
      </c>
      <c r="W3854" s="1">
        <v>2</v>
      </c>
    </row>
    <row r="3855" spans="1:23" x14ac:dyDescent="0.2">
      <c r="A3855">
        <v>2022</v>
      </c>
      <c r="B3855" t="s">
        <v>23</v>
      </c>
      <c r="C3855" t="s">
        <v>272</v>
      </c>
      <c r="D3855">
        <v>31</v>
      </c>
      <c r="E3855">
        <v>2</v>
      </c>
      <c r="F3855">
        <v>3</v>
      </c>
      <c r="G3855" t="s">
        <v>55</v>
      </c>
      <c r="H3855" s="1">
        <v>7</v>
      </c>
      <c r="I3855" s="1">
        <v>62</v>
      </c>
      <c r="J3855" s="1">
        <v>67</v>
      </c>
      <c r="K3855" s="1">
        <f t="shared" si="202"/>
        <v>5</v>
      </c>
      <c r="L3855" s="1">
        <v>173</v>
      </c>
      <c r="M3855" s="1">
        <v>85</v>
      </c>
      <c r="N3855" s="1">
        <v>2</v>
      </c>
      <c r="O3855" s="1">
        <v>3.5</v>
      </c>
      <c r="P3855" s="1">
        <v>7</v>
      </c>
      <c r="Q3855" s="2">
        <v>0.1986</v>
      </c>
      <c r="R3855" s="1">
        <v>4</v>
      </c>
      <c r="S3855" s="1">
        <f t="shared" si="203"/>
        <v>0.5714285714285714</v>
      </c>
      <c r="T3855" s="1">
        <v>5</v>
      </c>
      <c r="U3855" s="1">
        <v>12.5</v>
      </c>
      <c r="V3855" s="1">
        <v>726.9019607843137</v>
      </c>
      <c r="W3855" s="1">
        <v>5</v>
      </c>
    </row>
    <row r="3856" spans="1:23" x14ac:dyDescent="0.2">
      <c r="A3856">
        <v>2022</v>
      </c>
      <c r="B3856" t="s">
        <v>23</v>
      </c>
      <c r="C3856" t="s">
        <v>272</v>
      </c>
      <c r="D3856">
        <v>32</v>
      </c>
      <c r="E3856">
        <v>1</v>
      </c>
      <c r="F3856">
        <v>8</v>
      </c>
      <c r="G3856" t="s">
        <v>56</v>
      </c>
      <c r="H3856" s="1">
        <v>12</v>
      </c>
      <c r="I3856" s="1">
        <v>58</v>
      </c>
      <c r="J3856" s="1">
        <v>61</v>
      </c>
      <c r="K3856" s="1">
        <f t="shared" si="202"/>
        <v>3</v>
      </c>
      <c r="L3856" s="1">
        <v>205</v>
      </c>
      <c r="M3856" s="1">
        <v>97</v>
      </c>
      <c r="N3856" s="1">
        <v>2</v>
      </c>
      <c r="O3856" s="1">
        <v>2</v>
      </c>
      <c r="P3856" s="1">
        <v>12</v>
      </c>
      <c r="Q3856" s="2">
        <v>0.19800000000000001</v>
      </c>
      <c r="R3856" s="1">
        <v>9</v>
      </c>
      <c r="S3856" s="1">
        <f t="shared" si="203"/>
        <v>0.75</v>
      </c>
      <c r="T3856" s="1">
        <v>5</v>
      </c>
      <c r="U3856" s="1">
        <v>12.1</v>
      </c>
      <c r="V3856" s="1">
        <v>728.01882352941197</v>
      </c>
      <c r="W3856" s="1">
        <v>4</v>
      </c>
    </row>
    <row r="3857" spans="1:23" x14ac:dyDescent="0.2">
      <c r="A3857">
        <v>2022</v>
      </c>
      <c r="B3857" t="s">
        <v>23</v>
      </c>
      <c r="C3857" t="s">
        <v>272</v>
      </c>
      <c r="D3857">
        <v>32</v>
      </c>
      <c r="E3857">
        <v>2</v>
      </c>
      <c r="F3857">
        <v>9</v>
      </c>
      <c r="G3857" t="s">
        <v>56</v>
      </c>
      <c r="H3857" s="1">
        <v>1</v>
      </c>
      <c r="I3857" s="1">
        <v>68</v>
      </c>
      <c r="J3857" s="1">
        <v>71</v>
      </c>
      <c r="K3857" s="1">
        <f t="shared" si="202"/>
        <v>3</v>
      </c>
      <c r="L3857" s="1">
        <v>162</v>
      </c>
      <c r="M3857" s="1">
        <v>55</v>
      </c>
      <c r="N3857" s="1">
        <v>2</v>
      </c>
      <c r="O3857" s="1">
        <v>3.5</v>
      </c>
      <c r="P3857" s="1">
        <v>1</v>
      </c>
      <c r="Q3857" s="2">
        <v>6.9500000000000006E-2</v>
      </c>
      <c r="R3857" s="1">
        <v>1</v>
      </c>
      <c r="S3857" s="1">
        <f t="shared" si="203"/>
        <v>1</v>
      </c>
      <c r="T3857" s="1">
        <v>5</v>
      </c>
      <c r="U3857" s="1">
        <v>12.5</v>
      </c>
      <c r="V3857" s="1">
        <v>254.37908496732032</v>
      </c>
      <c r="W3857" s="1">
        <v>4</v>
      </c>
    </row>
    <row r="3858" spans="1:23" x14ac:dyDescent="0.2">
      <c r="A3858">
        <v>2022</v>
      </c>
      <c r="B3858" t="s">
        <v>23</v>
      </c>
      <c r="C3858" t="s">
        <v>272</v>
      </c>
      <c r="D3858">
        <v>33</v>
      </c>
      <c r="E3858">
        <v>1</v>
      </c>
      <c r="F3858">
        <v>14</v>
      </c>
      <c r="G3858" t="s">
        <v>57</v>
      </c>
      <c r="H3858">
        <v>14</v>
      </c>
      <c r="I3858">
        <v>58</v>
      </c>
      <c r="J3858">
        <v>60</v>
      </c>
      <c r="K3858">
        <v>2</v>
      </c>
      <c r="L3858">
        <v>152</v>
      </c>
      <c r="M3858">
        <v>83</v>
      </c>
      <c r="N3858">
        <v>1.5</v>
      </c>
      <c r="O3858">
        <v>3.5</v>
      </c>
      <c r="P3858">
        <v>13</v>
      </c>
      <c r="Q3858">
        <v>1</v>
      </c>
      <c r="R3858">
        <v>11</v>
      </c>
      <c r="S3858">
        <v>0.84615384615384615</v>
      </c>
      <c r="T3858">
        <v>2</v>
      </c>
      <c r="U3858">
        <v>12.5</v>
      </c>
      <c r="V3858">
        <v>3660.1307189542486</v>
      </c>
      <c r="W3858">
        <v>2</v>
      </c>
    </row>
    <row r="3859" spans="1:23" x14ac:dyDescent="0.2">
      <c r="A3859">
        <v>2022</v>
      </c>
      <c r="B3859" t="s">
        <v>23</v>
      </c>
      <c r="C3859" t="s">
        <v>272</v>
      </c>
      <c r="D3859">
        <v>33</v>
      </c>
      <c r="E3859">
        <v>2</v>
      </c>
      <c r="F3859">
        <v>8</v>
      </c>
      <c r="G3859" t="s">
        <v>57</v>
      </c>
      <c r="H3859" s="1">
        <v>1</v>
      </c>
      <c r="I3859" s="1">
        <v>66</v>
      </c>
      <c r="J3859" s="1">
        <v>69</v>
      </c>
      <c r="K3859" s="1">
        <f>J3859-I3859</f>
        <v>3</v>
      </c>
      <c r="L3859" s="1">
        <v>102</v>
      </c>
      <c r="M3859" s="1">
        <v>56</v>
      </c>
      <c r="N3859" s="1">
        <v>2</v>
      </c>
      <c r="O3859" s="1">
        <v>3</v>
      </c>
      <c r="P3859" s="1">
        <f>H3859</f>
        <v>1</v>
      </c>
      <c r="Q3859" s="2">
        <v>1.575E-2</v>
      </c>
      <c r="R3859" s="1">
        <v>1</v>
      </c>
      <c r="S3859" s="1">
        <f>R3859/P3859</f>
        <v>1</v>
      </c>
      <c r="T3859" s="1">
        <v>4</v>
      </c>
      <c r="U3859" s="1">
        <v>12.5</v>
      </c>
      <c r="V3859" s="1">
        <v>57.64705882352942</v>
      </c>
      <c r="W3859" s="1">
        <v>4</v>
      </c>
    </row>
    <row r="3860" spans="1:23" x14ac:dyDescent="0.2">
      <c r="A3860">
        <v>2022</v>
      </c>
      <c r="B3860" t="s">
        <v>23</v>
      </c>
      <c r="C3860" t="s">
        <v>272</v>
      </c>
      <c r="D3860">
        <v>34</v>
      </c>
      <c r="E3860">
        <v>1</v>
      </c>
      <c r="F3860">
        <v>6</v>
      </c>
      <c r="G3860" t="s">
        <v>58</v>
      </c>
      <c r="H3860" s="1">
        <v>5</v>
      </c>
      <c r="I3860" s="1">
        <v>63</v>
      </c>
      <c r="J3860" s="1">
        <v>68</v>
      </c>
      <c r="K3860" s="1">
        <f>J3860-I3860</f>
        <v>5</v>
      </c>
      <c r="L3860" s="1">
        <v>152</v>
      </c>
      <c r="M3860" s="1">
        <v>36</v>
      </c>
      <c r="N3860" s="1">
        <v>1.5</v>
      </c>
      <c r="O3860" s="1">
        <v>4</v>
      </c>
      <c r="P3860" s="1">
        <v>4</v>
      </c>
      <c r="Q3860" s="2">
        <v>0.32400000000000001</v>
      </c>
      <c r="R3860" s="1">
        <v>4</v>
      </c>
      <c r="S3860" s="1">
        <f>R3860/P3860</f>
        <v>1</v>
      </c>
      <c r="T3860" s="1">
        <v>2.5</v>
      </c>
      <c r="U3860" s="1">
        <v>12.5</v>
      </c>
      <c r="V3860" s="1">
        <v>1185.8823529411764</v>
      </c>
      <c r="W3860" s="1">
        <v>5</v>
      </c>
    </row>
    <row r="3861" spans="1:23" x14ac:dyDescent="0.2">
      <c r="A3861">
        <v>2022</v>
      </c>
      <c r="B3861" t="s">
        <v>23</v>
      </c>
      <c r="C3861" t="s">
        <v>272</v>
      </c>
      <c r="D3861">
        <v>34</v>
      </c>
      <c r="E3861">
        <v>2</v>
      </c>
      <c r="F3861">
        <v>3</v>
      </c>
      <c r="G3861" t="s">
        <v>58</v>
      </c>
      <c r="H3861">
        <v>14</v>
      </c>
      <c r="I3861">
        <v>58</v>
      </c>
      <c r="J3861">
        <v>60</v>
      </c>
      <c r="K3861">
        <v>2</v>
      </c>
      <c r="L3861">
        <v>179</v>
      </c>
      <c r="M3861">
        <v>67</v>
      </c>
      <c r="N3861">
        <v>1</v>
      </c>
      <c r="O3861">
        <v>2</v>
      </c>
      <c r="P3861">
        <v>11</v>
      </c>
      <c r="Q3861">
        <v>1</v>
      </c>
      <c r="R3861">
        <v>10</v>
      </c>
      <c r="S3861">
        <v>0.90909090909090906</v>
      </c>
      <c r="T3861">
        <v>3</v>
      </c>
      <c r="U3861">
        <v>13.1</v>
      </c>
      <c r="V3861">
        <v>3635.0326797385624</v>
      </c>
      <c r="W3861">
        <v>2</v>
      </c>
    </row>
    <row r="3862" spans="1:23" x14ac:dyDescent="0.2">
      <c r="A3862">
        <v>2022</v>
      </c>
      <c r="B3862" t="s">
        <v>23</v>
      </c>
      <c r="C3862" t="s">
        <v>272</v>
      </c>
      <c r="D3862">
        <v>35</v>
      </c>
      <c r="E3862">
        <v>1</v>
      </c>
      <c r="F3862">
        <v>9</v>
      </c>
      <c r="G3862" t="s">
        <v>59</v>
      </c>
      <c r="H3862" s="1">
        <v>11</v>
      </c>
      <c r="I3862" s="1">
        <v>64</v>
      </c>
      <c r="J3862" s="1">
        <v>66</v>
      </c>
      <c r="K3862" s="1">
        <f>J3862-I3862</f>
        <v>2</v>
      </c>
      <c r="L3862" s="1">
        <v>185</v>
      </c>
      <c r="M3862" s="1">
        <v>88</v>
      </c>
      <c r="N3862" s="1">
        <v>2</v>
      </c>
      <c r="O3862" s="1">
        <v>2.5</v>
      </c>
      <c r="P3862" s="1">
        <f>H3862-1</f>
        <v>10</v>
      </c>
      <c r="Q3862" s="2">
        <v>0.10249999999999999</v>
      </c>
      <c r="R3862" s="1">
        <v>8</v>
      </c>
      <c r="S3862" s="1">
        <f>R3862/P3862</f>
        <v>0.8</v>
      </c>
      <c r="T3862" s="1">
        <v>5</v>
      </c>
      <c r="U3862" s="1">
        <v>12.5</v>
      </c>
      <c r="V3862" s="1">
        <v>375.16339869281046</v>
      </c>
      <c r="W3862" s="1">
        <v>5</v>
      </c>
    </row>
    <row r="3863" spans="1:23" x14ac:dyDescent="0.2">
      <c r="A3863">
        <v>2022</v>
      </c>
      <c r="B3863" t="s">
        <v>23</v>
      </c>
      <c r="C3863" t="s">
        <v>272</v>
      </c>
      <c r="D3863">
        <v>35</v>
      </c>
      <c r="E3863">
        <v>2</v>
      </c>
      <c r="F3863">
        <v>9</v>
      </c>
      <c r="G3863" t="s">
        <v>59</v>
      </c>
      <c r="H3863" s="1">
        <v>10</v>
      </c>
      <c r="I3863" s="1">
        <v>69</v>
      </c>
      <c r="J3863" s="1">
        <v>74</v>
      </c>
      <c r="K3863" s="1">
        <f>J3863-I3863</f>
        <v>5</v>
      </c>
      <c r="L3863" s="1">
        <v>125</v>
      </c>
      <c r="M3863" s="1">
        <v>83</v>
      </c>
      <c r="N3863" s="1">
        <v>2</v>
      </c>
      <c r="O3863" s="1">
        <v>3.5</v>
      </c>
      <c r="P3863" s="1">
        <v>6</v>
      </c>
      <c r="Q3863" s="2">
        <v>4.5150000000000003E-2</v>
      </c>
      <c r="R3863" s="1">
        <v>4</v>
      </c>
      <c r="S3863" s="1">
        <f>R3863/P3863</f>
        <v>0.66666666666666663</v>
      </c>
      <c r="T3863" s="1">
        <v>5</v>
      </c>
      <c r="U3863" s="1">
        <v>12.5</v>
      </c>
      <c r="V3863" s="1">
        <v>165.25490196078431</v>
      </c>
      <c r="W3863" s="1">
        <v>7</v>
      </c>
    </row>
    <row r="3864" spans="1:23" x14ac:dyDescent="0.2">
      <c r="A3864">
        <v>2022</v>
      </c>
      <c r="B3864" t="s">
        <v>23</v>
      </c>
      <c r="C3864" t="s">
        <v>272</v>
      </c>
      <c r="D3864">
        <v>36</v>
      </c>
      <c r="E3864">
        <v>1</v>
      </c>
      <c r="F3864">
        <v>2</v>
      </c>
      <c r="G3864" t="s">
        <v>60</v>
      </c>
      <c r="H3864" s="1">
        <v>10</v>
      </c>
      <c r="I3864" s="1">
        <v>64</v>
      </c>
      <c r="J3864" s="1">
        <v>70</v>
      </c>
      <c r="K3864" s="1">
        <f>J3864-I3864</f>
        <v>6</v>
      </c>
      <c r="L3864" s="1">
        <v>161</v>
      </c>
      <c r="M3864" s="1">
        <v>56</v>
      </c>
      <c r="N3864" s="1">
        <v>2</v>
      </c>
      <c r="O3864" s="1">
        <v>3.5</v>
      </c>
      <c r="P3864" s="1">
        <v>7</v>
      </c>
      <c r="Q3864" s="2">
        <v>0.156</v>
      </c>
      <c r="R3864" s="1">
        <v>3</v>
      </c>
      <c r="S3864" s="1">
        <f>R3864/P3864</f>
        <v>0.42857142857142855</v>
      </c>
      <c r="T3864" s="1">
        <v>3.5</v>
      </c>
      <c r="U3864" s="1">
        <v>12.5</v>
      </c>
      <c r="V3864" s="1">
        <v>570.98039215686276</v>
      </c>
      <c r="W3864" s="1">
        <v>4</v>
      </c>
    </row>
    <row r="3865" spans="1:23" x14ac:dyDescent="0.2">
      <c r="A3865">
        <v>2022</v>
      </c>
      <c r="B3865" t="s">
        <v>23</v>
      </c>
      <c r="C3865" t="s">
        <v>272</v>
      </c>
      <c r="D3865">
        <v>36</v>
      </c>
      <c r="E3865">
        <v>2</v>
      </c>
      <c r="F3865">
        <v>13</v>
      </c>
      <c r="G3865" t="s">
        <v>60</v>
      </c>
      <c r="H3865">
        <v>9</v>
      </c>
      <c r="I3865">
        <v>60</v>
      </c>
      <c r="J3865">
        <v>62</v>
      </c>
      <c r="K3865">
        <v>2</v>
      </c>
      <c r="L3865">
        <v>196</v>
      </c>
      <c r="M3865">
        <v>62</v>
      </c>
      <c r="N3865">
        <v>2</v>
      </c>
      <c r="O3865">
        <v>3</v>
      </c>
      <c r="P3865">
        <v>9</v>
      </c>
      <c r="Q3865">
        <v>1</v>
      </c>
      <c r="R3865">
        <v>10</v>
      </c>
      <c r="S3865">
        <v>1.1111111111111112</v>
      </c>
      <c r="T3865">
        <v>3</v>
      </c>
      <c r="U3865">
        <v>12.5</v>
      </c>
      <c r="V3865">
        <v>3660.1307189542486</v>
      </c>
      <c r="W3865">
        <v>1</v>
      </c>
    </row>
    <row r="3866" spans="1:23" x14ac:dyDescent="0.2">
      <c r="A3866">
        <v>2022</v>
      </c>
      <c r="B3866" t="s">
        <v>23</v>
      </c>
      <c r="C3866" t="s">
        <v>272</v>
      </c>
      <c r="D3866">
        <v>37</v>
      </c>
      <c r="E3866">
        <v>1</v>
      </c>
      <c r="F3866">
        <v>14</v>
      </c>
      <c r="G3866" t="s">
        <v>61</v>
      </c>
      <c r="H3866">
        <v>2</v>
      </c>
      <c r="I3866">
        <v>55</v>
      </c>
      <c r="J3866">
        <v>58</v>
      </c>
      <c r="K3866">
        <v>3</v>
      </c>
      <c r="L3866">
        <v>130</v>
      </c>
      <c r="M3866">
        <v>51</v>
      </c>
      <c r="N3866">
        <v>1.5</v>
      </c>
      <c r="O3866">
        <v>2</v>
      </c>
      <c r="P3866">
        <v>2</v>
      </c>
      <c r="Q3866">
        <v>0.2</v>
      </c>
      <c r="R3866" t="s">
        <v>273</v>
      </c>
      <c r="S3866">
        <v>0</v>
      </c>
      <c r="T3866">
        <v>2.5</v>
      </c>
      <c r="U3866">
        <v>12.5</v>
      </c>
      <c r="V3866">
        <v>732.02614379084969</v>
      </c>
      <c r="W3866">
        <v>2</v>
      </c>
    </row>
    <row r="3867" spans="1:23" x14ac:dyDescent="0.2">
      <c r="A3867">
        <v>2022</v>
      </c>
      <c r="B3867" t="s">
        <v>23</v>
      </c>
      <c r="C3867" t="s">
        <v>272</v>
      </c>
      <c r="D3867">
        <v>37</v>
      </c>
      <c r="E3867">
        <v>2</v>
      </c>
      <c r="F3867">
        <v>15</v>
      </c>
      <c r="G3867" t="s">
        <v>61</v>
      </c>
      <c r="H3867" s="1">
        <v>13</v>
      </c>
      <c r="I3867" s="1">
        <v>57</v>
      </c>
      <c r="J3867" s="1">
        <v>62</v>
      </c>
      <c r="K3867" s="1">
        <f t="shared" ref="K3867:K3874" si="204">J3867-I3867</f>
        <v>5</v>
      </c>
      <c r="L3867" s="1">
        <v>148</v>
      </c>
      <c r="M3867" s="1">
        <v>78</v>
      </c>
      <c r="N3867" s="1">
        <v>2</v>
      </c>
      <c r="O3867" s="1">
        <v>2.5</v>
      </c>
      <c r="P3867" s="1">
        <v>10</v>
      </c>
      <c r="Q3867" s="2">
        <v>0.48</v>
      </c>
      <c r="R3867" s="1">
        <v>9</v>
      </c>
      <c r="S3867" s="1">
        <f t="shared" ref="S3867:S3874" si="205">R3867/P3867</f>
        <v>0.9</v>
      </c>
      <c r="T3867" s="1">
        <v>5</v>
      </c>
      <c r="U3867" s="1">
        <v>10.6</v>
      </c>
      <c r="V3867" s="1">
        <v>1795.0117647058823</v>
      </c>
      <c r="W3867" s="1">
        <v>4</v>
      </c>
    </row>
    <row r="3868" spans="1:23" x14ac:dyDescent="0.2">
      <c r="A3868">
        <v>2022</v>
      </c>
      <c r="B3868" t="s">
        <v>23</v>
      </c>
      <c r="C3868" t="s">
        <v>272</v>
      </c>
      <c r="D3868">
        <v>38</v>
      </c>
      <c r="E3868">
        <v>1</v>
      </c>
      <c r="F3868">
        <v>5</v>
      </c>
      <c r="G3868" t="s">
        <v>62</v>
      </c>
      <c r="H3868" s="1">
        <v>15</v>
      </c>
      <c r="I3868" s="1">
        <v>69</v>
      </c>
      <c r="J3868" s="1">
        <v>71</v>
      </c>
      <c r="K3868" s="1">
        <f t="shared" si="204"/>
        <v>2</v>
      </c>
      <c r="L3868" s="1">
        <v>148</v>
      </c>
      <c r="M3868" s="1">
        <v>93</v>
      </c>
      <c r="N3868" s="1">
        <v>2</v>
      </c>
      <c r="O3868" s="1">
        <v>3.5</v>
      </c>
      <c r="P3868" s="1">
        <f>H3868</f>
        <v>15</v>
      </c>
      <c r="Q3868" s="2">
        <v>0.25650000000000001</v>
      </c>
      <c r="R3868" s="1">
        <v>11</v>
      </c>
      <c r="S3868" s="1">
        <f t="shared" si="205"/>
        <v>0.73333333333333328</v>
      </c>
      <c r="T3868" s="1">
        <v>5</v>
      </c>
      <c r="U3868" s="1">
        <v>12.5</v>
      </c>
      <c r="V3868" s="1">
        <v>938.82352941176475</v>
      </c>
      <c r="W3868" s="1">
        <v>5</v>
      </c>
    </row>
    <row r="3869" spans="1:23" x14ac:dyDescent="0.2">
      <c r="A3869">
        <v>2022</v>
      </c>
      <c r="B3869" t="s">
        <v>23</v>
      </c>
      <c r="C3869" t="s">
        <v>272</v>
      </c>
      <c r="D3869">
        <v>38</v>
      </c>
      <c r="E3869">
        <v>2</v>
      </c>
      <c r="F3869">
        <v>3</v>
      </c>
      <c r="G3869" t="s">
        <v>62</v>
      </c>
      <c r="H3869" s="1">
        <v>12</v>
      </c>
      <c r="I3869" s="1">
        <v>56</v>
      </c>
      <c r="J3869" s="1">
        <v>59</v>
      </c>
      <c r="K3869" s="1">
        <f t="shared" si="204"/>
        <v>3</v>
      </c>
      <c r="L3869" s="1">
        <v>137</v>
      </c>
      <c r="M3869" s="1">
        <v>60</v>
      </c>
      <c r="N3869" s="1">
        <v>2</v>
      </c>
      <c r="O3869" s="1">
        <v>3.5</v>
      </c>
      <c r="P3869" s="1">
        <v>10</v>
      </c>
      <c r="Q3869" s="2">
        <v>0.86899999999999999</v>
      </c>
      <c r="R3869" s="1">
        <v>10</v>
      </c>
      <c r="S3869" s="1">
        <f t="shared" si="205"/>
        <v>1</v>
      </c>
      <c r="T3869" s="1">
        <v>2.5</v>
      </c>
      <c r="U3869" s="1">
        <v>12.5</v>
      </c>
      <c r="V3869" s="1">
        <v>3180.6535947712418</v>
      </c>
      <c r="W3869" s="1">
        <v>3</v>
      </c>
    </row>
    <row r="3870" spans="1:23" x14ac:dyDescent="0.2">
      <c r="A3870">
        <v>2022</v>
      </c>
      <c r="B3870" t="s">
        <v>23</v>
      </c>
      <c r="C3870" t="s">
        <v>272</v>
      </c>
      <c r="D3870">
        <v>39</v>
      </c>
      <c r="E3870">
        <v>1</v>
      </c>
      <c r="F3870">
        <v>15</v>
      </c>
      <c r="G3870" t="s">
        <v>63</v>
      </c>
      <c r="H3870" s="1">
        <v>3</v>
      </c>
      <c r="I3870" s="1">
        <v>58</v>
      </c>
      <c r="J3870" s="1">
        <v>63</v>
      </c>
      <c r="K3870" s="1">
        <f t="shared" si="204"/>
        <v>5</v>
      </c>
      <c r="L3870" s="1">
        <v>107</v>
      </c>
      <c r="M3870" s="1">
        <v>43</v>
      </c>
      <c r="N3870" s="1">
        <v>3</v>
      </c>
      <c r="O3870" s="1">
        <v>4</v>
      </c>
      <c r="P3870" s="1">
        <v>3</v>
      </c>
      <c r="Q3870" s="2">
        <v>0.5</v>
      </c>
      <c r="R3870" s="1">
        <v>4</v>
      </c>
      <c r="S3870" s="1">
        <f t="shared" si="205"/>
        <v>1.3333333333333333</v>
      </c>
      <c r="T3870" s="1">
        <v>2.5</v>
      </c>
      <c r="U3870" s="1">
        <v>12.5</v>
      </c>
      <c r="V3870" s="1">
        <v>1830.0653594771243</v>
      </c>
      <c r="W3870" s="1">
        <v>4</v>
      </c>
    </row>
    <row r="3871" spans="1:23" x14ac:dyDescent="0.2">
      <c r="A3871">
        <v>2022</v>
      </c>
      <c r="B3871" t="s">
        <v>23</v>
      </c>
      <c r="C3871" t="s">
        <v>272</v>
      </c>
      <c r="D3871">
        <v>39</v>
      </c>
      <c r="E3871">
        <v>2</v>
      </c>
      <c r="F3871">
        <v>4</v>
      </c>
      <c r="G3871" t="s">
        <v>63</v>
      </c>
      <c r="H3871" s="1">
        <v>11</v>
      </c>
      <c r="I3871" s="1">
        <v>64</v>
      </c>
      <c r="J3871" s="1">
        <v>67</v>
      </c>
      <c r="K3871" s="1">
        <f t="shared" si="204"/>
        <v>3</v>
      </c>
      <c r="L3871" s="1">
        <v>106</v>
      </c>
      <c r="M3871" s="1">
        <v>41</v>
      </c>
      <c r="N3871" s="1">
        <v>2</v>
      </c>
      <c r="O3871" s="1">
        <v>4.5</v>
      </c>
      <c r="P3871" s="1">
        <v>8</v>
      </c>
      <c r="Q3871" s="2">
        <v>0.26</v>
      </c>
      <c r="R3871" s="1">
        <v>8</v>
      </c>
      <c r="S3871" s="1">
        <f t="shared" si="205"/>
        <v>1</v>
      </c>
      <c r="T3871" s="1">
        <v>4</v>
      </c>
      <c r="U3871" s="1">
        <v>12.5</v>
      </c>
      <c r="V3871" s="1">
        <v>951.63398692810449</v>
      </c>
      <c r="W3871" s="1">
        <v>5</v>
      </c>
    </row>
    <row r="3872" spans="1:23" x14ac:dyDescent="0.2">
      <c r="A3872">
        <v>2022</v>
      </c>
      <c r="B3872" t="s">
        <v>23</v>
      </c>
      <c r="C3872" t="s">
        <v>272</v>
      </c>
      <c r="D3872">
        <v>40</v>
      </c>
      <c r="E3872">
        <v>1</v>
      </c>
      <c r="F3872">
        <v>12</v>
      </c>
      <c r="G3872" t="s">
        <v>64</v>
      </c>
      <c r="H3872" s="1">
        <v>4</v>
      </c>
      <c r="I3872" s="1">
        <v>68</v>
      </c>
      <c r="J3872" s="1">
        <v>71</v>
      </c>
      <c r="K3872" s="1">
        <f t="shared" si="204"/>
        <v>3</v>
      </c>
      <c r="L3872" s="1">
        <v>177</v>
      </c>
      <c r="M3872" s="1">
        <v>102</v>
      </c>
      <c r="N3872" s="1">
        <v>2</v>
      </c>
      <c r="O3872" s="1">
        <v>2.5</v>
      </c>
      <c r="P3872" s="1">
        <v>4</v>
      </c>
      <c r="Q3872" s="2">
        <v>0.56000000000000005</v>
      </c>
      <c r="R3872" s="1">
        <v>6</v>
      </c>
      <c r="S3872" s="1">
        <f t="shared" si="205"/>
        <v>1.5</v>
      </c>
      <c r="T3872" s="1">
        <v>3</v>
      </c>
      <c r="U3872" s="1">
        <v>12.5</v>
      </c>
      <c r="V3872" s="1">
        <v>2049.6732026143795</v>
      </c>
      <c r="W3872" s="1">
        <v>3</v>
      </c>
    </row>
    <row r="3873" spans="1:23" x14ac:dyDescent="0.2">
      <c r="A3873">
        <v>2022</v>
      </c>
      <c r="B3873" t="s">
        <v>23</v>
      </c>
      <c r="C3873" t="s">
        <v>272</v>
      </c>
      <c r="D3873">
        <v>40</v>
      </c>
      <c r="E3873">
        <v>2</v>
      </c>
      <c r="F3873">
        <v>14</v>
      </c>
      <c r="G3873" t="s">
        <v>64</v>
      </c>
      <c r="H3873" s="1">
        <v>12</v>
      </c>
      <c r="I3873" s="1">
        <v>61</v>
      </c>
      <c r="J3873" s="1">
        <v>65</v>
      </c>
      <c r="K3873" s="1">
        <f t="shared" si="204"/>
        <v>4</v>
      </c>
      <c r="L3873" s="1">
        <v>135</v>
      </c>
      <c r="M3873" s="1">
        <v>45</v>
      </c>
      <c r="N3873" s="1">
        <v>3</v>
      </c>
      <c r="O3873" s="1">
        <v>3.5</v>
      </c>
      <c r="P3873" s="1">
        <v>8</v>
      </c>
      <c r="Q3873" s="2">
        <v>0.11639999999999999</v>
      </c>
      <c r="R3873" s="1">
        <v>6</v>
      </c>
      <c r="S3873" s="1">
        <f t="shared" si="205"/>
        <v>0.75</v>
      </c>
      <c r="T3873" s="1">
        <v>3</v>
      </c>
      <c r="U3873" s="1">
        <v>12.5</v>
      </c>
      <c r="V3873" s="1">
        <v>426.03921568627453</v>
      </c>
      <c r="W3873" s="1">
        <v>5</v>
      </c>
    </row>
    <row r="3874" spans="1:23" x14ac:dyDescent="0.2">
      <c r="A3874">
        <v>2022</v>
      </c>
      <c r="B3874" t="s">
        <v>23</v>
      </c>
      <c r="C3874" t="s">
        <v>272</v>
      </c>
      <c r="D3874">
        <v>41</v>
      </c>
      <c r="E3874">
        <v>1</v>
      </c>
      <c r="F3874">
        <v>7</v>
      </c>
      <c r="G3874" t="s">
        <v>65</v>
      </c>
      <c r="H3874" s="1">
        <v>10</v>
      </c>
      <c r="I3874" s="1">
        <v>64</v>
      </c>
      <c r="J3874" s="1">
        <v>67</v>
      </c>
      <c r="K3874" s="1">
        <f t="shared" si="204"/>
        <v>3</v>
      </c>
      <c r="L3874" s="1">
        <v>136</v>
      </c>
      <c r="M3874" s="1">
        <v>51</v>
      </c>
      <c r="N3874" s="1">
        <v>1.5</v>
      </c>
      <c r="O3874" s="1">
        <v>4</v>
      </c>
      <c r="P3874" s="1">
        <v>8</v>
      </c>
      <c r="Q3874" s="2">
        <v>0.57599999999999996</v>
      </c>
      <c r="R3874" s="1">
        <v>7</v>
      </c>
      <c r="S3874" s="1">
        <f t="shared" si="205"/>
        <v>0.875</v>
      </c>
      <c r="T3874" s="1">
        <v>2.5</v>
      </c>
      <c r="U3874" s="1">
        <v>12.5</v>
      </c>
      <c r="V3874" s="1">
        <v>2108.2352941176473</v>
      </c>
      <c r="W3874" s="1">
        <v>5</v>
      </c>
    </row>
    <row r="3875" spans="1:23" x14ac:dyDescent="0.2">
      <c r="A3875">
        <v>2022</v>
      </c>
      <c r="B3875" t="s">
        <v>23</v>
      </c>
      <c r="C3875" t="s">
        <v>272</v>
      </c>
      <c r="D3875">
        <v>41</v>
      </c>
      <c r="E3875">
        <v>2</v>
      </c>
      <c r="F3875">
        <v>9</v>
      </c>
      <c r="G3875" t="s">
        <v>65</v>
      </c>
      <c r="H3875">
        <v>6</v>
      </c>
      <c r="I3875">
        <v>55</v>
      </c>
      <c r="J3875">
        <v>57</v>
      </c>
      <c r="K3875">
        <v>2</v>
      </c>
      <c r="L3875">
        <v>90</v>
      </c>
      <c r="M3875">
        <v>30</v>
      </c>
      <c r="N3875">
        <v>3</v>
      </c>
      <c r="O3875">
        <v>3</v>
      </c>
      <c r="P3875">
        <v>6</v>
      </c>
      <c r="Q3875">
        <v>0.152</v>
      </c>
      <c r="R3875">
        <v>2</v>
      </c>
      <c r="S3875">
        <v>0.33333333333333331</v>
      </c>
      <c r="T3875">
        <v>4</v>
      </c>
      <c r="U3875">
        <v>12.5</v>
      </c>
      <c r="V3875">
        <v>556.33986928104571</v>
      </c>
      <c r="W3875">
        <v>1</v>
      </c>
    </row>
    <row r="3876" spans="1:23" x14ac:dyDescent="0.2">
      <c r="A3876">
        <v>2022</v>
      </c>
      <c r="B3876" t="s">
        <v>23</v>
      </c>
      <c r="C3876" t="s">
        <v>272</v>
      </c>
      <c r="D3876">
        <v>42</v>
      </c>
      <c r="E3876">
        <v>1</v>
      </c>
      <c r="F3876">
        <v>3</v>
      </c>
      <c r="G3876" t="s">
        <v>66</v>
      </c>
      <c r="H3876" s="1">
        <v>9</v>
      </c>
      <c r="I3876" s="1">
        <v>67</v>
      </c>
      <c r="J3876" s="1">
        <v>70</v>
      </c>
      <c r="K3876" s="1">
        <f>J3876-I3876</f>
        <v>3</v>
      </c>
      <c r="L3876" s="1">
        <v>144</v>
      </c>
      <c r="M3876" s="1">
        <v>51</v>
      </c>
      <c r="N3876" s="1">
        <v>1.5</v>
      </c>
      <c r="O3876" s="1">
        <v>4</v>
      </c>
      <c r="P3876" s="1">
        <v>4</v>
      </c>
      <c r="Q3876" s="2">
        <v>0.22600000000000001</v>
      </c>
      <c r="R3876" s="1">
        <v>4</v>
      </c>
      <c r="S3876" s="1">
        <f>R3876/P3876</f>
        <v>1</v>
      </c>
      <c r="T3876" s="1">
        <v>3</v>
      </c>
      <c r="U3876" s="1">
        <v>12.5</v>
      </c>
      <c r="V3876" s="1">
        <v>827.18954248366026</v>
      </c>
      <c r="W3876" s="1">
        <v>5</v>
      </c>
    </row>
    <row r="3877" spans="1:23" x14ac:dyDescent="0.2">
      <c r="A3877">
        <v>2022</v>
      </c>
      <c r="B3877" t="s">
        <v>23</v>
      </c>
      <c r="C3877" t="s">
        <v>272</v>
      </c>
      <c r="D3877">
        <v>42</v>
      </c>
      <c r="E3877">
        <v>2</v>
      </c>
      <c r="F3877">
        <v>13</v>
      </c>
      <c r="G3877" t="s">
        <v>66</v>
      </c>
      <c r="H3877" s="1">
        <v>4</v>
      </c>
      <c r="I3877" s="1">
        <v>62</v>
      </c>
      <c r="J3877" s="1">
        <v>65</v>
      </c>
      <c r="K3877" s="1">
        <f>J3877-I3877</f>
        <v>3</v>
      </c>
      <c r="L3877" s="1">
        <v>147</v>
      </c>
      <c r="M3877" s="1">
        <v>73</v>
      </c>
      <c r="N3877" s="1">
        <v>2</v>
      </c>
      <c r="O3877" s="1">
        <v>3.5</v>
      </c>
      <c r="P3877" s="1">
        <f>H3877-1</f>
        <v>3</v>
      </c>
      <c r="Q3877" s="2">
        <v>3.2625000000000001E-2</v>
      </c>
      <c r="R3877" s="1">
        <v>3</v>
      </c>
      <c r="S3877" s="1">
        <f>R3877/P3877</f>
        <v>1</v>
      </c>
      <c r="T3877" s="1">
        <v>5</v>
      </c>
      <c r="U3877" s="1">
        <v>12.5</v>
      </c>
      <c r="V3877" s="1">
        <v>119.41176470588238</v>
      </c>
      <c r="W3877" s="1">
        <v>3</v>
      </c>
    </row>
    <row r="3878" spans="1:23" x14ac:dyDescent="0.2">
      <c r="A3878">
        <v>2022</v>
      </c>
      <c r="B3878" t="s">
        <v>23</v>
      </c>
      <c r="C3878" t="s">
        <v>272</v>
      </c>
      <c r="D3878">
        <v>43</v>
      </c>
      <c r="E3878">
        <v>1</v>
      </c>
      <c r="F3878">
        <v>10</v>
      </c>
      <c r="G3878" t="s">
        <v>67</v>
      </c>
      <c r="H3878">
        <v>3</v>
      </c>
      <c r="I3878">
        <v>55</v>
      </c>
      <c r="J3878">
        <v>57</v>
      </c>
      <c r="K3878">
        <v>2</v>
      </c>
      <c r="L3878">
        <v>122</v>
      </c>
      <c r="M3878">
        <v>27</v>
      </c>
      <c r="N3878">
        <v>4</v>
      </c>
      <c r="O3878">
        <v>3</v>
      </c>
      <c r="P3878">
        <v>3</v>
      </c>
      <c r="Q3878">
        <v>0.14099999999999999</v>
      </c>
      <c r="R3878">
        <v>5</v>
      </c>
      <c r="S3878">
        <v>1.6666666666666667</v>
      </c>
      <c r="T3878">
        <v>5</v>
      </c>
      <c r="U3878">
        <v>12.5</v>
      </c>
      <c r="V3878">
        <v>516.07843137254906</v>
      </c>
      <c r="W3878">
        <v>1</v>
      </c>
    </row>
    <row r="3879" spans="1:23" x14ac:dyDescent="0.2">
      <c r="A3879">
        <v>2022</v>
      </c>
      <c r="B3879" t="s">
        <v>23</v>
      </c>
      <c r="C3879" t="s">
        <v>272</v>
      </c>
      <c r="D3879">
        <v>43</v>
      </c>
      <c r="E3879">
        <v>2</v>
      </c>
      <c r="F3879">
        <v>10</v>
      </c>
      <c r="G3879" t="s">
        <v>67</v>
      </c>
      <c r="H3879">
        <v>3</v>
      </c>
      <c r="I3879">
        <v>63</v>
      </c>
      <c r="J3879">
        <v>65</v>
      </c>
      <c r="K3879">
        <v>2</v>
      </c>
      <c r="L3879">
        <v>150</v>
      </c>
      <c r="M3879">
        <v>65</v>
      </c>
      <c r="N3879">
        <v>1.5</v>
      </c>
      <c r="O3879">
        <v>3.5</v>
      </c>
      <c r="P3879">
        <v>3</v>
      </c>
      <c r="Q3879">
        <v>0.2</v>
      </c>
      <c r="R3879">
        <v>3</v>
      </c>
      <c r="S3879">
        <v>1</v>
      </c>
      <c r="T3879">
        <v>3.5</v>
      </c>
      <c r="U3879">
        <v>12.5</v>
      </c>
      <c r="V3879">
        <v>732.02614379084969</v>
      </c>
      <c r="W3879">
        <v>2</v>
      </c>
    </row>
    <row r="3880" spans="1:23" x14ac:dyDescent="0.2">
      <c r="A3880">
        <v>2022</v>
      </c>
      <c r="B3880" t="s">
        <v>23</v>
      </c>
      <c r="C3880" t="s">
        <v>272</v>
      </c>
      <c r="D3880">
        <v>44</v>
      </c>
      <c r="E3880">
        <v>1</v>
      </c>
      <c r="F3880">
        <v>14</v>
      </c>
      <c r="G3880" t="s">
        <v>68</v>
      </c>
      <c r="H3880" s="1">
        <v>7</v>
      </c>
      <c r="I3880" s="1">
        <v>72</v>
      </c>
      <c r="J3880" s="1">
        <v>76</v>
      </c>
      <c r="K3880" s="1">
        <f>J3880-I3880</f>
        <v>4</v>
      </c>
      <c r="L3880" s="1">
        <v>151</v>
      </c>
      <c r="M3880" s="1">
        <v>82</v>
      </c>
      <c r="N3880" s="1">
        <v>2</v>
      </c>
      <c r="O3880" s="1">
        <v>3.5</v>
      </c>
      <c r="P3880" s="1">
        <v>7</v>
      </c>
      <c r="Q3880" s="2">
        <v>0.37007999999999996</v>
      </c>
      <c r="R3880" s="1">
        <v>6</v>
      </c>
      <c r="S3880" s="1">
        <f>R3880/P3880</f>
        <v>0.8571428571428571</v>
      </c>
      <c r="T3880" s="1">
        <v>4</v>
      </c>
      <c r="U3880" s="1">
        <v>7.9</v>
      </c>
      <c r="V3880" s="1">
        <v>1425.7513411764708</v>
      </c>
      <c r="W3880" s="1">
        <v>3</v>
      </c>
    </row>
    <row r="3881" spans="1:23" x14ac:dyDescent="0.2">
      <c r="A3881">
        <v>2022</v>
      </c>
      <c r="B3881" t="s">
        <v>23</v>
      </c>
      <c r="C3881" t="s">
        <v>272</v>
      </c>
      <c r="D3881">
        <v>44</v>
      </c>
      <c r="E3881">
        <v>2</v>
      </c>
      <c r="F3881">
        <v>12</v>
      </c>
      <c r="G3881" t="s">
        <v>68</v>
      </c>
      <c r="H3881" s="1">
        <v>14</v>
      </c>
      <c r="I3881" s="1">
        <v>65</v>
      </c>
      <c r="J3881" s="1">
        <v>70</v>
      </c>
      <c r="K3881" s="1">
        <f>J3881-I3881</f>
        <v>5</v>
      </c>
      <c r="L3881" s="1">
        <v>158</v>
      </c>
      <c r="M3881" s="1">
        <v>62</v>
      </c>
      <c r="N3881" s="1">
        <v>2</v>
      </c>
      <c r="O3881" s="1">
        <v>4</v>
      </c>
      <c r="P3881" s="1">
        <v>10</v>
      </c>
      <c r="Q3881" s="2">
        <v>0.35099999999999998</v>
      </c>
      <c r="R3881" s="1">
        <v>8</v>
      </c>
      <c r="S3881" s="1">
        <f>R3881/P3881</f>
        <v>0.8</v>
      </c>
      <c r="T3881" s="1">
        <v>3</v>
      </c>
      <c r="U3881" s="1">
        <v>12.5</v>
      </c>
      <c r="V3881" s="1">
        <v>1284.7058823529412</v>
      </c>
      <c r="W3881" s="1">
        <v>4</v>
      </c>
    </row>
    <row r="3882" spans="1:23" x14ac:dyDescent="0.2">
      <c r="A3882">
        <v>2022</v>
      </c>
      <c r="B3882" t="s">
        <v>23</v>
      </c>
      <c r="C3882" t="s">
        <v>272</v>
      </c>
      <c r="D3882">
        <v>45</v>
      </c>
      <c r="E3882">
        <v>1</v>
      </c>
      <c r="F3882">
        <v>7</v>
      </c>
      <c r="G3882" t="s">
        <v>69</v>
      </c>
      <c r="H3882">
        <v>10</v>
      </c>
      <c r="I3882">
        <v>55</v>
      </c>
      <c r="J3882">
        <v>60</v>
      </c>
      <c r="K3882">
        <v>5</v>
      </c>
      <c r="L3882">
        <v>163</v>
      </c>
      <c r="M3882">
        <v>46</v>
      </c>
      <c r="N3882">
        <v>1</v>
      </c>
      <c r="O3882">
        <v>4</v>
      </c>
      <c r="P3882">
        <v>10</v>
      </c>
      <c r="Q3882">
        <v>0.50490000000000002</v>
      </c>
      <c r="R3882">
        <v>8</v>
      </c>
      <c r="S3882">
        <v>0.8</v>
      </c>
      <c r="T3882">
        <v>3</v>
      </c>
      <c r="U3882">
        <v>12.5</v>
      </c>
      <c r="V3882">
        <v>1848</v>
      </c>
      <c r="W3882">
        <v>2</v>
      </c>
    </row>
    <row r="3883" spans="1:23" x14ac:dyDescent="0.2">
      <c r="A3883">
        <v>2022</v>
      </c>
      <c r="B3883" t="s">
        <v>23</v>
      </c>
      <c r="C3883" t="s">
        <v>272</v>
      </c>
      <c r="D3883">
        <v>45</v>
      </c>
      <c r="E3883">
        <v>2</v>
      </c>
      <c r="F3883">
        <v>11</v>
      </c>
      <c r="G3883" t="s">
        <v>69</v>
      </c>
      <c r="H3883" s="1">
        <v>10</v>
      </c>
      <c r="I3883" s="1">
        <v>64</v>
      </c>
      <c r="J3883" s="1">
        <v>67</v>
      </c>
      <c r="K3883" s="1">
        <f>J3883-I3883</f>
        <v>3</v>
      </c>
      <c r="L3883" s="1">
        <v>210</v>
      </c>
      <c r="M3883" s="1">
        <v>105</v>
      </c>
      <c r="N3883" s="1">
        <v>2</v>
      </c>
      <c r="O3883" s="1">
        <v>2.5</v>
      </c>
      <c r="P3883" s="1">
        <v>10</v>
      </c>
      <c r="Q3883" s="2">
        <v>0.4</v>
      </c>
      <c r="R3883" s="1">
        <v>8</v>
      </c>
      <c r="S3883" s="1">
        <f>R3883/P3883</f>
        <v>0.8</v>
      </c>
      <c r="T3883" s="1">
        <v>3</v>
      </c>
      <c r="U3883" s="1">
        <v>10.199999999999999</v>
      </c>
      <c r="V3883" s="1">
        <v>1502.5359477124182</v>
      </c>
      <c r="W3883" s="1">
        <v>5</v>
      </c>
    </row>
    <row r="3884" spans="1:23" x14ac:dyDescent="0.2">
      <c r="A3884">
        <v>2022</v>
      </c>
      <c r="B3884" t="s">
        <v>23</v>
      </c>
      <c r="C3884" t="s">
        <v>272</v>
      </c>
      <c r="D3884">
        <v>46</v>
      </c>
      <c r="E3884">
        <v>1</v>
      </c>
      <c r="F3884">
        <v>8</v>
      </c>
      <c r="G3884" t="s">
        <v>70</v>
      </c>
      <c r="H3884" s="1">
        <v>7</v>
      </c>
      <c r="I3884" s="1">
        <v>64</v>
      </c>
      <c r="J3884" s="1">
        <v>69</v>
      </c>
      <c r="K3884" s="1">
        <f>J3884-I3884</f>
        <v>5</v>
      </c>
      <c r="L3884" s="1">
        <v>103</v>
      </c>
      <c r="M3884" s="1">
        <v>37</v>
      </c>
      <c r="N3884" s="1">
        <v>2</v>
      </c>
      <c r="O3884" s="1">
        <v>5</v>
      </c>
      <c r="P3884" s="1">
        <v>1</v>
      </c>
      <c r="Q3884" s="2">
        <v>7.5999999999999998E-2</v>
      </c>
      <c r="R3884" s="1">
        <v>1</v>
      </c>
      <c r="S3884" s="1">
        <f>R3884/P3884</f>
        <v>1</v>
      </c>
      <c r="T3884" s="1">
        <v>5</v>
      </c>
      <c r="U3884" s="1">
        <v>12.5</v>
      </c>
      <c r="V3884" s="1">
        <v>278.16993464052285</v>
      </c>
      <c r="W3884" s="1">
        <v>6</v>
      </c>
    </row>
    <row r="3885" spans="1:23" x14ac:dyDescent="0.2">
      <c r="A3885">
        <v>2022</v>
      </c>
      <c r="B3885" t="s">
        <v>23</v>
      </c>
      <c r="C3885" t="s">
        <v>272</v>
      </c>
      <c r="D3885">
        <v>46</v>
      </c>
      <c r="E3885">
        <v>2</v>
      </c>
      <c r="F3885">
        <v>15</v>
      </c>
      <c r="G3885" t="s">
        <v>70</v>
      </c>
      <c r="H3885">
        <v>1</v>
      </c>
      <c r="I3885">
        <v>56</v>
      </c>
      <c r="J3885">
        <v>60</v>
      </c>
      <c r="K3885">
        <v>4</v>
      </c>
      <c r="L3885">
        <v>91</v>
      </c>
      <c r="M3885">
        <v>23</v>
      </c>
      <c r="N3885">
        <v>2</v>
      </c>
      <c r="O3885">
        <v>3</v>
      </c>
      <c r="P3885">
        <v>1</v>
      </c>
      <c r="Q3885">
        <v>0.1</v>
      </c>
      <c r="R3885">
        <v>1</v>
      </c>
      <c r="S3885">
        <v>1</v>
      </c>
      <c r="T3885">
        <v>3</v>
      </c>
      <c r="U3885">
        <v>12.5</v>
      </c>
      <c r="V3885">
        <v>366.01307189542484</v>
      </c>
      <c r="W3885">
        <v>1</v>
      </c>
    </row>
    <row r="3886" spans="1:23" x14ac:dyDescent="0.2">
      <c r="A3886">
        <v>2022</v>
      </c>
      <c r="B3886" t="s">
        <v>23</v>
      </c>
      <c r="C3886" t="s">
        <v>272</v>
      </c>
      <c r="D3886">
        <v>47</v>
      </c>
      <c r="E3886">
        <v>1</v>
      </c>
      <c r="F3886">
        <v>9</v>
      </c>
      <c r="G3886" t="s">
        <v>71</v>
      </c>
      <c r="H3886" s="1">
        <v>5</v>
      </c>
      <c r="I3886" s="1">
        <v>58</v>
      </c>
      <c r="J3886" s="1">
        <v>62</v>
      </c>
      <c r="K3886" s="1">
        <f>J3886-I3886</f>
        <v>4</v>
      </c>
      <c r="L3886" s="1">
        <v>210</v>
      </c>
      <c r="M3886" s="1">
        <v>95</v>
      </c>
      <c r="N3886" s="1">
        <v>2</v>
      </c>
      <c r="O3886" s="1">
        <v>2</v>
      </c>
      <c r="P3886" s="1">
        <v>5</v>
      </c>
      <c r="Q3886" s="2">
        <v>0.67</v>
      </c>
      <c r="R3886" s="1">
        <v>6</v>
      </c>
      <c r="S3886" s="1">
        <f>R3886/P3886</f>
        <v>1.2</v>
      </c>
      <c r="T3886" s="1">
        <v>3</v>
      </c>
      <c r="U3886" s="1">
        <v>11.7</v>
      </c>
      <c r="V3886" s="1">
        <v>2474.7084967320261</v>
      </c>
      <c r="W3886" s="1">
        <v>4</v>
      </c>
    </row>
    <row r="3887" spans="1:23" x14ac:dyDescent="0.2">
      <c r="A3887">
        <v>2022</v>
      </c>
      <c r="B3887" t="s">
        <v>23</v>
      </c>
      <c r="C3887" t="s">
        <v>272</v>
      </c>
      <c r="D3887">
        <v>47</v>
      </c>
      <c r="E3887">
        <v>2</v>
      </c>
      <c r="F3887">
        <v>7</v>
      </c>
      <c r="G3887" t="s">
        <v>71</v>
      </c>
      <c r="H3887">
        <v>13</v>
      </c>
      <c r="I3887">
        <v>55</v>
      </c>
      <c r="J3887">
        <v>58</v>
      </c>
      <c r="K3887">
        <v>3</v>
      </c>
      <c r="L3887">
        <v>144</v>
      </c>
      <c r="M3887">
        <v>95</v>
      </c>
      <c r="N3887">
        <v>2</v>
      </c>
      <c r="O3887">
        <v>2</v>
      </c>
      <c r="P3887">
        <v>11</v>
      </c>
      <c r="Q3887">
        <v>0.5</v>
      </c>
      <c r="R3887">
        <v>10</v>
      </c>
      <c r="S3887">
        <v>0.90909090909090906</v>
      </c>
      <c r="T3887">
        <v>3</v>
      </c>
      <c r="U3887">
        <v>10.4</v>
      </c>
      <c r="V3887">
        <v>1873.9869281045749</v>
      </c>
      <c r="W3887">
        <v>2</v>
      </c>
    </row>
    <row r="3888" spans="1:23" x14ac:dyDescent="0.2">
      <c r="A3888">
        <v>2022</v>
      </c>
      <c r="B3888" t="s">
        <v>23</v>
      </c>
      <c r="C3888" t="s">
        <v>272</v>
      </c>
      <c r="D3888">
        <v>48</v>
      </c>
      <c r="E3888">
        <v>1</v>
      </c>
      <c r="F3888">
        <v>4</v>
      </c>
      <c r="G3888" t="s">
        <v>72</v>
      </c>
      <c r="H3888" s="1">
        <v>4</v>
      </c>
      <c r="I3888" s="1">
        <v>59</v>
      </c>
      <c r="J3888" s="1">
        <v>63</v>
      </c>
      <c r="K3888" s="1">
        <f>J3888-I3888</f>
        <v>4</v>
      </c>
      <c r="L3888" s="1">
        <v>80</v>
      </c>
      <c r="M3888" s="1">
        <v>41</v>
      </c>
      <c r="N3888" s="1">
        <v>1.5</v>
      </c>
      <c r="O3888" s="1">
        <v>4.5</v>
      </c>
      <c r="P3888" s="1">
        <v>3</v>
      </c>
      <c r="Q3888" s="2">
        <v>3.9600000000000003E-2</v>
      </c>
      <c r="R3888" s="1">
        <v>3</v>
      </c>
      <c r="S3888" s="1">
        <f>R3888/P3888</f>
        <v>1</v>
      </c>
      <c r="T3888" s="1">
        <v>5</v>
      </c>
      <c r="U3888" s="1">
        <v>12.5</v>
      </c>
      <c r="V3888" s="1">
        <v>144.94117647058823</v>
      </c>
      <c r="W3888" s="1">
        <v>5</v>
      </c>
    </row>
    <row r="3889" spans="1:23" x14ac:dyDescent="0.2">
      <c r="A3889">
        <v>2022</v>
      </c>
      <c r="B3889" t="s">
        <v>23</v>
      </c>
      <c r="C3889" t="s">
        <v>272</v>
      </c>
      <c r="D3889">
        <v>48</v>
      </c>
      <c r="E3889">
        <v>2</v>
      </c>
      <c r="F3889">
        <v>5</v>
      </c>
      <c r="G3889" t="s">
        <v>72</v>
      </c>
      <c r="H3889" s="1">
        <v>10</v>
      </c>
      <c r="I3889" s="1">
        <v>64</v>
      </c>
      <c r="J3889" s="1">
        <v>68</v>
      </c>
      <c r="K3889" s="1">
        <f>J3889-I3889</f>
        <v>4</v>
      </c>
      <c r="L3889" s="1">
        <v>120</v>
      </c>
      <c r="M3889" s="1">
        <v>55</v>
      </c>
      <c r="N3889" s="1">
        <v>3</v>
      </c>
      <c r="O3889" s="1">
        <v>4</v>
      </c>
      <c r="P3889" s="1">
        <f>H3889</f>
        <v>10</v>
      </c>
      <c r="Q3889" s="2">
        <v>9.0899999999999995E-2</v>
      </c>
      <c r="R3889" s="1">
        <v>8</v>
      </c>
      <c r="S3889" s="1">
        <f>R3889/P3889</f>
        <v>0.8</v>
      </c>
      <c r="T3889" s="1">
        <v>5</v>
      </c>
      <c r="U3889" s="1">
        <v>12.5</v>
      </c>
      <c r="V3889" s="1">
        <v>332.70588235294122</v>
      </c>
      <c r="W3889" s="1">
        <v>5</v>
      </c>
    </row>
    <row r="3890" spans="1:23" x14ac:dyDescent="0.2">
      <c r="A3890">
        <v>2022</v>
      </c>
      <c r="B3890" t="s">
        <v>23</v>
      </c>
      <c r="C3890" t="s">
        <v>272</v>
      </c>
      <c r="D3890">
        <v>49</v>
      </c>
      <c r="E3890">
        <v>1</v>
      </c>
      <c r="F3890">
        <v>6</v>
      </c>
      <c r="G3890" t="s">
        <v>73</v>
      </c>
      <c r="H3890" s="1">
        <v>10</v>
      </c>
      <c r="I3890" s="1">
        <v>67</v>
      </c>
      <c r="J3890" s="1">
        <v>70</v>
      </c>
      <c r="K3890" s="1">
        <f>J3890-I3890</f>
        <v>3</v>
      </c>
      <c r="L3890" s="1">
        <v>128</v>
      </c>
      <c r="M3890" s="1">
        <v>48</v>
      </c>
      <c r="N3890" s="1">
        <v>2</v>
      </c>
      <c r="O3890" s="1">
        <v>4</v>
      </c>
      <c r="P3890" s="1">
        <v>8</v>
      </c>
      <c r="Q3890" s="2">
        <v>0.25559999999999999</v>
      </c>
      <c r="R3890" s="1">
        <v>7</v>
      </c>
      <c r="S3890" s="1">
        <f>R3890/P3890</f>
        <v>0.875</v>
      </c>
      <c r="T3890" s="1">
        <v>4</v>
      </c>
      <c r="U3890" s="1">
        <v>12.5</v>
      </c>
      <c r="V3890" s="1">
        <v>935.52941176470586</v>
      </c>
      <c r="W3890" s="1">
        <v>5</v>
      </c>
    </row>
    <row r="3891" spans="1:23" x14ac:dyDescent="0.2">
      <c r="A3891">
        <v>2022</v>
      </c>
      <c r="B3891" t="s">
        <v>23</v>
      </c>
      <c r="C3891" t="s">
        <v>272</v>
      </c>
      <c r="D3891">
        <v>49</v>
      </c>
      <c r="E3891">
        <v>2</v>
      </c>
      <c r="F3891">
        <v>6</v>
      </c>
      <c r="G3891" t="s">
        <v>73</v>
      </c>
      <c r="H3891">
        <v>16</v>
      </c>
      <c r="I3891">
        <v>50</v>
      </c>
      <c r="J3891">
        <v>52</v>
      </c>
      <c r="K3891">
        <v>2</v>
      </c>
      <c r="L3891">
        <v>172</v>
      </c>
      <c r="M3891">
        <v>80</v>
      </c>
      <c r="N3891">
        <v>2</v>
      </c>
      <c r="O3891">
        <v>2.5</v>
      </c>
      <c r="P3891">
        <v>14</v>
      </c>
      <c r="Q3891">
        <v>0.7</v>
      </c>
      <c r="R3891">
        <v>5</v>
      </c>
      <c r="S3891">
        <v>0.35714285714285715</v>
      </c>
      <c r="T3891">
        <v>2</v>
      </c>
      <c r="U3891">
        <v>9.9</v>
      </c>
      <c r="V3891">
        <v>2638.2222222222217</v>
      </c>
      <c r="W3891">
        <v>2</v>
      </c>
    </row>
    <row r="3892" spans="1:23" x14ac:dyDescent="0.2">
      <c r="A3892">
        <v>2022</v>
      </c>
      <c r="B3892" t="s">
        <v>23</v>
      </c>
      <c r="C3892" t="s">
        <v>272</v>
      </c>
      <c r="D3892">
        <v>50</v>
      </c>
      <c r="E3892">
        <v>1</v>
      </c>
      <c r="F3892">
        <v>4</v>
      </c>
      <c r="G3892" t="s">
        <v>74</v>
      </c>
      <c r="H3892" s="1">
        <v>15</v>
      </c>
      <c r="I3892" s="1">
        <v>70</v>
      </c>
      <c r="J3892" s="1">
        <v>71</v>
      </c>
      <c r="K3892" s="1">
        <f>J3892-I3892</f>
        <v>1</v>
      </c>
      <c r="L3892" s="1">
        <v>151</v>
      </c>
      <c r="M3892" s="1">
        <v>43</v>
      </c>
      <c r="N3892" s="1">
        <v>3</v>
      </c>
      <c r="O3892" s="1">
        <v>4</v>
      </c>
      <c r="P3892" s="1">
        <f>H3892-1</f>
        <v>14</v>
      </c>
      <c r="Q3892" s="2">
        <v>0.37237500000000001</v>
      </c>
      <c r="R3892" s="1">
        <v>12</v>
      </c>
      <c r="S3892" s="1">
        <f>R3892/P3892</f>
        <v>0.8571428571428571</v>
      </c>
      <c r="T3892" s="1">
        <v>5</v>
      </c>
      <c r="U3892" s="1">
        <v>12.5</v>
      </c>
      <c r="V3892" s="1">
        <v>1362.9411764705883</v>
      </c>
      <c r="W3892" s="1">
        <v>5</v>
      </c>
    </row>
    <row r="3893" spans="1:23" x14ac:dyDescent="0.2">
      <c r="A3893">
        <v>2022</v>
      </c>
      <c r="B3893" t="s">
        <v>23</v>
      </c>
      <c r="C3893" t="s">
        <v>272</v>
      </c>
      <c r="D3893">
        <v>50</v>
      </c>
      <c r="E3893">
        <v>2</v>
      </c>
      <c r="F3893">
        <v>13</v>
      </c>
      <c r="G3893" t="s">
        <v>74</v>
      </c>
      <c r="H3893">
        <v>8</v>
      </c>
      <c r="I3893">
        <v>64</v>
      </c>
      <c r="J3893">
        <v>67</v>
      </c>
      <c r="K3893">
        <v>3</v>
      </c>
      <c r="L3893">
        <v>122</v>
      </c>
      <c r="M3893">
        <v>70</v>
      </c>
      <c r="N3893">
        <v>2</v>
      </c>
      <c r="O3893">
        <v>3</v>
      </c>
      <c r="P3893">
        <v>8</v>
      </c>
      <c r="Q3893">
        <v>0.6</v>
      </c>
      <c r="R3893">
        <v>8</v>
      </c>
      <c r="S3893">
        <v>1</v>
      </c>
      <c r="T3893">
        <v>2.5</v>
      </c>
      <c r="U3893">
        <v>12.5</v>
      </c>
      <c r="V3893">
        <v>2196.0784313725489</v>
      </c>
      <c r="W3893">
        <v>1</v>
      </c>
    </row>
    <row r="3894" spans="1:23" x14ac:dyDescent="0.2">
      <c r="A3894">
        <v>2022</v>
      </c>
      <c r="B3894" t="s">
        <v>23</v>
      </c>
      <c r="C3894" t="s">
        <v>272</v>
      </c>
      <c r="D3894">
        <v>51</v>
      </c>
      <c r="E3894">
        <v>1</v>
      </c>
      <c r="F3894">
        <v>13</v>
      </c>
      <c r="G3894" t="s">
        <v>75</v>
      </c>
      <c r="H3894" s="1">
        <v>4</v>
      </c>
      <c r="I3894" s="1">
        <v>60</v>
      </c>
      <c r="J3894" s="1">
        <v>65</v>
      </c>
      <c r="K3894" s="1">
        <f>J3894-I3894</f>
        <v>5</v>
      </c>
      <c r="L3894" s="1">
        <v>146</v>
      </c>
      <c r="M3894" s="1">
        <v>52</v>
      </c>
      <c r="N3894" s="1">
        <v>2</v>
      </c>
      <c r="O3894" s="1">
        <v>3</v>
      </c>
      <c r="P3894" s="1">
        <v>3</v>
      </c>
      <c r="Q3894" s="2">
        <v>0.27239999999999998</v>
      </c>
      <c r="R3894" s="1">
        <v>2</v>
      </c>
      <c r="S3894" s="1">
        <f>R3894/P3894</f>
        <v>0.66666666666666663</v>
      </c>
      <c r="T3894" s="1">
        <v>3</v>
      </c>
      <c r="U3894" s="1">
        <v>9.3000000000000007</v>
      </c>
      <c r="V3894" s="1">
        <v>1033.4820392156862</v>
      </c>
      <c r="W3894" s="1">
        <v>2</v>
      </c>
    </row>
    <row r="3895" spans="1:23" x14ac:dyDescent="0.2">
      <c r="A3895">
        <v>2022</v>
      </c>
      <c r="B3895" t="s">
        <v>23</v>
      </c>
      <c r="C3895" t="s">
        <v>272</v>
      </c>
      <c r="D3895">
        <v>51</v>
      </c>
      <c r="E3895">
        <v>2</v>
      </c>
      <c r="F3895">
        <v>15</v>
      </c>
      <c r="G3895" t="s">
        <v>75</v>
      </c>
      <c r="H3895" s="1">
        <v>9</v>
      </c>
      <c r="I3895" s="1">
        <v>70</v>
      </c>
      <c r="J3895" s="1">
        <v>74</v>
      </c>
      <c r="K3895" s="1">
        <f>J3895-I3895</f>
        <v>4</v>
      </c>
      <c r="L3895" s="1">
        <v>142</v>
      </c>
      <c r="M3895" s="1">
        <v>65</v>
      </c>
      <c r="N3895" s="1">
        <v>2</v>
      </c>
      <c r="O3895" s="1">
        <v>3.5</v>
      </c>
      <c r="P3895" s="1">
        <v>7</v>
      </c>
      <c r="Q3895" s="2">
        <v>0.06</v>
      </c>
      <c r="R3895" s="1">
        <v>2</v>
      </c>
      <c r="S3895" s="1">
        <f>R3895/P3895</f>
        <v>0.2857142857142857</v>
      </c>
      <c r="T3895" s="1">
        <v>5</v>
      </c>
      <c r="U3895" s="1">
        <v>12.5</v>
      </c>
      <c r="V3895" s="1">
        <v>219.60784313725492</v>
      </c>
      <c r="W3895" s="1">
        <v>6</v>
      </c>
    </row>
    <row r="3896" spans="1:23" x14ac:dyDescent="0.2">
      <c r="A3896">
        <v>2022</v>
      </c>
      <c r="B3896" t="s">
        <v>23</v>
      </c>
      <c r="C3896" t="s">
        <v>272</v>
      </c>
      <c r="D3896">
        <v>52</v>
      </c>
      <c r="E3896">
        <v>1</v>
      </c>
      <c r="F3896">
        <v>13</v>
      </c>
      <c r="G3896" t="s">
        <v>76</v>
      </c>
      <c r="H3896">
        <v>4</v>
      </c>
      <c r="I3896">
        <v>58</v>
      </c>
      <c r="J3896">
        <v>60</v>
      </c>
      <c r="K3896">
        <v>2</v>
      </c>
      <c r="L3896">
        <v>132</v>
      </c>
      <c r="M3896">
        <v>22</v>
      </c>
      <c r="N3896">
        <v>1.5</v>
      </c>
      <c r="O3896">
        <v>2</v>
      </c>
      <c r="P3896">
        <v>4</v>
      </c>
      <c r="Q3896">
        <v>0.3</v>
      </c>
      <c r="R3896">
        <v>5</v>
      </c>
      <c r="S3896">
        <v>1.25</v>
      </c>
      <c r="T3896">
        <v>3</v>
      </c>
      <c r="U3896">
        <v>12.5</v>
      </c>
      <c r="V3896">
        <v>1098.0392156862745</v>
      </c>
      <c r="W3896">
        <v>2</v>
      </c>
    </row>
    <row r="3897" spans="1:23" x14ac:dyDescent="0.2">
      <c r="A3897">
        <v>2022</v>
      </c>
      <c r="B3897" t="s">
        <v>23</v>
      </c>
      <c r="C3897" t="s">
        <v>272</v>
      </c>
      <c r="D3897">
        <v>52</v>
      </c>
      <c r="E3897">
        <v>2</v>
      </c>
      <c r="F3897">
        <v>5</v>
      </c>
      <c r="G3897" t="s">
        <v>76</v>
      </c>
      <c r="H3897">
        <v>2</v>
      </c>
      <c r="I3897">
        <v>55</v>
      </c>
      <c r="J3897">
        <v>57</v>
      </c>
      <c r="K3897">
        <v>2</v>
      </c>
      <c r="L3897">
        <v>162</v>
      </c>
      <c r="M3897">
        <v>49</v>
      </c>
      <c r="N3897">
        <v>2</v>
      </c>
      <c r="O3897">
        <v>3</v>
      </c>
      <c r="P3897">
        <v>2</v>
      </c>
      <c r="Q3897">
        <v>0.1</v>
      </c>
      <c r="R3897">
        <v>3</v>
      </c>
      <c r="S3897">
        <v>1.5</v>
      </c>
      <c r="T3897">
        <v>3</v>
      </c>
      <c r="U3897">
        <v>12.5</v>
      </c>
      <c r="V3897">
        <v>366.01307189542484</v>
      </c>
      <c r="W3897">
        <v>1</v>
      </c>
    </row>
    <row r="3898" spans="1:23" x14ac:dyDescent="0.2">
      <c r="A3898">
        <v>2022</v>
      </c>
      <c r="B3898" t="s">
        <v>23</v>
      </c>
      <c r="C3898" t="s">
        <v>272</v>
      </c>
      <c r="D3898">
        <v>53</v>
      </c>
      <c r="E3898">
        <v>1</v>
      </c>
      <c r="F3898">
        <v>5</v>
      </c>
      <c r="G3898" t="s">
        <v>77</v>
      </c>
      <c r="H3898" s="1">
        <v>12</v>
      </c>
      <c r="I3898" s="1">
        <v>62</v>
      </c>
      <c r="J3898" s="1">
        <v>66</v>
      </c>
      <c r="K3898" s="1">
        <f>J3898-I3898</f>
        <v>4</v>
      </c>
      <c r="L3898" s="1">
        <v>155</v>
      </c>
      <c r="M3898" s="1">
        <v>83</v>
      </c>
      <c r="N3898" s="1">
        <v>2</v>
      </c>
      <c r="O3898" s="1">
        <v>2.5</v>
      </c>
      <c r="P3898" s="1">
        <f>H3898</f>
        <v>12</v>
      </c>
      <c r="Q3898" s="2">
        <v>9.1350000000000001E-2</v>
      </c>
      <c r="R3898" s="1">
        <v>8</v>
      </c>
      <c r="S3898" s="1">
        <f>R3898/P3898</f>
        <v>0.66666666666666663</v>
      </c>
      <c r="T3898" s="1">
        <v>3</v>
      </c>
      <c r="U3898" s="1">
        <v>12.5</v>
      </c>
      <c r="V3898" s="1">
        <v>334.35294117647055</v>
      </c>
      <c r="W3898" s="1">
        <v>4</v>
      </c>
    </row>
    <row r="3899" spans="1:23" x14ac:dyDescent="0.2">
      <c r="A3899">
        <v>2022</v>
      </c>
      <c r="B3899" t="s">
        <v>23</v>
      </c>
      <c r="C3899" t="s">
        <v>272</v>
      </c>
      <c r="D3899">
        <v>53</v>
      </c>
      <c r="E3899">
        <v>2</v>
      </c>
      <c r="F3899">
        <v>3</v>
      </c>
      <c r="G3899" t="s">
        <v>77</v>
      </c>
      <c r="H3899">
        <v>9</v>
      </c>
      <c r="I3899">
        <v>55</v>
      </c>
      <c r="J3899">
        <v>58</v>
      </c>
      <c r="K3899">
        <v>3</v>
      </c>
      <c r="L3899">
        <v>109</v>
      </c>
      <c r="M3899">
        <v>21</v>
      </c>
      <c r="N3899">
        <v>3</v>
      </c>
      <c r="O3899">
        <v>4</v>
      </c>
      <c r="P3899">
        <v>8</v>
      </c>
      <c r="Q3899">
        <v>0.81499999999999995</v>
      </c>
      <c r="R3899">
        <v>8</v>
      </c>
      <c r="S3899">
        <v>1</v>
      </c>
      <c r="T3899">
        <v>3</v>
      </c>
      <c r="U3899">
        <v>12.5</v>
      </c>
      <c r="V3899">
        <v>2983.0065359477126</v>
      </c>
      <c r="W3899">
        <v>2</v>
      </c>
    </row>
    <row r="3900" spans="1:23" x14ac:dyDescent="0.2">
      <c r="A3900">
        <v>2022</v>
      </c>
      <c r="B3900" t="s">
        <v>23</v>
      </c>
      <c r="C3900" t="s">
        <v>272</v>
      </c>
      <c r="D3900">
        <v>54</v>
      </c>
      <c r="E3900">
        <v>1</v>
      </c>
      <c r="F3900">
        <v>14</v>
      </c>
      <c r="G3900" t="s">
        <v>78</v>
      </c>
      <c r="H3900">
        <v>14</v>
      </c>
      <c r="I3900">
        <v>54</v>
      </c>
      <c r="J3900">
        <v>58</v>
      </c>
      <c r="K3900">
        <v>4</v>
      </c>
      <c r="L3900">
        <v>141</v>
      </c>
      <c r="M3900">
        <v>68</v>
      </c>
      <c r="N3900">
        <v>2</v>
      </c>
      <c r="O3900">
        <v>2.5</v>
      </c>
      <c r="P3900">
        <v>13</v>
      </c>
      <c r="Q3900">
        <v>1.3</v>
      </c>
      <c r="R3900">
        <v>13</v>
      </c>
      <c r="S3900">
        <v>1</v>
      </c>
      <c r="T3900">
        <v>3</v>
      </c>
      <c r="U3900">
        <v>8.6999999999999993</v>
      </c>
      <c r="V3900">
        <v>4964.8104575163397</v>
      </c>
      <c r="W3900">
        <v>1</v>
      </c>
    </row>
    <row r="3901" spans="1:23" x14ac:dyDescent="0.2">
      <c r="A3901">
        <v>2022</v>
      </c>
      <c r="B3901" t="s">
        <v>23</v>
      </c>
      <c r="C3901" t="s">
        <v>272</v>
      </c>
      <c r="D3901">
        <v>54</v>
      </c>
      <c r="E3901">
        <v>2</v>
      </c>
      <c r="F3901">
        <v>11</v>
      </c>
      <c r="G3901" t="s">
        <v>78</v>
      </c>
      <c r="H3901">
        <v>10</v>
      </c>
      <c r="I3901">
        <v>56</v>
      </c>
      <c r="J3901">
        <v>60</v>
      </c>
      <c r="K3901">
        <v>4</v>
      </c>
      <c r="L3901">
        <v>90</v>
      </c>
      <c r="M3901">
        <v>28</v>
      </c>
      <c r="N3901">
        <v>2</v>
      </c>
      <c r="O3901">
        <v>3</v>
      </c>
      <c r="P3901">
        <v>10</v>
      </c>
      <c r="Q3901">
        <v>1</v>
      </c>
      <c r="R3901">
        <v>9</v>
      </c>
      <c r="S3901">
        <v>0.9</v>
      </c>
      <c r="T3901">
        <v>2.5</v>
      </c>
      <c r="U3901">
        <v>12.5</v>
      </c>
      <c r="V3901">
        <v>3660.1307189542486</v>
      </c>
      <c r="W3901">
        <v>2</v>
      </c>
    </row>
    <row r="3902" spans="1:23" x14ac:dyDescent="0.2">
      <c r="A3902">
        <v>2022</v>
      </c>
      <c r="B3902" t="s">
        <v>23</v>
      </c>
      <c r="C3902" t="s">
        <v>272</v>
      </c>
      <c r="D3902">
        <v>55</v>
      </c>
      <c r="E3902">
        <v>1</v>
      </c>
      <c r="F3902">
        <v>2</v>
      </c>
      <c r="G3902" t="s">
        <v>79</v>
      </c>
      <c r="H3902" s="1">
        <v>12</v>
      </c>
      <c r="I3902" s="1">
        <v>68</v>
      </c>
      <c r="J3902" s="1">
        <v>73</v>
      </c>
      <c r="K3902" s="1">
        <f>J3902-I3902</f>
        <v>5</v>
      </c>
      <c r="L3902" s="1">
        <v>150</v>
      </c>
      <c r="M3902" s="1">
        <v>69</v>
      </c>
      <c r="N3902" s="1">
        <v>2.5</v>
      </c>
      <c r="O3902" s="1">
        <v>3.5</v>
      </c>
      <c r="P3902" s="1">
        <v>7</v>
      </c>
      <c r="Q3902" s="2">
        <v>0.32200000000000001</v>
      </c>
      <c r="R3902" s="1">
        <v>7</v>
      </c>
      <c r="S3902" s="1">
        <f>R3902/P3902</f>
        <v>1</v>
      </c>
      <c r="T3902" s="1">
        <v>4</v>
      </c>
      <c r="U3902" s="1">
        <v>12.5</v>
      </c>
      <c r="V3902" s="1">
        <v>1178.562091503268</v>
      </c>
      <c r="W3902" s="1">
        <v>3</v>
      </c>
    </row>
    <row r="3903" spans="1:23" x14ac:dyDescent="0.2">
      <c r="A3903">
        <v>2022</v>
      </c>
      <c r="B3903" t="s">
        <v>23</v>
      </c>
      <c r="C3903" t="s">
        <v>272</v>
      </c>
      <c r="D3903">
        <v>55</v>
      </c>
      <c r="E3903">
        <v>2</v>
      </c>
      <c r="F3903">
        <v>10</v>
      </c>
      <c r="G3903" t="s">
        <v>79</v>
      </c>
      <c r="H3903" s="1">
        <v>5</v>
      </c>
      <c r="I3903" s="1">
        <v>68</v>
      </c>
      <c r="J3903" s="1">
        <v>71</v>
      </c>
      <c r="K3903" s="1">
        <f>J3903-I3903</f>
        <v>3</v>
      </c>
      <c r="L3903" s="1">
        <v>174</v>
      </c>
      <c r="M3903" s="1">
        <v>69</v>
      </c>
      <c r="N3903" s="1">
        <v>2</v>
      </c>
      <c r="O3903" s="1">
        <v>3</v>
      </c>
      <c r="P3903" s="1">
        <v>4</v>
      </c>
      <c r="Q3903" s="2">
        <v>0.40500000000000003</v>
      </c>
      <c r="R3903" s="1">
        <v>6</v>
      </c>
      <c r="S3903" s="1">
        <f>R3903/P3903</f>
        <v>1.5</v>
      </c>
      <c r="T3903" s="1">
        <v>5</v>
      </c>
      <c r="U3903" s="1">
        <v>12.5</v>
      </c>
      <c r="V3903" s="1">
        <v>1482.3529411764707</v>
      </c>
      <c r="W3903" s="1">
        <v>4</v>
      </c>
    </row>
    <row r="3904" spans="1:23" x14ac:dyDescent="0.2">
      <c r="A3904">
        <v>2022</v>
      </c>
      <c r="B3904" t="s">
        <v>23</v>
      </c>
      <c r="C3904" t="s">
        <v>272</v>
      </c>
      <c r="D3904">
        <v>56</v>
      </c>
      <c r="E3904">
        <v>1</v>
      </c>
      <c r="F3904">
        <v>4</v>
      </c>
      <c r="G3904" t="s">
        <v>80</v>
      </c>
      <c r="H3904" s="1">
        <v>8</v>
      </c>
      <c r="I3904" s="1">
        <v>70</v>
      </c>
      <c r="J3904" s="1">
        <v>74</v>
      </c>
      <c r="K3904" s="1">
        <f>J3904-I3904</f>
        <v>4</v>
      </c>
      <c r="L3904" s="1">
        <v>95</v>
      </c>
      <c r="M3904" s="1">
        <v>30</v>
      </c>
      <c r="N3904" s="1">
        <v>2.5</v>
      </c>
      <c r="O3904" s="1">
        <v>4.5</v>
      </c>
      <c r="P3904" s="1">
        <v>5</v>
      </c>
      <c r="Q3904" s="2">
        <v>0.1268</v>
      </c>
      <c r="R3904" s="1">
        <v>4</v>
      </c>
      <c r="S3904" s="1">
        <f>R3904/P3904</f>
        <v>0.8</v>
      </c>
      <c r="T3904" s="1">
        <v>5</v>
      </c>
      <c r="U3904" s="1">
        <v>12.5</v>
      </c>
      <c r="V3904" s="1">
        <v>464.10457516339869</v>
      </c>
      <c r="W3904" s="1">
        <v>6</v>
      </c>
    </row>
    <row r="3905" spans="1:23" x14ac:dyDescent="0.2">
      <c r="A3905">
        <v>2022</v>
      </c>
      <c r="B3905" t="s">
        <v>23</v>
      </c>
      <c r="C3905" t="s">
        <v>272</v>
      </c>
      <c r="D3905">
        <v>56</v>
      </c>
      <c r="E3905">
        <v>2</v>
      </c>
      <c r="F3905">
        <v>12</v>
      </c>
      <c r="G3905" t="s">
        <v>80</v>
      </c>
      <c r="H3905">
        <v>14</v>
      </c>
      <c r="I3905">
        <v>52</v>
      </c>
      <c r="J3905">
        <v>55</v>
      </c>
      <c r="K3905">
        <v>3</v>
      </c>
      <c r="L3905">
        <v>148</v>
      </c>
      <c r="M3905">
        <v>91</v>
      </c>
      <c r="N3905">
        <v>1</v>
      </c>
      <c r="O3905">
        <v>2</v>
      </c>
      <c r="P3905">
        <v>13</v>
      </c>
      <c r="Q3905">
        <v>1</v>
      </c>
      <c r="R3905">
        <v>10</v>
      </c>
      <c r="S3905">
        <v>0.76923076923076927</v>
      </c>
      <c r="T3905">
        <v>2</v>
      </c>
      <c r="U3905">
        <v>11.8</v>
      </c>
      <c r="V3905">
        <v>3689.4117647058829</v>
      </c>
      <c r="W3905">
        <v>1</v>
      </c>
    </row>
    <row r="3906" spans="1:23" x14ac:dyDescent="0.2">
      <c r="A3906">
        <v>2022</v>
      </c>
      <c r="B3906" t="s">
        <v>23</v>
      </c>
      <c r="C3906" t="s">
        <v>272</v>
      </c>
      <c r="D3906">
        <v>57</v>
      </c>
      <c r="E3906">
        <v>1</v>
      </c>
      <c r="F3906">
        <v>1</v>
      </c>
      <c r="G3906" t="s">
        <v>81</v>
      </c>
      <c r="H3906" s="1">
        <v>3</v>
      </c>
      <c r="I3906" s="1">
        <v>66</v>
      </c>
      <c r="J3906" s="1">
        <v>70</v>
      </c>
      <c r="K3906" s="1">
        <f>J3906-I3906</f>
        <v>4</v>
      </c>
      <c r="L3906" s="1">
        <v>107</v>
      </c>
      <c r="M3906" s="1">
        <v>45</v>
      </c>
      <c r="N3906" s="1">
        <v>2</v>
      </c>
      <c r="O3906" s="1">
        <v>2.5</v>
      </c>
      <c r="P3906" s="1">
        <v>3</v>
      </c>
      <c r="Q3906" s="2">
        <v>0.21099999999999999</v>
      </c>
      <c r="R3906" s="1">
        <v>2</v>
      </c>
      <c r="S3906" s="1">
        <f>R3906/P3906</f>
        <v>0.66666666666666663</v>
      </c>
      <c r="T3906" s="1">
        <v>2</v>
      </c>
      <c r="U3906" s="1">
        <v>12.5</v>
      </c>
      <c r="V3906" s="1">
        <v>772.28758169934645</v>
      </c>
      <c r="W3906" s="1">
        <v>3</v>
      </c>
    </row>
    <row r="3907" spans="1:23" x14ac:dyDescent="0.2">
      <c r="A3907">
        <v>2022</v>
      </c>
      <c r="B3907" t="s">
        <v>23</v>
      </c>
      <c r="C3907" t="s">
        <v>272</v>
      </c>
      <c r="D3907">
        <v>57</v>
      </c>
      <c r="E3907">
        <v>2</v>
      </c>
      <c r="F3907">
        <v>13</v>
      </c>
      <c r="G3907" t="s">
        <v>81</v>
      </c>
      <c r="H3907">
        <v>16</v>
      </c>
      <c r="I3907">
        <v>55</v>
      </c>
      <c r="J3907">
        <v>60</v>
      </c>
      <c r="K3907">
        <v>5</v>
      </c>
      <c r="L3907">
        <v>192</v>
      </c>
      <c r="M3907">
        <v>57</v>
      </c>
      <c r="N3907">
        <v>2</v>
      </c>
      <c r="O3907">
        <v>2</v>
      </c>
      <c r="P3907">
        <v>14</v>
      </c>
      <c r="Q3907">
        <v>1.7</v>
      </c>
      <c r="R3907">
        <v>14</v>
      </c>
      <c r="S3907">
        <v>1</v>
      </c>
      <c r="T3907">
        <v>1</v>
      </c>
      <c r="U3907">
        <v>9.6</v>
      </c>
      <c r="V3907">
        <v>6428.4444444444443</v>
      </c>
      <c r="W3907">
        <v>1</v>
      </c>
    </row>
    <row r="3908" spans="1:23" x14ac:dyDescent="0.2">
      <c r="A3908">
        <v>2022</v>
      </c>
      <c r="B3908" t="s">
        <v>23</v>
      </c>
      <c r="C3908" t="s">
        <v>272</v>
      </c>
      <c r="D3908">
        <v>58</v>
      </c>
      <c r="E3908">
        <v>1</v>
      </c>
      <c r="F3908">
        <v>10</v>
      </c>
      <c r="G3908" t="s">
        <v>82</v>
      </c>
      <c r="H3908" s="1">
        <v>14</v>
      </c>
      <c r="I3908" s="1">
        <v>64</v>
      </c>
      <c r="J3908" s="1">
        <v>68</v>
      </c>
      <c r="K3908" s="1">
        <f>J3908-I3908</f>
        <v>4</v>
      </c>
      <c r="L3908" s="1">
        <v>192</v>
      </c>
      <c r="M3908" s="1">
        <v>102</v>
      </c>
      <c r="N3908" s="1">
        <v>2</v>
      </c>
      <c r="O3908" s="1">
        <v>3</v>
      </c>
      <c r="P3908" s="1">
        <v>6</v>
      </c>
      <c r="Q3908" s="2">
        <v>0.27</v>
      </c>
      <c r="R3908" s="1">
        <v>5</v>
      </c>
      <c r="S3908" s="1">
        <f>R3908/P3908</f>
        <v>0.83333333333333337</v>
      </c>
      <c r="T3908" s="1">
        <v>5</v>
      </c>
      <c r="U3908" s="1">
        <v>7.8</v>
      </c>
      <c r="V3908" s="1">
        <v>1041.3176470588237</v>
      </c>
      <c r="W3908" s="1">
        <v>5</v>
      </c>
    </row>
    <row r="3909" spans="1:23" x14ac:dyDescent="0.2">
      <c r="A3909">
        <v>2022</v>
      </c>
      <c r="B3909" t="s">
        <v>23</v>
      </c>
      <c r="C3909" t="s">
        <v>272</v>
      </c>
      <c r="D3909">
        <v>58</v>
      </c>
      <c r="E3909">
        <v>2</v>
      </c>
      <c r="F3909">
        <v>3</v>
      </c>
      <c r="G3909" t="s">
        <v>82</v>
      </c>
      <c r="H3909" s="1">
        <v>13</v>
      </c>
      <c r="I3909" s="1">
        <v>66</v>
      </c>
      <c r="J3909" s="1">
        <v>68</v>
      </c>
      <c r="K3909" s="1">
        <f>J3909-I3909</f>
        <v>2</v>
      </c>
      <c r="L3909" s="1">
        <v>134</v>
      </c>
      <c r="M3909" s="1">
        <v>46</v>
      </c>
      <c r="N3909" s="1">
        <v>2</v>
      </c>
      <c r="O3909" s="1">
        <v>3.5</v>
      </c>
      <c r="P3909" s="1">
        <f>H3909</f>
        <v>13</v>
      </c>
      <c r="Q3909" s="2">
        <v>0.3</v>
      </c>
      <c r="R3909" s="1">
        <v>9</v>
      </c>
      <c r="S3909" s="1">
        <f>R3909/P3909</f>
        <v>0.69230769230769229</v>
      </c>
      <c r="T3909" s="1">
        <v>5</v>
      </c>
      <c r="U3909" s="1">
        <v>12.5</v>
      </c>
      <c r="V3909" s="1">
        <v>1098.0392156862745</v>
      </c>
      <c r="W3909" s="1">
        <v>4</v>
      </c>
    </row>
    <row r="3910" spans="1:23" x14ac:dyDescent="0.2">
      <c r="A3910">
        <v>2022</v>
      </c>
      <c r="B3910" t="s">
        <v>23</v>
      </c>
      <c r="C3910" t="s">
        <v>272</v>
      </c>
      <c r="D3910">
        <v>59</v>
      </c>
      <c r="E3910">
        <v>1</v>
      </c>
      <c r="F3910">
        <v>12</v>
      </c>
      <c r="G3910" t="s">
        <v>83</v>
      </c>
      <c r="H3910" s="1">
        <v>10</v>
      </c>
      <c r="I3910" s="1">
        <v>57</v>
      </c>
      <c r="J3910" s="1">
        <v>61</v>
      </c>
      <c r="K3910" s="1">
        <f>J3910-I3910</f>
        <v>4</v>
      </c>
      <c r="L3910" s="1">
        <v>155</v>
      </c>
      <c r="M3910" s="1">
        <v>70</v>
      </c>
      <c r="N3910" s="1">
        <v>2</v>
      </c>
      <c r="O3910" s="1">
        <v>4</v>
      </c>
      <c r="P3910" s="1">
        <v>5</v>
      </c>
      <c r="Q3910" s="2">
        <v>0.84335999999999989</v>
      </c>
      <c r="R3910" s="1">
        <v>5</v>
      </c>
      <c r="S3910" s="1">
        <f>R3910/P3910</f>
        <v>1</v>
      </c>
      <c r="T3910" s="1">
        <v>5</v>
      </c>
      <c r="U3910" s="1">
        <v>8.6</v>
      </c>
      <c r="V3910" s="1">
        <v>3224.391278431372</v>
      </c>
      <c r="W3910" s="1">
        <v>7</v>
      </c>
    </row>
    <row r="3911" spans="1:23" x14ac:dyDescent="0.2">
      <c r="A3911">
        <v>2022</v>
      </c>
      <c r="B3911" t="s">
        <v>23</v>
      </c>
      <c r="C3911" t="s">
        <v>272</v>
      </c>
      <c r="D3911">
        <v>59</v>
      </c>
      <c r="E3911">
        <v>2</v>
      </c>
      <c r="F3911">
        <v>11</v>
      </c>
      <c r="G3911" t="s">
        <v>83</v>
      </c>
      <c r="H3911">
        <v>10</v>
      </c>
      <c r="I3911">
        <v>63</v>
      </c>
      <c r="J3911">
        <v>65</v>
      </c>
      <c r="K3911">
        <v>2</v>
      </c>
      <c r="L3911">
        <v>149</v>
      </c>
      <c r="M3911">
        <v>60</v>
      </c>
      <c r="N3911">
        <v>1.5</v>
      </c>
      <c r="O3911">
        <v>3.5</v>
      </c>
      <c r="P3911">
        <v>10</v>
      </c>
      <c r="Q3911">
        <v>1.1000000000000001</v>
      </c>
      <c r="R3911">
        <v>8</v>
      </c>
      <c r="S3911">
        <v>0.8</v>
      </c>
      <c r="T3911">
        <v>2.5</v>
      </c>
      <c r="U3911">
        <v>12.5</v>
      </c>
      <c r="V3911">
        <v>4026.1437908496737</v>
      </c>
      <c r="W3911">
        <v>2</v>
      </c>
    </row>
    <row r="3912" spans="1:23" x14ac:dyDescent="0.2">
      <c r="A3912">
        <v>2022</v>
      </c>
      <c r="B3912" t="s">
        <v>23</v>
      </c>
      <c r="C3912" t="s">
        <v>272</v>
      </c>
      <c r="D3912">
        <v>60</v>
      </c>
      <c r="E3912">
        <v>1</v>
      </c>
      <c r="F3912">
        <v>8</v>
      </c>
      <c r="G3912" t="s">
        <v>84</v>
      </c>
      <c r="H3912" s="1">
        <v>5</v>
      </c>
      <c r="I3912" s="1">
        <v>64</v>
      </c>
      <c r="J3912" s="1">
        <v>68</v>
      </c>
      <c r="K3912" s="1">
        <f>J3912-I3912</f>
        <v>4</v>
      </c>
      <c r="L3912" s="1">
        <v>143</v>
      </c>
      <c r="M3912" s="1">
        <v>41</v>
      </c>
      <c r="N3912" s="1">
        <v>2</v>
      </c>
      <c r="O3912" s="1">
        <v>4.5</v>
      </c>
      <c r="P3912" s="1">
        <v>4</v>
      </c>
      <c r="Q3912" s="2">
        <v>9.6000000000000002E-2</v>
      </c>
      <c r="R3912" s="1">
        <v>2</v>
      </c>
      <c r="S3912" s="1">
        <f>R3912/P3912</f>
        <v>0.5</v>
      </c>
      <c r="T3912" s="1">
        <v>4</v>
      </c>
      <c r="U3912" s="1">
        <v>12.5</v>
      </c>
      <c r="V3912" s="1">
        <v>351.37254901960785</v>
      </c>
      <c r="W3912" s="1">
        <v>5</v>
      </c>
    </row>
    <row r="3913" spans="1:23" x14ac:dyDescent="0.2">
      <c r="A3913">
        <v>2022</v>
      </c>
      <c r="B3913" t="s">
        <v>23</v>
      </c>
      <c r="C3913" t="s">
        <v>272</v>
      </c>
      <c r="D3913">
        <v>60</v>
      </c>
      <c r="E3913">
        <v>2</v>
      </c>
      <c r="F3913">
        <v>14</v>
      </c>
      <c r="G3913" t="s">
        <v>84</v>
      </c>
      <c r="H3913" s="1">
        <v>10</v>
      </c>
      <c r="I3913" s="1">
        <v>63</v>
      </c>
      <c r="J3913" s="1">
        <v>68</v>
      </c>
      <c r="K3913" s="1">
        <f>J3913-I3913</f>
        <v>5</v>
      </c>
      <c r="L3913" s="1">
        <v>170</v>
      </c>
      <c r="M3913" s="1">
        <v>88</v>
      </c>
      <c r="N3913" s="1">
        <v>3</v>
      </c>
      <c r="O3913" s="1">
        <v>4</v>
      </c>
      <c r="P3913" s="1">
        <v>8</v>
      </c>
      <c r="Q3913" s="2">
        <v>0.37039999999999995</v>
      </c>
      <c r="R3913" s="1">
        <v>8</v>
      </c>
      <c r="S3913" s="1">
        <f>R3913/P3913</f>
        <v>1</v>
      </c>
      <c r="T3913" s="1">
        <v>5</v>
      </c>
      <c r="U3913" s="1">
        <v>8.8000000000000007</v>
      </c>
      <c r="V3913" s="1">
        <v>1413.0396862745101</v>
      </c>
      <c r="W3913" s="1">
        <v>4</v>
      </c>
    </row>
    <row r="3914" spans="1:23" x14ac:dyDescent="0.2">
      <c r="A3914">
        <v>2022</v>
      </c>
      <c r="B3914" t="s">
        <v>23</v>
      </c>
      <c r="C3914" t="s">
        <v>272</v>
      </c>
      <c r="D3914">
        <v>61</v>
      </c>
      <c r="E3914">
        <v>1</v>
      </c>
      <c r="F3914">
        <v>12</v>
      </c>
      <c r="G3914" t="s">
        <v>85</v>
      </c>
      <c r="H3914">
        <v>8</v>
      </c>
      <c r="I3914">
        <v>55</v>
      </c>
      <c r="J3914">
        <v>57</v>
      </c>
      <c r="K3914">
        <v>2</v>
      </c>
      <c r="L3914">
        <v>162</v>
      </c>
      <c r="M3914">
        <v>35</v>
      </c>
      <c r="N3914">
        <v>3</v>
      </c>
      <c r="O3914">
        <v>4</v>
      </c>
      <c r="P3914">
        <v>7</v>
      </c>
      <c r="Q3914">
        <v>0.35099999999999998</v>
      </c>
      <c r="R3914">
        <v>3</v>
      </c>
      <c r="S3914">
        <v>0.42857142857142855</v>
      </c>
      <c r="T3914">
        <v>3</v>
      </c>
      <c r="U3914">
        <v>12.5</v>
      </c>
      <c r="V3914">
        <v>1284.7058823529412</v>
      </c>
      <c r="W3914">
        <v>2</v>
      </c>
    </row>
    <row r="3915" spans="1:23" x14ac:dyDescent="0.2">
      <c r="A3915">
        <v>2022</v>
      </c>
      <c r="B3915" t="s">
        <v>23</v>
      </c>
      <c r="C3915" t="s">
        <v>272</v>
      </c>
      <c r="D3915">
        <v>61</v>
      </c>
      <c r="E3915">
        <v>2</v>
      </c>
      <c r="F3915">
        <v>2</v>
      </c>
      <c r="G3915" t="s">
        <v>85</v>
      </c>
      <c r="H3915" s="1">
        <v>4</v>
      </c>
      <c r="I3915" s="1">
        <v>65</v>
      </c>
      <c r="J3915" s="1">
        <v>68</v>
      </c>
      <c r="K3915" s="1">
        <f>J3915-I3915</f>
        <v>3</v>
      </c>
      <c r="L3915" s="1">
        <v>138</v>
      </c>
      <c r="M3915" s="1">
        <v>50</v>
      </c>
      <c r="N3915" s="1">
        <v>2</v>
      </c>
      <c r="O3915" s="1">
        <v>4.5</v>
      </c>
      <c r="P3915" s="1">
        <v>4</v>
      </c>
      <c r="Q3915" s="2">
        <v>0.14149999999999999</v>
      </c>
      <c r="R3915" s="1">
        <v>4</v>
      </c>
      <c r="S3915" s="1">
        <f>R3915/P3915</f>
        <v>1</v>
      </c>
      <c r="T3915" s="1">
        <v>5</v>
      </c>
      <c r="U3915" s="1">
        <v>12.5</v>
      </c>
      <c r="V3915" s="1">
        <v>517.90849673202615</v>
      </c>
      <c r="W3915" s="1">
        <v>5</v>
      </c>
    </row>
    <row r="3916" spans="1:23" x14ac:dyDescent="0.2">
      <c r="A3916">
        <v>2022</v>
      </c>
      <c r="B3916" t="s">
        <v>23</v>
      </c>
      <c r="C3916" t="s">
        <v>272</v>
      </c>
      <c r="D3916">
        <v>62</v>
      </c>
      <c r="E3916">
        <v>1</v>
      </c>
      <c r="F3916">
        <v>7</v>
      </c>
      <c r="G3916" t="s">
        <v>86</v>
      </c>
      <c r="H3916">
        <v>13</v>
      </c>
      <c r="I3916">
        <v>58</v>
      </c>
      <c r="J3916">
        <v>60</v>
      </c>
      <c r="K3916">
        <v>2</v>
      </c>
      <c r="L3916">
        <v>170</v>
      </c>
      <c r="M3916">
        <v>93</v>
      </c>
      <c r="N3916">
        <v>1.5</v>
      </c>
      <c r="O3916">
        <v>2</v>
      </c>
      <c r="P3916">
        <v>12</v>
      </c>
      <c r="Q3916">
        <v>1</v>
      </c>
      <c r="R3916">
        <v>10</v>
      </c>
      <c r="S3916">
        <v>0.83333333333333337</v>
      </c>
      <c r="T3916">
        <v>3</v>
      </c>
      <c r="U3916">
        <v>12.5</v>
      </c>
      <c r="V3916">
        <v>3660.1307189542486</v>
      </c>
      <c r="W3916">
        <v>2</v>
      </c>
    </row>
    <row r="3917" spans="1:23" x14ac:dyDescent="0.2">
      <c r="A3917">
        <v>2022</v>
      </c>
      <c r="B3917" t="s">
        <v>23</v>
      </c>
      <c r="C3917" t="s">
        <v>272</v>
      </c>
      <c r="D3917">
        <v>62</v>
      </c>
      <c r="E3917">
        <v>2</v>
      </c>
      <c r="F3917">
        <v>4</v>
      </c>
      <c r="G3917" t="s">
        <v>86</v>
      </c>
      <c r="H3917" s="1">
        <v>12</v>
      </c>
      <c r="I3917" s="1">
        <v>65</v>
      </c>
      <c r="J3917" s="1">
        <v>68</v>
      </c>
      <c r="K3917" s="1">
        <f>J3917-I3917</f>
        <v>3</v>
      </c>
      <c r="L3917" s="1">
        <v>188</v>
      </c>
      <c r="M3917" s="1">
        <v>82</v>
      </c>
      <c r="N3917" s="1">
        <v>2</v>
      </c>
      <c r="O3917" s="1">
        <v>2.5</v>
      </c>
      <c r="P3917" s="1">
        <v>8</v>
      </c>
      <c r="Q3917" s="2">
        <v>0.45150000000000001</v>
      </c>
      <c r="R3917" s="1">
        <v>5</v>
      </c>
      <c r="S3917" s="1">
        <f>R3917/P3917</f>
        <v>0.625</v>
      </c>
      <c r="T3917" s="1">
        <v>5</v>
      </c>
      <c r="U3917" s="1">
        <v>12.5</v>
      </c>
      <c r="V3917" s="1">
        <v>1652.5490196078431</v>
      </c>
      <c r="W3917" s="1">
        <v>5</v>
      </c>
    </row>
    <row r="3918" spans="1:23" x14ac:dyDescent="0.2">
      <c r="A3918">
        <v>2022</v>
      </c>
      <c r="B3918" t="s">
        <v>23</v>
      </c>
      <c r="C3918" t="s">
        <v>272</v>
      </c>
      <c r="D3918">
        <v>63</v>
      </c>
      <c r="E3918">
        <v>1</v>
      </c>
      <c r="F3918">
        <v>6</v>
      </c>
      <c r="G3918" t="s">
        <v>87</v>
      </c>
      <c r="H3918">
        <v>6</v>
      </c>
      <c r="I3918">
        <v>59</v>
      </c>
      <c r="J3918">
        <v>62</v>
      </c>
      <c r="K3918">
        <v>3</v>
      </c>
      <c r="L3918">
        <v>103</v>
      </c>
      <c r="M3918">
        <v>52</v>
      </c>
      <c r="N3918">
        <v>1.5</v>
      </c>
      <c r="O3918">
        <v>2</v>
      </c>
      <c r="P3918">
        <v>6</v>
      </c>
      <c r="Q3918">
        <v>0.4</v>
      </c>
      <c r="R3918">
        <v>7</v>
      </c>
      <c r="S3918">
        <v>1.1666666666666667</v>
      </c>
      <c r="T3918">
        <v>2.5</v>
      </c>
      <c r="U3918">
        <v>12.5</v>
      </c>
      <c r="V3918">
        <v>1464.0522875816994</v>
      </c>
      <c r="W3918">
        <v>1</v>
      </c>
    </row>
    <row r="3919" spans="1:23" x14ac:dyDescent="0.2">
      <c r="A3919">
        <v>2022</v>
      </c>
      <c r="B3919" t="s">
        <v>23</v>
      </c>
      <c r="C3919" t="s">
        <v>272</v>
      </c>
      <c r="D3919">
        <v>63</v>
      </c>
      <c r="E3919">
        <v>2</v>
      </c>
      <c r="F3919">
        <v>3</v>
      </c>
      <c r="G3919" t="s">
        <v>87</v>
      </c>
      <c r="H3919" s="1">
        <v>4</v>
      </c>
      <c r="I3919" s="1">
        <v>60</v>
      </c>
      <c r="J3919" s="1">
        <v>65</v>
      </c>
      <c r="K3919" s="1">
        <f>J3919-I3919</f>
        <v>5</v>
      </c>
      <c r="L3919" s="1">
        <v>162</v>
      </c>
      <c r="M3919" s="1">
        <v>88</v>
      </c>
      <c r="N3919" s="1">
        <v>2</v>
      </c>
      <c r="O3919" s="1">
        <v>2.5</v>
      </c>
      <c r="P3919" s="1">
        <v>4</v>
      </c>
      <c r="Q3919" s="2">
        <v>0.28079999999999994</v>
      </c>
      <c r="R3919" s="1">
        <v>3</v>
      </c>
      <c r="S3919" s="1">
        <f>R3919/P3919</f>
        <v>0.75</v>
      </c>
      <c r="T3919" s="1">
        <v>4</v>
      </c>
      <c r="U3919" s="1">
        <v>12.5</v>
      </c>
      <c r="V3919" s="1">
        <v>1027.7647058823527</v>
      </c>
      <c r="W3919" s="1">
        <v>3</v>
      </c>
    </row>
    <row r="3920" spans="1:23" x14ac:dyDescent="0.2">
      <c r="A3920">
        <v>2022</v>
      </c>
      <c r="B3920" t="s">
        <v>23</v>
      </c>
      <c r="C3920" t="s">
        <v>272</v>
      </c>
      <c r="D3920">
        <v>64</v>
      </c>
      <c r="E3920">
        <v>1</v>
      </c>
      <c r="F3920">
        <v>2</v>
      </c>
      <c r="G3920" t="s">
        <v>88</v>
      </c>
      <c r="H3920">
        <v>16</v>
      </c>
      <c r="I3920">
        <v>57</v>
      </c>
      <c r="J3920">
        <v>59</v>
      </c>
      <c r="K3920">
        <v>2</v>
      </c>
      <c r="L3920">
        <v>190</v>
      </c>
      <c r="M3920">
        <v>74</v>
      </c>
      <c r="N3920">
        <v>1</v>
      </c>
      <c r="O3920">
        <v>2</v>
      </c>
      <c r="P3920">
        <v>15</v>
      </c>
      <c r="Q3920">
        <v>1.8</v>
      </c>
      <c r="R3920">
        <v>13</v>
      </c>
      <c r="S3920">
        <v>0.8666666666666667</v>
      </c>
      <c r="T3920">
        <v>2</v>
      </c>
      <c r="U3920">
        <v>9.9</v>
      </c>
      <c r="V3920">
        <v>6784</v>
      </c>
      <c r="W3920">
        <v>2</v>
      </c>
    </row>
    <row r="3921" spans="1:23" x14ac:dyDescent="0.2">
      <c r="A3921">
        <v>2022</v>
      </c>
      <c r="B3921" t="s">
        <v>23</v>
      </c>
      <c r="C3921" t="s">
        <v>272</v>
      </c>
      <c r="D3921">
        <v>64</v>
      </c>
      <c r="E3921">
        <v>2</v>
      </c>
      <c r="F3921">
        <v>6</v>
      </c>
      <c r="G3921" t="s">
        <v>88</v>
      </c>
      <c r="H3921">
        <v>14</v>
      </c>
      <c r="I3921">
        <v>58</v>
      </c>
      <c r="J3921">
        <v>60</v>
      </c>
      <c r="K3921">
        <v>2</v>
      </c>
      <c r="L3921">
        <v>91</v>
      </c>
      <c r="M3921">
        <v>95</v>
      </c>
      <c r="N3921">
        <v>1</v>
      </c>
      <c r="O3921">
        <v>1.5</v>
      </c>
      <c r="P3921">
        <v>14</v>
      </c>
      <c r="Q3921">
        <v>1.3</v>
      </c>
      <c r="R3921">
        <v>13</v>
      </c>
      <c r="S3921">
        <v>0.9285714285714286</v>
      </c>
      <c r="T3921">
        <v>2</v>
      </c>
      <c r="U3921">
        <v>9</v>
      </c>
      <c r="V3921">
        <v>4948.4967320261439</v>
      </c>
      <c r="W3921">
        <v>2</v>
      </c>
    </row>
    <row r="3922" spans="1:23" x14ac:dyDescent="0.2">
      <c r="A3922">
        <v>2022</v>
      </c>
      <c r="B3922" t="s">
        <v>23</v>
      </c>
      <c r="C3922" t="s">
        <v>272</v>
      </c>
      <c r="D3922">
        <v>65</v>
      </c>
      <c r="E3922">
        <v>1</v>
      </c>
      <c r="F3922">
        <v>4</v>
      </c>
      <c r="G3922" t="s">
        <v>89</v>
      </c>
      <c r="H3922" s="1">
        <v>7</v>
      </c>
      <c r="I3922" s="1">
        <v>58</v>
      </c>
      <c r="J3922" s="1">
        <v>62</v>
      </c>
      <c r="K3922" s="1">
        <f t="shared" ref="K3922:K3928" si="206">J3922-I3922</f>
        <v>4</v>
      </c>
      <c r="L3922" s="1">
        <v>115</v>
      </c>
      <c r="M3922" s="1">
        <v>37</v>
      </c>
      <c r="N3922" s="1">
        <v>2.5</v>
      </c>
      <c r="O3922" s="1">
        <v>4</v>
      </c>
      <c r="P3922" s="1">
        <v>5</v>
      </c>
      <c r="Q3922" s="2">
        <v>7.9400000000000012E-2</v>
      </c>
      <c r="R3922" s="1">
        <v>5</v>
      </c>
      <c r="S3922" s="1">
        <f t="shared" ref="S3922:S3928" si="207">R3922/P3922</f>
        <v>1</v>
      </c>
      <c r="T3922" s="1">
        <v>5</v>
      </c>
      <c r="U3922" s="1">
        <v>12.5</v>
      </c>
      <c r="V3922" s="1">
        <v>290.61437908496731</v>
      </c>
      <c r="W3922" s="1">
        <v>5</v>
      </c>
    </row>
    <row r="3923" spans="1:23" x14ac:dyDescent="0.2">
      <c r="A3923">
        <v>2022</v>
      </c>
      <c r="B3923" t="s">
        <v>23</v>
      </c>
      <c r="C3923" t="s">
        <v>272</v>
      </c>
      <c r="D3923">
        <v>65</v>
      </c>
      <c r="E3923">
        <v>2</v>
      </c>
      <c r="F3923">
        <v>2</v>
      </c>
      <c r="G3923" t="s">
        <v>89</v>
      </c>
      <c r="H3923" s="1">
        <v>11</v>
      </c>
      <c r="I3923" s="1">
        <v>66</v>
      </c>
      <c r="J3923" s="1">
        <v>71</v>
      </c>
      <c r="K3923" s="1">
        <f t="shared" si="206"/>
        <v>5</v>
      </c>
      <c r="L3923" s="1">
        <v>187</v>
      </c>
      <c r="M3923" s="1">
        <v>100</v>
      </c>
      <c r="N3923" s="1">
        <v>2</v>
      </c>
      <c r="O3923" s="1">
        <v>2</v>
      </c>
      <c r="P3923" s="1">
        <v>10</v>
      </c>
      <c r="Q3923" s="2">
        <v>0.92400000000000004</v>
      </c>
      <c r="R3923" s="1">
        <v>7</v>
      </c>
      <c r="S3923" s="1">
        <f t="shared" si="207"/>
        <v>0.7</v>
      </c>
      <c r="T3923" s="1">
        <v>3</v>
      </c>
      <c r="U3923" s="1">
        <v>12.5</v>
      </c>
      <c r="V3923" s="1">
        <v>3381.960784313726</v>
      </c>
      <c r="W3923" s="1">
        <v>5</v>
      </c>
    </row>
    <row r="3924" spans="1:23" x14ac:dyDescent="0.2">
      <c r="A3924">
        <v>2022</v>
      </c>
      <c r="B3924" t="s">
        <v>23</v>
      </c>
      <c r="C3924" t="s">
        <v>272</v>
      </c>
      <c r="D3924">
        <v>66</v>
      </c>
      <c r="E3924">
        <v>1</v>
      </c>
      <c r="F3924">
        <v>4</v>
      </c>
      <c r="G3924" t="s">
        <v>90</v>
      </c>
      <c r="H3924" s="1">
        <v>6</v>
      </c>
      <c r="I3924" s="1">
        <v>68</v>
      </c>
      <c r="J3924" s="1">
        <v>72</v>
      </c>
      <c r="K3924" s="1">
        <f t="shared" si="206"/>
        <v>4</v>
      </c>
      <c r="L3924" s="1">
        <v>113</v>
      </c>
      <c r="M3924" s="1">
        <v>38</v>
      </c>
      <c r="N3924" s="1">
        <v>2.5</v>
      </c>
      <c r="O3924" s="1">
        <v>4</v>
      </c>
      <c r="P3924" s="1">
        <v>1</v>
      </c>
      <c r="Q3924" s="2">
        <v>1.4999999999999999E-2</v>
      </c>
      <c r="R3924" s="1">
        <v>1</v>
      </c>
      <c r="S3924" s="1">
        <f t="shared" si="207"/>
        <v>1</v>
      </c>
      <c r="T3924" s="1">
        <v>5</v>
      </c>
      <c r="U3924" s="1">
        <v>12.5</v>
      </c>
      <c r="V3924" s="1">
        <v>54.901960784313729</v>
      </c>
      <c r="W3924" s="1">
        <v>6</v>
      </c>
    </row>
    <row r="3925" spans="1:23" x14ac:dyDescent="0.2">
      <c r="A3925">
        <v>2022</v>
      </c>
      <c r="B3925" t="s">
        <v>23</v>
      </c>
      <c r="C3925" t="s">
        <v>272</v>
      </c>
      <c r="D3925">
        <v>66</v>
      </c>
      <c r="E3925">
        <v>2</v>
      </c>
      <c r="F3925">
        <v>6</v>
      </c>
      <c r="G3925" t="s">
        <v>90</v>
      </c>
      <c r="H3925" s="1">
        <v>11</v>
      </c>
      <c r="I3925" s="1">
        <v>59</v>
      </c>
      <c r="J3925" s="1">
        <v>62</v>
      </c>
      <c r="K3925" s="1">
        <f t="shared" si="206"/>
        <v>3</v>
      </c>
      <c r="L3925" s="1">
        <v>168</v>
      </c>
      <c r="M3925" s="1">
        <v>80</v>
      </c>
      <c r="N3925" s="1">
        <v>2</v>
      </c>
      <c r="O3925" s="1">
        <v>2.5</v>
      </c>
      <c r="P3925" s="1">
        <v>11</v>
      </c>
      <c r="Q3925" s="2">
        <v>0.98</v>
      </c>
      <c r="R3925" s="1">
        <v>9</v>
      </c>
      <c r="S3925" s="1">
        <f t="shared" si="207"/>
        <v>0.81818181818181823</v>
      </c>
      <c r="T3925" s="1">
        <v>3</v>
      </c>
      <c r="U3925" s="1">
        <v>12.5</v>
      </c>
      <c r="V3925" s="1">
        <v>3586.9281045751636</v>
      </c>
      <c r="W3925" s="1">
        <v>4</v>
      </c>
    </row>
    <row r="3926" spans="1:23" x14ac:dyDescent="0.2">
      <c r="A3926">
        <v>2022</v>
      </c>
      <c r="B3926" t="s">
        <v>23</v>
      </c>
      <c r="C3926" t="s">
        <v>272</v>
      </c>
      <c r="D3926">
        <v>67</v>
      </c>
      <c r="E3926">
        <v>1</v>
      </c>
      <c r="F3926">
        <v>2</v>
      </c>
      <c r="G3926" t="s">
        <v>91</v>
      </c>
      <c r="H3926" s="1">
        <v>10</v>
      </c>
      <c r="I3926" s="1">
        <v>63</v>
      </c>
      <c r="J3926" s="1">
        <v>67</v>
      </c>
      <c r="K3926" s="1">
        <f t="shared" si="206"/>
        <v>4</v>
      </c>
      <c r="L3926" s="1">
        <v>157</v>
      </c>
      <c r="M3926" s="1">
        <v>62</v>
      </c>
      <c r="N3926" s="1">
        <v>3</v>
      </c>
      <c r="O3926" s="1">
        <v>4</v>
      </c>
      <c r="P3926" s="1">
        <v>8</v>
      </c>
      <c r="Q3926" s="2">
        <v>0.34159999999999996</v>
      </c>
      <c r="R3926" s="1">
        <v>8</v>
      </c>
      <c r="S3926" s="1">
        <f t="shared" si="207"/>
        <v>1</v>
      </c>
      <c r="T3926" s="1">
        <v>5</v>
      </c>
      <c r="U3926" s="1">
        <v>12.5</v>
      </c>
      <c r="V3926" s="1">
        <v>1250.3006535947711</v>
      </c>
      <c r="W3926" s="1">
        <v>5</v>
      </c>
    </row>
    <row r="3927" spans="1:23" x14ac:dyDescent="0.2">
      <c r="A3927">
        <v>2022</v>
      </c>
      <c r="B3927" t="s">
        <v>23</v>
      </c>
      <c r="C3927" t="s">
        <v>272</v>
      </c>
      <c r="D3927">
        <v>67</v>
      </c>
      <c r="E3927">
        <v>2</v>
      </c>
      <c r="F3927">
        <v>14</v>
      </c>
      <c r="G3927" t="s">
        <v>91</v>
      </c>
      <c r="H3927" s="1">
        <v>12</v>
      </c>
      <c r="I3927" s="1">
        <v>61</v>
      </c>
      <c r="J3927" s="1">
        <v>65</v>
      </c>
      <c r="K3927" s="1">
        <f t="shared" si="206"/>
        <v>4</v>
      </c>
      <c r="L3927" s="1">
        <v>106</v>
      </c>
      <c r="M3927" s="1">
        <v>41</v>
      </c>
      <c r="N3927" s="1">
        <v>2</v>
      </c>
      <c r="O3927" s="1">
        <v>4.5</v>
      </c>
      <c r="P3927" s="1">
        <v>5</v>
      </c>
      <c r="Q3927" s="2">
        <v>0.25600000000000001</v>
      </c>
      <c r="R3927" s="1">
        <v>5</v>
      </c>
      <c r="S3927" s="1">
        <f t="shared" si="207"/>
        <v>1</v>
      </c>
      <c r="T3927" s="1">
        <v>4</v>
      </c>
      <c r="U3927" s="1">
        <v>12.5</v>
      </c>
      <c r="V3927" s="1">
        <v>936.99346405228766</v>
      </c>
      <c r="W3927" s="1">
        <v>6</v>
      </c>
    </row>
    <row r="3928" spans="1:23" x14ac:dyDescent="0.2">
      <c r="A3928">
        <v>2022</v>
      </c>
      <c r="B3928" t="s">
        <v>23</v>
      </c>
      <c r="C3928" t="s">
        <v>272</v>
      </c>
      <c r="D3928">
        <v>68</v>
      </c>
      <c r="E3928">
        <v>1</v>
      </c>
      <c r="F3928">
        <v>7</v>
      </c>
      <c r="G3928" t="s">
        <v>92</v>
      </c>
      <c r="H3928" s="3">
        <v>10</v>
      </c>
      <c r="I3928" s="3">
        <v>67</v>
      </c>
      <c r="J3928" s="3">
        <v>73</v>
      </c>
      <c r="K3928" s="3">
        <f t="shared" si="206"/>
        <v>6</v>
      </c>
      <c r="L3928" s="3">
        <v>120</v>
      </c>
      <c r="M3928" s="3">
        <v>46</v>
      </c>
      <c r="N3928" s="3">
        <v>2.5</v>
      </c>
      <c r="O3928" s="3">
        <v>4.5</v>
      </c>
      <c r="P3928" s="3">
        <v>5</v>
      </c>
      <c r="Q3928" s="4">
        <v>0.112</v>
      </c>
      <c r="R3928" s="3">
        <v>5</v>
      </c>
      <c r="S3928" s="3">
        <f t="shared" si="207"/>
        <v>1</v>
      </c>
      <c r="T3928" s="3">
        <v>5</v>
      </c>
      <c r="U3928" s="3">
        <v>12.5</v>
      </c>
      <c r="V3928" s="3">
        <v>409.93464052287584</v>
      </c>
      <c r="W3928" s="3">
        <v>5</v>
      </c>
    </row>
    <row r="3929" spans="1:23" x14ac:dyDescent="0.2">
      <c r="A3929">
        <v>2022</v>
      </c>
      <c r="B3929" t="s">
        <v>23</v>
      </c>
      <c r="C3929" t="s">
        <v>272</v>
      </c>
      <c r="D3929">
        <v>68</v>
      </c>
      <c r="E3929">
        <v>2</v>
      </c>
      <c r="F3929">
        <v>13</v>
      </c>
      <c r="G3929" t="s">
        <v>92</v>
      </c>
      <c r="H3929">
        <v>14</v>
      </c>
      <c r="I3929">
        <v>55</v>
      </c>
      <c r="J3929">
        <v>58</v>
      </c>
      <c r="K3929">
        <v>3</v>
      </c>
      <c r="L3929">
        <v>179</v>
      </c>
      <c r="M3929">
        <v>67</v>
      </c>
      <c r="N3929">
        <v>2</v>
      </c>
      <c r="O3929">
        <v>2</v>
      </c>
      <c r="P3929">
        <v>10</v>
      </c>
      <c r="Q3929">
        <v>1</v>
      </c>
      <c r="R3929">
        <v>7</v>
      </c>
      <c r="S3929">
        <v>0.7</v>
      </c>
      <c r="T3929">
        <v>3</v>
      </c>
      <c r="U3929">
        <v>12.5</v>
      </c>
      <c r="V3929">
        <v>3660.1307189542486</v>
      </c>
      <c r="W3929">
        <v>2</v>
      </c>
    </row>
    <row r="3930" spans="1:23" x14ac:dyDescent="0.2">
      <c r="A3930">
        <v>2022</v>
      </c>
      <c r="B3930" t="s">
        <v>23</v>
      </c>
      <c r="C3930" t="s">
        <v>272</v>
      </c>
      <c r="D3930">
        <v>69</v>
      </c>
      <c r="E3930">
        <v>1</v>
      </c>
      <c r="F3930">
        <v>14</v>
      </c>
      <c r="G3930" t="s">
        <v>93</v>
      </c>
      <c r="H3930">
        <v>15</v>
      </c>
      <c r="I3930">
        <v>50</v>
      </c>
      <c r="J3930">
        <v>55</v>
      </c>
      <c r="K3930">
        <v>5</v>
      </c>
      <c r="L3930">
        <v>128</v>
      </c>
      <c r="M3930">
        <v>65</v>
      </c>
      <c r="N3930">
        <v>2</v>
      </c>
      <c r="O3930">
        <v>2</v>
      </c>
      <c r="P3930">
        <v>10</v>
      </c>
      <c r="Q3930">
        <v>1</v>
      </c>
      <c r="R3930">
        <v>10</v>
      </c>
      <c r="S3930">
        <v>1</v>
      </c>
      <c r="T3930">
        <v>3</v>
      </c>
      <c r="U3930">
        <v>10.6</v>
      </c>
      <c r="V3930">
        <v>3739.6078431372548</v>
      </c>
      <c r="W3930">
        <v>2</v>
      </c>
    </row>
    <row r="3931" spans="1:23" x14ac:dyDescent="0.2">
      <c r="A3931">
        <v>2022</v>
      </c>
      <c r="B3931" t="s">
        <v>23</v>
      </c>
      <c r="C3931" t="s">
        <v>272</v>
      </c>
      <c r="D3931">
        <v>69</v>
      </c>
      <c r="E3931">
        <v>2</v>
      </c>
      <c r="F3931">
        <v>15</v>
      </c>
      <c r="G3931" t="s">
        <v>93</v>
      </c>
      <c r="H3931" s="3">
        <v>1</v>
      </c>
      <c r="I3931" s="3">
        <v>65</v>
      </c>
      <c r="J3931" s="3">
        <v>68</v>
      </c>
      <c r="K3931" s="3">
        <f>J3931-I3931</f>
        <v>3</v>
      </c>
      <c r="L3931" s="3">
        <v>66</v>
      </c>
      <c r="M3931" s="3">
        <v>40</v>
      </c>
      <c r="N3931" s="3">
        <v>1.5</v>
      </c>
      <c r="O3931" s="3">
        <v>4</v>
      </c>
      <c r="P3931" s="3">
        <v>1</v>
      </c>
      <c r="Q3931" s="4">
        <v>6.2E-2</v>
      </c>
      <c r="R3931" s="3">
        <v>1</v>
      </c>
      <c r="S3931" s="3">
        <f>R3931/P3931</f>
        <v>1</v>
      </c>
      <c r="T3931" s="3">
        <v>4</v>
      </c>
      <c r="U3931" s="3">
        <v>12.5</v>
      </c>
      <c r="V3931" s="3">
        <v>226.92810457516339</v>
      </c>
      <c r="W3931" s="3">
        <v>3</v>
      </c>
    </row>
    <row r="3932" spans="1:23" x14ac:dyDescent="0.2">
      <c r="A3932">
        <v>2022</v>
      </c>
      <c r="B3932" t="s">
        <v>23</v>
      </c>
      <c r="C3932" t="s">
        <v>272</v>
      </c>
      <c r="D3932">
        <v>70</v>
      </c>
      <c r="E3932">
        <v>1</v>
      </c>
      <c r="F3932">
        <v>14</v>
      </c>
      <c r="G3932" t="s">
        <v>94</v>
      </c>
      <c r="H3932" s="1">
        <v>11</v>
      </c>
      <c r="I3932" s="1">
        <v>57</v>
      </c>
      <c r="J3932" s="1">
        <v>61</v>
      </c>
      <c r="K3932" s="1">
        <f>J3932-I3932</f>
        <v>4</v>
      </c>
      <c r="L3932" s="1">
        <v>152</v>
      </c>
      <c r="M3932" s="1">
        <v>73</v>
      </c>
      <c r="N3932" s="1">
        <v>2</v>
      </c>
      <c r="O3932" s="1">
        <v>3.5</v>
      </c>
      <c r="P3932" s="1">
        <v>6</v>
      </c>
      <c r="Q3932" s="2">
        <v>8.1314999999999998E-2</v>
      </c>
      <c r="R3932" s="1">
        <v>7</v>
      </c>
      <c r="S3932" s="1">
        <f>R3932/P3932</f>
        <v>1.1666666666666667</v>
      </c>
      <c r="T3932" s="1">
        <v>5</v>
      </c>
      <c r="U3932" s="1">
        <v>12.5</v>
      </c>
      <c r="V3932" s="1">
        <v>297.62352941176471</v>
      </c>
      <c r="W3932" s="1">
        <v>5</v>
      </c>
    </row>
    <row r="3933" spans="1:23" x14ac:dyDescent="0.2">
      <c r="A3933">
        <v>2022</v>
      </c>
      <c r="B3933" t="s">
        <v>23</v>
      </c>
      <c r="C3933" t="s">
        <v>272</v>
      </c>
      <c r="D3933">
        <v>70</v>
      </c>
      <c r="E3933">
        <v>2</v>
      </c>
      <c r="F3933">
        <v>4</v>
      </c>
      <c r="G3933" t="s">
        <v>94</v>
      </c>
      <c r="H3933">
        <v>6</v>
      </c>
      <c r="I3933">
        <v>54</v>
      </c>
      <c r="J3933">
        <v>59</v>
      </c>
      <c r="K3933">
        <v>5</v>
      </c>
      <c r="L3933">
        <v>144</v>
      </c>
      <c r="M3933">
        <v>24</v>
      </c>
      <c r="N3933">
        <v>3</v>
      </c>
      <c r="O3933">
        <v>3</v>
      </c>
      <c r="P3933">
        <v>5</v>
      </c>
      <c r="Q3933">
        <v>1.1200000000000001</v>
      </c>
      <c r="R3933">
        <v>8</v>
      </c>
      <c r="S3933">
        <v>1.6</v>
      </c>
      <c r="T3933">
        <v>3</v>
      </c>
      <c r="U3933">
        <v>12.5</v>
      </c>
      <c r="V3933">
        <v>4099.3464052287591</v>
      </c>
      <c r="W3933">
        <v>1</v>
      </c>
    </row>
    <row r="3934" spans="1:23" x14ac:dyDescent="0.2">
      <c r="A3934">
        <v>2022</v>
      </c>
      <c r="B3934" t="s">
        <v>23</v>
      </c>
      <c r="C3934" t="s">
        <v>272</v>
      </c>
      <c r="D3934">
        <v>71</v>
      </c>
      <c r="E3934">
        <v>1</v>
      </c>
      <c r="F3934">
        <v>7</v>
      </c>
      <c r="G3934" t="s">
        <v>95</v>
      </c>
      <c r="H3934" s="1">
        <v>10</v>
      </c>
      <c r="I3934" s="1">
        <v>59</v>
      </c>
      <c r="J3934" s="1">
        <v>63</v>
      </c>
      <c r="K3934" s="1">
        <f>J3934-I3934</f>
        <v>4</v>
      </c>
      <c r="L3934" s="1">
        <v>155</v>
      </c>
      <c r="M3934" s="1">
        <v>56</v>
      </c>
      <c r="N3934" s="1">
        <v>2</v>
      </c>
      <c r="O3934" s="1">
        <v>4</v>
      </c>
      <c r="P3934" s="1">
        <v>8</v>
      </c>
      <c r="Q3934" s="2">
        <v>0.50600000000000001</v>
      </c>
      <c r="R3934" s="1">
        <v>8</v>
      </c>
      <c r="S3934" s="1">
        <f>R3934/P3934</f>
        <v>1</v>
      </c>
      <c r="T3934" s="1">
        <v>2</v>
      </c>
      <c r="U3934" s="1">
        <v>12.5</v>
      </c>
      <c r="V3934" s="1">
        <v>1852.0261437908496</v>
      </c>
      <c r="W3934" s="1">
        <v>4</v>
      </c>
    </row>
    <row r="3935" spans="1:23" x14ac:dyDescent="0.2">
      <c r="A3935">
        <v>2022</v>
      </c>
      <c r="B3935" t="s">
        <v>23</v>
      </c>
      <c r="C3935" t="s">
        <v>272</v>
      </c>
      <c r="D3935">
        <v>71</v>
      </c>
      <c r="E3935">
        <v>2</v>
      </c>
      <c r="F3935">
        <v>13</v>
      </c>
      <c r="G3935" t="s">
        <v>95</v>
      </c>
      <c r="H3935" s="1">
        <v>4</v>
      </c>
      <c r="I3935" s="1">
        <v>60</v>
      </c>
      <c r="J3935" s="1">
        <v>64</v>
      </c>
      <c r="K3935" s="1">
        <f>J3935-I3935</f>
        <v>4</v>
      </c>
      <c r="L3935" s="1">
        <v>80</v>
      </c>
      <c r="M3935" s="1">
        <v>28</v>
      </c>
      <c r="N3935" s="1">
        <v>1.5</v>
      </c>
      <c r="O3935" s="1">
        <v>5</v>
      </c>
      <c r="P3935" s="1">
        <v>1</v>
      </c>
      <c r="Q3935" s="2">
        <v>4.5200000000000004E-2</v>
      </c>
      <c r="R3935" s="1">
        <v>1</v>
      </c>
      <c r="S3935" s="1">
        <f>R3935/P3935</f>
        <v>1</v>
      </c>
      <c r="T3935" s="1">
        <v>5</v>
      </c>
      <c r="U3935" s="1">
        <v>12.5</v>
      </c>
      <c r="V3935" s="1">
        <v>165.43790849673206</v>
      </c>
      <c r="W3935" s="1">
        <v>6</v>
      </c>
    </row>
    <row r="3936" spans="1:23" x14ac:dyDescent="0.2">
      <c r="A3936">
        <v>2022</v>
      </c>
      <c r="B3936" t="s">
        <v>23</v>
      </c>
      <c r="C3936" t="s">
        <v>272</v>
      </c>
      <c r="D3936">
        <v>72</v>
      </c>
      <c r="E3936">
        <v>1</v>
      </c>
      <c r="F3936">
        <v>4</v>
      </c>
      <c r="G3936" t="s">
        <v>96</v>
      </c>
      <c r="H3936" s="1">
        <v>2</v>
      </c>
      <c r="I3936" s="1">
        <v>60</v>
      </c>
      <c r="J3936" s="1">
        <v>65</v>
      </c>
      <c r="K3936" s="1">
        <f>J3936-I3936</f>
        <v>5</v>
      </c>
      <c r="L3936" s="1">
        <v>65</v>
      </c>
      <c r="M3936" s="1">
        <v>32</v>
      </c>
      <c r="N3936" s="1">
        <v>2</v>
      </c>
      <c r="O3936" s="1">
        <v>3.5</v>
      </c>
      <c r="P3936" s="1">
        <v>2</v>
      </c>
      <c r="Q3936" s="2">
        <v>0.21</v>
      </c>
      <c r="R3936" s="1">
        <v>3</v>
      </c>
      <c r="S3936" s="1">
        <f>R3936/P3936</f>
        <v>1.5</v>
      </c>
      <c r="T3936" s="1">
        <v>3</v>
      </c>
      <c r="U3936" s="1">
        <v>12.5</v>
      </c>
      <c r="V3936" s="1">
        <v>768.62745098039215</v>
      </c>
      <c r="W3936" s="1">
        <v>3</v>
      </c>
    </row>
    <row r="3937" spans="1:23" x14ac:dyDescent="0.2">
      <c r="A3937">
        <v>2022</v>
      </c>
      <c r="B3937" t="s">
        <v>23</v>
      </c>
      <c r="C3937" t="s">
        <v>272</v>
      </c>
      <c r="D3937">
        <v>72</v>
      </c>
      <c r="E3937">
        <v>2</v>
      </c>
      <c r="F3937">
        <v>13</v>
      </c>
      <c r="G3937" t="s">
        <v>96</v>
      </c>
      <c r="H3937">
        <v>15</v>
      </c>
      <c r="I3937">
        <v>55</v>
      </c>
      <c r="J3937">
        <v>58</v>
      </c>
      <c r="K3937">
        <v>3</v>
      </c>
      <c r="L3937">
        <v>135</v>
      </c>
      <c r="M3937">
        <v>60</v>
      </c>
      <c r="N3937">
        <v>2</v>
      </c>
      <c r="O3937">
        <v>2</v>
      </c>
      <c r="P3937">
        <v>8</v>
      </c>
      <c r="Q3937">
        <v>0.5</v>
      </c>
      <c r="R3937">
        <v>8</v>
      </c>
      <c r="S3937">
        <v>1</v>
      </c>
      <c r="T3937">
        <v>3</v>
      </c>
      <c r="U3937">
        <v>8.8000000000000007</v>
      </c>
      <c r="V3937">
        <v>1907.4509803921569</v>
      </c>
      <c r="W3937">
        <v>1</v>
      </c>
    </row>
    <row r="3938" spans="1:23" x14ac:dyDescent="0.2">
      <c r="A3938">
        <v>2022</v>
      </c>
      <c r="B3938" t="s">
        <v>23</v>
      </c>
      <c r="C3938" t="s">
        <v>272</v>
      </c>
      <c r="D3938">
        <v>73</v>
      </c>
      <c r="E3938">
        <v>1</v>
      </c>
      <c r="F3938">
        <v>6</v>
      </c>
      <c r="G3938" t="s">
        <v>97</v>
      </c>
      <c r="H3938">
        <v>12</v>
      </c>
      <c r="I3938">
        <v>56</v>
      </c>
      <c r="J3938">
        <v>62</v>
      </c>
      <c r="K3938">
        <v>6</v>
      </c>
      <c r="L3938">
        <v>171</v>
      </c>
      <c r="M3938">
        <v>27</v>
      </c>
      <c r="N3938">
        <v>4</v>
      </c>
      <c r="O3938">
        <v>3</v>
      </c>
      <c r="P3938">
        <v>10</v>
      </c>
      <c r="Q3938">
        <v>1.31</v>
      </c>
      <c r="R3938">
        <v>9</v>
      </c>
      <c r="S3938">
        <v>0.9</v>
      </c>
      <c r="T3938">
        <v>3</v>
      </c>
      <c r="U3938">
        <v>12.5</v>
      </c>
      <c r="V3938">
        <v>4794.7712418300653</v>
      </c>
      <c r="W3938">
        <v>2</v>
      </c>
    </row>
    <row r="3939" spans="1:23" x14ac:dyDescent="0.2">
      <c r="A3939">
        <v>2022</v>
      </c>
      <c r="B3939" t="s">
        <v>23</v>
      </c>
      <c r="C3939" t="s">
        <v>272</v>
      </c>
      <c r="D3939">
        <v>73</v>
      </c>
      <c r="E3939">
        <v>2</v>
      </c>
      <c r="F3939">
        <v>3</v>
      </c>
      <c r="G3939" t="s">
        <v>97</v>
      </c>
      <c r="H3939" s="1">
        <v>2</v>
      </c>
      <c r="I3939" s="1">
        <v>68</v>
      </c>
      <c r="J3939" s="1">
        <v>72</v>
      </c>
      <c r="K3939" s="1">
        <f>J3939-I3939</f>
        <v>4</v>
      </c>
      <c r="L3939" s="1">
        <v>102</v>
      </c>
      <c r="M3939" s="1">
        <v>47</v>
      </c>
      <c r="N3939" s="1">
        <v>2</v>
      </c>
      <c r="O3939" s="1">
        <v>3</v>
      </c>
      <c r="P3939" s="1">
        <v>2</v>
      </c>
      <c r="Q3939" s="2">
        <v>0.13700000000000001</v>
      </c>
      <c r="R3939" s="1">
        <v>2</v>
      </c>
      <c r="S3939" s="1">
        <f>R3939/P3939</f>
        <v>1</v>
      </c>
      <c r="T3939" s="1">
        <v>3</v>
      </c>
      <c r="U3939" s="1">
        <v>11.3</v>
      </c>
      <c r="V3939" s="1">
        <v>508.3147712418301</v>
      </c>
      <c r="W3939" s="1">
        <v>4</v>
      </c>
    </row>
    <row r="3940" spans="1:23" x14ac:dyDescent="0.2">
      <c r="A3940">
        <v>2022</v>
      </c>
      <c r="B3940" t="s">
        <v>23</v>
      </c>
      <c r="C3940" t="s">
        <v>272</v>
      </c>
      <c r="D3940">
        <v>74</v>
      </c>
      <c r="E3940">
        <v>1</v>
      </c>
      <c r="F3940">
        <v>12</v>
      </c>
      <c r="G3940" t="s">
        <v>98</v>
      </c>
      <c r="H3940">
        <v>12</v>
      </c>
      <c r="I3940">
        <v>58</v>
      </c>
      <c r="J3940">
        <v>60</v>
      </c>
      <c r="K3940">
        <v>2</v>
      </c>
      <c r="L3940">
        <v>108</v>
      </c>
      <c r="M3940">
        <v>31</v>
      </c>
      <c r="N3940">
        <v>2</v>
      </c>
      <c r="O3940">
        <v>2</v>
      </c>
      <c r="P3940">
        <v>11</v>
      </c>
      <c r="Q3940">
        <v>1.2</v>
      </c>
      <c r="R3940">
        <v>10</v>
      </c>
      <c r="S3940">
        <v>0.90909090909090906</v>
      </c>
      <c r="T3940">
        <v>2.5</v>
      </c>
      <c r="U3940">
        <v>12.5</v>
      </c>
      <c r="V3940">
        <v>4392.1568627450979</v>
      </c>
      <c r="W3940">
        <v>2</v>
      </c>
    </row>
    <row r="3941" spans="1:23" x14ac:dyDescent="0.2">
      <c r="A3941">
        <v>2022</v>
      </c>
      <c r="B3941" t="s">
        <v>23</v>
      </c>
      <c r="C3941" t="s">
        <v>272</v>
      </c>
      <c r="D3941">
        <v>74</v>
      </c>
      <c r="E3941">
        <v>2</v>
      </c>
      <c r="F3941">
        <v>4</v>
      </c>
      <c r="G3941" t="s">
        <v>98</v>
      </c>
      <c r="H3941">
        <v>8</v>
      </c>
      <c r="I3941">
        <v>56</v>
      </c>
      <c r="J3941">
        <v>58</v>
      </c>
      <c r="K3941">
        <v>2</v>
      </c>
      <c r="L3941">
        <v>107</v>
      </c>
      <c r="M3941">
        <v>33</v>
      </c>
      <c r="N3941">
        <v>4</v>
      </c>
      <c r="O3941">
        <v>4</v>
      </c>
      <c r="P3941">
        <v>4</v>
      </c>
      <c r="Q3941">
        <v>0.36199999999999999</v>
      </c>
      <c r="R3941">
        <v>3</v>
      </c>
      <c r="S3941">
        <v>0.75</v>
      </c>
      <c r="T3941">
        <v>3</v>
      </c>
      <c r="U3941">
        <v>12.5</v>
      </c>
      <c r="V3941">
        <v>1324.9673202614379</v>
      </c>
      <c r="W3941">
        <v>2</v>
      </c>
    </row>
    <row r="3942" spans="1:23" x14ac:dyDescent="0.2">
      <c r="A3942">
        <v>2022</v>
      </c>
      <c r="B3942" t="s">
        <v>23</v>
      </c>
      <c r="C3942" t="s">
        <v>272</v>
      </c>
      <c r="D3942">
        <v>75</v>
      </c>
      <c r="E3942">
        <v>1</v>
      </c>
      <c r="F3942">
        <v>14</v>
      </c>
      <c r="G3942" t="s">
        <v>99</v>
      </c>
      <c r="H3942" s="1">
        <v>9</v>
      </c>
      <c r="I3942" s="1">
        <v>66</v>
      </c>
      <c r="J3942" s="1">
        <v>71</v>
      </c>
      <c r="K3942" s="1">
        <f>J3942-I3942</f>
        <v>5</v>
      </c>
      <c r="L3942" s="1">
        <v>171</v>
      </c>
      <c r="M3942" s="1">
        <v>85</v>
      </c>
      <c r="N3942" s="1">
        <v>3</v>
      </c>
      <c r="O3942" s="1">
        <v>3</v>
      </c>
      <c r="P3942" s="1">
        <v>9</v>
      </c>
      <c r="Q3942" s="2">
        <v>0.24059999999999998</v>
      </c>
      <c r="R3942" s="1">
        <v>7</v>
      </c>
      <c r="S3942" s="1">
        <f>R3942/P3942</f>
        <v>0.77777777777777779</v>
      </c>
      <c r="T3942" s="1">
        <v>5</v>
      </c>
      <c r="U3942" s="1">
        <v>12.5</v>
      </c>
      <c r="V3942" s="1">
        <v>880.62745098039215</v>
      </c>
      <c r="W3942" s="1">
        <v>4</v>
      </c>
    </row>
    <row r="3943" spans="1:23" x14ac:dyDescent="0.2">
      <c r="A3943">
        <v>2022</v>
      </c>
      <c r="B3943" t="s">
        <v>23</v>
      </c>
      <c r="C3943" t="s">
        <v>272</v>
      </c>
      <c r="D3943">
        <v>75</v>
      </c>
      <c r="E3943">
        <v>2</v>
      </c>
      <c r="F3943">
        <v>4</v>
      </c>
      <c r="G3943" t="s">
        <v>99</v>
      </c>
      <c r="H3943">
        <v>11</v>
      </c>
      <c r="I3943">
        <v>60</v>
      </c>
      <c r="J3943">
        <v>62</v>
      </c>
      <c r="K3943">
        <v>2</v>
      </c>
      <c r="L3943">
        <v>156</v>
      </c>
      <c r="M3943">
        <v>62</v>
      </c>
      <c r="N3943">
        <v>1.5</v>
      </c>
      <c r="O3943">
        <v>2</v>
      </c>
      <c r="P3943">
        <v>11</v>
      </c>
      <c r="Q3943">
        <v>1.5</v>
      </c>
      <c r="R3943">
        <v>12</v>
      </c>
      <c r="S3943">
        <v>1.0909090909090908</v>
      </c>
      <c r="T3943">
        <v>2</v>
      </c>
      <c r="U3943">
        <v>12.5</v>
      </c>
      <c r="V3943">
        <v>5490.1960784313724</v>
      </c>
      <c r="W3943">
        <v>1</v>
      </c>
    </row>
    <row r="3944" spans="1:23" x14ac:dyDescent="0.2">
      <c r="A3944">
        <v>2022</v>
      </c>
      <c r="B3944" t="s">
        <v>23</v>
      </c>
      <c r="C3944" t="s">
        <v>272</v>
      </c>
      <c r="D3944">
        <v>76</v>
      </c>
      <c r="E3944">
        <v>1</v>
      </c>
      <c r="F3944">
        <v>3</v>
      </c>
      <c r="G3944" t="s">
        <v>100</v>
      </c>
      <c r="H3944" s="1">
        <v>5</v>
      </c>
      <c r="I3944" s="1">
        <v>68</v>
      </c>
      <c r="J3944" s="1">
        <v>72</v>
      </c>
      <c r="K3944" s="1">
        <f t="shared" ref="K3944:K3950" si="208">J3944-I3944</f>
        <v>4</v>
      </c>
      <c r="L3944" s="1">
        <v>154</v>
      </c>
      <c r="M3944" s="1">
        <v>62</v>
      </c>
      <c r="N3944" s="1">
        <v>2</v>
      </c>
      <c r="O3944" s="1">
        <v>3</v>
      </c>
      <c r="P3944" s="1">
        <v>5</v>
      </c>
      <c r="Q3944" s="2">
        <v>0.53520000000000001</v>
      </c>
      <c r="R3944" s="1">
        <v>5</v>
      </c>
      <c r="S3944" s="1">
        <f t="shared" ref="S3944:S3950" si="209">R3944/P3944</f>
        <v>1</v>
      </c>
      <c r="T3944" s="1">
        <v>4</v>
      </c>
      <c r="U3944" s="1">
        <v>12.5</v>
      </c>
      <c r="V3944" s="1">
        <v>1958.9019607843138</v>
      </c>
      <c r="W3944" s="1">
        <v>4</v>
      </c>
    </row>
    <row r="3945" spans="1:23" x14ac:dyDescent="0.2">
      <c r="A3945">
        <v>2022</v>
      </c>
      <c r="B3945" t="s">
        <v>23</v>
      </c>
      <c r="C3945" t="s">
        <v>272</v>
      </c>
      <c r="D3945">
        <v>76</v>
      </c>
      <c r="E3945">
        <v>2</v>
      </c>
      <c r="F3945">
        <v>2</v>
      </c>
      <c r="G3945" t="s">
        <v>100</v>
      </c>
      <c r="H3945" s="1">
        <v>6</v>
      </c>
      <c r="I3945" s="1">
        <v>66</v>
      </c>
      <c r="J3945" s="1">
        <v>70</v>
      </c>
      <c r="K3945" s="1">
        <f t="shared" si="208"/>
        <v>4</v>
      </c>
      <c r="L3945" s="1">
        <v>56</v>
      </c>
      <c r="M3945" s="1">
        <v>11</v>
      </c>
      <c r="N3945" s="1">
        <v>3</v>
      </c>
      <c r="O3945" s="1">
        <v>5</v>
      </c>
      <c r="P3945" s="1">
        <v>1</v>
      </c>
      <c r="Q3945" s="2">
        <v>5.5E-2</v>
      </c>
      <c r="R3945" s="1">
        <v>1</v>
      </c>
      <c r="S3945" s="1">
        <f t="shared" si="209"/>
        <v>1</v>
      </c>
      <c r="T3945" s="1">
        <v>5</v>
      </c>
      <c r="U3945" s="1">
        <v>12.5</v>
      </c>
      <c r="V3945" s="1">
        <v>201.30718954248366</v>
      </c>
      <c r="W3945" s="1">
        <v>7</v>
      </c>
    </row>
    <row r="3946" spans="1:23" x14ac:dyDescent="0.2">
      <c r="A3946">
        <v>2022</v>
      </c>
      <c r="B3946" t="s">
        <v>23</v>
      </c>
      <c r="C3946" t="s">
        <v>272</v>
      </c>
      <c r="D3946">
        <v>77</v>
      </c>
      <c r="E3946">
        <v>1</v>
      </c>
      <c r="F3946">
        <v>3</v>
      </c>
      <c r="G3946" t="s">
        <v>101</v>
      </c>
      <c r="H3946" s="1">
        <v>10</v>
      </c>
      <c r="I3946" s="1">
        <v>68</v>
      </c>
      <c r="J3946" s="1">
        <v>70</v>
      </c>
      <c r="K3946" s="1">
        <f t="shared" si="208"/>
        <v>2</v>
      </c>
      <c r="L3946" s="1">
        <v>193</v>
      </c>
      <c r="M3946" s="1">
        <v>93</v>
      </c>
      <c r="N3946" s="1">
        <v>2</v>
      </c>
      <c r="O3946" s="1">
        <v>4</v>
      </c>
      <c r="P3946" s="1">
        <v>7</v>
      </c>
      <c r="Q3946" s="2">
        <v>0.66552</v>
      </c>
      <c r="R3946" s="1">
        <v>7</v>
      </c>
      <c r="S3946" s="1">
        <f t="shared" si="209"/>
        <v>1</v>
      </c>
      <c r="T3946" s="1">
        <v>5</v>
      </c>
      <c r="U3946" s="1">
        <v>6.9</v>
      </c>
      <c r="V3946" s="1">
        <v>2591.7871686274511</v>
      </c>
      <c r="W3946" s="1">
        <v>7</v>
      </c>
    </row>
    <row r="3947" spans="1:23" x14ac:dyDescent="0.2">
      <c r="A3947">
        <v>2022</v>
      </c>
      <c r="B3947" t="s">
        <v>23</v>
      </c>
      <c r="C3947" t="s">
        <v>272</v>
      </c>
      <c r="D3947">
        <v>77</v>
      </c>
      <c r="E3947">
        <v>2</v>
      </c>
      <c r="F3947">
        <v>12</v>
      </c>
      <c r="G3947" t="s">
        <v>101</v>
      </c>
      <c r="H3947" s="1">
        <v>15</v>
      </c>
      <c r="I3947" s="1">
        <v>63</v>
      </c>
      <c r="J3947" s="1">
        <v>68</v>
      </c>
      <c r="K3947" s="1">
        <f t="shared" si="208"/>
        <v>5</v>
      </c>
      <c r="L3947" s="1">
        <v>130</v>
      </c>
      <c r="M3947" s="1">
        <v>88</v>
      </c>
      <c r="N3947" s="1">
        <v>2</v>
      </c>
      <c r="O3947" s="1">
        <v>3</v>
      </c>
      <c r="P3947" s="1">
        <f>H3947</f>
        <v>15</v>
      </c>
      <c r="Q3947" s="2">
        <v>0.73499999999999999</v>
      </c>
      <c r="R3947" s="1">
        <v>12</v>
      </c>
      <c r="S3947" s="1">
        <f t="shared" si="209"/>
        <v>0.8</v>
      </c>
      <c r="T3947" s="1">
        <v>5</v>
      </c>
      <c r="U3947" s="1">
        <v>12.5</v>
      </c>
      <c r="V3947" s="1">
        <v>2690.1960784313724</v>
      </c>
      <c r="W3947" s="1">
        <v>4</v>
      </c>
    </row>
    <row r="3948" spans="1:23" x14ac:dyDescent="0.2">
      <c r="A3948">
        <v>2022</v>
      </c>
      <c r="B3948" t="s">
        <v>23</v>
      </c>
      <c r="C3948" t="s">
        <v>272</v>
      </c>
      <c r="D3948">
        <v>78</v>
      </c>
      <c r="E3948">
        <v>1</v>
      </c>
      <c r="F3948">
        <v>1</v>
      </c>
      <c r="G3948" t="s">
        <v>102</v>
      </c>
      <c r="H3948" s="1">
        <v>12</v>
      </c>
      <c r="I3948" s="1">
        <v>68</v>
      </c>
      <c r="J3948" s="1">
        <v>70</v>
      </c>
      <c r="K3948" s="1">
        <f t="shared" si="208"/>
        <v>2</v>
      </c>
      <c r="L3948" s="1">
        <v>166</v>
      </c>
      <c r="M3948" s="1">
        <v>100</v>
      </c>
      <c r="N3948" s="1">
        <v>2</v>
      </c>
      <c r="O3948" s="1">
        <v>2</v>
      </c>
      <c r="P3948" s="1">
        <f>H3948</f>
        <v>12</v>
      </c>
      <c r="Q3948" s="2">
        <v>6.9750000000000006E-2</v>
      </c>
      <c r="R3948" s="1">
        <v>10</v>
      </c>
      <c r="S3948" s="1">
        <f t="shared" si="209"/>
        <v>0.83333333333333337</v>
      </c>
      <c r="T3948" s="1">
        <v>5</v>
      </c>
      <c r="U3948" s="1">
        <v>12.5</v>
      </c>
      <c r="V3948" s="1">
        <v>255.29411764705881</v>
      </c>
      <c r="W3948" s="1">
        <v>4</v>
      </c>
    </row>
    <row r="3949" spans="1:23" x14ac:dyDescent="0.2">
      <c r="A3949">
        <v>2022</v>
      </c>
      <c r="B3949" t="s">
        <v>23</v>
      </c>
      <c r="C3949" t="s">
        <v>272</v>
      </c>
      <c r="D3949">
        <v>78</v>
      </c>
      <c r="E3949">
        <v>2</v>
      </c>
      <c r="F3949">
        <v>13</v>
      </c>
      <c r="G3949" t="s">
        <v>102</v>
      </c>
      <c r="H3949" s="1">
        <v>13</v>
      </c>
      <c r="I3949" s="1">
        <v>62</v>
      </c>
      <c r="J3949" s="1">
        <v>67</v>
      </c>
      <c r="K3949" s="1">
        <f t="shared" si="208"/>
        <v>5</v>
      </c>
      <c r="L3949" s="1">
        <v>162</v>
      </c>
      <c r="M3949" s="1">
        <v>83</v>
      </c>
      <c r="N3949" s="1">
        <v>2</v>
      </c>
      <c r="O3949" s="1">
        <v>3</v>
      </c>
      <c r="P3949" s="1">
        <v>11</v>
      </c>
      <c r="Q3949" s="2">
        <v>0.70420000000000005</v>
      </c>
      <c r="R3949" s="1">
        <v>7</v>
      </c>
      <c r="S3949" s="1">
        <f t="shared" si="209"/>
        <v>0.63636363636363635</v>
      </c>
      <c r="T3949" s="1">
        <v>5</v>
      </c>
      <c r="U3949" s="1">
        <v>12.5</v>
      </c>
      <c r="V3949" s="1">
        <v>2577.4640522875825</v>
      </c>
      <c r="W3949" s="1">
        <v>5</v>
      </c>
    </row>
    <row r="3950" spans="1:23" x14ac:dyDescent="0.2">
      <c r="A3950">
        <v>2022</v>
      </c>
      <c r="B3950" t="s">
        <v>23</v>
      </c>
      <c r="C3950" t="s">
        <v>272</v>
      </c>
      <c r="D3950">
        <v>79</v>
      </c>
      <c r="E3950">
        <v>1</v>
      </c>
      <c r="F3950">
        <v>10</v>
      </c>
      <c r="G3950" t="s">
        <v>103</v>
      </c>
      <c r="H3950" s="1">
        <v>6</v>
      </c>
      <c r="I3950" s="1">
        <v>64</v>
      </c>
      <c r="J3950" s="1">
        <v>69</v>
      </c>
      <c r="K3950" s="1">
        <f t="shared" si="208"/>
        <v>5</v>
      </c>
      <c r="L3950" s="1">
        <v>115</v>
      </c>
      <c r="M3950" s="1">
        <v>51</v>
      </c>
      <c r="N3950" s="1">
        <v>1.5</v>
      </c>
      <c r="O3950" s="1">
        <v>4.5</v>
      </c>
      <c r="P3950" s="1">
        <v>3</v>
      </c>
      <c r="Q3950" s="2">
        <v>0.13</v>
      </c>
      <c r="R3950" s="1">
        <v>2</v>
      </c>
      <c r="S3950" s="1">
        <f t="shared" si="209"/>
        <v>0.66666666666666663</v>
      </c>
      <c r="T3950" s="1">
        <v>3</v>
      </c>
      <c r="U3950" s="1">
        <v>12.5</v>
      </c>
      <c r="V3950" s="1">
        <v>475.81699346405225</v>
      </c>
      <c r="W3950" s="1">
        <v>5</v>
      </c>
    </row>
    <row r="3951" spans="1:23" x14ac:dyDescent="0.2">
      <c r="A3951">
        <v>2022</v>
      </c>
      <c r="B3951" t="s">
        <v>23</v>
      </c>
      <c r="C3951" t="s">
        <v>272</v>
      </c>
      <c r="D3951">
        <v>79</v>
      </c>
      <c r="E3951">
        <v>2</v>
      </c>
      <c r="F3951">
        <v>9</v>
      </c>
      <c r="G3951" t="s">
        <v>103</v>
      </c>
      <c r="H3951">
        <v>6</v>
      </c>
      <c r="I3951">
        <v>60</v>
      </c>
      <c r="J3951">
        <v>62</v>
      </c>
      <c r="K3951">
        <v>2</v>
      </c>
      <c r="L3951">
        <v>181</v>
      </c>
      <c r="M3951">
        <v>61</v>
      </c>
      <c r="N3951">
        <v>2</v>
      </c>
      <c r="O3951">
        <v>3</v>
      </c>
      <c r="P3951">
        <v>6</v>
      </c>
      <c r="Q3951">
        <v>0.7</v>
      </c>
      <c r="R3951">
        <v>7</v>
      </c>
      <c r="S3951">
        <v>1.1666666666666667</v>
      </c>
      <c r="T3951">
        <v>2</v>
      </c>
      <c r="U3951">
        <v>12.5</v>
      </c>
      <c r="V3951">
        <v>2562.0915032679736</v>
      </c>
      <c r="W3951">
        <v>1</v>
      </c>
    </row>
    <row r="3952" spans="1:23" x14ac:dyDescent="0.2">
      <c r="A3952">
        <v>2022</v>
      </c>
      <c r="B3952" t="s">
        <v>23</v>
      </c>
      <c r="C3952" t="s">
        <v>272</v>
      </c>
      <c r="D3952">
        <v>80</v>
      </c>
      <c r="E3952">
        <v>1</v>
      </c>
      <c r="F3952">
        <v>11</v>
      </c>
      <c r="G3952" t="s">
        <v>104</v>
      </c>
      <c r="H3952">
        <v>16</v>
      </c>
      <c r="I3952">
        <v>57</v>
      </c>
      <c r="J3952">
        <v>60</v>
      </c>
      <c r="K3952">
        <v>3</v>
      </c>
      <c r="L3952">
        <v>190</v>
      </c>
      <c r="M3952">
        <v>90</v>
      </c>
      <c r="N3952">
        <v>2</v>
      </c>
      <c r="O3952">
        <v>2</v>
      </c>
      <c r="P3952">
        <v>16</v>
      </c>
      <c r="Q3952">
        <v>1.6</v>
      </c>
      <c r="R3952">
        <v>16</v>
      </c>
      <c r="S3952">
        <v>1</v>
      </c>
      <c r="T3952">
        <v>2</v>
      </c>
      <c r="U3952">
        <v>11.1</v>
      </c>
      <c r="V3952">
        <v>5949.9084967320268</v>
      </c>
      <c r="W3952">
        <v>1</v>
      </c>
    </row>
    <row r="3953" spans="1:23" x14ac:dyDescent="0.2">
      <c r="A3953">
        <v>2022</v>
      </c>
      <c r="B3953" t="s">
        <v>23</v>
      </c>
      <c r="C3953" t="s">
        <v>272</v>
      </c>
      <c r="D3953">
        <v>80</v>
      </c>
      <c r="E3953">
        <v>2</v>
      </c>
      <c r="F3953">
        <v>7</v>
      </c>
      <c r="G3953" t="s">
        <v>104</v>
      </c>
      <c r="H3953" s="1">
        <v>13</v>
      </c>
      <c r="I3953" s="1">
        <v>61</v>
      </c>
      <c r="J3953" s="1">
        <v>66</v>
      </c>
      <c r="K3953" s="1">
        <f>J3953-I3953</f>
        <v>5</v>
      </c>
      <c r="L3953" s="1">
        <v>104</v>
      </c>
      <c r="M3953" s="1">
        <v>62</v>
      </c>
      <c r="N3953" s="1">
        <v>3.5</v>
      </c>
      <c r="O3953" s="1">
        <v>4</v>
      </c>
      <c r="P3953" s="1">
        <v>10</v>
      </c>
      <c r="Q3953" s="2">
        <v>0.25600000000000001</v>
      </c>
      <c r="R3953" s="1">
        <v>10</v>
      </c>
      <c r="S3953" s="1">
        <f>R3953/P3953</f>
        <v>1</v>
      </c>
      <c r="T3953" s="1">
        <v>3</v>
      </c>
      <c r="U3953" s="1">
        <v>12.5</v>
      </c>
      <c r="V3953" s="1">
        <v>936.99346405228766</v>
      </c>
      <c r="W3953" s="1">
        <v>5</v>
      </c>
    </row>
    <row r="3954" spans="1:23" x14ac:dyDescent="0.2">
      <c r="A3954">
        <v>2022</v>
      </c>
      <c r="B3954" t="s">
        <v>23</v>
      </c>
      <c r="C3954" t="s">
        <v>272</v>
      </c>
      <c r="D3954">
        <v>81</v>
      </c>
      <c r="E3954">
        <v>1</v>
      </c>
      <c r="F3954">
        <v>15</v>
      </c>
      <c r="G3954" t="s">
        <v>105</v>
      </c>
      <c r="H3954" s="1">
        <v>6</v>
      </c>
      <c r="I3954" s="1">
        <v>64</v>
      </c>
      <c r="J3954" s="1">
        <v>68</v>
      </c>
      <c r="K3954" s="1">
        <f>J3954-I3954</f>
        <v>4</v>
      </c>
      <c r="L3954" s="1">
        <v>163</v>
      </c>
      <c r="M3954" s="1">
        <v>70</v>
      </c>
      <c r="N3954" s="1">
        <v>2</v>
      </c>
      <c r="O3954" s="1">
        <v>2</v>
      </c>
      <c r="P3954" s="1">
        <v>6</v>
      </c>
      <c r="Q3954" s="2">
        <v>0.32</v>
      </c>
      <c r="R3954" s="1">
        <v>6</v>
      </c>
      <c r="S3954" s="1">
        <f>R3954/P3954</f>
        <v>1</v>
      </c>
      <c r="T3954" s="1">
        <v>3</v>
      </c>
      <c r="U3954" s="1">
        <v>12.5</v>
      </c>
      <c r="V3954" s="1">
        <v>1171.2418300653596</v>
      </c>
      <c r="W3954" s="1">
        <v>4</v>
      </c>
    </row>
    <row r="3955" spans="1:23" x14ac:dyDescent="0.2">
      <c r="A3955">
        <v>2022</v>
      </c>
      <c r="B3955" t="s">
        <v>23</v>
      </c>
      <c r="C3955" t="s">
        <v>272</v>
      </c>
      <c r="D3955">
        <v>81</v>
      </c>
      <c r="E3955">
        <v>2</v>
      </c>
      <c r="F3955">
        <v>2</v>
      </c>
      <c r="G3955" t="s">
        <v>105</v>
      </c>
      <c r="H3955" s="1">
        <v>9</v>
      </c>
      <c r="I3955" s="1">
        <v>64</v>
      </c>
      <c r="J3955" s="1">
        <v>67</v>
      </c>
      <c r="K3955" s="1">
        <f>J3955-I3955</f>
        <v>3</v>
      </c>
      <c r="L3955" s="1">
        <v>147</v>
      </c>
      <c r="M3955" s="1">
        <v>77</v>
      </c>
      <c r="N3955" s="1">
        <v>2</v>
      </c>
      <c r="O3955" s="1">
        <v>4</v>
      </c>
      <c r="P3955" s="1">
        <v>2</v>
      </c>
      <c r="Q3955" s="2">
        <v>0.21919999999999998</v>
      </c>
      <c r="R3955" s="1">
        <v>3</v>
      </c>
      <c r="S3955" s="1">
        <f>R3955/P3955</f>
        <v>1.5</v>
      </c>
      <c r="T3955" s="1">
        <v>5</v>
      </c>
      <c r="U3955" s="1">
        <v>12.5</v>
      </c>
      <c r="V3955" s="1">
        <v>802.30065359477123</v>
      </c>
      <c r="W3955" s="1">
        <v>4</v>
      </c>
    </row>
    <row r="3956" spans="1:23" x14ac:dyDescent="0.2">
      <c r="A3956">
        <v>2022</v>
      </c>
      <c r="B3956" t="s">
        <v>23</v>
      </c>
      <c r="C3956" t="s">
        <v>272</v>
      </c>
      <c r="D3956">
        <v>82</v>
      </c>
      <c r="E3956">
        <v>1</v>
      </c>
      <c r="F3956">
        <v>10</v>
      </c>
      <c r="G3956" t="s">
        <v>106</v>
      </c>
      <c r="H3956">
        <v>5</v>
      </c>
      <c r="I3956">
        <v>63</v>
      </c>
      <c r="J3956">
        <v>67</v>
      </c>
      <c r="K3956">
        <v>4</v>
      </c>
      <c r="L3956">
        <v>115</v>
      </c>
      <c r="M3956">
        <v>61</v>
      </c>
      <c r="N3956">
        <v>2</v>
      </c>
      <c r="O3956">
        <v>3</v>
      </c>
      <c r="P3956">
        <v>5</v>
      </c>
      <c r="Q3956">
        <v>0.6</v>
      </c>
      <c r="R3956">
        <v>6</v>
      </c>
      <c r="S3956">
        <v>1.2</v>
      </c>
      <c r="T3956">
        <v>3</v>
      </c>
      <c r="U3956">
        <v>12.5</v>
      </c>
      <c r="V3956">
        <v>2196.0784313725489</v>
      </c>
      <c r="W3956">
        <v>1</v>
      </c>
    </row>
    <row r="3957" spans="1:23" x14ac:dyDescent="0.2">
      <c r="A3957">
        <v>2022</v>
      </c>
      <c r="B3957" t="s">
        <v>23</v>
      </c>
      <c r="C3957" t="s">
        <v>272</v>
      </c>
      <c r="D3957">
        <v>82</v>
      </c>
      <c r="E3957">
        <v>2</v>
      </c>
      <c r="F3957">
        <v>1</v>
      </c>
      <c r="G3957" t="s">
        <v>106</v>
      </c>
      <c r="H3957">
        <v>14</v>
      </c>
      <c r="I3957">
        <v>52</v>
      </c>
      <c r="J3957">
        <v>54</v>
      </c>
      <c r="K3957">
        <v>2</v>
      </c>
      <c r="L3957">
        <v>140</v>
      </c>
      <c r="M3957">
        <v>58</v>
      </c>
      <c r="N3957">
        <v>1</v>
      </c>
      <c r="O3957">
        <v>2.5</v>
      </c>
      <c r="P3957">
        <v>12</v>
      </c>
      <c r="Q3957">
        <v>1.2</v>
      </c>
      <c r="R3957">
        <v>11</v>
      </c>
      <c r="S3957">
        <v>0.91666666666666663</v>
      </c>
      <c r="T3957">
        <v>4</v>
      </c>
      <c r="U3957">
        <v>9.6</v>
      </c>
      <c r="V3957">
        <v>4537.7254901960787</v>
      </c>
      <c r="W3957">
        <v>1</v>
      </c>
    </row>
    <row r="3958" spans="1:23" x14ac:dyDescent="0.2">
      <c r="A3958">
        <v>2022</v>
      </c>
      <c r="B3958" t="s">
        <v>23</v>
      </c>
      <c r="C3958" t="s">
        <v>272</v>
      </c>
      <c r="D3958">
        <v>83</v>
      </c>
      <c r="E3958">
        <v>1</v>
      </c>
      <c r="F3958">
        <v>9</v>
      </c>
      <c r="G3958" t="s">
        <v>107</v>
      </c>
      <c r="H3958" s="1">
        <v>9</v>
      </c>
      <c r="I3958" s="1">
        <v>65</v>
      </c>
      <c r="J3958" s="1">
        <v>70</v>
      </c>
      <c r="K3958" s="1">
        <f>J3958-I3958</f>
        <v>5</v>
      </c>
      <c r="L3958" s="1">
        <v>86</v>
      </c>
      <c r="M3958" s="1">
        <v>51</v>
      </c>
      <c r="N3958" s="1">
        <v>2</v>
      </c>
      <c r="O3958" s="1">
        <v>3.5</v>
      </c>
      <c r="P3958" s="1">
        <v>9</v>
      </c>
      <c r="Q3958" s="2">
        <v>0.38200000000000001</v>
      </c>
      <c r="R3958" s="1">
        <v>9</v>
      </c>
      <c r="S3958" s="1">
        <f>R3958/P3958</f>
        <v>1</v>
      </c>
      <c r="T3958" s="1">
        <v>3</v>
      </c>
      <c r="U3958" s="1">
        <v>12.5</v>
      </c>
      <c r="V3958" s="1">
        <v>1398.169934640523</v>
      </c>
      <c r="W3958" s="1">
        <v>5</v>
      </c>
    </row>
    <row r="3959" spans="1:23" x14ac:dyDescent="0.2">
      <c r="A3959">
        <v>2022</v>
      </c>
      <c r="B3959" t="s">
        <v>23</v>
      </c>
      <c r="C3959" t="s">
        <v>272</v>
      </c>
      <c r="D3959">
        <v>83</v>
      </c>
      <c r="E3959">
        <v>2</v>
      </c>
      <c r="F3959">
        <v>3</v>
      </c>
      <c r="G3959" t="s">
        <v>107</v>
      </c>
      <c r="H3959" s="1">
        <v>10</v>
      </c>
      <c r="I3959" s="1">
        <v>68</v>
      </c>
      <c r="J3959" s="1">
        <v>71</v>
      </c>
      <c r="K3959" s="1">
        <f>J3959-I3959</f>
        <v>3</v>
      </c>
      <c r="L3959" s="1">
        <v>150</v>
      </c>
      <c r="M3959" s="1">
        <v>55</v>
      </c>
      <c r="N3959" s="1">
        <v>2</v>
      </c>
      <c r="O3959" s="1">
        <v>4</v>
      </c>
      <c r="P3959" s="1">
        <v>8</v>
      </c>
      <c r="Q3959" s="2">
        <v>0.35699999999999998</v>
      </c>
      <c r="R3959" s="1">
        <v>6</v>
      </c>
      <c r="S3959" s="1">
        <f>R3959/P3959</f>
        <v>0.75</v>
      </c>
      <c r="T3959" s="1">
        <v>4</v>
      </c>
      <c r="U3959" s="1">
        <v>12.5</v>
      </c>
      <c r="V3959" s="1">
        <v>1306.6666666666667</v>
      </c>
      <c r="W3959" s="1">
        <v>4</v>
      </c>
    </row>
    <row r="3960" spans="1:23" x14ac:dyDescent="0.2">
      <c r="A3960">
        <v>2022</v>
      </c>
      <c r="B3960" t="s">
        <v>23</v>
      </c>
      <c r="C3960" t="s">
        <v>272</v>
      </c>
      <c r="D3960">
        <v>84</v>
      </c>
      <c r="E3960">
        <v>1</v>
      </c>
      <c r="F3960">
        <v>12</v>
      </c>
      <c r="G3960" t="s">
        <v>108</v>
      </c>
      <c r="H3960" s="1">
        <v>10</v>
      </c>
      <c r="I3960" s="1">
        <v>62</v>
      </c>
      <c r="J3960" s="1">
        <v>67</v>
      </c>
      <c r="K3960" s="1">
        <f>J3960-I3960</f>
        <v>5</v>
      </c>
      <c r="L3960" s="1">
        <v>100</v>
      </c>
      <c r="M3960" s="1">
        <v>32</v>
      </c>
      <c r="N3960" s="1">
        <v>2.5</v>
      </c>
      <c r="O3960" s="1">
        <v>5</v>
      </c>
      <c r="P3960" s="1">
        <v>6</v>
      </c>
      <c r="Q3960" s="2">
        <v>0.126</v>
      </c>
      <c r="R3960" s="1">
        <v>4</v>
      </c>
      <c r="S3960" s="1">
        <f>R3960/P3960</f>
        <v>0.66666666666666663</v>
      </c>
      <c r="T3960" s="1">
        <v>4</v>
      </c>
      <c r="U3960" s="1">
        <v>12.5</v>
      </c>
      <c r="V3960" s="1">
        <v>461.17647058823536</v>
      </c>
      <c r="W3960" s="1">
        <v>5</v>
      </c>
    </row>
    <row r="3961" spans="1:23" x14ac:dyDescent="0.2">
      <c r="A3961">
        <v>2022</v>
      </c>
      <c r="B3961" t="s">
        <v>23</v>
      </c>
      <c r="C3961" t="s">
        <v>272</v>
      </c>
      <c r="D3961">
        <v>84</v>
      </c>
      <c r="E3961">
        <v>2</v>
      </c>
      <c r="F3961">
        <v>4</v>
      </c>
      <c r="G3961" t="s">
        <v>108</v>
      </c>
      <c r="H3961" s="1">
        <v>6</v>
      </c>
      <c r="I3961" s="1">
        <v>62</v>
      </c>
      <c r="J3961" s="1">
        <v>67</v>
      </c>
      <c r="K3961" s="1">
        <f>J3961-I3961</f>
        <v>5</v>
      </c>
      <c r="L3961" s="1">
        <v>120</v>
      </c>
      <c r="M3961" s="1">
        <v>46</v>
      </c>
      <c r="N3961" s="1">
        <v>2</v>
      </c>
      <c r="O3961" s="1">
        <v>4</v>
      </c>
      <c r="P3961" s="1">
        <v>3</v>
      </c>
      <c r="Q3961" s="2">
        <v>0.13</v>
      </c>
      <c r="R3961" s="1">
        <v>3</v>
      </c>
      <c r="S3961" s="1">
        <f>R3961/P3961</f>
        <v>1</v>
      </c>
      <c r="T3961" s="1">
        <v>4</v>
      </c>
      <c r="U3961" s="1">
        <v>12.5</v>
      </c>
      <c r="V3961" s="1">
        <v>475.81699346405225</v>
      </c>
      <c r="W3961" s="1">
        <v>4</v>
      </c>
    </row>
    <row r="3962" spans="1:23" x14ac:dyDescent="0.2">
      <c r="A3962">
        <v>2022</v>
      </c>
      <c r="B3962" t="s">
        <v>23</v>
      </c>
      <c r="C3962" t="s">
        <v>272</v>
      </c>
      <c r="D3962">
        <v>85</v>
      </c>
      <c r="E3962">
        <v>1</v>
      </c>
      <c r="F3962">
        <v>5</v>
      </c>
      <c r="G3962" t="s">
        <v>109</v>
      </c>
      <c r="H3962">
        <v>11</v>
      </c>
      <c r="I3962">
        <v>53</v>
      </c>
      <c r="J3962">
        <v>55</v>
      </c>
      <c r="K3962">
        <v>2</v>
      </c>
      <c r="L3962">
        <v>133</v>
      </c>
      <c r="M3962">
        <v>29</v>
      </c>
      <c r="N3962">
        <v>1</v>
      </c>
      <c r="O3962">
        <v>1.5</v>
      </c>
      <c r="P3962">
        <v>8</v>
      </c>
      <c r="Q3962">
        <v>1</v>
      </c>
      <c r="R3962">
        <v>8</v>
      </c>
      <c r="S3962">
        <v>1</v>
      </c>
      <c r="T3962">
        <v>2</v>
      </c>
      <c r="U3962">
        <v>9</v>
      </c>
      <c r="V3962">
        <v>3806.535947712418</v>
      </c>
      <c r="W3962">
        <v>2</v>
      </c>
    </row>
    <row r="3963" spans="1:23" x14ac:dyDescent="0.2">
      <c r="A3963">
        <v>2022</v>
      </c>
      <c r="B3963" t="s">
        <v>23</v>
      </c>
      <c r="C3963" t="s">
        <v>272</v>
      </c>
      <c r="D3963">
        <v>85</v>
      </c>
      <c r="E3963">
        <v>2</v>
      </c>
      <c r="F3963">
        <v>11</v>
      </c>
      <c r="G3963" t="s">
        <v>109</v>
      </c>
      <c r="H3963" s="1">
        <v>13</v>
      </c>
      <c r="I3963" s="1">
        <v>63</v>
      </c>
      <c r="J3963" s="1">
        <v>68</v>
      </c>
      <c r="K3963" s="1">
        <f>J3963-I3963</f>
        <v>5</v>
      </c>
      <c r="L3963" s="1">
        <v>190</v>
      </c>
      <c r="M3963" s="1">
        <v>112</v>
      </c>
      <c r="N3963" s="1">
        <v>1</v>
      </c>
      <c r="O3963" s="1">
        <v>2.5</v>
      </c>
      <c r="P3963" s="1">
        <v>11</v>
      </c>
      <c r="Q3963" s="2">
        <v>0.74</v>
      </c>
      <c r="R3963" s="1">
        <v>11</v>
      </c>
      <c r="S3963" s="1">
        <f>R3963/P3963</f>
        <v>1</v>
      </c>
      <c r="T3963" s="1">
        <v>3</v>
      </c>
      <c r="U3963" s="1">
        <v>9.8000000000000007</v>
      </c>
      <c r="V3963" s="1">
        <v>2792.0732026143792</v>
      </c>
      <c r="W3963" s="1">
        <v>3</v>
      </c>
    </row>
    <row r="3964" spans="1:23" x14ac:dyDescent="0.2">
      <c r="A3964">
        <v>2022</v>
      </c>
      <c r="B3964" t="s">
        <v>23</v>
      </c>
      <c r="C3964" t="s">
        <v>272</v>
      </c>
      <c r="D3964">
        <v>86</v>
      </c>
      <c r="E3964">
        <v>1</v>
      </c>
      <c r="F3964">
        <v>6</v>
      </c>
      <c r="G3964" t="s">
        <v>110</v>
      </c>
      <c r="H3964" s="1">
        <v>6</v>
      </c>
      <c r="I3964" s="1">
        <v>62</v>
      </c>
      <c r="J3964" s="1">
        <v>67</v>
      </c>
      <c r="K3964" s="1">
        <f>J3964-I3964</f>
        <v>5</v>
      </c>
      <c r="L3964" s="1">
        <v>120</v>
      </c>
      <c r="M3964" s="1">
        <v>46</v>
      </c>
      <c r="N3964" s="1">
        <v>2</v>
      </c>
      <c r="O3964" s="1">
        <v>4</v>
      </c>
      <c r="P3964" s="1">
        <v>3</v>
      </c>
      <c r="Q3964" s="2">
        <v>0.13</v>
      </c>
      <c r="R3964" s="1">
        <v>3</v>
      </c>
      <c r="S3964" s="1">
        <f>R3964/P3964</f>
        <v>1</v>
      </c>
      <c r="T3964" s="1">
        <v>4</v>
      </c>
      <c r="U3964" s="1">
        <v>12.5</v>
      </c>
      <c r="V3964" s="1">
        <v>475.81699346405225</v>
      </c>
      <c r="W3964" s="1">
        <v>4</v>
      </c>
    </row>
    <row r="3965" spans="1:23" x14ac:dyDescent="0.2">
      <c r="A3965">
        <v>2022</v>
      </c>
      <c r="B3965" t="s">
        <v>23</v>
      </c>
      <c r="C3965" t="s">
        <v>272</v>
      </c>
      <c r="D3965">
        <v>86</v>
      </c>
      <c r="E3965">
        <v>2</v>
      </c>
      <c r="F3965">
        <v>15</v>
      </c>
      <c r="G3965" t="s">
        <v>110</v>
      </c>
      <c r="H3965">
        <v>12</v>
      </c>
      <c r="I3965">
        <v>64</v>
      </c>
      <c r="J3965">
        <v>67</v>
      </c>
      <c r="K3965">
        <v>3</v>
      </c>
      <c r="L3965">
        <v>135</v>
      </c>
      <c r="M3965">
        <v>80</v>
      </c>
      <c r="N3965">
        <v>2</v>
      </c>
      <c r="O3965">
        <v>3</v>
      </c>
      <c r="P3965">
        <v>12</v>
      </c>
      <c r="Q3965">
        <v>0.9</v>
      </c>
      <c r="R3965">
        <v>12</v>
      </c>
      <c r="S3965">
        <v>1</v>
      </c>
      <c r="T3965">
        <v>3</v>
      </c>
      <c r="U3965">
        <v>12.5</v>
      </c>
      <c r="V3965">
        <v>3294.1176470588234</v>
      </c>
      <c r="W3965">
        <v>2</v>
      </c>
    </row>
    <row r="3966" spans="1:23" x14ac:dyDescent="0.2">
      <c r="A3966">
        <v>2022</v>
      </c>
      <c r="B3966" t="s">
        <v>23</v>
      </c>
      <c r="C3966" t="s">
        <v>272</v>
      </c>
      <c r="D3966">
        <v>87</v>
      </c>
      <c r="E3966">
        <v>1</v>
      </c>
      <c r="F3966">
        <v>13</v>
      </c>
      <c r="G3966" t="s">
        <v>111</v>
      </c>
      <c r="H3966" s="1">
        <v>7</v>
      </c>
      <c r="I3966" s="1">
        <v>67</v>
      </c>
      <c r="J3966" s="1">
        <v>72</v>
      </c>
      <c r="K3966" s="1">
        <f>J3966-I3966</f>
        <v>5</v>
      </c>
      <c r="L3966" s="1">
        <v>118</v>
      </c>
      <c r="M3966" s="1">
        <v>90</v>
      </c>
      <c r="N3966" s="1">
        <v>2</v>
      </c>
      <c r="O3966" s="1">
        <v>3.5</v>
      </c>
      <c r="P3966" s="1">
        <v>2</v>
      </c>
      <c r="Q3966" s="2">
        <v>6.1199999999999997E-2</v>
      </c>
      <c r="R3966" s="1">
        <v>3</v>
      </c>
      <c r="S3966" s="1">
        <f>R3966/P3966</f>
        <v>1.5</v>
      </c>
      <c r="T3966" s="1">
        <v>5</v>
      </c>
      <c r="U3966" s="1">
        <v>12.5</v>
      </c>
      <c r="V3966" s="1">
        <v>224</v>
      </c>
      <c r="W3966" s="1">
        <v>5</v>
      </c>
    </row>
    <row r="3967" spans="1:23" x14ac:dyDescent="0.2">
      <c r="A3967">
        <v>2022</v>
      </c>
      <c r="B3967" t="s">
        <v>23</v>
      </c>
      <c r="C3967" t="s">
        <v>272</v>
      </c>
      <c r="D3967">
        <v>87</v>
      </c>
      <c r="E3967">
        <v>2</v>
      </c>
      <c r="F3967">
        <v>8</v>
      </c>
      <c r="G3967" t="s">
        <v>111</v>
      </c>
      <c r="H3967" s="1">
        <v>4</v>
      </c>
      <c r="I3967" s="1">
        <v>62</v>
      </c>
      <c r="J3967" s="1">
        <v>67</v>
      </c>
      <c r="K3967" s="1">
        <f>J3967-I3967</f>
        <v>5</v>
      </c>
      <c r="L3967" s="1">
        <v>105</v>
      </c>
      <c r="M3967" s="1">
        <v>43</v>
      </c>
      <c r="N3967" s="1">
        <v>1.5</v>
      </c>
      <c r="O3967" s="1">
        <v>3</v>
      </c>
      <c r="P3967" s="1">
        <v>3</v>
      </c>
      <c r="Q3967" s="2">
        <v>0.34599999999999997</v>
      </c>
      <c r="R3967" s="1">
        <v>2</v>
      </c>
      <c r="S3967" s="1">
        <f>R3967/P3967</f>
        <v>0.66666666666666663</v>
      </c>
      <c r="T3967" s="1">
        <v>1.5</v>
      </c>
      <c r="U3967" s="1">
        <v>12.5</v>
      </c>
      <c r="V3967" s="1">
        <v>1266.4052287581699</v>
      </c>
      <c r="W3967" s="1">
        <v>3</v>
      </c>
    </row>
    <row r="3968" spans="1:23" x14ac:dyDescent="0.2">
      <c r="A3968">
        <v>2022</v>
      </c>
      <c r="B3968" t="s">
        <v>23</v>
      </c>
      <c r="C3968" t="s">
        <v>272</v>
      </c>
      <c r="D3968">
        <v>88</v>
      </c>
      <c r="E3968">
        <v>1</v>
      </c>
      <c r="F3968">
        <v>13</v>
      </c>
      <c r="G3968" t="s">
        <v>112</v>
      </c>
      <c r="H3968">
        <v>9</v>
      </c>
      <c r="I3968">
        <v>64</v>
      </c>
      <c r="J3968">
        <v>67</v>
      </c>
      <c r="K3968">
        <v>3</v>
      </c>
      <c r="L3968">
        <v>122</v>
      </c>
      <c r="M3968">
        <v>55</v>
      </c>
      <c r="N3968">
        <v>1.5</v>
      </c>
      <c r="O3968">
        <v>3.5</v>
      </c>
      <c r="P3968">
        <v>9</v>
      </c>
      <c r="Q3968">
        <v>0.8</v>
      </c>
      <c r="R3968">
        <v>9</v>
      </c>
      <c r="S3968">
        <v>1</v>
      </c>
      <c r="T3968">
        <v>3.5</v>
      </c>
      <c r="U3968">
        <v>12.5</v>
      </c>
      <c r="V3968">
        <v>2928.1045751633987</v>
      </c>
      <c r="W3968">
        <v>1</v>
      </c>
    </row>
    <row r="3969" spans="1:23" x14ac:dyDescent="0.2">
      <c r="A3969">
        <v>2022</v>
      </c>
      <c r="B3969" t="s">
        <v>23</v>
      </c>
      <c r="C3969" t="s">
        <v>272</v>
      </c>
      <c r="D3969">
        <v>88</v>
      </c>
      <c r="E3969">
        <v>2</v>
      </c>
      <c r="F3969">
        <v>2</v>
      </c>
      <c r="G3969" t="s">
        <v>112</v>
      </c>
      <c r="H3969" s="1">
        <v>12</v>
      </c>
      <c r="I3969" s="1">
        <v>66</v>
      </c>
      <c r="J3969" s="1">
        <v>71</v>
      </c>
      <c r="K3969" s="1">
        <f>J3969-I3969</f>
        <v>5</v>
      </c>
      <c r="L3969" s="1">
        <v>81</v>
      </c>
      <c r="M3969" s="1">
        <v>26</v>
      </c>
      <c r="N3969" s="1">
        <v>3</v>
      </c>
      <c r="O3969" s="1">
        <v>4.5</v>
      </c>
      <c r="P3969" s="1">
        <v>7</v>
      </c>
      <c r="Q3969" s="2">
        <v>0.108</v>
      </c>
      <c r="R3969" s="1">
        <v>5</v>
      </c>
      <c r="S3969" s="1">
        <f>R3969/P3969</f>
        <v>0.7142857142857143</v>
      </c>
      <c r="T3969" s="1">
        <v>5</v>
      </c>
      <c r="U3969" s="1">
        <v>12.5</v>
      </c>
      <c r="V3969" s="1">
        <v>395.29411764705878</v>
      </c>
      <c r="W3969" s="1">
        <v>6</v>
      </c>
    </row>
    <row r="3970" spans="1:23" x14ac:dyDescent="0.2">
      <c r="A3970">
        <v>2022</v>
      </c>
      <c r="B3970" t="s">
        <v>23</v>
      </c>
      <c r="C3970" t="s">
        <v>272</v>
      </c>
      <c r="D3970">
        <v>89</v>
      </c>
      <c r="E3970">
        <v>1</v>
      </c>
      <c r="F3970">
        <v>3</v>
      </c>
      <c r="G3970" t="s">
        <v>113</v>
      </c>
      <c r="H3970">
        <v>11</v>
      </c>
      <c r="I3970">
        <v>55</v>
      </c>
      <c r="J3970">
        <v>59</v>
      </c>
      <c r="K3970">
        <v>4</v>
      </c>
      <c r="L3970">
        <v>119</v>
      </c>
      <c r="M3970">
        <v>56</v>
      </c>
      <c r="N3970">
        <v>3</v>
      </c>
      <c r="O3970">
        <v>3</v>
      </c>
      <c r="P3970">
        <v>10</v>
      </c>
      <c r="Q3970">
        <v>1.5109999999999999</v>
      </c>
      <c r="R3970">
        <v>13</v>
      </c>
      <c r="S3970">
        <v>1.3</v>
      </c>
      <c r="T3970">
        <v>2</v>
      </c>
      <c r="U3970">
        <v>12.5</v>
      </c>
      <c r="V3970">
        <v>5530.4575163398677</v>
      </c>
      <c r="W3970">
        <v>1</v>
      </c>
    </row>
    <row r="3971" spans="1:23" x14ac:dyDescent="0.2">
      <c r="A3971">
        <v>2022</v>
      </c>
      <c r="B3971" t="s">
        <v>23</v>
      </c>
      <c r="C3971" t="s">
        <v>272</v>
      </c>
      <c r="D3971">
        <v>89</v>
      </c>
      <c r="E3971">
        <v>2</v>
      </c>
      <c r="F3971">
        <v>6</v>
      </c>
      <c r="G3971" t="s">
        <v>113</v>
      </c>
      <c r="H3971" s="1">
        <v>8</v>
      </c>
      <c r="I3971" s="1">
        <v>62</v>
      </c>
      <c r="J3971" s="1">
        <v>65</v>
      </c>
      <c r="K3971" s="1">
        <f>J3971-I3971</f>
        <v>3</v>
      </c>
      <c r="L3971" s="1">
        <v>104</v>
      </c>
      <c r="M3971" s="1">
        <v>36</v>
      </c>
      <c r="N3971" s="1">
        <v>2.5</v>
      </c>
      <c r="O3971" s="1">
        <v>4.5</v>
      </c>
      <c r="P3971" s="1">
        <v>6</v>
      </c>
      <c r="Q3971" s="2">
        <v>8.6249999999999993E-2</v>
      </c>
      <c r="R3971" s="1">
        <v>5</v>
      </c>
      <c r="S3971" s="1">
        <f>R3971/P3971</f>
        <v>0.83333333333333337</v>
      </c>
      <c r="T3971" s="1">
        <v>5</v>
      </c>
      <c r="U3971" s="1">
        <v>12.5</v>
      </c>
      <c r="V3971" s="1">
        <v>315.68627450980392</v>
      </c>
      <c r="W3971" s="1">
        <v>4</v>
      </c>
    </row>
    <row r="3972" spans="1:23" x14ac:dyDescent="0.2">
      <c r="A3972">
        <v>2022</v>
      </c>
      <c r="B3972" t="s">
        <v>23</v>
      </c>
      <c r="C3972" t="s">
        <v>272</v>
      </c>
      <c r="D3972">
        <v>90</v>
      </c>
      <c r="E3972">
        <v>1</v>
      </c>
      <c r="F3972">
        <v>15</v>
      </c>
      <c r="G3972" t="s">
        <v>114</v>
      </c>
      <c r="H3972" s="1">
        <v>5</v>
      </c>
      <c r="I3972" s="1">
        <v>61</v>
      </c>
      <c r="J3972" s="1">
        <v>66</v>
      </c>
      <c r="K3972" s="1">
        <f>J3972-I3972</f>
        <v>5</v>
      </c>
      <c r="L3972" s="1">
        <v>97</v>
      </c>
      <c r="M3972" s="1">
        <v>35</v>
      </c>
      <c r="N3972" s="1">
        <v>3</v>
      </c>
      <c r="O3972" s="1">
        <v>4</v>
      </c>
      <c r="P3972" s="1">
        <v>5</v>
      </c>
      <c r="Q3972" s="2">
        <v>0.20899999999999999</v>
      </c>
      <c r="R3972" s="1">
        <v>5</v>
      </c>
      <c r="S3972" s="1">
        <f>R3972/P3972</f>
        <v>1</v>
      </c>
      <c r="T3972" s="1">
        <v>4</v>
      </c>
      <c r="U3972" s="1">
        <v>12.5</v>
      </c>
      <c r="V3972" s="1">
        <v>764.96732026143775</v>
      </c>
      <c r="W3972" s="1">
        <v>4</v>
      </c>
    </row>
    <row r="3973" spans="1:23" x14ac:dyDescent="0.2">
      <c r="A3973">
        <v>2022</v>
      </c>
      <c r="B3973" t="s">
        <v>23</v>
      </c>
      <c r="C3973" t="s">
        <v>272</v>
      </c>
      <c r="D3973">
        <v>90</v>
      </c>
      <c r="E3973">
        <v>2</v>
      </c>
      <c r="F3973">
        <v>3</v>
      </c>
      <c r="G3973" t="s">
        <v>114</v>
      </c>
      <c r="H3973" s="1">
        <v>10</v>
      </c>
      <c r="I3973" s="1">
        <v>64</v>
      </c>
      <c r="J3973" s="1">
        <v>69</v>
      </c>
      <c r="K3973" s="1">
        <f>J3973-I3973</f>
        <v>5</v>
      </c>
      <c r="L3973" s="1">
        <v>163</v>
      </c>
      <c r="M3973" s="1">
        <v>75</v>
      </c>
      <c r="N3973" s="1">
        <v>3</v>
      </c>
      <c r="O3973" s="1">
        <v>3.5</v>
      </c>
      <c r="P3973" s="1">
        <v>7</v>
      </c>
      <c r="Q3973" s="2">
        <v>0.17167500000000002</v>
      </c>
      <c r="R3973" s="1">
        <v>6</v>
      </c>
      <c r="S3973" s="1">
        <f>R3973/P3973</f>
        <v>0.8571428571428571</v>
      </c>
      <c r="T3973" s="1">
        <v>5</v>
      </c>
      <c r="U3973" s="1">
        <v>12.5</v>
      </c>
      <c r="V3973" s="1">
        <v>628.35294117647072</v>
      </c>
      <c r="W3973" s="1">
        <v>5</v>
      </c>
    </row>
    <row r="3974" spans="1:23" x14ac:dyDescent="0.2">
      <c r="A3974">
        <v>2022</v>
      </c>
      <c r="B3974" t="s">
        <v>23</v>
      </c>
      <c r="C3974" t="s">
        <v>272</v>
      </c>
      <c r="D3974">
        <v>91</v>
      </c>
      <c r="E3974">
        <v>1</v>
      </c>
      <c r="F3974">
        <v>1</v>
      </c>
      <c r="G3974" t="s">
        <v>115</v>
      </c>
      <c r="H3974" s="1">
        <v>7</v>
      </c>
      <c r="I3974" s="1">
        <v>66</v>
      </c>
      <c r="J3974" s="1">
        <v>70</v>
      </c>
      <c r="K3974" s="1">
        <f>J3974-I3974</f>
        <v>4</v>
      </c>
      <c r="L3974" s="1">
        <v>153</v>
      </c>
      <c r="M3974" s="1">
        <v>46</v>
      </c>
      <c r="N3974" s="1">
        <v>1.5</v>
      </c>
      <c r="O3974" s="1">
        <v>4</v>
      </c>
      <c r="P3974" s="1">
        <v>7</v>
      </c>
      <c r="Q3974" s="2">
        <v>0.218</v>
      </c>
      <c r="R3974" s="1">
        <v>7</v>
      </c>
      <c r="S3974" s="1">
        <f>R3974/P3974</f>
        <v>1</v>
      </c>
      <c r="T3974" s="1">
        <v>3</v>
      </c>
      <c r="U3974" s="1">
        <v>12.5</v>
      </c>
      <c r="V3974" s="1">
        <v>797.90849673202615</v>
      </c>
      <c r="W3974" s="1">
        <v>5</v>
      </c>
    </row>
    <row r="3975" spans="1:23" x14ac:dyDescent="0.2">
      <c r="A3975">
        <v>2022</v>
      </c>
      <c r="B3975" t="s">
        <v>23</v>
      </c>
      <c r="C3975" t="s">
        <v>272</v>
      </c>
      <c r="D3975">
        <v>91</v>
      </c>
      <c r="E3975">
        <v>2</v>
      </c>
      <c r="F3975">
        <v>8</v>
      </c>
      <c r="G3975" t="s">
        <v>115</v>
      </c>
      <c r="H3975" s="1">
        <v>7</v>
      </c>
      <c r="I3975" s="1">
        <v>69</v>
      </c>
      <c r="J3975" s="1">
        <v>74</v>
      </c>
      <c r="K3975" s="1">
        <f>J3975-I3975</f>
        <v>5</v>
      </c>
      <c r="L3975" s="1">
        <v>83</v>
      </c>
      <c r="M3975" s="1">
        <v>35</v>
      </c>
      <c r="N3975" s="1">
        <v>2</v>
      </c>
      <c r="O3975" s="1">
        <v>4</v>
      </c>
      <c r="P3975" s="1">
        <v>5</v>
      </c>
      <c r="Q3975" s="2">
        <v>0.122</v>
      </c>
      <c r="R3975" s="1">
        <v>4</v>
      </c>
      <c r="S3975" s="1">
        <f>R3975/P3975</f>
        <v>0.8</v>
      </c>
      <c r="T3975" s="1">
        <v>5</v>
      </c>
      <c r="U3975" s="1">
        <v>12.5</v>
      </c>
      <c r="V3975" s="1">
        <v>446.53594771241831</v>
      </c>
      <c r="W3975" s="1">
        <v>6</v>
      </c>
    </row>
    <row r="3976" spans="1:23" x14ac:dyDescent="0.2">
      <c r="A3976">
        <v>2022</v>
      </c>
      <c r="B3976" t="s">
        <v>23</v>
      </c>
      <c r="C3976" t="s">
        <v>272</v>
      </c>
      <c r="D3976">
        <v>92</v>
      </c>
      <c r="E3976">
        <v>1</v>
      </c>
      <c r="F3976">
        <v>4</v>
      </c>
      <c r="G3976" t="s">
        <v>116</v>
      </c>
      <c r="H3976">
        <v>13</v>
      </c>
      <c r="I3976">
        <v>58</v>
      </c>
      <c r="J3976">
        <v>60</v>
      </c>
      <c r="K3976">
        <v>2</v>
      </c>
      <c r="L3976">
        <v>153</v>
      </c>
      <c r="M3976">
        <v>88</v>
      </c>
      <c r="N3976">
        <v>2</v>
      </c>
      <c r="O3976">
        <v>2</v>
      </c>
      <c r="P3976">
        <v>15</v>
      </c>
      <c r="Q3976">
        <v>1.8</v>
      </c>
      <c r="R3976">
        <v>14</v>
      </c>
      <c r="S3976">
        <v>0.93333333333333335</v>
      </c>
      <c r="T3976">
        <v>3</v>
      </c>
      <c r="U3976">
        <v>10</v>
      </c>
      <c r="V3976">
        <v>6776.4705882352946</v>
      </c>
      <c r="W3976">
        <v>2</v>
      </c>
    </row>
    <row r="3977" spans="1:23" x14ac:dyDescent="0.2">
      <c r="A3977">
        <v>2022</v>
      </c>
      <c r="B3977" t="s">
        <v>23</v>
      </c>
      <c r="C3977" t="s">
        <v>272</v>
      </c>
      <c r="D3977">
        <v>92</v>
      </c>
      <c r="E3977">
        <v>2</v>
      </c>
      <c r="F3977">
        <v>15</v>
      </c>
      <c r="G3977" t="s">
        <v>116</v>
      </c>
      <c r="H3977" s="1">
        <v>15</v>
      </c>
      <c r="I3977" s="1">
        <v>66</v>
      </c>
      <c r="J3977" s="1">
        <v>70</v>
      </c>
      <c r="K3977" s="1">
        <f>J3977-I3977</f>
        <v>4</v>
      </c>
      <c r="L3977" s="1">
        <v>145</v>
      </c>
      <c r="M3977" s="1">
        <v>88</v>
      </c>
      <c r="N3977" s="1">
        <v>2</v>
      </c>
      <c r="O3977" s="1">
        <v>3</v>
      </c>
      <c r="P3977" s="1">
        <v>10</v>
      </c>
      <c r="Q3977" s="2">
        <v>9.9449999999999983E-2</v>
      </c>
      <c r="R3977" s="1">
        <v>2</v>
      </c>
      <c r="S3977" s="1">
        <f>R3977/P3977</f>
        <v>0.2</v>
      </c>
      <c r="T3977" s="1">
        <v>5</v>
      </c>
      <c r="U3977" s="1">
        <v>12.5</v>
      </c>
      <c r="V3977" s="1">
        <v>364</v>
      </c>
      <c r="W3977" s="1">
        <v>7</v>
      </c>
    </row>
    <row r="3978" spans="1:23" x14ac:dyDescent="0.2">
      <c r="A3978">
        <v>2022</v>
      </c>
      <c r="B3978" t="s">
        <v>23</v>
      </c>
      <c r="C3978" t="s">
        <v>272</v>
      </c>
      <c r="D3978">
        <v>93</v>
      </c>
      <c r="E3978">
        <v>1</v>
      </c>
      <c r="F3978">
        <v>9</v>
      </c>
      <c r="G3978" t="s">
        <v>117</v>
      </c>
      <c r="H3978" s="3">
        <v>7</v>
      </c>
      <c r="I3978" s="3">
        <v>69</v>
      </c>
      <c r="J3978" s="3">
        <v>72</v>
      </c>
      <c r="K3978" s="3">
        <f>J3978-I3978</f>
        <v>3</v>
      </c>
      <c r="L3978" s="3">
        <v>168</v>
      </c>
      <c r="M3978" s="3">
        <v>70</v>
      </c>
      <c r="N3978" s="3">
        <v>2</v>
      </c>
      <c r="O3978" s="3">
        <v>2.5</v>
      </c>
      <c r="P3978" s="3">
        <f>H3978-1</f>
        <v>6</v>
      </c>
      <c r="Q3978" s="4">
        <v>9.6000000000000002E-2</v>
      </c>
      <c r="R3978" s="3">
        <v>5</v>
      </c>
      <c r="S3978" s="3">
        <f>R3978/P3978</f>
        <v>0.83333333333333337</v>
      </c>
      <c r="T3978" s="3">
        <v>3</v>
      </c>
      <c r="U3978" s="3">
        <v>12.5</v>
      </c>
      <c r="V3978" s="3">
        <v>351.37254901960785</v>
      </c>
      <c r="W3978" s="3">
        <v>4</v>
      </c>
    </row>
    <row r="3979" spans="1:23" x14ac:dyDescent="0.2">
      <c r="A3979">
        <v>2022</v>
      </c>
      <c r="B3979" t="s">
        <v>23</v>
      </c>
      <c r="C3979" t="s">
        <v>272</v>
      </c>
      <c r="D3979">
        <v>93</v>
      </c>
      <c r="E3979">
        <v>2</v>
      </c>
      <c r="F3979">
        <v>7</v>
      </c>
      <c r="G3979" t="s">
        <v>117</v>
      </c>
      <c r="H3979">
        <v>9</v>
      </c>
      <c r="I3979">
        <v>55</v>
      </c>
      <c r="J3979">
        <v>61</v>
      </c>
      <c r="K3979">
        <v>6</v>
      </c>
      <c r="L3979">
        <v>185</v>
      </c>
      <c r="M3979">
        <v>72</v>
      </c>
      <c r="N3979">
        <v>1</v>
      </c>
      <c r="O3979">
        <v>2</v>
      </c>
      <c r="P3979">
        <v>9</v>
      </c>
      <c r="Q3979">
        <v>0.35</v>
      </c>
      <c r="R3979">
        <v>8</v>
      </c>
      <c r="S3979">
        <v>0.88888888888888884</v>
      </c>
      <c r="T3979">
        <v>2</v>
      </c>
      <c r="U3979">
        <v>11.3</v>
      </c>
      <c r="V3979">
        <v>1298.6143790849674</v>
      </c>
      <c r="W3979">
        <v>1</v>
      </c>
    </row>
    <row r="3980" spans="1:23" x14ac:dyDescent="0.2">
      <c r="A3980">
        <v>2022</v>
      </c>
      <c r="B3980" t="s">
        <v>23</v>
      </c>
      <c r="C3980" t="s">
        <v>272</v>
      </c>
      <c r="D3980">
        <v>94</v>
      </c>
      <c r="E3980">
        <v>1</v>
      </c>
      <c r="F3980">
        <v>6</v>
      </c>
      <c r="G3980" t="s">
        <v>118</v>
      </c>
      <c r="H3980">
        <v>2</v>
      </c>
      <c r="I3980">
        <v>63</v>
      </c>
      <c r="J3980">
        <v>67</v>
      </c>
      <c r="K3980">
        <v>4</v>
      </c>
      <c r="L3980">
        <v>139</v>
      </c>
      <c r="M3980">
        <v>67</v>
      </c>
      <c r="N3980">
        <v>2</v>
      </c>
      <c r="O3980">
        <v>3</v>
      </c>
      <c r="P3980">
        <v>2</v>
      </c>
      <c r="Q3980">
        <v>0.2</v>
      </c>
      <c r="R3980">
        <v>2</v>
      </c>
      <c r="S3980">
        <v>1</v>
      </c>
      <c r="T3980">
        <v>3</v>
      </c>
      <c r="U3980">
        <v>12.5</v>
      </c>
      <c r="V3980">
        <v>732.02614379084969</v>
      </c>
      <c r="W3980">
        <v>2</v>
      </c>
    </row>
    <row r="3981" spans="1:23" x14ac:dyDescent="0.2">
      <c r="A3981">
        <v>2022</v>
      </c>
      <c r="B3981" t="s">
        <v>23</v>
      </c>
      <c r="C3981" t="s">
        <v>272</v>
      </c>
      <c r="D3981">
        <v>94</v>
      </c>
      <c r="E3981">
        <v>2</v>
      </c>
      <c r="F3981">
        <v>10</v>
      </c>
      <c r="G3981" t="s">
        <v>118</v>
      </c>
      <c r="H3981">
        <v>2</v>
      </c>
      <c r="I3981">
        <v>63</v>
      </c>
      <c r="J3981">
        <v>65</v>
      </c>
      <c r="K3981">
        <v>2</v>
      </c>
      <c r="L3981">
        <v>140</v>
      </c>
      <c r="M3981">
        <v>56</v>
      </c>
      <c r="N3981">
        <v>2</v>
      </c>
      <c r="O3981">
        <v>3</v>
      </c>
      <c r="P3981">
        <v>2</v>
      </c>
      <c r="Q3981">
        <v>0.3</v>
      </c>
      <c r="R3981">
        <v>2</v>
      </c>
      <c r="S3981">
        <v>1</v>
      </c>
      <c r="T3981">
        <v>2.5</v>
      </c>
      <c r="U3981">
        <v>12.5</v>
      </c>
      <c r="V3981">
        <v>1098.0392156862745</v>
      </c>
      <c r="W3981">
        <v>1</v>
      </c>
    </row>
    <row r="3982" spans="1:23" x14ac:dyDescent="0.2">
      <c r="A3982">
        <v>2022</v>
      </c>
      <c r="B3982" t="s">
        <v>23</v>
      </c>
      <c r="C3982" t="s">
        <v>272</v>
      </c>
      <c r="D3982">
        <v>95</v>
      </c>
      <c r="E3982">
        <v>1</v>
      </c>
      <c r="F3982">
        <v>7</v>
      </c>
      <c r="G3982" t="s">
        <v>119</v>
      </c>
      <c r="H3982" s="1">
        <v>7</v>
      </c>
      <c r="I3982" s="1">
        <v>64</v>
      </c>
      <c r="J3982" s="1">
        <v>67</v>
      </c>
      <c r="K3982" s="1">
        <f>J3982-I3982</f>
        <v>3</v>
      </c>
      <c r="L3982" s="1">
        <v>197</v>
      </c>
      <c r="M3982" s="1">
        <v>75</v>
      </c>
      <c r="N3982" s="1">
        <v>2</v>
      </c>
      <c r="O3982" s="1">
        <v>2</v>
      </c>
      <c r="P3982" s="1">
        <v>7</v>
      </c>
      <c r="Q3982" s="2">
        <v>0.17097500000000002</v>
      </c>
      <c r="R3982" s="1">
        <v>5</v>
      </c>
      <c r="S3982" s="1">
        <f>R3982/P3982</f>
        <v>0.7142857142857143</v>
      </c>
      <c r="T3982" s="1">
        <v>5</v>
      </c>
      <c r="U3982" s="1">
        <v>12.5</v>
      </c>
      <c r="V3982" s="1">
        <v>625.79084967320262</v>
      </c>
      <c r="W3982" s="1">
        <v>4</v>
      </c>
    </row>
    <row r="3983" spans="1:23" x14ac:dyDescent="0.2">
      <c r="A3983">
        <v>2022</v>
      </c>
      <c r="B3983" t="s">
        <v>23</v>
      </c>
      <c r="C3983" t="s">
        <v>272</v>
      </c>
      <c r="D3983">
        <v>95</v>
      </c>
      <c r="E3983">
        <v>2</v>
      </c>
      <c r="F3983">
        <v>12</v>
      </c>
      <c r="G3983" t="s">
        <v>119</v>
      </c>
      <c r="H3983">
        <v>13</v>
      </c>
      <c r="I3983">
        <v>57</v>
      </c>
      <c r="J3983">
        <v>62</v>
      </c>
      <c r="K3983">
        <v>5</v>
      </c>
      <c r="L3983">
        <v>130</v>
      </c>
      <c r="M3983">
        <v>81</v>
      </c>
      <c r="N3983">
        <v>2</v>
      </c>
      <c r="O3983">
        <v>2</v>
      </c>
      <c r="P3983">
        <v>11</v>
      </c>
      <c r="Q3983">
        <v>0.7</v>
      </c>
      <c r="R3983">
        <v>10</v>
      </c>
      <c r="S3983">
        <v>0.90909090909090906</v>
      </c>
      <c r="T3983">
        <v>3</v>
      </c>
      <c r="U3983">
        <v>8.6999999999999993</v>
      </c>
      <c r="V3983">
        <v>2673.3594771241828</v>
      </c>
      <c r="W3983">
        <v>1</v>
      </c>
    </row>
    <row r="3984" spans="1:23" x14ac:dyDescent="0.2">
      <c r="A3984">
        <v>2022</v>
      </c>
      <c r="B3984" t="s">
        <v>23</v>
      </c>
      <c r="C3984" t="s">
        <v>272</v>
      </c>
      <c r="D3984">
        <v>96</v>
      </c>
      <c r="E3984">
        <v>1</v>
      </c>
      <c r="F3984">
        <v>4</v>
      </c>
      <c r="G3984" t="s">
        <v>120</v>
      </c>
      <c r="H3984" s="1">
        <v>12</v>
      </c>
      <c r="I3984" s="1">
        <v>64</v>
      </c>
      <c r="J3984" s="1">
        <v>66</v>
      </c>
      <c r="K3984" s="1">
        <f t="shared" ref="K3984:K3991" si="210">J3984-I3984</f>
        <v>2</v>
      </c>
      <c r="L3984" s="1">
        <v>130</v>
      </c>
      <c r="M3984" s="1">
        <v>57</v>
      </c>
      <c r="N3984" s="1">
        <v>2</v>
      </c>
      <c r="O3984" s="1">
        <v>3</v>
      </c>
      <c r="P3984" s="1">
        <v>10</v>
      </c>
      <c r="Q3984" s="2">
        <v>4.4374999999999998E-2</v>
      </c>
      <c r="R3984" s="1">
        <v>7</v>
      </c>
      <c r="S3984" s="1">
        <f t="shared" ref="S3984:S3991" si="211">R3984/P3984</f>
        <v>0.7</v>
      </c>
      <c r="T3984" s="1">
        <v>5</v>
      </c>
      <c r="U3984" s="1">
        <v>12.5</v>
      </c>
      <c r="V3984" s="1">
        <v>162.41830065359477</v>
      </c>
      <c r="W3984" s="1">
        <v>5</v>
      </c>
    </row>
    <row r="3985" spans="1:23" x14ac:dyDescent="0.2">
      <c r="A3985">
        <v>2022</v>
      </c>
      <c r="B3985" t="s">
        <v>23</v>
      </c>
      <c r="C3985" t="s">
        <v>272</v>
      </c>
      <c r="D3985">
        <v>96</v>
      </c>
      <c r="E3985">
        <v>2</v>
      </c>
      <c r="F3985">
        <v>12</v>
      </c>
      <c r="G3985" t="s">
        <v>120</v>
      </c>
      <c r="H3985" s="1">
        <v>12</v>
      </c>
      <c r="I3985" s="1">
        <v>61</v>
      </c>
      <c r="J3985" s="1">
        <v>66</v>
      </c>
      <c r="K3985" s="1">
        <f t="shared" si="210"/>
        <v>5</v>
      </c>
      <c r="L3985" s="1">
        <v>102</v>
      </c>
      <c r="M3985" s="1">
        <v>83</v>
      </c>
      <c r="N3985" s="1">
        <v>2</v>
      </c>
      <c r="O3985" s="1">
        <v>3.5</v>
      </c>
      <c r="P3985" s="1">
        <f>H3985</f>
        <v>12</v>
      </c>
      <c r="Q3985" s="2">
        <v>0.40649999999999997</v>
      </c>
      <c r="R3985" s="1">
        <v>10</v>
      </c>
      <c r="S3985" s="1">
        <f t="shared" si="211"/>
        <v>0.83333333333333337</v>
      </c>
      <c r="T3985" s="1">
        <v>5</v>
      </c>
      <c r="U3985" s="1">
        <v>12.5</v>
      </c>
      <c r="V3985" s="1">
        <v>1487.8431372549016</v>
      </c>
      <c r="W3985" s="1">
        <v>6</v>
      </c>
    </row>
    <row r="3986" spans="1:23" x14ac:dyDescent="0.2">
      <c r="A3986">
        <v>2022</v>
      </c>
      <c r="B3986" t="s">
        <v>23</v>
      </c>
      <c r="C3986" t="s">
        <v>272</v>
      </c>
      <c r="D3986">
        <v>97</v>
      </c>
      <c r="E3986">
        <v>1</v>
      </c>
      <c r="F3986">
        <v>12</v>
      </c>
      <c r="G3986" t="s">
        <v>121</v>
      </c>
      <c r="H3986" s="1">
        <v>2</v>
      </c>
      <c r="I3986" s="1">
        <v>66</v>
      </c>
      <c r="J3986" s="1">
        <v>68</v>
      </c>
      <c r="K3986" s="1">
        <f t="shared" si="210"/>
        <v>2</v>
      </c>
      <c r="L3986" s="1">
        <v>59</v>
      </c>
      <c r="M3986" s="1">
        <v>20</v>
      </c>
      <c r="N3986" s="1">
        <v>2</v>
      </c>
      <c r="O3986" s="1">
        <v>4.5</v>
      </c>
      <c r="P3986" s="1">
        <v>2</v>
      </c>
      <c r="Q3986" s="2">
        <v>8.5999999999999993E-2</v>
      </c>
      <c r="R3986" s="1">
        <v>2</v>
      </c>
      <c r="S3986" s="1">
        <f t="shared" si="211"/>
        <v>1</v>
      </c>
      <c r="T3986" s="1">
        <v>5</v>
      </c>
      <c r="U3986" s="1">
        <v>12.5</v>
      </c>
      <c r="V3986" s="1">
        <v>314.77124183006538</v>
      </c>
      <c r="W3986" s="1">
        <v>6</v>
      </c>
    </row>
    <row r="3987" spans="1:23" x14ac:dyDescent="0.2">
      <c r="A3987">
        <v>2022</v>
      </c>
      <c r="B3987" t="s">
        <v>23</v>
      </c>
      <c r="C3987" t="s">
        <v>272</v>
      </c>
      <c r="D3987">
        <v>97</v>
      </c>
      <c r="E3987">
        <v>2</v>
      </c>
      <c r="F3987">
        <v>7</v>
      </c>
      <c r="G3987" t="s">
        <v>121</v>
      </c>
      <c r="H3987" s="1">
        <v>8</v>
      </c>
      <c r="I3987" s="1">
        <v>62</v>
      </c>
      <c r="J3987" s="1">
        <v>66</v>
      </c>
      <c r="K3987" s="1">
        <f t="shared" si="210"/>
        <v>4</v>
      </c>
      <c r="L3987" s="1">
        <v>173</v>
      </c>
      <c r="M3987" s="1">
        <v>96</v>
      </c>
      <c r="N3987" s="1">
        <v>2</v>
      </c>
      <c r="O3987" s="1">
        <v>2.5</v>
      </c>
      <c r="P3987" s="1">
        <v>8</v>
      </c>
      <c r="Q3987" s="2">
        <v>0.18647999999999998</v>
      </c>
      <c r="R3987" s="1">
        <v>5</v>
      </c>
      <c r="S3987" s="1">
        <f t="shared" si="211"/>
        <v>0.625</v>
      </c>
      <c r="T3987" s="1">
        <v>3</v>
      </c>
      <c r="U3987" s="1">
        <v>12.5</v>
      </c>
      <c r="V3987" s="1">
        <v>682.5411764705882</v>
      </c>
      <c r="W3987" s="1">
        <v>4</v>
      </c>
    </row>
    <row r="3988" spans="1:23" x14ac:dyDescent="0.2">
      <c r="A3988">
        <v>2022</v>
      </c>
      <c r="B3988" t="s">
        <v>23</v>
      </c>
      <c r="C3988" t="s">
        <v>272</v>
      </c>
      <c r="D3988">
        <v>98</v>
      </c>
      <c r="E3988">
        <v>1</v>
      </c>
      <c r="F3988">
        <v>15</v>
      </c>
      <c r="G3988" t="s">
        <v>122</v>
      </c>
      <c r="H3988" s="1">
        <v>12</v>
      </c>
      <c r="I3988" s="1">
        <v>64</v>
      </c>
      <c r="J3988" s="1">
        <v>69</v>
      </c>
      <c r="K3988" s="1">
        <f t="shared" si="210"/>
        <v>5</v>
      </c>
      <c r="L3988" s="1">
        <v>160</v>
      </c>
      <c r="M3988" s="1">
        <v>73</v>
      </c>
      <c r="N3988" s="1">
        <v>3</v>
      </c>
      <c r="O3988" s="1">
        <v>3.5</v>
      </c>
      <c r="P3988" s="1">
        <v>9</v>
      </c>
      <c r="Q3988" s="2">
        <v>0.3962</v>
      </c>
      <c r="R3988" s="1">
        <v>8</v>
      </c>
      <c r="S3988" s="1">
        <f t="shared" si="211"/>
        <v>0.88888888888888884</v>
      </c>
      <c r="T3988" s="1">
        <v>5</v>
      </c>
      <c r="U3988" s="1">
        <v>10.5</v>
      </c>
      <c r="V3988" s="1">
        <v>1483.2899346405229</v>
      </c>
      <c r="W3988" s="1">
        <v>4</v>
      </c>
    </row>
    <row r="3989" spans="1:23" x14ac:dyDescent="0.2">
      <c r="A3989">
        <v>2022</v>
      </c>
      <c r="B3989" t="s">
        <v>23</v>
      </c>
      <c r="C3989" t="s">
        <v>272</v>
      </c>
      <c r="D3989">
        <v>98</v>
      </c>
      <c r="E3989">
        <v>2</v>
      </c>
      <c r="F3989">
        <v>1</v>
      </c>
      <c r="G3989" t="s">
        <v>122</v>
      </c>
      <c r="H3989" s="1">
        <v>9</v>
      </c>
      <c r="I3989" s="1">
        <v>59</v>
      </c>
      <c r="J3989" s="1">
        <v>64</v>
      </c>
      <c r="K3989" s="1">
        <f t="shared" si="210"/>
        <v>5</v>
      </c>
      <c r="L3989" s="1">
        <v>147</v>
      </c>
      <c r="M3989" s="1">
        <v>70</v>
      </c>
      <c r="N3989" s="1">
        <v>2</v>
      </c>
      <c r="O3989" s="1">
        <v>3</v>
      </c>
      <c r="P3989" s="1">
        <v>9</v>
      </c>
      <c r="Q3989" s="2">
        <v>0.44950000000000001</v>
      </c>
      <c r="R3989" s="1">
        <v>5</v>
      </c>
      <c r="S3989" s="1">
        <f t="shared" si="211"/>
        <v>0.55555555555555558</v>
      </c>
      <c r="T3989" s="1">
        <v>5</v>
      </c>
      <c r="U3989" s="1">
        <v>12.5</v>
      </c>
      <c r="V3989" s="1">
        <v>1645.228758169935</v>
      </c>
      <c r="W3989" s="1">
        <v>2</v>
      </c>
    </row>
    <row r="3990" spans="1:23" x14ac:dyDescent="0.2">
      <c r="A3990">
        <v>2022</v>
      </c>
      <c r="B3990" t="s">
        <v>23</v>
      </c>
      <c r="C3990" t="s">
        <v>272</v>
      </c>
      <c r="D3990">
        <v>99</v>
      </c>
      <c r="E3990">
        <v>1</v>
      </c>
      <c r="F3990">
        <v>1</v>
      </c>
      <c r="G3990" t="s">
        <v>123</v>
      </c>
      <c r="H3990" s="1">
        <v>9</v>
      </c>
      <c r="I3990" s="1">
        <v>63</v>
      </c>
      <c r="J3990" s="1">
        <v>67</v>
      </c>
      <c r="K3990" s="1">
        <f t="shared" si="210"/>
        <v>4</v>
      </c>
      <c r="L3990" s="1">
        <v>142</v>
      </c>
      <c r="M3990" s="1">
        <v>45</v>
      </c>
      <c r="N3990" s="1">
        <v>2</v>
      </c>
      <c r="O3990" s="1">
        <v>3.5</v>
      </c>
      <c r="P3990" s="1">
        <v>7</v>
      </c>
      <c r="Q3990" s="2">
        <v>4.1000000000000002E-2</v>
      </c>
      <c r="R3990" s="1">
        <v>2</v>
      </c>
      <c r="S3990" s="1">
        <f t="shared" si="211"/>
        <v>0.2857142857142857</v>
      </c>
      <c r="T3990" s="1">
        <v>5</v>
      </c>
      <c r="U3990" s="1">
        <v>12.5</v>
      </c>
      <c r="V3990" s="1">
        <v>150.06535947712416</v>
      </c>
      <c r="W3990" s="1">
        <v>6</v>
      </c>
    </row>
    <row r="3991" spans="1:23" x14ac:dyDescent="0.2">
      <c r="A3991">
        <v>2022</v>
      </c>
      <c r="B3991" t="s">
        <v>23</v>
      </c>
      <c r="C3991" t="s">
        <v>272</v>
      </c>
      <c r="D3991">
        <v>99</v>
      </c>
      <c r="E3991">
        <v>2</v>
      </c>
      <c r="F3991">
        <v>12</v>
      </c>
      <c r="G3991" t="s">
        <v>123</v>
      </c>
      <c r="H3991" s="1">
        <v>8</v>
      </c>
      <c r="I3991" s="1">
        <v>67</v>
      </c>
      <c r="J3991" s="1">
        <v>70</v>
      </c>
      <c r="K3991" s="1">
        <f t="shared" si="210"/>
        <v>3</v>
      </c>
      <c r="L3991" s="1">
        <v>133</v>
      </c>
      <c r="M3991" s="1">
        <v>58</v>
      </c>
      <c r="N3991" s="1">
        <v>2</v>
      </c>
      <c r="O3991" s="1">
        <v>4</v>
      </c>
      <c r="P3991" s="1">
        <v>6</v>
      </c>
      <c r="Q3991" s="2">
        <v>0.33</v>
      </c>
      <c r="R3991" s="1">
        <v>5</v>
      </c>
      <c r="S3991" s="1">
        <f t="shared" si="211"/>
        <v>0.83333333333333337</v>
      </c>
      <c r="T3991" s="1">
        <v>2.5</v>
      </c>
      <c r="U3991" s="1">
        <v>12.5</v>
      </c>
      <c r="V3991" s="1">
        <v>1207.8431372549019</v>
      </c>
      <c r="W3991" s="1">
        <v>2</v>
      </c>
    </row>
    <row r="3992" spans="1:23" x14ac:dyDescent="0.2">
      <c r="A3992">
        <v>2022</v>
      </c>
      <c r="B3992" t="s">
        <v>23</v>
      </c>
      <c r="C3992" t="s">
        <v>272</v>
      </c>
      <c r="D3992">
        <v>100</v>
      </c>
      <c r="E3992">
        <v>1</v>
      </c>
      <c r="F3992">
        <v>9</v>
      </c>
      <c r="G3992" t="s">
        <v>124</v>
      </c>
      <c r="H3992">
        <v>2</v>
      </c>
      <c r="I3992">
        <v>55</v>
      </c>
      <c r="J3992">
        <v>59</v>
      </c>
      <c r="K3992">
        <v>4</v>
      </c>
      <c r="L3992">
        <v>72</v>
      </c>
      <c r="M3992">
        <v>43</v>
      </c>
      <c r="N3992">
        <v>3</v>
      </c>
      <c r="O3992">
        <v>4</v>
      </c>
      <c r="P3992">
        <v>2</v>
      </c>
      <c r="Q3992">
        <v>0.14299999999999999</v>
      </c>
      <c r="R3992">
        <v>2</v>
      </c>
      <c r="S3992">
        <v>1</v>
      </c>
      <c r="T3992">
        <v>4</v>
      </c>
      <c r="U3992">
        <v>12.5</v>
      </c>
      <c r="V3992">
        <v>523.39869281045753</v>
      </c>
      <c r="W3992">
        <v>2</v>
      </c>
    </row>
    <row r="3993" spans="1:23" x14ac:dyDescent="0.2">
      <c r="A3993">
        <v>2022</v>
      </c>
      <c r="B3993" t="s">
        <v>23</v>
      </c>
      <c r="C3993" t="s">
        <v>272</v>
      </c>
      <c r="D3993">
        <v>100</v>
      </c>
      <c r="E3993">
        <v>2</v>
      </c>
      <c r="F3993">
        <v>6</v>
      </c>
      <c r="G3993" t="s">
        <v>124</v>
      </c>
      <c r="H3993" s="1">
        <v>6</v>
      </c>
      <c r="I3993" s="1">
        <v>62</v>
      </c>
      <c r="J3993" s="1">
        <v>67</v>
      </c>
      <c r="K3993" s="1">
        <f>J3993-I3993</f>
        <v>5</v>
      </c>
      <c r="L3993" s="1">
        <v>126</v>
      </c>
      <c r="M3993" s="1">
        <v>65</v>
      </c>
      <c r="N3993" s="1">
        <v>1.5</v>
      </c>
      <c r="O3993" s="1">
        <v>3</v>
      </c>
      <c r="P3993" s="1">
        <v>5</v>
      </c>
      <c r="Q3993" s="2">
        <v>0.47199999999999998</v>
      </c>
      <c r="R3993" s="1">
        <v>4</v>
      </c>
      <c r="S3993" s="1">
        <f>R3993/P3993</f>
        <v>0.8</v>
      </c>
      <c r="T3993" s="1">
        <v>2</v>
      </c>
      <c r="U3993" s="1">
        <v>12.5</v>
      </c>
      <c r="V3993" s="1">
        <v>1727.5816993464052</v>
      </c>
      <c r="W3993" s="1">
        <v>4</v>
      </c>
    </row>
    <row r="3994" spans="1:23" x14ac:dyDescent="0.2">
      <c r="A3994">
        <v>2022</v>
      </c>
      <c r="B3994" t="s">
        <v>23</v>
      </c>
      <c r="C3994" t="s">
        <v>272</v>
      </c>
      <c r="D3994">
        <v>101</v>
      </c>
      <c r="E3994">
        <v>1</v>
      </c>
      <c r="F3994">
        <v>5</v>
      </c>
      <c r="G3994" t="s">
        <v>125</v>
      </c>
      <c r="H3994">
        <v>4</v>
      </c>
      <c r="I3994">
        <v>56</v>
      </c>
      <c r="J3994">
        <v>57</v>
      </c>
      <c r="K3994">
        <v>1</v>
      </c>
      <c r="L3994">
        <v>106</v>
      </c>
      <c r="M3994">
        <v>45</v>
      </c>
      <c r="N3994">
        <v>3</v>
      </c>
      <c r="O3994">
        <v>4</v>
      </c>
      <c r="P3994">
        <v>3</v>
      </c>
      <c r="Q3994">
        <v>0.25600000000000001</v>
      </c>
      <c r="R3994">
        <v>3</v>
      </c>
      <c r="S3994">
        <v>1</v>
      </c>
      <c r="T3994">
        <v>3</v>
      </c>
      <c r="U3994">
        <v>12.5</v>
      </c>
      <c r="V3994">
        <v>936.99346405228766</v>
      </c>
      <c r="W3994">
        <v>1</v>
      </c>
    </row>
    <row r="3995" spans="1:23" x14ac:dyDescent="0.2">
      <c r="A3995">
        <v>2022</v>
      </c>
      <c r="B3995" t="s">
        <v>23</v>
      </c>
      <c r="C3995" t="s">
        <v>272</v>
      </c>
      <c r="D3995">
        <v>101</v>
      </c>
      <c r="E3995">
        <v>2</v>
      </c>
      <c r="F3995">
        <v>14</v>
      </c>
      <c r="G3995" t="s">
        <v>125</v>
      </c>
      <c r="H3995">
        <v>8</v>
      </c>
      <c r="I3995">
        <v>52</v>
      </c>
      <c r="J3995">
        <v>55</v>
      </c>
      <c r="K3995">
        <v>3</v>
      </c>
      <c r="L3995">
        <v>148</v>
      </c>
      <c r="M3995">
        <v>48</v>
      </c>
      <c r="N3995">
        <v>2</v>
      </c>
      <c r="O3995">
        <v>2.5</v>
      </c>
      <c r="P3995">
        <v>8</v>
      </c>
      <c r="Q3995">
        <v>0.3</v>
      </c>
      <c r="R3995">
        <v>8</v>
      </c>
      <c r="S3995">
        <v>1</v>
      </c>
      <c r="T3995">
        <v>3</v>
      </c>
      <c r="U3995">
        <v>11.1</v>
      </c>
      <c r="V3995">
        <v>1115.6078431372548</v>
      </c>
      <c r="W3995">
        <v>1</v>
      </c>
    </row>
    <row r="3996" spans="1:23" x14ac:dyDescent="0.2">
      <c r="A3996">
        <v>2022</v>
      </c>
      <c r="B3996" t="s">
        <v>23</v>
      </c>
      <c r="C3996" t="s">
        <v>272</v>
      </c>
      <c r="D3996">
        <v>102</v>
      </c>
      <c r="E3996">
        <v>1</v>
      </c>
      <c r="F3996">
        <v>2</v>
      </c>
      <c r="G3996" t="s">
        <v>126</v>
      </c>
      <c r="H3996" s="1">
        <v>12</v>
      </c>
      <c r="I3996" s="1">
        <v>67</v>
      </c>
      <c r="J3996" s="1">
        <v>72</v>
      </c>
      <c r="K3996" s="1">
        <f>J3996-I3996</f>
        <v>5</v>
      </c>
      <c r="L3996" s="1">
        <v>132</v>
      </c>
      <c r="M3996" s="1">
        <v>46</v>
      </c>
      <c r="N3996" s="1">
        <v>3</v>
      </c>
      <c r="O3996" s="1">
        <v>4</v>
      </c>
      <c r="P3996" s="1">
        <v>6</v>
      </c>
      <c r="Q3996" s="2">
        <v>0.22800000000000001</v>
      </c>
      <c r="R3996" s="1">
        <v>6</v>
      </c>
      <c r="S3996" s="1">
        <f>R3996/P3996</f>
        <v>1</v>
      </c>
      <c r="T3996" s="1">
        <v>4.5</v>
      </c>
      <c r="U3996" s="1">
        <v>12.5</v>
      </c>
      <c r="V3996" s="1">
        <v>834.50980392156862</v>
      </c>
      <c r="W3996" s="1">
        <v>6</v>
      </c>
    </row>
    <row r="3997" spans="1:23" x14ac:dyDescent="0.2">
      <c r="A3997">
        <v>2022</v>
      </c>
      <c r="B3997" t="s">
        <v>23</v>
      </c>
      <c r="C3997" t="s">
        <v>272</v>
      </c>
      <c r="D3997">
        <v>102</v>
      </c>
      <c r="E3997">
        <v>2</v>
      </c>
      <c r="F3997">
        <v>1</v>
      </c>
      <c r="G3997" t="s">
        <v>126</v>
      </c>
      <c r="H3997" s="1">
        <v>11</v>
      </c>
      <c r="I3997" s="1">
        <v>60</v>
      </c>
      <c r="J3997" s="1">
        <v>64</v>
      </c>
      <c r="K3997" s="1">
        <f>J3997-I3997</f>
        <v>4</v>
      </c>
      <c r="L3997" s="1">
        <v>131</v>
      </c>
      <c r="M3997" s="1">
        <v>42</v>
      </c>
      <c r="N3997" s="1">
        <v>2.5</v>
      </c>
      <c r="O3997" s="1">
        <v>4</v>
      </c>
      <c r="P3997" s="1">
        <v>6</v>
      </c>
      <c r="Q3997" s="2">
        <v>0.24</v>
      </c>
      <c r="R3997" s="1">
        <v>5</v>
      </c>
      <c r="S3997" s="1">
        <f>R3997/P3997</f>
        <v>0.83333333333333337</v>
      </c>
      <c r="T3997" s="1">
        <v>3.5</v>
      </c>
      <c r="U3997" s="1">
        <v>12.5</v>
      </c>
      <c r="V3997" s="1">
        <v>878.43137254901967</v>
      </c>
      <c r="W3997" s="1">
        <v>4</v>
      </c>
    </row>
    <row r="3998" spans="1:23" x14ac:dyDescent="0.2">
      <c r="A3998">
        <v>2022</v>
      </c>
      <c r="B3998" t="s">
        <v>23</v>
      </c>
      <c r="C3998" t="s">
        <v>272</v>
      </c>
      <c r="D3998">
        <v>103</v>
      </c>
      <c r="E3998">
        <v>1</v>
      </c>
      <c r="F3998">
        <v>7</v>
      </c>
      <c r="G3998" t="s">
        <v>127</v>
      </c>
      <c r="H3998" s="1">
        <v>5</v>
      </c>
      <c r="I3998" s="1">
        <v>65</v>
      </c>
      <c r="J3998" s="1">
        <v>70</v>
      </c>
      <c r="K3998" s="1">
        <f>J3998-I3998</f>
        <v>5</v>
      </c>
      <c r="L3998" s="1">
        <v>105</v>
      </c>
      <c r="M3998" s="1">
        <v>26</v>
      </c>
      <c r="N3998" s="1">
        <v>2</v>
      </c>
      <c r="O3998" s="1">
        <v>4.5</v>
      </c>
      <c r="P3998" s="1">
        <v>2</v>
      </c>
      <c r="Q3998" s="2">
        <v>8.7999999999999995E-2</v>
      </c>
      <c r="R3998" s="1">
        <v>2</v>
      </c>
      <c r="S3998" s="1">
        <f>R3998/P3998</f>
        <v>1</v>
      </c>
      <c r="T3998" s="1">
        <v>5</v>
      </c>
      <c r="U3998" s="1">
        <v>12.5</v>
      </c>
      <c r="V3998" s="1">
        <v>322.09150326797385</v>
      </c>
      <c r="W3998" s="1">
        <v>7</v>
      </c>
    </row>
    <row r="3999" spans="1:23" x14ac:dyDescent="0.2">
      <c r="A3999">
        <v>2022</v>
      </c>
      <c r="B3999" t="s">
        <v>23</v>
      </c>
      <c r="C3999" t="s">
        <v>272</v>
      </c>
      <c r="D3999">
        <v>103</v>
      </c>
      <c r="E3999">
        <v>2</v>
      </c>
      <c r="F3999">
        <v>8</v>
      </c>
      <c r="G3999" t="s">
        <v>127</v>
      </c>
      <c r="H3999">
        <v>12</v>
      </c>
      <c r="I3999">
        <v>55</v>
      </c>
      <c r="J3999">
        <v>57</v>
      </c>
      <c r="K3999">
        <v>2</v>
      </c>
      <c r="L3999">
        <v>160</v>
      </c>
      <c r="M3999">
        <v>74</v>
      </c>
      <c r="N3999">
        <v>2.5</v>
      </c>
      <c r="O3999">
        <v>2</v>
      </c>
      <c r="P3999">
        <v>12</v>
      </c>
      <c r="Q3999">
        <v>0.7</v>
      </c>
      <c r="R3999">
        <v>12</v>
      </c>
      <c r="S3999">
        <v>1</v>
      </c>
      <c r="T3999">
        <v>3</v>
      </c>
      <c r="U3999">
        <v>12.5</v>
      </c>
      <c r="V3999">
        <v>2562.0915032679736</v>
      </c>
      <c r="W3999">
        <v>2</v>
      </c>
    </row>
    <row r="4000" spans="1:23" x14ac:dyDescent="0.2">
      <c r="A4000">
        <v>2022</v>
      </c>
      <c r="B4000" t="s">
        <v>23</v>
      </c>
      <c r="C4000" t="s">
        <v>272</v>
      </c>
      <c r="D4000">
        <v>104</v>
      </c>
      <c r="E4000">
        <v>1</v>
      </c>
      <c r="F4000">
        <v>7</v>
      </c>
      <c r="G4000" t="s">
        <v>128</v>
      </c>
      <c r="H4000">
        <v>4</v>
      </c>
      <c r="I4000">
        <v>60</v>
      </c>
      <c r="J4000">
        <v>62</v>
      </c>
      <c r="K4000">
        <v>2</v>
      </c>
      <c r="L4000">
        <v>166</v>
      </c>
      <c r="M4000">
        <v>76</v>
      </c>
      <c r="N4000">
        <v>2</v>
      </c>
      <c r="O4000">
        <v>3</v>
      </c>
      <c r="P4000">
        <v>4</v>
      </c>
      <c r="Q4000">
        <v>0.4</v>
      </c>
      <c r="R4000">
        <v>5</v>
      </c>
      <c r="S4000">
        <v>1.25</v>
      </c>
      <c r="T4000">
        <v>3</v>
      </c>
      <c r="U4000">
        <v>12.5</v>
      </c>
      <c r="V4000">
        <v>1464.0522875816994</v>
      </c>
      <c r="W4000">
        <v>1</v>
      </c>
    </row>
    <row r="4001" spans="1:23" x14ac:dyDescent="0.2">
      <c r="A4001">
        <v>2022</v>
      </c>
      <c r="B4001" t="s">
        <v>23</v>
      </c>
      <c r="C4001" t="s">
        <v>272</v>
      </c>
      <c r="D4001">
        <v>104</v>
      </c>
      <c r="E4001">
        <v>2</v>
      </c>
      <c r="F4001">
        <v>14</v>
      </c>
      <c r="G4001" t="s">
        <v>128</v>
      </c>
      <c r="H4001" s="1">
        <v>4</v>
      </c>
      <c r="I4001" s="1">
        <v>68</v>
      </c>
      <c r="J4001" s="1">
        <v>73</v>
      </c>
      <c r="K4001" s="1">
        <f>J4001-I4001</f>
        <v>5</v>
      </c>
      <c r="L4001" s="1">
        <v>120</v>
      </c>
      <c r="M4001" s="1">
        <v>52</v>
      </c>
      <c r="N4001" s="1">
        <v>2</v>
      </c>
      <c r="O4001" s="1">
        <v>3.5</v>
      </c>
      <c r="P4001" s="1">
        <v>4</v>
      </c>
      <c r="Q4001" s="2">
        <v>0.1643</v>
      </c>
      <c r="R4001" s="1">
        <v>4</v>
      </c>
      <c r="S4001" s="1">
        <f>R4001/P4001</f>
        <v>1</v>
      </c>
      <c r="T4001" s="1">
        <v>5</v>
      </c>
      <c r="U4001" s="1">
        <v>12.5</v>
      </c>
      <c r="V4001" s="1">
        <v>601.35947712418294</v>
      </c>
      <c r="W4001" s="1">
        <v>5</v>
      </c>
    </row>
    <row r="4002" spans="1:23" x14ac:dyDescent="0.2">
      <c r="A4002">
        <v>2022</v>
      </c>
      <c r="B4002" t="s">
        <v>23</v>
      </c>
      <c r="C4002" t="s">
        <v>272</v>
      </c>
      <c r="D4002">
        <v>105</v>
      </c>
      <c r="E4002">
        <v>1</v>
      </c>
      <c r="F4002">
        <v>10</v>
      </c>
      <c r="G4002" t="s">
        <v>129</v>
      </c>
      <c r="H4002">
        <v>16</v>
      </c>
      <c r="I4002">
        <v>50</v>
      </c>
      <c r="J4002">
        <v>52</v>
      </c>
      <c r="K4002">
        <v>2</v>
      </c>
      <c r="L4002">
        <v>175</v>
      </c>
      <c r="M4002">
        <v>76</v>
      </c>
      <c r="N4002">
        <v>2</v>
      </c>
      <c r="O4002">
        <v>2</v>
      </c>
      <c r="P4002">
        <v>12</v>
      </c>
      <c r="Q4002">
        <v>1</v>
      </c>
      <c r="R4002">
        <v>10</v>
      </c>
      <c r="S4002">
        <v>0.83333333333333337</v>
      </c>
      <c r="T4002">
        <v>3</v>
      </c>
      <c r="U4002">
        <v>10.199999999999999</v>
      </c>
      <c r="V4002">
        <v>3756.339869281046</v>
      </c>
      <c r="W4002">
        <v>1</v>
      </c>
    </row>
    <row r="4003" spans="1:23" x14ac:dyDescent="0.2">
      <c r="A4003">
        <v>2022</v>
      </c>
      <c r="B4003" t="s">
        <v>23</v>
      </c>
      <c r="C4003" t="s">
        <v>272</v>
      </c>
      <c r="D4003">
        <v>105</v>
      </c>
      <c r="E4003">
        <v>2</v>
      </c>
      <c r="F4003">
        <v>7</v>
      </c>
      <c r="G4003" t="s">
        <v>129</v>
      </c>
      <c r="H4003">
        <v>1</v>
      </c>
      <c r="I4003">
        <v>59</v>
      </c>
      <c r="J4003">
        <v>62</v>
      </c>
      <c r="K4003">
        <v>3</v>
      </c>
      <c r="L4003">
        <v>135</v>
      </c>
      <c r="M4003">
        <v>65</v>
      </c>
      <c r="N4003">
        <v>2</v>
      </c>
      <c r="O4003">
        <v>3</v>
      </c>
      <c r="P4003">
        <v>1</v>
      </c>
      <c r="Q4003">
        <v>0.1</v>
      </c>
      <c r="R4003">
        <v>1</v>
      </c>
      <c r="S4003">
        <v>1</v>
      </c>
      <c r="T4003">
        <v>2.5</v>
      </c>
      <c r="U4003">
        <v>12.5</v>
      </c>
      <c r="V4003">
        <v>366.01307189542484</v>
      </c>
      <c r="W4003">
        <v>1</v>
      </c>
    </row>
    <row r="4004" spans="1:23" x14ac:dyDescent="0.2">
      <c r="A4004">
        <v>2022</v>
      </c>
      <c r="B4004" t="s">
        <v>23</v>
      </c>
      <c r="C4004" t="s">
        <v>272</v>
      </c>
      <c r="D4004">
        <v>106</v>
      </c>
      <c r="E4004">
        <v>1</v>
      </c>
      <c r="F4004">
        <v>12</v>
      </c>
      <c r="G4004" t="s">
        <v>130</v>
      </c>
      <c r="H4004">
        <v>15</v>
      </c>
      <c r="I4004">
        <v>55</v>
      </c>
      <c r="J4004">
        <v>58</v>
      </c>
      <c r="K4004">
        <v>3</v>
      </c>
      <c r="L4004">
        <v>145</v>
      </c>
      <c r="M4004">
        <v>86</v>
      </c>
      <c r="N4004">
        <v>2</v>
      </c>
      <c r="O4004">
        <v>2</v>
      </c>
      <c r="P4004">
        <v>10</v>
      </c>
      <c r="Q4004">
        <v>1.2</v>
      </c>
      <c r="R4004">
        <v>4</v>
      </c>
      <c r="S4004">
        <v>0.4</v>
      </c>
      <c r="T4004">
        <v>2</v>
      </c>
      <c r="U4004">
        <v>12.1</v>
      </c>
      <c r="V4004">
        <v>4412.2352941176468</v>
      </c>
      <c r="W4004">
        <v>1</v>
      </c>
    </row>
    <row r="4005" spans="1:23" x14ac:dyDescent="0.2">
      <c r="A4005">
        <v>2022</v>
      </c>
      <c r="B4005" t="s">
        <v>23</v>
      </c>
      <c r="C4005" t="s">
        <v>272</v>
      </c>
      <c r="D4005">
        <v>106</v>
      </c>
      <c r="E4005">
        <v>2</v>
      </c>
      <c r="F4005">
        <v>2</v>
      </c>
      <c r="G4005" t="s">
        <v>130</v>
      </c>
      <c r="H4005" s="1">
        <v>4</v>
      </c>
      <c r="I4005" s="1">
        <v>62</v>
      </c>
      <c r="J4005" s="1">
        <v>65</v>
      </c>
      <c r="K4005" s="1">
        <f t="shared" ref="K4005:K4011" si="212">J4005-I4005</f>
        <v>3</v>
      </c>
      <c r="L4005" s="1">
        <v>116</v>
      </c>
      <c r="M4005" s="1">
        <v>58</v>
      </c>
      <c r="N4005" s="1">
        <v>1.5</v>
      </c>
      <c r="O4005" s="1">
        <v>4</v>
      </c>
      <c r="P4005" s="1">
        <v>4</v>
      </c>
      <c r="Q4005" s="2">
        <v>0.12</v>
      </c>
      <c r="R4005" s="1">
        <v>4</v>
      </c>
      <c r="S4005" s="1">
        <f t="shared" ref="S4005:S4011" si="213">R4005/P4005</f>
        <v>1</v>
      </c>
      <c r="T4005" s="1">
        <v>4</v>
      </c>
      <c r="U4005" s="1">
        <v>12.5</v>
      </c>
      <c r="V4005" s="1">
        <v>439.21568627450984</v>
      </c>
      <c r="W4005" s="1">
        <v>4</v>
      </c>
    </row>
    <row r="4006" spans="1:23" x14ac:dyDescent="0.2">
      <c r="A4006">
        <v>2022</v>
      </c>
      <c r="B4006" t="s">
        <v>23</v>
      </c>
      <c r="C4006" t="s">
        <v>272</v>
      </c>
      <c r="D4006">
        <v>107</v>
      </c>
      <c r="E4006">
        <v>1</v>
      </c>
      <c r="F4006">
        <v>7</v>
      </c>
      <c r="G4006" t="s">
        <v>131</v>
      </c>
      <c r="H4006" s="1">
        <v>2</v>
      </c>
      <c r="I4006" s="1">
        <v>60</v>
      </c>
      <c r="J4006" s="1">
        <v>65</v>
      </c>
      <c r="K4006" s="1">
        <f t="shared" si="212"/>
        <v>5</v>
      </c>
      <c r="L4006" s="1">
        <v>65</v>
      </c>
      <c r="M4006" s="1">
        <v>32</v>
      </c>
      <c r="N4006" s="1">
        <v>2</v>
      </c>
      <c r="O4006" s="1">
        <v>3.5</v>
      </c>
      <c r="P4006" s="1">
        <v>2</v>
      </c>
      <c r="Q4006" s="2">
        <v>0.21</v>
      </c>
      <c r="R4006" s="1">
        <v>3</v>
      </c>
      <c r="S4006" s="1">
        <f t="shared" si="213"/>
        <v>1.5</v>
      </c>
      <c r="T4006" s="1">
        <v>3</v>
      </c>
      <c r="U4006" s="1">
        <v>12.5</v>
      </c>
      <c r="V4006" s="1">
        <v>768.62745098039215</v>
      </c>
      <c r="W4006" s="1">
        <v>3</v>
      </c>
    </row>
    <row r="4007" spans="1:23" x14ac:dyDescent="0.2">
      <c r="A4007">
        <v>2022</v>
      </c>
      <c r="B4007" t="s">
        <v>23</v>
      </c>
      <c r="C4007" t="s">
        <v>272</v>
      </c>
      <c r="D4007">
        <v>107</v>
      </c>
      <c r="E4007">
        <v>2</v>
      </c>
      <c r="F4007">
        <v>1</v>
      </c>
      <c r="G4007" t="s">
        <v>131</v>
      </c>
      <c r="H4007" s="1">
        <v>10</v>
      </c>
      <c r="I4007" s="1">
        <v>61</v>
      </c>
      <c r="J4007" s="1">
        <v>66</v>
      </c>
      <c r="K4007" s="1">
        <f t="shared" si="212"/>
        <v>5</v>
      </c>
      <c r="L4007" s="1">
        <v>101</v>
      </c>
      <c r="M4007" s="1">
        <v>41</v>
      </c>
      <c r="N4007" s="1">
        <v>2.5</v>
      </c>
      <c r="O4007" s="1">
        <v>4.5</v>
      </c>
      <c r="P4007" s="1">
        <v>10</v>
      </c>
      <c r="Q4007" s="2">
        <v>0.45200000000000001</v>
      </c>
      <c r="R4007" s="1">
        <v>10</v>
      </c>
      <c r="S4007" s="1">
        <f t="shared" si="213"/>
        <v>1</v>
      </c>
      <c r="T4007" s="1">
        <v>4</v>
      </c>
      <c r="U4007" s="1">
        <v>12.5</v>
      </c>
      <c r="V4007" s="1">
        <v>1654.3790849673205</v>
      </c>
      <c r="W4007" s="1">
        <v>5</v>
      </c>
    </row>
    <row r="4008" spans="1:23" x14ac:dyDescent="0.2">
      <c r="A4008">
        <v>2022</v>
      </c>
      <c r="B4008" t="s">
        <v>23</v>
      </c>
      <c r="C4008" t="s">
        <v>272</v>
      </c>
      <c r="D4008">
        <v>108</v>
      </c>
      <c r="E4008">
        <v>1</v>
      </c>
      <c r="F4008">
        <v>13</v>
      </c>
      <c r="G4008" t="s">
        <v>132</v>
      </c>
      <c r="H4008" s="1">
        <v>5</v>
      </c>
      <c r="I4008" s="1">
        <v>68</v>
      </c>
      <c r="J4008" s="1">
        <v>73</v>
      </c>
      <c r="K4008" s="1">
        <f t="shared" si="212"/>
        <v>5</v>
      </c>
      <c r="L4008" s="1">
        <v>118</v>
      </c>
      <c r="M4008" s="1">
        <v>42</v>
      </c>
      <c r="N4008" s="1">
        <v>1.5</v>
      </c>
      <c r="O4008" s="1">
        <v>4</v>
      </c>
      <c r="P4008" s="1">
        <v>2</v>
      </c>
      <c r="Q4008" s="2">
        <v>0.108</v>
      </c>
      <c r="R4008" s="1">
        <v>2</v>
      </c>
      <c r="S4008" s="1">
        <f t="shared" si="213"/>
        <v>1</v>
      </c>
      <c r="T4008" s="1">
        <v>5</v>
      </c>
      <c r="U4008" s="1">
        <v>12.5</v>
      </c>
      <c r="V4008" s="1">
        <v>395.29411764705878</v>
      </c>
      <c r="W4008" s="1">
        <v>4</v>
      </c>
    </row>
    <row r="4009" spans="1:23" x14ac:dyDescent="0.2">
      <c r="A4009">
        <v>2022</v>
      </c>
      <c r="B4009" t="s">
        <v>23</v>
      </c>
      <c r="C4009" t="s">
        <v>272</v>
      </c>
      <c r="D4009">
        <v>108</v>
      </c>
      <c r="E4009">
        <v>2</v>
      </c>
      <c r="F4009">
        <v>14</v>
      </c>
      <c r="G4009" t="s">
        <v>132</v>
      </c>
      <c r="H4009" s="1">
        <v>8</v>
      </c>
      <c r="I4009" s="1">
        <v>67</v>
      </c>
      <c r="J4009" s="1">
        <v>70</v>
      </c>
      <c r="K4009" s="1">
        <f t="shared" si="212"/>
        <v>3</v>
      </c>
      <c r="L4009" s="1">
        <v>128</v>
      </c>
      <c r="M4009" s="1">
        <v>40</v>
      </c>
      <c r="N4009" s="1">
        <v>2</v>
      </c>
      <c r="O4009" s="1">
        <v>3</v>
      </c>
      <c r="P4009" s="1">
        <v>6</v>
      </c>
      <c r="Q4009" s="2">
        <v>0.46100000000000002</v>
      </c>
      <c r="R4009" s="1">
        <v>6</v>
      </c>
      <c r="S4009" s="1">
        <f t="shared" si="213"/>
        <v>1</v>
      </c>
      <c r="T4009" s="1">
        <v>2.5</v>
      </c>
      <c r="U4009" s="1">
        <v>12.5</v>
      </c>
      <c r="V4009" s="1">
        <v>1687.3202614379086</v>
      </c>
      <c r="W4009" s="1">
        <v>5</v>
      </c>
    </row>
    <row r="4010" spans="1:23" x14ac:dyDescent="0.2">
      <c r="A4010">
        <v>2022</v>
      </c>
      <c r="B4010" t="s">
        <v>23</v>
      </c>
      <c r="C4010" t="s">
        <v>272</v>
      </c>
      <c r="D4010">
        <v>109</v>
      </c>
      <c r="E4010">
        <v>1</v>
      </c>
      <c r="F4010">
        <v>12</v>
      </c>
      <c r="G4010" t="s">
        <v>133</v>
      </c>
      <c r="H4010" s="1">
        <v>14</v>
      </c>
      <c r="I4010" s="1">
        <v>58</v>
      </c>
      <c r="J4010" s="1">
        <v>61</v>
      </c>
      <c r="K4010" s="1">
        <f t="shared" si="212"/>
        <v>3</v>
      </c>
      <c r="L4010" s="1">
        <v>128</v>
      </c>
      <c r="M4010" s="1">
        <v>55</v>
      </c>
      <c r="N4010" s="1">
        <v>2</v>
      </c>
      <c r="O4010" s="1">
        <v>4</v>
      </c>
      <c r="P4010" s="1">
        <v>10</v>
      </c>
      <c r="Q4010" s="2">
        <v>0.56999999999999995</v>
      </c>
      <c r="R4010" s="1">
        <v>10</v>
      </c>
      <c r="S4010" s="1">
        <f t="shared" si="213"/>
        <v>1</v>
      </c>
      <c r="T4010" s="1">
        <v>4</v>
      </c>
      <c r="U4010" s="1">
        <v>12.5</v>
      </c>
      <c r="V4010" s="1">
        <v>2086.2745098039213</v>
      </c>
      <c r="W4010" s="1">
        <v>4</v>
      </c>
    </row>
    <row r="4011" spans="1:23" x14ac:dyDescent="0.2">
      <c r="A4011">
        <v>2022</v>
      </c>
      <c r="B4011" t="s">
        <v>23</v>
      </c>
      <c r="C4011" t="s">
        <v>272</v>
      </c>
      <c r="D4011">
        <v>109</v>
      </c>
      <c r="E4011">
        <v>2</v>
      </c>
      <c r="F4011">
        <v>1</v>
      </c>
      <c r="G4011" t="s">
        <v>133</v>
      </c>
      <c r="H4011" s="1">
        <v>13</v>
      </c>
      <c r="I4011" s="1">
        <v>64</v>
      </c>
      <c r="J4011" s="1">
        <v>69</v>
      </c>
      <c r="K4011" s="1">
        <f t="shared" si="212"/>
        <v>5</v>
      </c>
      <c r="L4011" s="1">
        <v>163</v>
      </c>
      <c r="M4011" s="1">
        <v>75</v>
      </c>
      <c r="N4011" s="1">
        <v>3</v>
      </c>
      <c r="O4011" s="1">
        <v>3.5</v>
      </c>
      <c r="P4011" s="1">
        <f>H4011</f>
        <v>13</v>
      </c>
      <c r="Q4011" s="2">
        <v>0.192</v>
      </c>
      <c r="R4011" s="1">
        <v>10</v>
      </c>
      <c r="S4011" s="1">
        <f t="shared" si="213"/>
        <v>0.76923076923076927</v>
      </c>
      <c r="T4011" s="1">
        <v>5</v>
      </c>
      <c r="U4011" s="1">
        <v>12.5</v>
      </c>
      <c r="V4011" s="1">
        <v>702.74509803921569</v>
      </c>
      <c r="W4011" s="1">
        <v>5</v>
      </c>
    </row>
    <row r="4012" spans="1:23" x14ac:dyDescent="0.2">
      <c r="A4012">
        <v>2022</v>
      </c>
      <c r="B4012" t="s">
        <v>23</v>
      </c>
      <c r="C4012" t="s">
        <v>272</v>
      </c>
      <c r="D4012">
        <v>110</v>
      </c>
      <c r="E4012">
        <v>1</v>
      </c>
      <c r="F4012">
        <v>15</v>
      </c>
      <c r="G4012" t="s">
        <v>134</v>
      </c>
      <c r="H4012">
        <v>7</v>
      </c>
      <c r="I4012">
        <v>55</v>
      </c>
      <c r="J4012">
        <v>57</v>
      </c>
      <c r="K4012">
        <v>2</v>
      </c>
      <c r="L4012">
        <v>152</v>
      </c>
      <c r="M4012">
        <v>69</v>
      </c>
      <c r="N4012">
        <v>5</v>
      </c>
      <c r="O4012">
        <v>5</v>
      </c>
      <c r="P4012">
        <v>7</v>
      </c>
      <c r="Q4012">
        <v>1.532</v>
      </c>
      <c r="R4012">
        <v>7</v>
      </c>
      <c r="S4012">
        <v>1</v>
      </c>
      <c r="T4012">
        <v>3</v>
      </c>
      <c r="U4012">
        <v>12.5</v>
      </c>
      <c r="V4012">
        <v>5607.3202614379079</v>
      </c>
      <c r="W4012">
        <v>2</v>
      </c>
    </row>
    <row r="4013" spans="1:23" x14ac:dyDescent="0.2">
      <c r="A4013">
        <v>2022</v>
      </c>
      <c r="B4013" t="s">
        <v>23</v>
      </c>
      <c r="C4013" t="s">
        <v>272</v>
      </c>
      <c r="D4013">
        <v>110</v>
      </c>
      <c r="E4013">
        <v>2</v>
      </c>
      <c r="F4013">
        <v>10</v>
      </c>
      <c r="G4013" t="s">
        <v>134</v>
      </c>
      <c r="H4013" s="1">
        <v>11</v>
      </c>
      <c r="I4013" s="1">
        <v>67</v>
      </c>
      <c r="J4013" s="1">
        <v>72</v>
      </c>
      <c r="K4013" s="1">
        <f>J4013-I4013</f>
        <v>5</v>
      </c>
      <c r="L4013" s="1">
        <v>162</v>
      </c>
      <c r="M4013" s="1">
        <v>73</v>
      </c>
      <c r="N4013" s="1">
        <v>2</v>
      </c>
      <c r="O4013" s="1">
        <v>3.5</v>
      </c>
      <c r="P4013" s="1">
        <v>7</v>
      </c>
      <c r="Q4013" s="2">
        <v>0.4824</v>
      </c>
      <c r="R4013" s="1">
        <v>4</v>
      </c>
      <c r="S4013" s="1">
        <f>R4013/P4013</f>
        <v>0.5714285714285714</v>
      </c>
      <c r="T4013" s="1">
        <v>5</v>
      </c>
      <c r="U4013" s="1">
        <v>12.5</v>
      </c>
      <c r="V4013" s="1">
        <v>1765.6470588235293</v>
      </c>
      <c r="W4013" s="1">
        <v>6</v>
      </c>
    </row>
    <row r="4014" spans="1:23" x14ac:dyDescent="0.2">
      <c r="A4014">
        <v>2022</v>
      </c>
      <c r="B4014" t="s">
        <v>23</v>
      </c>
      <c r="C4014" t="s">
        <v>272</v>
      </c>
      <c r="D4014">
        <v>111</v>
      </c>
      <c r="E4014">
        <v>1</v>
      </c>
      <c r="F4014">
        <v>5</v>
      </c>
      <c r="G4014" t="s">
        <v>135</v>
      </c>
      <c r="H4014" s="1">
        <v>7</v>
      </c>
      <c r="I4014" s="1">
        <v>65</v>
      </c>
      <c r="J4014" s="1">
        <v>68</v>
      </c>
      <c r="K4014" s="1">
        <f>J4014-I4014</f>
        <v>3</v>
      </c>
      <c r="L4014" s="1">
        <v>152</v>
      </c>
      <c r="M4014" s="1">
        <v>68</v>
      </c>
      <c r="N4014" s="1">
        <v>2</v>
      </c>
      <c r="O4014" s="1">
        <v>3.5</v>
      </c>
      <c r="P4014" s="1">
        <v>7</v>
      </c>
      <c r="Q4014" s="2">
        <v>0.57629999999999992</v>
      </c>
      <c r="R4014" s="1">
        <v>5</v>
      </c>
      <c r="S4014" s="1">
        <f>R4014/P4014</f>
        <v>0.7142857142857143</v>
      </c>
      <c r="T4014" s="1">
        <v>5</v>
      </c>
      <c r="U4014" s="1">
        <v>12.5</v>
      </c>
      <c r="V4014" s="1">
        <v>2109.3333333333335</v>
      </c>
      <c r="W4014" s="1">
        <v>6</v>
      </c>
    </row>
    <row r="4015" spans="1:23" x14ac:dyDescent="0.2">
      <c r="A4015">
        <v>2022</v>
      </c>
      <c r="B4015" t="s">
        <v>23</v>
      </c>
      <c r="C4015" t="s">
        <v>272</v>
      </c>
      <c r="D4015">
        <v>111</v>
      </c>
      <c r="E4015">
        <v>2</v>
      </c>
      <c r="F4015">
        <v>5</v>
      </c>
      <c r="G4015" t="s">
        <v>135</v>
      </c>
      <c r="H4015">
        <v>15</v>
      </c>
      <c r="I4015">
        <v>55</v>
      </c>
      <c r="J4015">
        <v>60</v>
      </c>
      <c r="K4015">
        <v>5</v>
      </c>
      <c r="L4015">
        <v>180</v>
      </c>
      <c r="M4015">
        <v>83</v>
      </c>
      <c r="N4015">
        <v>2</v>
      </c>
      <c r="O4015">
        <v>2</v>
      </c>
      <c r="P4015">
        <v>15</v>
      </c>
      <c r="Q4015">
        <v>1.6</v>
      </c>
      <c r="R4015">
        <v>12</v>
      </c>
      <c r="S4015">
        <v>0.8</v>
      </c>
      <c r="T4015">
        <v>3</v>
      </c>
      <c r="U4015">
        <v>12</v>
      </c>
      <c r="V4015">
        <v>5889.6732026143791</v>
      </c>
      <c r="W4015">
        <v>1</v>
      </c>
    </row>
    <row r="4016" spans="1:23" x14ac:dyDescent="0.2">
      <c r="A4016">
        <v>2022</v>
      </c>
      <c r="B4016" t="s">
        <v>23</v>
      </c>
      <c r="C4016" t="s">
        <v>272</v>
      </c>
      <c r="D4016">
        <v>112</v>
      </c>
      <c r="E4016">
        <v>1</v>
      </c>
      <c r="F4016">
        <v>3</v>
      </c>
      <c r="G4016" t="s">
        <v>136</v>
      </c>
      <c r="H4016">
        <v>10</v>
      </c>
      <c r="I4016">
        <v>56</v>
      </c>
      <c r="J4016">
        <v>57</v>
      </c>
      <c r="K4016">
        <v>1</v>
      </c>
      <c r="L4016">
        <v>120</v>
      </c>
      <c r="M4016">
        <v>29</v>
      </c>
      <c r="N4016">
        <v>3</v>
      </c>
      <c r="O4016">
        <v>3</v>
      </c>
      <c r="P4016">
        <v>10</v>
      </c>
      <c r="Q4016">
        <v>1.3180000000000001</v>
      </c>
      <c r="R4016">
        <v>11</v>
      </c>
      <c r="S4016">
        <v>1.1000000000000001</v>
      </c>
      <c r="T4016">
        <v>2</v>
      </c>
      <c r="U4016">
        <v>12.5</v>
      </c>
      <c r="V4016">
        <v>4824.0522875816996</v>
      </c>
      <c r="W4016">
        <v>1</v>
      </c>
    </row>
    <row r="4017" spans="1:23" x14ac:dyDescent="0.2">
      <c r="A4017">
        <v>2022</v>
      </c>
      <c r="B4017" t="s">
        <v>23</v>
      </c>
      <c r="C4017" t="s">
        <v>272</v>
      </c>
      <c r="D4017">
        <v>112</v>
      </c>
      <c r="E4017">
        <v>2</v>
      </c>
      <c r="F4017">
        <v>1</v>
      </c>
      <c r="G4017" t="s">
        <v>136</v>
      </c>
      <c r="H4017">
        <v>7</v>
      </c>
      <c r="I4017">
        <v>63</v>
      </c>
      <c r="J4017">
        <v>67</v>
      </c>
      <c r="K4017">
        <v>4</v>
      </c>
      <c r="L4017">
        <v>140</v>
      </c>
      <c r="M4017">
        <v>60</v>
      </c>
      <c r="N4017">
        <v>2</v>
      </c>
      <c r="O4017">
        <v>3</v>
      </c>
      <c r="P4017">
        <v>7</v>
      </c>
      <c r="Q4017">
        <v>1</v>
      </c>
      <c r="R4017">
        <v>7</v>
      </c>
      <c r="S4017">
        <v>1</v>
      </c>
      <c r="T4017">
        <v>3</v>
      </c>
      <c r="U4017">
        <v>12.5</v>
      </c>
      <c r="V4017">
        <v>3660.1307189542486</v>
      </c>
      <c r="W4017">
        <v>1</v>
      </c>
    </row>
    <row r="4018" spans="1:23" x14ac:dyDescent="0.2">
      <c r="A4018">
        <v>2022</v>
      </c>
      <c r="B4018" t="s">
        <v>23</v>
      </c>
      <c r="C4018" t="s">
        <v>272</v>
      </c>
      <c r="D4018">
        <v>113</v>
      </c>
      <c r="E4018">
        <v>1</v>
      </c>
      <c r="F4018">
        <v>5</v>
      </c>
      <c r="G4018" t="s">
        <v>137</v>
      </c>
      <c r="H4018">
        <v>9</v>
      </c>
      <c r="I4018">
        <v>62</v>
      </c>
      <c r="J4018">
        <v>66</v>
      </c>
      <c r="K4018">
        <v>4</v>
      </c>
      <c r="L4018">
        <v>150</v>
      </c>
      <c r="M4018">
        <v>70</v>
      </c>
      <c r="N4018">
        <v>2</v>
      </c>
      <c r="O4018">
        <v>3</v>
      </c>
      <c r="P4018">
        <v>9</v>
      </c>
      <c r="Q4018">
        <v>0.7</v>
      </c>
      <c r="R4018">
        <v>9</v>
      </c>
      <c r="S4018">
        <v>1</v>
      </c>
      <c r="T4018">
        <v>2.5</v>
      </c>
      <c r="U4018">
        <v>12.5</v>
      </c>
      <c r="V4018">
        <v>2562.0915032679736</v>
      </c>
      <c r="W4018">
        <v>1</v>
      </c>
    </row>
    <row r="4019" spans="1:23" x14ac:dyDescent="0.2">
      <c r="A4019">
        <v>2022</v>
      </c>
      <c r="B4019" t="s">
        <v>23</v>
      </c>
      <c r="C4019" t="s">
        <v>272</v>
      </c>
      <c r="D4019">
        <v>113</v>
      </c>
      <c r="E4019">
        <v>2</v>
      </c>
      <c r="F4019">
        <v>10</v>
      </c>
      <c r="G4019" t="s">
        <v>137</v>
      </c>
      <c r="H4019" s="1">
        <v>12</v>
      </c>
      <c r="I4019" s="1">
        <v>56</v>
      </c>
      <c r="J4019" s="1">
        <v>60</v>
      </c>
      <c r="K4019" s="1">
        <f>J4019-I4019</f>
        <v>4</v>
      </c>
      <c r="L4019" s="1">
        <v>152</v>
      </c>
      <c r="M4019" s="1">
        <v>82</v>
      </c>
      <c r="N4019" s="1">
        <v>2</v>
      </c>
      <c r="O4019" s="1">
        <v>3.5</v>
      </c>
      <c r="P4019" s="1">
        <v>12</v>
      </c>
      <c r="Q4019" s="2">
        <v>0.192</v>
      </c>
      <c r="R4019" s="1">
        <v>9</v>
      </c>
      <c r="S4019" s="1">
        <f>R4019/P4019</f>
        <v>0.75</v>
      </c>
      <c r="T4019" s="1">
        <v>5</v>
      </c>
      <c r="U4019" s="1">
        <v>12.5</v>
      </c>
      <c r="V4019" s="1">
        <v>702.74509803921569</v>
      </c>
      <c r="W4019" s="1">
        <v>4</v>
      </c>
    </row>
    <row r="4020" spans="1:23" x14ac:dyDescent="0.2">
      <c r="A4020">
        <v>2022</v>
      </c>
      <c r="B4020" t="s">
        <v>23</v>
      </c>
      <c r="C4020" t="s">
        <v>272</v>
      </c>
      <c r="D4020">
        <v>114</v>
      </c>
      <c r="E4020">
        <v>1</v>
      </c>
      <c r="F4020">
        <v>4</v>
      </c>
      <c r="G4020" t="s">
        <v>138</v>
      </c>
      <c r="H4020" s="1">
        <v>6</v>
      </c>
      <c r="I4020" s="1">
        <v>67</v>
      </c>
      <c r="J4020" s="1">
        <v>70</v>
      </c>
      <c r="K4020" s="1">
        <f>J4020-I4020</f>
        <v>3</v>
      </c>
      <c r="L4020" s="1">
        <v>95</v>
      </c>
      <c r="M4020" s="1">
        <v>36</v>
      </c>
      <c r="N4020" s="1">
        <v>3</v>
      </c>
      <c r="O4020" s="1">
        <v>5</v>
      </c>
      <c r="P4020" s="1">
        <v>2</v>
      </c>
      <c r="Q4020" s="2">
        <v>6.7500000000000004E-2</v>
      </c>
      <c r="R4020" s="1">
        <v>2</v>
      </c>
      <c r="S4020" s="1">
        <f>R4020/P4020</f>
        <v>1</v>
      </c>
      <c r="T4020" s="1">
        <v>5</v>
      </c>
      <c r="U4020" s="1">
        <v>12.5</v>
      </c>
      <c r="V4020" s="1">
        <v>247.05882352941177</v>
      </c>
      <c r="W4020" s="1">
        <v>6</v>
      </c>
    </row>
    <row r="4021" spans="1:23" x14ac:dyDescent="0.2">
      <c r="A4021">
        <v>2022</v>
      </c>
      <c r="B4021" t="s">
        <v>23</v>
      </c>
      <c r="C4021" t="s">
        <v>272</v>
      </c>
      <c r="D4021">
        <v>114</v>
      </c>
      <c r="E4021">
        <v>2</v>
      </c>
      <c r="F4021">
        <v>7</v>
      </c>
      <c r="G4021" t="s">
        <v>138</v>
      </c>
      <c r="H4021" s="1">
        <v>11</v>
      </c>
      <c r="I4021" s="1">
        <v>63</v>
      </c>
      <c r="J4021" s="1">
        <v>68</v>
      </c>
      <c r="K4021" s="1">
        <f>J4021-I4021</f>
        <v>5</v>
      </c>
      <c r="L4021" s="1">
        <v>142</v>
      </c>
      <c r="M4021" s="1">
        <v>93</v>
      </c>
      <c r="N4021" s="1">
        <v>2</v>
      </c>
      <c r="O4021" s="1">
        <v>3.5</v>
      </c>
      <c r="P4021" s="1">
        <f>H4021</f>
        <v>11</v>
      </c>
      <c r="Q4021" s="2">
        <v>0.40575</v>
      </c>
      <c r="R4021" s="1">
        <v>11</v>
      </c>
      <c r="S4021" s="1">
        <f>R4021/P4021</f>
        <v>1</v>
      </c>
      <c r="T4021" s="1">
        <v>5</v>
      </c>
      <c r="U4021" s="1">
        <v>12.5</v>
      </c>
      <c r="V4021" s="1">
        <v>1485.0980392156862</v>
      </c>
      <c r="W4021" s="1">
        <v>5</v>
      </c>
    </row>
    <row r="4022" spans="1:23" x14ac:dyDescent="0.2">
      <c r="A4022">
        <v>2022</v>
      </c>
      <c r="B4022" t="s">
        <v>23</v>
      </c>
      <c r="C4022" t="s">
        <v>272</v>
      </c>
      <c r="D4022">
        <v>115</v>
      </c>
      <c r="E4022">
        <v>1</v>
      </c>
      <c r="F4022">
        <v>4</v>
      </c>
      <c r="G4022" t="s">
        <v>139</v>
      </c>
      <c r="H4022" s="1">
        <v>9</v>
      </c>
      <c r="I4022" s="1">
        <v>67</v>
      </c>
      <c r="J4022" s="1">
        <v>72</v>
      </c>
      <c r="K4022" s="1">
        <f>J4022-I4022</f>
        <v>5</v>
      </c>
      <c r="L4022" s="1">
        <v>175</v>
      </c>
      <c r="M4022" s="1">
        <v>117</v>
      </c>
      <c r="N4022" s="1">
        <v>1</v>
      </c>
      <c r="O4022" s="1">
        <v>2.5</v>
      </c>
      <c r="P4022" s="1">
        <f>H4022</f>
        <v>9</v>
      </c>
      <c r="Q4022" s="2">
        <v>0.99450000000000005</v>
      </c>
      <c r="R4022" s="1">
        <v>9</v>
      </c>
      <c r="S4022" s="1">
        <f>R4022/P4022</f>
        <v>1</v>
      </c>
      <c r="T4022" s="1">
        <v>2</v>
      </c>
      <c r="U4022" s="1">
        <v>12.5</v>
      </c>
      <c r="V4022" s="1">
        <v>3640.0000000000009</v>
      </c>
      <c r="W4022" s="1">
        <v>3</v>
      </c>
    </row>
    <row r="4023" spans="1:23" x14ac:dyDescent="0.2">
      <c r="A4023">
        <v>2022</v>
      </c>
      <c r="B4023" t="s">
        <v>23</v>
      </c>
      <c r="C4023" t="s">
        <v>272</v>
      </c>
      <c r="D4023">
        <v>115</v>
      </c>
      <c r="E4023">
        <v>2</v>
      </c>
      <c r="F4023">
        <v>6</v>
      </c>
      <c r="G4023" t="s">
        <v>139</v>
      </c>
      <c r="H4023">
        <v>9</v>
      </c>
      <c r="I4023">
        <v>56</v>
      </c>
      <c r="J4023">
        <v>59</v>
      </c>
      <c r="K4023">
        <v>3</v>
      </c>
      <c r="L4023">
        <v>162</v>
      </c>
      <c r="M4023">
        <v>67</v>
      </c>
      <c r="N4023">
        <v>1.5</v>
      </c>
      <c r="O4023">
        <v>2</v>
      </c>
      <c r="P4023">
        <v>9</v>
      </c>
      <c r="Q4023">
        <v>0.4</v>
      </c>
      <c r="R4023">
        <v>9</v>
      </c>
      <c r="S4023">
        <v>1</v>
      </c>
      <c r="T4023">
        <v>2.5</v>
      </c>
      <c r="U4023">
        <v>12.5</v>
      </c>
      <c r="V4023">
        <v>1464.0522875816994</v>
      </c>
      <c r="W4023">
        <v>1</v>
      </c>
    </row>
    <row r="4024" spans="1:23" x14ac:dyDescent="0.2">
      <c r="A4024">
        <v>2022</v>
      </c>
      <c r="B4024" t="s">
        <v>23</v>
      </c>
      <c r="C4024" t="s">
        <v>272</v>
      </c>
      <c r="D4024">
        <v>116</v>
      </c>
      <c r="E4024">
        <v>1</v>
      </c>
      <c r="F4024">
        <v>15</v>
      </c>
      <c r="G4024" t="s">
        <v>140</v>
      </c>
      <c r="H4024">
        <v>8</v>
      </c>
      <c r="I4024">
        <v>58</v>
      </c>
      <c r="J4024">
        <v>62</v>
      </c>
      <c r="K4024">
        <v>4</v>
      </c>
      <c r="L4024">
        <v>54</v>
      </c>
      <c r="M4024">
        <v>18</v>
      </c>
      <c r="N4024">
        <v>2</v>
      </c>
      <c r="O4024">
        <v>4</v>
      </c>
      <c r="P4024">
        <v>3</v>
      </c>
      <c r="Q4024">
        <v>7.640000000000001E-2</v>
      </c>
      <c r="R4024">
        <v>3</v>
      </c>
      <c r="S4024">
        <v>1</v>
      </c>
      <c r="T4024">
        <v>2</v>
      </c>
      <c r="U4024">
        <v>12.5</v>
      </c>
      <c r="V4024">
        <v>279.63398692810455</v>
      </c>
      <c r="W4024">
        <v>1</v>
      </c>
    </row>
    <row r="4025" spans="1:23" x14ac:dyDescent="0.2">
      <c r="A4025">
        <v>2022</v>
      </c>
      <c r="B4025" t="s">
        <v>23</v>
      </c>
      <c r="C4025" t="s">
        <v>272</v>
      </c>
      <c r="D4025">
        <v>116</v>
      </c>
      <c r="E4025">
        <v>2</v>
      </c>
      <c r="F4025">
        <v>12</v>
      </c>
      <c r="G4025" t="s">
        <v>140</v>
      </c>
      <c r="H4025">
        <v>2</v>
      </c>
      <c r="I4025">
        <v>53</v>
      </c>
      <c r="J4025">
        <v>55</v>
      </c>
      <c r="K4025">
        <v>2</v>
      </c>
      <c r="L4025">
        <v>149</v>
      </c>
      <c r="M4025">
        <v>49</v>
      </c>
      <c r="N4025">
        <v>4</v>
      </c>
      <c r="O4025">
        <v>4</v>
      </c>
      <c r="P4025">
        <v>2</v>
      </c>
      <c r="Q4025">
        <v>0.316</v>
      </c>
      <c r="R4025">
        <v>2</v>
      </c>
      <c r="S4025">
        <v>1</v>
      </c>
      <c r="T4025">
        <v>3</v>
      </c>
      <c r="U4025">
        <v>12.5</v>
      </c>
      <c r="V4025">
        <v>1156.6013071895425</v>
      </c>
      <c r="W4025">
        <v>2</v>
      </c>
    </row>
    <row r="4026" spans="1:23" x14ac:dyDescent="0.2">
      <c r="A4026">
        <v>2022</v>
      </c>
      <c r="B4026" t="s">
        <v>23</v>
      </c>
      <c r="C4026" t="s">
        <v>272</v>
      </c>
      <c r="D4026">
        <v>117</v>
      </c>
      <c r="E4026">
        <v>1</v>
      </c>
      <c r="F4026">
        <v>11</v>
      </c>
      <c r="G4026" t="s">
        <v>141</v>
      </c>
      <c r="H4026" s="1">
        <v>2</v>
      </c>
      <c r="I4026" s="1">
        <v>63</v>
      </c>
      <c r="J4026" s="1">
        <v>68</v>
      </c>
      <c r="K4026" s="1">
        <f>J4026-I4026</f>
        <v>5</v>
      </c>
      <c r="L4026" s="1">
        <v>40</v>
      </c>
      <c r="M4026" s="1">
        <v>10</v>
      </c>
      <c r="N4026" s="1">
        <v>1.5</v>
      </c>
      <c r="O4026" s="1">
        <v>5</v>
      </c>
      <c r="P4026" s="1">
        <v>2</v>
      </c>
      <c r="Q4026" s="2">
        <v>6.2E-2</v>
      </c>
      <c r="R4026" s="1">
        <v>1</v>
      </c>
      <c r="S4026" s="1">
        <f>R4026/P4026</f>
        <v>0.5</v>
      </c>
      <c r="T4026" s="1">
        <v>5</v>
      </c>
      <c r="U4026" s="1">
        <v>12.5</v>
      </c>
      <c r="V4026" s="1">
        <v>226.92810457516339</v>
      </c>
      <c r="W4026" s="1">
        <v>6</v>
      </c>
    </row>
    <row r="4027" spans="1:23" x14ac:dyDescent="0.2">
      <c r="A4027">
        <v>2022</v>
      </c>
      <c r="B4027" t="s">
        <v>23</v>
      </c>
      <c r="C4027" t="s">
        <v>272</v>
      </c>
      <c r="D4027">
        <v>117</v>
      </c>
      <c r="E4027">
        <v>2</v>
      </c>
      <c r="F4027">
        <v>12</v>
      </c>
      <c r="G4027" t="s">
        <v>141</v>
      </c>
      <c r="H4027" s="1">
        <v>16</v>
      </c>
      <c r="I4027" s="1">
        <v>72</v>
      </c>
      <c r="J4027" s="1">
        <v>73</v>
      </c>
      <c r="K4027" s="1">
        <f>J4027-I4027</f>
        <v>1</v>
      </c>
      <c r="L4027" s="1">
        <v>126</v>
      </c>
      <c r="M4027" s="1">
        <v>51</v>
      </c>
      <c r="N4027" s="1">
        <v>2</v>
      </c>
      <c r="O4027" s="1">
        <v>4</v>
      </c>
      <c r="P4027" s="1">
        <v>8</v>
      </c>
      <c r="Q4027" s="2">
        <v>0.16800000000000001</v>
      </c>
      <c r="R4027" s="1">
        <v>7</v>
      </c>
      <c r="S4027" s="1">
        <f>R4027/P4027</f>
        <v>0.875</v>
      </c>
      <c r="T4027" s="1">
        <v>5</v>
      </c>
      <c r="U4027" s="1">
        <v>12.5</v>
      </c>
      <c r="V4027" s="1">
        <v>614.9019607843137</v>
      </c>
      <c r="W4027" s="1">
        <v>5</v>
      </c>
    </row>
    <row r="4028" spans="1:23" x14ac:dyDescent="0.2">
      <c r="A4028">
        <v>2022</v>
      </c>
      <c r="B4028" t="s">
        <v>23</v>
      </c>
      <c r="C4028" t="s">
        <v>272</v>
      </c>
      <c r="D4028">
        <v>118</v>
      </c>
      <c r="E4028">
        <v>1</v>
      </c>
      <c r="F4028">
        <v>13</v>
      </c>
      <c r="G4028" t="s">
        <v>142</v>
      </c>
      <c r="H4028" s="1">
        <v>11</v>
      </c>
      <c r="I4028" s="1">
        <v>65</v>
      </c>
      <c r="J4028" s="1">
        <v>70</v>
      </c>
      <c r="K4028" s="1">
        <f>J4028-I4028</f>
        <v>5</v>
      </c>
      <c r="L4028" s="1">
        <v>86</v>
      </c>
      <c r="M4028" s="1">
        <v>53</v>
      </c>
      <c r="N4028" s="1">
        <v>2</v>
      </c>
      <c r="O4028" s="1">
        <v>4</v>
      </c>
      <c r="P4028" s="1">
        <f>H4028</f>
        <v>11</v>
      </c>
      <c r="Q4028" s="2">
        <v>0.69225000000000003</v>
      </c>
      <c r="R4028" s="1">
        <v>9</v>
      </c>
      <c r="S4028" s="1">
        <f>R4028/P4028</f>
        <v>0.81818181818181823</v>
      </c>
      <c r="T4028" s="1">
        <v>5</v>
      </c>
      <c r="U4028" s="1">
        <v>12.5</v>
      </c>
      <c r="V4028" s="1">
        <v>2533.7254901960787</v>
      </c>
      <c r="W4028" s="1">
        <v>5</v>
      </c>
    </row>
    <row r="4029" spans="1:23" x14ac:dyDescent="0.2">
      <c r="A4029">
        <v>2022</v>
      </c>
      <c r="B4029" t="s">
        <v>23</v>
      </c>
      <c r="C4029" t="s">
        <v>272</v>
      </c>
      <c r="D4029">
        <v>118</v>
      </c>
      <c r="E4029">
        <v>2</v>
      </c>
      <c r="F4029">
        <v>15</v>
      </c>
      <c r="G4029" t="s">
        <v>142</v>
      </c>
      <c r="H4029" s="1">
        <v>10</v>
      </c>
      <c r="I4029" s="1">
        <v>56</v>
      </c>
      <c r="J4029" s="1">
        <v>61</v>
      </c>
      <c r="K4029" s="1">
        <f>J4029-I4029</f>
        <v>5</v>
      </c>
      <c r="L4029" s="1">
        <v>125</v>
      </c>
      <c r="M4029" s="1">
        <v>65</v>
      </c>
      <c r="N4029" s="1">
        <v>3</v>
      </c>
      <c r="O4029" s="1">
        <v>4</v>
      </c>
      <c r="P4029" s="1">
        <v>8</v>
      </c>
      <c r="Q4029" s="2">
        <v>0.39200000000000002</v>
      </c>
      <c r="R4029" s="1">
        <v>3</v>
      </c>
      <c r="S4029" s="1">
        <f>R4029/P4029</f>
        <v>0.375</v>
      </c>
      <c r="T4029" s="1">
        <v>5</v>
      </c>
      <c r="U4029" s="1">
        <v>12.5</v>
      </c>
      <c r="V4029" s="1">
        <v>1434.7712418300657</v>
      </c>
      <c r="W4029" s="1">
        <v>6</v>
      </c>
    </row>
    <row r="4030" spans="1:23" x14ac:dyDescent="0.2">
      <c r="A4030">
        <v>2022</v>
      </c>
      <c r="B4030" t="s">
        <v>23</v>
      </c>
      <c r="C4030" t="s">
        <v>272</v>
      </c>
      <c r="D4030">
        <v>119</v>
      </c>
      <c r="E4030">
        <v>1</v>
      </c>
      <c r="F4030">
        <v>10</v>
      </c>
      <c r="G4030" t="s">
        <v>143</v>
      </c>
      <c r="H4030">
        <v>13</v>
      </c>
      <c r="I4030">
        <v>55</v>
      </c>
      <c r="J4030">
        <v>58</v>
      </c>
      <c r="K4030">
        <v>3</v>
      </c>
      <c r="L4030">
        <v>182</v>
      </c>
      <c r="M4030">
        <v>85</v>
      </c>
      <c r="N4030">
        <v>4</v>
      </c>
      <c r="O4030">
        <v>3</v>
      </c>
      <c r="P4030">
        <v>12</v>
      </c>
      <c r="Q4030">
        <v>1</v>
      </c>
      <c r="R4030">
        <v>11</v>
      </c>
      <c r="S4030">
        <v>0.91666666666666663</v>
      </c>
      <c r="T4030">
        <v>3</v>
      </c>
      <c r="U4030">
        <v>12.5</v>
      </c>
      <c r="V4030">
        <v>3660.1307189542486</v>
      </c>
      <c r="W4030">
        <v>2</v>
      </c>
    </row>
    <row r="4031" spans="1:23" x14ac:dyDescent="0.2">
      <c r="A4031">
        <v>2022</v>
      </c>
      <c r="B4031" t="s">
        <v>23</v>
      </c>
      <c r="C4031" t="s">
        <v>272</v>
      </c>
      <c r="D4031">
        <v>119</v>
      </c>
      <c r="E4031">
        <v>2</v>
      </c>
      <c r="F4031">
        <v>9</v>
      </c>
      <c r="G4031" t="s">
        <v>143</v>
      </c>
      <c r="H4031">
        <v>6</v>
      </c>
      <c r="I4031">
        <v>55</v>
      </c>
      <c r="J4031">
        <v>57</v>
      </c>
      <c r="K4031">
        <v>2</v>
      </c>
      <c r="L4031">
        <v>190</v>
      </c>
      <c r="M4031">
        <v>64</v>
      </c>
      <c r="N4031">
        <v>2</v>
      </c>
      <c r="O4031">
        <v>3</v>
      </c>
      <c r="P4031">
        <v>6</v>
      </c>
      <c r="Q4031">
        <v>0.5</v>
      </c>
      <c r="R4031">
        <v>6</v>
      </c>
      <c r="S4031">
        <v>1</v>
      </c>
      <c r="T4031">
        <v>3</v>
      </c>
      <c r="U4031">
        <v>12.5</v>
      </c>
      <c r="V4031">
        <v>1830.0653594771243</v>
      </c>
      <c r="W4031">
        <v>2</v>
      </c>
    </row>
    <row r="4032" spans="1:23" x14ac:dyDescent="0.2">
      <c r="A4032">
        <v>2022</v>
      </c>
      <c r="B4032" t="s">
        <v>23</v>
      </c>
      <c r="C4032" t="s">
        <v>272</v>
      </c>
      <c r="D4032">
        <v>120</v>
      </c>
      <c r="E4032">
        <v>1</v>
      </c>
      <c r="F4032">
        <v>13</v>
      </c>
      <c r="G4032" t="s">
        <v>144</v>
      </c>
      <c r="H4032" s="3">
        <v>2</v>
      </c>
      <c r="I4032" s="3">
        <v>62</v>
      </c>
      <c r="J4032" s="3">
        <v>64</v>
      </c>
      <c r="K4032" s="3">
        <f>J4032-I4032</f>
        <v>2</v>
      </c>
      <c r="L4032" s="3">
        <v>53</v>
      </c>
      <c r="M4032" s="3">
        <v>30</v>
      </c>
      <c r="N4032" s="3">
        <v>4</v>
      </c>
      <c r="O4032" s="3">
        <v>5</v>
      </c>
      <c r="P4032" s="3">
        <v>1</v>
      </c>
      <c r="Q4032" s="4">
        <v>0.02</v>
      </c>
      <c r="R4032" s="3">
        <v>1</v>
      </c>
      <c r="S4032" s="3">
        <f>R4032/P4032</f>
        <v>1</v>
      </c>
      <c r="T4032" s="3">
        <v>5</v>
      </c>
      <c r="U4032" s="3">
        <v>12.5</v>
      </c>
      <c r="V4032" s="3">
        <v>73.202614379084977</v>
      </c>
      <c r="W4032" s="3">
        <v>8</v>
      </c>
    </row>
    <row r="4033" spans="1:23" x14ac:dyDescent="0.2">
      <c r="A4033">
        <v>2022</v>
      </c>
      <c r="B4033" t="s">
        <v>23</v>
      </c>
      <c r="C4033" t="s">
        <v>272</v>
      </c>
      <c r="D4033">
        <v>120</v>
      </c>
      <c r="E4033">
        <v>2</v>
      </c>
      <c r="F4033">
        <v>11</v>
      </c>
      <c r="G4033" t="s">
        <v>144</v>
      </c>
      <c r="H4033">
        <v>9</v>
      </c>
      <c r="I4033">
        <v>55</v>
      </c>
      <c r="J4033">
        <v>57</v>
      </c>
      <c r="K4033">
        <v>2</v>
      </c>
      <c r="L4033">
        <v>171</v>
      </c>
      <c r="M4033">
        <v>66</v>
      </c>
      <c r="N4033">
        <v>1.5</v>
      </c>
      <c r="O4033">
        <v>4</v>
      </c>
      <c r="P4033">
        <v>9</v>
      </c>
      <c r="Q4033">
        <v>1.1000000000000001</v>
      </c>
      <c r="R4033">
        <v>9</v>
      </c>
      <c r="S4033">
        <v>1</v>
      </c>
      <c r="T4033">
        <v>2.5</v>
      </c>
      <c r="U4033">
        <v>12.5</v>
      </c>
      <c r="V4033">
        <v>4026.1437908496737</v>
      </c>
      <c r="W4033">
        <v>1</v>
      </c>
    </row>
    <row r="4034" spans="1:23" x14ac:dyDescent="0.2">
      <c r="A4034">
        <v>2022</v>
      </c>
      <c r="B4034" t="s">
        <v>23</v>
      </c>
      <c r="C4034" t="s">
        <v>272</v>
      </c>
      <c r="D4034">
        <v>121</v>
      </c>
      <c r="E4034">
        <v>1</v>
      </c>
      <c r="F4034">
        <v>6</v>
      </c>
      <c r="G4034" t="s">
        <v>145</v>
      </c>
      <c r="H4034" s="1">
        <v>7</v>
      </c>
      <c r="I4034" s="1">
        <v>66</v>
      </c>
      <c r="J4034" s="1">
        <v>71</v>
      </c>
      <c r="K4034" s="1">
        <f>J4034-I4034</f>
        <v>5</v>
      </c>
      <c r="L4034" s="1">
        <v>131</v>
      </c>
      <c r="M4034" s="1">
        <v>42</v>
      </c>
      <c r="N4034" s="1">
        <v>1.5</v>
      </c>
      <c r="O4034" s="1">
        <v>4</v>
      </c>
      <c r="P4034" s="1">
        <v>6</v>
      </c>
      <c r="Q4034" s="2">
        <v>0.128</v>
      </c>
      <c r="R4034" s="1">
        <v>6</v>
      </c>
      <c r="S4034" s="1">
        <f>R4034/P4034</f>
        <v>1</v>
      </c>
      <c r="T4034" s="1">
        <v>4</v>
      </c>
      <c r="U4034" s="1">
        <v>12.5</v>
      </c>
      <c r="V4034" s="1">
        <v>468.49673202614383</v>
      </c>
      <c r="W4034" s="1">
        <v>4</v>
      </c>
    </row>
    <row r="4035" spans="1:23" x14ac:dyDescent="0.2">
      <c r="A4035">
        <v>2022</v>
      </c>
      <c r="B4035" t="s">
        <v>23</v>
      </c>
      <c r="C4035" t="s">
        <v>272</v>
      </c>
      <c r="D4035">
        <v>121</v>
      </c>
      <c r="E4035">
        <v>2</v>
      </c>
      <c r="F4035">
        <v>6</v>
      </c>
      <c r="G4035" t="s">
        <v>145</v>
      </c>
      <c r="H4035">
        <v>6</v>
      </c>
      <c r="I4035">
        <v>59</v>
      </c>
      <c r="J4035">
        <v>62</v>
      </c>
      <c r="K4035">
        <v>3</v>
      </c>
      <c r="L4035">
        <v>165</v>
      </c>
      <c r="M4035">
        <v>45</v>
      </c>
      <c r="N4035">
        <v>1.5</v>
      </c>
      <c r="O4035">
        <v>3.5</v>
      </c>
      <c r="P4035">
        <v>6</v>
      </c>
      <c r="Q4035">
        <v>0.5</v>
      </c>
      <c r="R4035">
        <v>5</v>
      </c>
      <c r="S4035">
        <v>0.83333333333333337</v>
      </c>
      <c r="T4035">
        <v>2.5</v>
      </c>
      <c r="U4035">
        <v>12.5</v>
      </c>
      <c r="V4035">
        <v>1830.0653594771243</v>
      </c>
      <c r="W4035">
        <v>2</v>
      </c>
    </row>
    <row r="4036" spans="1:23" x14ac:dyDescent="0.2">
      <c r="A4036">
        <v>2022</v>
      </c>
      <c r="B4036" t="s">
        <v>23</v>
      </c>
      <c r="C4036" t="s">
        <v>272</v>
      </c>
      <c r="D4036">
        <v>122</v>
      </c>
      <c r="E4036">
        <v>1</v>
      </c>
      <c r="F4036">
        <v>3</v>
      </c>
      <c r="G4036" t="s">
        <v>146</v>
      </c>
      <c r="H4036" s="1">
        <v>3</v>
      </c>
      <c r="I4036" s="1">
        <v>58</v>
      </c>
      <c r="J4036" s="1">
        <v>63</v>
      </c>
      <c r="K4036" s="1">
        <f>J4036-I4036</f>
        <v>5</v>
      </c>
      <c r="L4036" s="1">
        <v>55</v>
      </c>
      <c r="M4036" s="1">
        <v>26</v>
      </c>
      <c r="N4036" s="1">
        <v>4</v>
      </c>
      <c r="O4036" s="1">
        <v>5</v>
      </c>
      <c r="P4036" s="1">
        <v>3</v>
      </c>
      <c r="Q4036" s="2">
        <v>0.04</v>
      </c>
      <c r="R4036" s="1">
        <v>5</v>
      </c>
      <c r="S4036" s="1">
        <f>R4036/P4036</f>
        <v>1.6666666666666667</v>
      </c>
      <c r="T4036" s="1">
        <v>5</v>
      </c>
      <c r="U4036" s="1">
        <v>12.5</v>
      </c>
      <c r="V4036" s="1">
        <v>146.40522875816995</v>
      </c>
      <c r="W4036" s="1">
        <v>8</v>
      </c>
    </row>
    <row r="4037" spans="1:23" x14ac:dyDescent="0.2">
      <c r="A4037">
        <v>2022</v>
      </c>
      <c r="B4037" t="s">
        <v>23</v>
      </c>
      <c r="C4037" t="s">
        <v>272</v>
      </c>
      <c r="D4037">
        <v>122</v>
      </c>
      <c r="E4037">
        <v>2</v>
      </c>
      <c r="F4037">
        <v>2</v>
      </c>
      <c r="G4037" t="s">
        <v>146</v>
      </c>
      <c r="H4037" s="1">
        <v>2</v>
      </c>
      <c r="I4037" s="1">
        <v>58</v>
      </c>
      <c r="J4037" s="1">
        <v>63</v>
      </c>
      <c r="K4037" s="1">
        <f>J4037-I4037</f>
        <v>5</v>
      </c>
      <c r="L4037" s="1">
        <v>103</v>
      </c>
      <c r="M4037" s="1">
        <v>47</v>
      </c>
      <c r="N4037" s="1">
        <v>1.5</v>
      </c>
      <c r="O4037" s="1">
        <v>3</v>
      </c>
      <c r="P4037" s="1">
        <v>2</v>
      </c>
      <c r="Q4037" s="2">
        <v>0.21199999999999999</v>
      </c>
      <c r="R4037" s="1">
        <v>1</v>
      </c>
      <c r="S4037" s="1">
        <f>R4037/P4037</f>
        <v>0.5</v>
      </c>
      <c r="T4037" s="1">
        <v>2</v>
      </c>
      <c r="U4037" s="1">
        <v>12.5</v>
      </c>
      <c r="V4037" s="1">
        <v>775.94771241830074</v>
      </c>
      <c r="W4037" s="1">
        <v>2</v>
      </c>
    </row>
    <row r="4038" spans="1:23" x14ac:dyDescent="0.2">
      <c r="A4038">
        <v>2022</v>
      </c>
      <c r="B4038" t="s">
        <v>23</v>
      </c>
      <c r="C4038" t="s">
        <v>272</v>
      </c>
      <c r="D4038">
        <v>123</v>
      </c>
      <c r="E4038">
        <v>1</v>
      </c>
      <c r="F4038">
        <v>1</v>
      </c>
      <c r="G4038" t="s">
        <v>147</v>
      </c>
      <c r="H4038" s="1">
        <v>14</v>
      </c>
      <c r="I4038" s="1">
        <v>62</v>
      </c>
      <c r="J4038" s="1">
        <v>66</v>
      </c>
      <c r="K4038" s="1">
        <f>J4038-I4038</f>
        <v>4</v>
      </c>
      <c r="L4038" s="1">
        <v>139</v>
      </c>
      <c r="M4038" s="1">
        <v>87</v>
      </c>
      <c r="N4038" s="1">
        <v>2</v>
      </c>
      <c r="O4038" s="1">
        <v>3.5</v>
      </c>
      <c r="P4038" s="1">
        <f>H4038-2</f>
        <v>12</v>
      </c>
      <c r="Q4038" s="2">
        <v>0.30149999999999999</v>
      </c>
      <c r="R4038" s="1">
        <v>12</v>
      </c>
      <c r="S4038" s="1">
        <f>R4038/P4038</f>
        <v>1</v>
      </c>
      <c r="T4038" s="1">
        <v>5</v>
      </c>
      <c r="U4038" s="1">
        <v>12.5</v>
      </c>
      <c r="V4038" s="1">
        <v>1103.5294117647059</v>
      </c>
      <c r="W4038" s="1">
        <v>4</v>
      </c>
    </row>
    <row r="4039" spans="1:23" x14ac:dyDescent="0.2">
      <c r="A4039">
        <v>2022</v>
      </c>
      <c r="B4039" t="s">
        <v>23</v>
      </c>
      <c r="C4039" t="s">
        <v>272</v>
      </c>
      <c r="D4039">
        <v>123</v>
      </c>
      <c r="E4039">
        <v>2</v>
      </c>
      <c r="F4039">
        <v>6</v>
      </c>
      <c r="G4039" t="s">
        <v>147</v>
      </c>
      <c r="H4039" s="1">
        <v>9</v>
      </c>
      <c r="I4039" s="1">
        <v>67</v>
      </c>
      <c r="J4039" s="1">
        <v>72</v>
      </c>
      <c r="K4039" s="1">
        <f>J4039-I4039</f>
        <v>5</v>
      </c>
      <c r="L4039" s="1">
        <v>162</v>
      </c>
      <c r="M4039" s="1">
        <v>85</v>
      </c>
      <c r="N4039" s="1">
        <v>1</v>
      </c>
      <c r="O4039" s="1">
        <v>1.5</v>
      </c>
      <c r="P4039" s="1">
        <v>9</v>
      </c>
      <c r="Q4039" s="2">
        <v>0.49260000000000004</v>
      </c>
      <c r="R4039" s="1">
        <v>8</v>
      </c>
      <c r="S4039" s="1">
        <f>R4039/P4039</f>
        <v>0.88888888888888884</v>
      </c>
      <c r="T4039" s="1">
        <v>3</v>
      </c>
      <c r="U4039" s="1">
        <v>12.5</v>
      </c>
      <c r="V4039" s="1">
        <v>1802.980392156863</v>
      </c>
      <c r="W4039" s="1">
        <v>4</v>
      </c>
    </row>
    <row r="4040" spans="1:23" x14ac:dyDescent="0.2">
      <c r="A4040">
        <v>2022</v>
      </c>
      <c r="B4040" t="s">
        <v>23</v>
      </c>
      <c r="C4040" t="s">
        <v>272</v>
      </c>
      <c r="D4040">
        <v>124</v>
      </c>
      <c r="E4040">
        <v>1</v>
      </c>
      <c r="F4040">
        <v>4</v>
      </c>
      <c r="G4040" t="s">
        <v>148</v>
      </c>
      <c r="H4040" s="3">
        <v>7</v>
      </c>
      <c r="I4040" s="3">
        <v>66</v>
      </c>
      <c r="J4040" s="3">
        <v>68</v>
      </c>
      <c r="K4040" s="3">
        <f>J4040-I4040</f>
        <v>2</v>
      </c>
      <c r="L4040" s="3">
        <v>187</v>
      </c>
      <c r="M4040" s="3">
        <v>92</v>
      </c>
      <c r="N4040" s="3">
        <v>2</v>
      </c>
      <c r="O4040" s="3">
        <v>2.5</v>
      </c>
      <c r="P4040" s="3">
        <v>6</v>
      </c>
      <c r="Q4040" s="4">
        <v>0.41599999999999998</v>
      </c>
      <c r="R4040" s="3">
        <v>6</v>
      </c>
      <c r="S4040" s="3">
        <f>R4040/P4040</f>
        <v>1</v>
      </c>
      <c r="T4040" s="3">
        <v>4</v>
      </c>
      <c r="U4040" s="3">
        <v>11.1</v>
      </c>
      <c r="V4040" s="3">
        <v>1546.9762091503269</v>
      </c>
      <c r="W4040" s="3">
        <v>5</v>
      </c>
    </row>
    <row r="4041" spans="1:23" x14ac:dyDescent="0.2">
      <c r="A4041">
        <v>2022</v>
      </c>
      <c r="B4041" t="s">
        <v>23</v>
      </c>
      <c r="C4041" t="s">
        <v>272</v>
      </c>
      <c r="D4041">
        <v>124</v>
      </c>
      <c r="E4041">
        <v>2</v>
      </c>
      <c r="F4041">
        <v>6</v>
      </c>
      <c r="G4041" t="s">
        <v>148</v>
      </c>
      <c r="H4041">
        <v>16</v>
      </c>
      <c r="I4041">
        <v>54</v>
      </c>
      <c r="J4041">
        <v>56</v>
      </c>
      <c r="K4041">
        <v>2</v>
      </c>
      <c r="L4041">
        <v>158</v>
      </c>
      <c r="M4041">
        <v>47</v>
      </c>
      <c r="N4041">
        <v>1</v>
      </c>
      <c r="O4041">
        <v>1.5</v>
      </c>
      <c r="P4041">
        <v>11</v>
      </c>
      <c r="Q4041">
        <v>1.6</v>
      </c>
      <c r="R4041">
        <v>16</v>
      </c>
      <c r="S4041">
        <v>1.4545454545454546</v>
      </c>
      <c r="T4041">
        <v>2</v>
      </c>
      <c r="U4041">
        <v>9.6999999999999993</v>
      </c>
      <c r="V4041">
        <v>6043.6078431372553</v>
      </c>
      <c r="W4041">
        <v>2</v>
      </c>
    </row>
    <row r="4042" spans="1:23" x14ac:dyDescent="0.2">
      <c r="A4042">
        <v>2022</v>
      </c>
      <c r="B4042" t="s">
        <v>23</v>
      </c>
      <c r="C4042" t="s">
        <v>272</v>
      </c>
      <c r="D4042">
        <v>125</v>
      </c>
      <c r="E4042">
        <v>1</v>
      </c>
      <c r="F4042">
        <v>11</v>
      </c>
      <c r="G4042" t="s">
        <v>149</v>
      </c>
      <c r="H4042" s="1">
        <v>7</v>
      </c>
      <c r="I4042" s="1">
        <v>58</v>
      </c>
      <c r="J4042" s="1">
        <v>61</v>
      </c>
      <c r="K4042" s="1">
        <f>J4042-I4042</f>
        <v>3</v>
      </c>
      <c r="L4042" s="1">
        <v>140</v>
      </c>
      <c r="M4042" s="1">
        <v>66</v>
      </c>
      <c r="N4042" s="1">
        <v>2</v>
      </c>
      <c r="O4042" s="1">
        <v>3.5</v>
      </c>
      <c r="P4042" s="1">
        <v>7</v>
      </c>
      <c r="Q4042" s="2">
        <v>0.1040625</v>
      </c>
      <c r="R4042" s="1">
        <v>5</v>
      </c>
      <c r="S4042" s="1">
        <f>R4042/P4042</f>
        <v>0.7142857142857143</v>
      </c>
      <c r="T4042" s="1">
        <v>5</v>
      </c>
      <c r="U4042" s="1">
        <v>12.5</v>
      </c>
      <c r="V4042" s="1">
        <v>380.88235294117646</v>
      </c>
      <c r="W4042" s="1">
        <v>5</v>
      </c>
    </row>
    <row r="4043" spans="1:23" x14ac:dyDescent="0.2">
      <c r="A4043">
        <v>2022</v>
      </c>
      <c r="B4043" t="s">
        <v>23</v>
      </c>
      <c r="C4043" t="s">
        <v>272</v>
      </c>
      <c r="D4043">
        <v>125</v>
      </c>
      <c r="E4043">
        <v>2</v>
      </c>
      <c r="F4043">
        <v>13</v>
      </c>
      <c r="G4043" t="s">
        <v>149</v>
      </c>
      <c r="H4043" s="1">
        <v>6</v>
      </c>
      <c r="I4043" s="1">
        <v>63</v>
      </c>
      <c r="J4043" s="1">
        <v>66</v>
      </c>
      <c r="K4043" s="1">
        <f>J4043-I4043</f>
        <v>3</v>
      </c>
      <c r="L4043" s="1">
        <v>152</v>
      </c>
      <c r="M4043" s="1">
        <v>51</v>
      </c>
      <c r="N4043" s="1">
        <v>2.5</v>
      </c>
      <c r="O4043" s="1">
        <v>4.5</v>
      </c>
      <c r="P4043" s="1">
        <v>4</v>
      </c>
      <c r="Q4043" s="2">
        <v>7.3999999999999996E-2</v>
      </c>
      <c r="R4043" s="1">
        <v>4</v>
      </c>
      <c r="S4043" s="1">
        <f>R4043/P4043</f>
        <v>1</v>
      </c>
      <c r="T4043" s="1">
        <v>4</v>
      </c>
      <c r="U4043" s="1">
        <v>12.5</v>
      </c>
      <c r="V4043" s="1">
        <v>270.84967320261438</v>
      </c>
      <c r="W4043" s="1">
        <v>5</v>
      </c>
    </row>
    <row r="4044" spans="1:23" x14ac:dyDescent="0.2">
      <c r="A4044">
        <v>2022</v>
      </c>
      <c r="B4044" t="s">
        <v>23</v>
      </c>
      <c r="C4044" t="s">
        <v>272</v>
      </c>
      <c r="D4044">
        <v>126</v>
      </c>
      <c r="E4044">
        <v>1</v>
      </c>
      <c r="F4044">
        <v>9</v>
      </c>
      <c r="G4044" t="s">
        <v>150</v>
      </c>
      <c r="H4044">
        <v>10</v>
      </c>
      <c r="I4044">
        <v>55</v>
      </c>
      <c r="J4044">
        <v>57</v>
      </c>
      <c r="K4044">
        <v>2</v>
      </c>
      <c r="L4044">
        <v>90</v>
      </c>
      <c r="M4044">
        <v>29</v>
      </c>
      <c r="N4044">
        <v>3</v>
      </c>
      <c r="O4044">
        <v>3</v>
      </c>
      <c r="P4044">
        <v>10</v>
      </c>
      <c r="Q4044">
        <v>1.258</v>
      </c>
      <c r="R4044">
        <v>13</v>
      </c>
      <c r="S4044">
        <v>1.3</v>
      </c>
      <c r="T4044">
        <v>4</v>
      </c>
      <c r="U4044">
        <v>12.5</v>
      </c>
      <c r="V4044">
        <v>4604.4444444444443</v>
      </c>
      <c r="W4044">
        <v>2</v>
      </c>
    </row>
    <row r="4045" spans="1:23" x14ac:dyDescent="0.2">
      <c r="A4045">
        <v>2022</v>
      </c>
      <c r="B4045" t="s">
        <v>23</v>
      </c>
      <c r="C4045" t="s">
        <v>272</v>
      </c>
      <c r="D4045">
        <v>126</v>
      </c>
      <c r="E4045">
        <v>2</v>
      </c>
      <c r="F4045">
        <v>5</v>
      </c>
      <c r="G4045" t="s">
        <v>150</v>
      </c>
      <c r="H4045">
        <v>2</v>
      </c>
      <c r="I4045">
        <v>55</v>
      </c>
      <c r="J4045">
        <v>56</v>
      </c>
      <c r="K4045">
        <v>1</v>
      </c>
      <c r="L4045">
        <v>180</v>
      </c>
      <c r="M4045">
        <v>64</v>
      </c>
      <c r="N4045">
        <v>2</v>
      </c>
      <c r="O4045">
        <v>3</v>
      </c>
      <c r="P4045">
        <v>2</v>
      </c>
      <c r="Q4045">
        <v>0.1</v>
      </c>
      <c r="R4045">
        <v>1</v>
      </c>
      <c r="S4045">
        <v>0.5</v>
      </c>
      <c r="T4045">
        <v>2.5</v>
      </c>
      <c r="U4045">
        <v>12.5</v>
      </c>
      <c r="V4045">
        <v>366.01307189542484</v>
      </c>
      <c r="W4045">
        <v>1</v>
      </c>
    </row>
    <row r="4046" spans="1:23" x14ac:dyDescent="0.2">
      <c r="A4046">
        <v>2022</v>
      </c>
      <c r="B4046" t="s">
        <v>23</v>
      </c>
      <c r="C4046" t="s">
        <v>272</v>
      </c>
      <c r="D4046">
        <v>127</v>
      </c>
      <c r="E4046">
        <v>1</v>
      </c>
      <c r="F4046">
        <v>14</v>
      </c>
      <c r="G4046" t="s">
        <v>151</v>
      </c>
      <c r="H4046" s="1">
        <v>8</v>
      </c>
      <c r="I4046" s="1">
        <v>64</v>
      </c>
      <c r="J4046" s="1">
        <v>68</v>
      </c>
      <c r="K4046" s="1">
        <f>J4046-I4046</f>
        <v>4</v>
      </c>
      <c r="L4046" s="1">
        <v>148</v>
      </c>
      <c r="M4046" s="1">
        <v>96</v>
      </c>
      <c r="N4046" s="1">
        <v>2</v>
      </c>
      <c r="O4046" s="1">
        <v>2.5</v>
      </c>
      <c r="P4046" s="1">
        <f>H4046-2</f>
        <v>6</v>
      </c>
      <c r="Q4046" s="2">
        <v>0.24</v>
      </c>
      <c r="R4046" s="1">
        <v>4</v>
      </c>
      <c r="S4046" s="1">
        <f>R4046/P4046</f>
        <v>0.66666666666666663</v>
      </c>
      <c r="T4046" s="1">
        <v>5</v>
      </c>
      <c r="U4046" s="1">
        <v>12.5</v>
      </c>
      <c r="V4046" s="1">
        <v>878.43137254901967</v>
      </c>
      <c r="W4046" s="1">
        <v>4</v>
      </c>
    </row>
    <row r="4047" spans="1:23" x14ac:dyDescent="0.2">
      <c r="A4047">
        <v>2022</v>
      </c>
      <c r="B4047" t="s">
        <v>23</v>
      </c>
      <c r="C4047" t="s">
        <v>272</v>
      </c>
      <c r="D4047">
        <v>127</v>
      </c>
      <c r="E4047">
        <v>2</v>
      </c>
      <c r="F4047">
        <v>3</v>
      </c>
      <c r="G4047" t="s">
        <v>151</v>
      </c>
      <c r="H4047">
        <v>10</v>
      </c>
      <c r="I4047">
        <v>55</v>
      </c>
      <c r="J4047">
        <v>57</v>
      </c>
      <c r="K4047">
        <v>2</v>
      </c>
      <c r="L4047">
        <v>151</v>
      </c>
      <c r="M4047">
        <v>66</v>
      </c>
      <c r="N4047">
        <v>2</v>
      </c>
      <c r="O4047">
        <v>2</v>
      </c>
      <c r="P4047">
        <v>10</v>
      </c>
      <c r="Q4047">
        <v>1.25</v>
      </c>
      <c r="R4047">
        <v>11</v>
      </c>
      <c r="S4047">
        <v>1.1000000000000001</v>
      </c>
      <c r="T4047">
        <v>2</v>
      </c>
      <c r="U4047">
        <v>12.5</v>
      </c>
      <c r="V4047">
        <v>4575.16339869281</v>
      </c>
      <c r="W4047">
        <v>2</v>
      </c>
    </row>
    <row r="4048" spans="1:23" x14ac:dyDescent="0.2">
      <c r="A4048">
        <v>2022</v>
      </c>
      <c r="B4048" t="s">
        <v>23</v>
      </c>
      <c r="C4048" t="s">
        <v>272</v>
      </c>
      <c r="D4048">
        <v>128</v>
      </c>
      <c r="E4048">
        <v>1</v>
      </c>
      <c r="F4048">
        <v>10</v>
      </c>
      <c r="G4048" t="s">
        <v>152</v>
      </c>
      <c r="H4048">
        <v>8</v>
      </c>
      <c r="I4048">
        <v>60</v>
      </c>
      <c r="J4048">
        <v>66</v>
      </c>
      <c r="K4048">
        <v>6</v>
      </c>
      <c r="L4048">
        <v>95</v>
      </c>
      <c r="M4048">
        <v>52</v>
      </c>
      <c r="N4048">
        <v>2</v>
      </c>
      <c r="O4048">
        <v>4</v>
      </c>
      <c r="P4048">
        <v>3</v>
      </c>
      <c r="Q4048">
        <v>7.640000000000001E-2</v>
      </c>
      <c r="R4048">
        <v>1</v>
      </c>
      <c r="S4048">
        <v>0.33333333333333331</v>
      </c>
      <c r="T4048">
        <v>2</v>
      </c>
      <c r="U4048">
        <v>12.5</v>
      </c>
      <c r="V4048">
        <v>279.63398692810455</v>
      </c>
      <c r="W4048">
        <v>2</v>
      </c>
    </row>
    <row r="4049" spans="1:23" x14ac:dyDescent="0.2">
      <c r="A4049">
        <v>2022</v>
      </c>
      <c r="B4049" t="s">
        <v>23</v>
      </c>
      <c r="C4049" t="s">
        <v>272</v>
      </c>
      <c r="D4049">
        <v>128</v>
      </c>
      <c r="E4049">
        <v>2</v>
      </c>
      <c r="F4049">
        <v>15</v>
      </c>
      <c r="G4049" t="s">
        <v>152</v>
      </c>
      <c r="H4049">
        <v>14</v>
      </c>
      <c r="I4049">
        <v>57</v>
      </c>
      <c r="J4049">
        <v>60</v>
      </c>
      <c r="K4049">
        <v>3</v>
      </c>
      <c r="L4049">
        <v>145</v>
      </c>
      <c r="M4049">
        <v>76</v>
      </c>
      <c r="N4049">
        <v>2</v>
      </c>
      <c r="O4049">
        <v>2</v>
      </c>
      <c r="P4049">
        <v>13</v>
      </c>
      <c r="Q4049">
        <v>1.2</v>
      </c>
      <c r="R4049">
        <v>12</v>
      </c>
      <c r="S4049">
        <v>0.92307692307692313</v>
      </c>
      <c r="T4049">
        <v>2.5</v>
      </c>
      <c r="U4049">
        <v>12.5</v>
      </c>
      <c r="V4049">
        <v>4392.1568627450979</v>
      </c>
      <c r="W4049">
        <v>2</v>
      </c>
    </row>
    <row r="4050" spans="1:23" x14ac:dyDescent="0.2">
      <c r="A4050">
        <v>2022</v>
      </c>
      <c r="B4050" t="s">
        <v>23</v>
      </c>
      <c r="C4050" t="s">
        <v>272</v>
      </c>
      <c r="D4050">
        <v>129</v>
      </c>
      <c r="E4050">
        <v>1</v>
      </c>
      <c r="F4050">
        <v>12</v>
      </c>
      <c r="G4050" t="s">
        <v>153</v>
      </c>
      <c r="H4050">
        <v>6</v>
      </c>
      <c r="I4050">
        <v>57</v>
      </c>
      <c r="J4050">
        <v>59</v>
      </c>
      <c r="K4050">
        <v>2</v>
      </c>
      <c r="L4050">
        <v>144</v>
      </c>
      <c r="M4050">
        <v>44</v>
      </c>
      <c r="N4050">
        <v>3</v>
      </c>
      <c r="O4050">
        <v>4</v>
      </c>
      <c r="P4050">
        <v>5</v>
      </c>
      <c r="Q4050">
        <v>0.72099999999999997</v>
      </c>
      <c r="R4050">
        <v>4</v>
      </c>
      <c r="S4050">
        <v>0.8</v>
      </c>
      <c r="T4050">
        <v>3</v>
      </c>
      <c r="U4050">
        <v>12.5</v>
      </c>
      <c r="V4050">
        <v>2638.9542483660134</v>
      </c>
      <c r="W4050">
        <v>2</v>
      </c>
    </row>
    <row r="4051" spans="1:23" x14ac:dyDescent="0.2">
      <c r="A4051">
        <v>2022</v>
      </c>
      <c r="B4051" t="s">
        <v>23</v>
      </c>
      <c r="C4051" t="s">
        <v>272</v>
      </c>
      <c r="D4051">
        <v>129</v>
      </c>
      <c r="E4051">
        <v>2</v>
      </c>
      <c r="F4051">
        <v>5</v>
      </c>
      <c r="G4051" t="s">
        <v>153</v>
      </c>
      <c r="H4051">
        <v>1</v>
      </c>
      <c r="I4051">
        <v>55</v>
      </c>
      <c r="J4051">
        <v>57</v>
      </c>
      <c r="K4051">
        <v>2</v>
      </c>
      <c r="L4051">
        <v>143</v>
      </c>
      <c r="M4051">
        <v>33</v>
      </c>
      <c r="N4051">
        <v>3</v>
      </c>
      <c r="O4051">
        <v>3</v>
      </c>
      <c r="P4051">
        <v>1</v>
      </c>
      <c r="Q4051">
        <v>0.2</v>
      </c>
      <c r="R4051">
        <v>2</v>
      </c>
      <c r="S4051">
        <v>2</v>
      </c>
      <c r="T4051">
        <v>2</v>
      </c>
      <c r="U4051">
        <v>12.5</v>
      </c>
      <c r="V4051">
        <v>732.02614379084969</v>
      </c>
      <c r="W4051">
        <v>2</v>
      </c>
    </row>
    <row r="4052" spans="1:23" x14ac:dyDescent="0.2">
      <c r="A4052">
        <v>2022</v>
      </c>
      <c r="B4052" t="s">
        <v>23</v>
      </c>
      <c r="C4052" t="s">
        <v>272</v>
      </c>
      <c r="D4052">
        <v>130</v>
      </c>
      <c r="E4052">
        <v>1</v>
      </c>
      <c r="F4052">
        <v>1</v>
      </c>
      <c r="G4052" t="s">
        <v>154</v>
      </c>
      <c r="H4052" s="1">
        <v>13</v>
      </c>
      <c r="I4052" s="1">
        <v>64</v>
      </c>
      <c r="J4052" s="1">
        <v>68</v>
      </c>
      <c r="K4052" s="1">
        <f>J4052-I4052</f>
        <v>4</v>
      </c>
      <c r="L4052" s="1">
        <v>185</v>
      </c>
      <c r="M4052" s="1">
        <v>90</v>
      </c>
      <c r="N4052" s="1">
        <v>2</v>
      </c>
      <c r="O4052" s="1">
        <v>2.5</v>
      </c>
      <c r="P4052" s="1">
        <v>11</v>
      </c>
      <c r="Q4052" s="2">
        <v>1.09656</v>
      </c>
      <c r="R4052" s="1">
        <v>10</v>
      </c>
      <c r="S4052" s="1">
        <f>R4052/P4052</f>
        <v>0.90909090909090906</v>
      </c>
      <c r="T4052" s="1">
        <v>3</v>
      </c>
      <c r="U4052" s="1">
        <v>9.6</v>
      </c>
      <c r="V4052" s="1">
        <v>4146.5735529411768</v>
      </c>
      <c r="W4052" s="1">
        <v>5</v>
      </c>
    </row>
    <row r="4053" spans="1:23" x14ac:dyDescent="0.2">
      <c r="A4053">
        <v>2022</v>
      </c>
      <c r="B4053" t="s">
        <v>23</v>
      </c>
      <c r="C4053" t="s">
        <v>272</v>
      </c>
      <c r="D4053">
        <v>130</v>
      </c>
      <c r="E4053">
        <v>2</v>
      </c>
      <c r="F4053">
        <v>10</v>
      </c>
      <c r="G4053" t="s">
        <v>154</v>
      </c>
      <c r="H4053" s="1">
        <v>8</v>
      </c>
      <c r="I4053" s="1">
        <v>66</v>
      </c>
      <c r="J4053" s="1">
        <v>71</v>
      </c>
      <c r="K4053" s="1">
        <f>J4053-I4053</f>
        <v>5</v>
      </c>
      <c r="L4053" s="1">
        <v>116</v>
      </c>
      <c r="M4053" s="1">
        <v>42</v>
      </c>
      <c r="N4053" s="1">
        <v>2</v>
      </c>
      <c r="O4053" s="1">
        <v>4.5</v>
      </c>
      <c r="P4053" s="1">
        <v>5</v>
      </c>
      <c r="Q4053" s="2">
        <v>9.1999999999999998E-2</v>
      </c>
      <c r="R4053" s="1">
        <v>5</v>
      </c>
      <c r="S4053" s="1">
        <f>R4053/P4053</f>
        <v>1</v>
      </c>
      <c r="T4053" s="1">
        <v>5</v>
      </c>
      <c r="U4053" s="1">
        <v>12.5</v>
      </c>
      <c r="V4053" s="1">
        <v>336.73202614379085</v>
      </c>
      <c r="W4053" s="1">
        <v>5</v>
      </c>
    </row>
    <row r="4054" spans="1:23" x14ac:dyDescent="0.2">
      <c r="A4054">
        <v>2022</v>
      </c>
      <c r="B4054" t="s">
        <v>23</v>
      </c>
      <c r="C4054" t="s">
        <v>272</v>
      </c>
      <c r="D4054">
        <v>131</v>
      </c>
      <c r="E4054">
        <v>1</v>
      </c>
      <c r="F4054">
        <v>13</v>
      </c>
      <c r="G4054" t="s">
        <v>155</v>
      </c>
      <c r="H4054">
        <v>16</v>
      </c>
      <c r="I4054">
        <v>50</v>
      </c>
      <c r="J4054">
        <v>53</v>
      </c>
      <c r="K4054">
        <v>3</v>
      </c>
      <c r="L4054">
        <v>160</v>
      </c>
      <c r="M4054">
        <v>52</v>
      </c>
      <c r="N4054">
        <v>2</v>
      </c>
      <c r="O4054">
        <v>1.5</v>
      </c>
      <c r="P4054">
        <v>15</v>
      </c>
      <c r="Q4054">
        <v>1</v>
      </c>
      <c r="R4054">
        <v>10</v>
      </c>
      <c r="S4054">
        <v>0.66666666666666663</v>
      </c>
      <c r="T4054">
        <v>2</v>
      </c>
      <c r="U4054">
        <v>9.1999999999999993</v>
      </c>
      <c r="V4054">
        <v>3798.169934640523</v>
      </c>
      <c r="W4054">
        <v>2</v>
      </c>
    </row>
    <row r="4055" spans="1:23" x14ac:dyDescent="0.2">
      <c r="A4055">
        <v>2022</v>
      </c>
      <c r="B4055" t="s">
        <v>23</v>
      </c>
      <c r="C4055" t="s">
        <v>272</v>
      </c>
      <c r="D4055">
        <v>131</v>
      </c>
      <c r="E4055">
        <v>2</v>
      </c>
      <c r="F4055">
        <v>4</v>
      </c>
      <c r="G4055" t="s">
        <v>155</v>
      </c>
      <c r="H4055" s="1">
        <v>6</v>
      </c>
      <c r="I4055" s="1">
        <v>69</v>
      </c>
      <c r="J4055" s="1">
        <v>73</v>
      </c>
      <c r="K4055" s="1">
        <f>J4055-I4055</f>
        <v>4</v>
      </c>
      <c r="L4055" s="1">
        <v>146</v>
      </c>
      <c r="M4055" s="1">
        <v>42</v>
      </c>
      <c r="N4055" s="1">
        <v>2</v>
      </c>
      <c r="O4055" s="1">
        <v>3.5</v>
      </c>
      <c r="P4055" s="1">
        <v>6</v>
      </c>
      <c r="Q4055" s="2">
        <v>0.2316</v>
      </c>
      <c r="R4055" s="1">
        <v>6</v>
      </c>
      <c r="S4055" s="1">
        <f>R4055/P4055</f>
        <v>1</v>
      </c>
      <c r="T4055" s="1">
        <v>3.5</v>
      </c>
      <c r="U4055" s="1">
        <v>12.5</v>
      </c>
      <c r="V4055" s="1">
        <v>847.68627450980387</v>
      </c>
      <c r="W4055" s="1">
        <v>3</v>
      </c>
    </row>
    <row r="4056" spans="1:23" x14ac:dyDescent="0.2">
      <c r="A4056">
        <v>2022</v>
      </c>
      <c r="B4056" t="s">
        <v>23</v>
      </c>
      <c r="C4056" t="s">
        <v>272</v>
      </c>
      <c r="D4056">
        <v>132</v>
      </c>
      <c r="E4056">
        <v>1</v>
      </c>
      <c r="F4056">
        <v>8</v>
      </c>
      <c r="G4056" t="s">
        <v>156</v>
      </c>
      <c r="H4056" s="1">
        <v>9</v>
      </c>
      <c r="I4056" s="1">
        <v>57</v>
      </c>
      <c r="J4056" s="1">
        <v>60</v>
      </c>
      <c r="K4056" s="1">
        <f>J4056-I4056</f>
        <v>3</v>
      </c>
      <c r="L4056" s="1">
        <v>170</v>
      </c>
      <c r="M4056" s="1">
        <v>77</v>
      </c>
      <c r="N4056" s="1">
        <v>2</v>
      </c>
      <c r="O4056" s="1">
        <v>2.5</v>
      </c>
      <c r="P4056" s="1">
        <v>7</v>
      </c>
      <c r="Q4056" s="2">
        <v>0.37604999999999994</v>
      </c>
      <c r="R4056" s="1">
        <v>6</v>
      </c>
      <c r="S4056" s="1">
        <f>R4056/P4056</f>
        <v>0.8571428571428571</v>
      </c>
      <c r="T4056" s="1">
        <v>4</v>
      </c>
      <c r="U4056" s="1">
        <v>11.1</v>
      </c>
      <c r="V4056" s="1">
        <v>1398.4144313725487</v>
      </c>
      <c r="W4056" s="1">
        <v>4</v>
      </c>
    </row>
    <row r="4057" spans="1:23" x14ac:dyDescent="0.2">
      <c r="A4057">
        <v>2022</v>
      </c>
      <c r="B4057" t="s">
        <v>23</v>
      </c>
      <c r="C4057" t="s">
        <v>272</v>
      </c>
      <c r="D4057">
        <v>132</v>
      </c>
      <c r="E4057">
        <v>2</v>
      </c>
      <c r="F4057">
        <v>14</v>
      </c>
      <c r="G4057" t="s">
        <v>156</v>
      </c>
      <c r="H4057">
        <v>15</v>
      </c>
      <c r="I4057">
        <v>55</v>
      </c>
      <c r="J4057">
        <v>56</v>
      </c>
      <c r="K4057">
        <v>1</v>
      </c>
      <c r="L4057">
        <v>150</v>
      </c>
      <c r="M4057">
        <v>85</v>
      </c>
      <c r="N4057">
        <v>2</v>
      </c>
      <c r="O4057">
        <v>1.5</v>
      </c>
      <c r="P4057">
        <v>12</v>
      </c>
      <c r="Q4057">
        <v>1.1000000000000001</v>
      </c>
      <c r="R4057">
        <v>12</v>
      </c>
      <c r="S4057">
        <v>1</v>
      </c>
      <c r="T4057">
        <v>2</v>
      </c>
      <c r="U4057">
        <v>10.199999999999999</v>
      </c>
      <c r="V4057">
        <v>4131.9738562091497</v>
      </c>
      <c r="W4057">
        <v>1</v>
      </c>
    </row>
    <row r="4058" spans="1:23" x14ac:dyDescent="0.2">
      <c r="A4058">
        <v>2022</v>
      </c>
      <c r="B4058" t="s">
        <v>23</v>
      </c>
      <c r="C4058" t="s">
        <v>272</v>
      </c>
      <c r="D4058">
        <v>133</v>
      </c>
      <c r="E4058">
        <v>1</v>
      </c>
      <c r="F4058">
        <v>6</v>
      </c>
      <c r="G4058" t="s">
        <v>266</v>
      </c>
      <c r="H4058">
        <v>16</v>
      </c>
      <c r="I4058">
        <v>55</v>
      </c>
      <c r="J4058">
        <v>60</v>
      </c>
      <c r="K4058">
        <v>5</v>
      </c>
      <c r="L4058">
        <v>194</v>
      </c>
      <c r="M4058">
        <v>70</v>
      </c>
      <c r="N4058">
        <v>1</v>
      </c>
      <c r="O4058">
        <v>2.5</v>
      </c>
      <c r="P4058">
        <v>15</v>
      </c>
      <c r="Q4058">
        <v>1.2</v>
      </c>
      <c r="R4058">
        <v>12</v>
      </c>
      <c r="S4058">
        <v>0.8</v>
      </c>
      <c r="T4058">
        <v>3</v>
      </c>
      <c r="U4058">
        <v>8.6</v>
      </c>
      <c r="V4058">
        <v>4587.9215686274511</v>
      </c>
      <c r="W4058">
        <v>2</v>
      </c>
    </row>
    <row r="4059" spans="1:23" x14ac:dyDescent="0.2">
      <c r="A4059">
        <v>2022</v>
      </c>
      <c r="B4059" t="s">
        <v>23</v>
      </c>
      <c r="C4059" t="s">
        <v>272</v>
      </c>
      <c r="D4059">
        <v>133</v>
      </c>
      <c r="E4059">
        <v>2</v>
      </c>
      <c r="F4059">
        <v>9</v>
      </c>
      <c r="G4059" t="s">
        <v>266</v>
      </c>
      <c r="H4059">
        <v>3</v>
      </c>
      <c r="I4059">
        <v>56</v>
      </c>
      <c r="J4059">
        <v>59</v>
      </c>
      <c r="K4059">
        <v>3</v>
      </c>
      <c r="L4059">
        <v>55</v>
      </c>
      <c r="M4059">
        <v>13</v>
      </c>
      <c r="N4059">
        <v>1</v>
      </c>
      <c r="O4059">
        <v>2</v>
      </c>
      <c r="P4059">
        <v>3</v>
      </c>
      <c r="Q4059">
        <v>0.112</v>
      </c>
      <c r="R4059">
        <v>3</v>
      </c>
      <c r="S4059">
        <v>1</v>
      </c>
      <c r="T4059">
        <v>3</v>
      </c>
      <c r="U4059">
        <v>12.5</v>
      </c>
      <c r="V4059">
        <v>409.93464052287584</v>
      </c>
      <c r="W4059">
        <v>1</v>
      </c>
    </row>
    <row r="4060" spans="1:23" x14ac:dyDescent="0.2">
      <c r="A4060">
        <v>2022</v>
      </c>
      <c r="B4060" t="s">
        <v>23</v>
      </c>
      <c r="C4060" t="s">
        <v>272</v>
      </c>
      <c r="D4060">
        <v>134</v>
      </c>
      <c r="E4060">
        <v>1</v>
      </c>
      <c r="F4060">
        <v>8</v>
      </c>
      <c r="G4060" t="s">
        <v>159</v>
      </c>
      <c r="H4060" s="1">
        <v>9</v>
      </c>
      <c r="I4060" s="1">
        <v>64</v>
      </c>
      <c r="J4060" s="1">
        <v>68</v>
      </c>
      <c r="K4060" s="1">
        <f>J4060-I4060</f>
        <v>4</v>
      </c>
      <c r="L4060" s="1">
        <v>160</v>
      </c>
      <c r="M4060" s="1">
        <v>83</v>
      </c>
      <c r="N4060" s="1">
        <v>2</v>
      </c>
      <c r="O4060" s="1">
        <v>2.5</v>
      </c>
      <c r="P4060" s="1">
        <v>9</v>
      </c>
      <c r="Q4060" s="2">
        <v>0.66239999999999999</v>
      </c>
      <c r="R4060" s="1">
        <v>8</v>
      </c>
      <c r="S4060" s="1">
        <f>R4060/P4060</f>
        <v>0.88888888888888884</v>
      </c>
      <c r="T4060" s="1">
        <v>5</v>
      </c>
      <c r="U4060" s="1">
        <v>11.5</v>
      </c>
      <c r="V4060" s="1">
        <v>2452.1788235294121</v>
      </c>
      <c r="W4060" s="1">
        <v>5</v>
      </c>
    </row>
    <row r="4061" spans="1:23" x14ac:dyDescent="0.2">
      <c r="A4061">
        <v>2022</v>
      </c>
      <c r="B4061" t="s">
        <v>23</v>
      </c>
      <c r="C4061" t="s">
        <v>272</v>
      </c>
      <c r="D4061">
        <v>134</v>
      </c>
      <c r="E4061">
        <v>2</v>
      </c>
      <c r="F4061">
        <v>7</v>
      </c>
      <c r="G4061" t="s">
        <v>159</v>
      </c>
      <c r="H4061">
        <v>13</v>
      </c>
      <c r="I4061">
        <v>56</v>
      </c>
      <c r="J4061">
        <v>59</v>
      </c>
      <c r="K4061">
        <v>3</v>
      </c>
      <c r="L4061">
        <v>177</v>
      </c>
      <c r="M4061">
        <v>61</v>
      </c>
      <c r="N4061">
        <v>2</v>
      </c>
      <c r="O4061">
        <v>2</v>
      </c>
      <c r="P4061">
        <v>11</v>
      </c>
      <c r="Q4061">
        <v>0.5</v>
      </c>
      <c r="R4061">
        <v>12</v>
      </c>
      <c r="S4061">
        <v>1.0909090909090908</v>
      </c>
      <c r="T4061">
        <v>2</v>
      </c>
      <c r="U4061">
        <v>11.5</v>
      </c>
      <c r="V4061">
        <v>1850.9803921568628</v>
      </c>
      <c r="W4061">
        <v>2</v>
      </c>
    </row>
    <row r="4062" spans="1:23" x14ac:dyDescent="0.2">
      <c r="A4062">
        <v>2022</v>
      </c>
      <c r="B4062" t="s">
        <v>23</v>
      </c>
      <c r="C4062" t="s">
        <v>272</v>
      </c>
      <c r="D4062">
        <v>135</v>
      </c>
      <c r="E4062">
        <v>1</v>
      </c>
      <c r="F4062">
        <v>7</v>
      </c>
      <c r="G4062" t="s">
        <v>267</v>
      </c>
      <c r="H4062" s="1">
        <v>14</v>
      </c>
      <c r="I4062" s="1">
        <v>57</v>
      </c>
      <c r="J4062" s="1">
        <v>62</v>
      </c>
      <c r="K4062" s="1">
        <f>J4062-I4062</f>
        <v>5</v>
      </c>
      <c r="L4062" s="1">
        <v>155</v>
      </c>
      <c r="M4062" s="1">
        <v>88</v>
      </c>
      <c r="N4062" s="1">
        <v>2</v>
      </c>
      <c r="O4062" s="1">
        <v>2</v>
      </c>
      <c r="P4062" s="1">
        <f>H4062-2</f>
        <v>12</v>
      </c>
      <c r="Q4062" s="2">
        <v>6.8250000000000005E-2</v>
      </c>
      <c r="R4062" s="1">
        <v>10</v>
      </c>
      <c r="S4062" s="1">
        <f>R4062/P4062</f>
        <v>0.83333333333333337</v>
      </c>
      <c r="T4062" s="1">
        <v>3</v>
      </c>
      <c r="U4062" s="1">
        <v>12.5</v>
      </c>
      <c r="V4062" s="1">
        <v>249.80392156862749</v>
      </c>
      <c r="W4062" s="1">
        <v>4</v>
      </c>
    </row>
    <row r="4063" spans="1:23" x14ac:dyDescent="0.2">
      <c r="A4063">
        <v>2022</v>
      </c>
      <c r="B4063" t="s">
        <v>23</v>
      </c>
      <c r="C4063" t="s">
        <v>272</v>
      </c>
      <c r="D4063">
        <v>135</v>
      </c>
      <c r="E4063">
        <v>2</v>
      </c>
      <c r="F4063">
        <v>15</v>
      </c>
      <c r="G4063" t="s">
        <v>267</v>
      </c>
      <c r="H4063">
        <v>1</v>
      </c>
      <c r="I4063">
        <v>53</v>
      </c>
      <c r="J4063">
        <v>55</v>
      </c>
      <c r="K4063">
        <v>2</v>
      </c>
      <c r="L4063">
        <v>92</v>
      </c>
      <c r="M4063">
        <v>20</v>
      </c>
      <c r="N4063">
        <v>4</v>
      </c>
      <c r="O4063">
        <v>4</v>
      </c>
      <c r="P4063">
        <v>1</v>
      </c>
      <c r="Q4063">
        <v>0.16200000000000001</v>
      </c>
      <c r="R4063">
        <v>2</v>
      </c>
      <c r="S4063">
        <v>2</v>
      </c>
      <c r="T4063">
        <v>2</v>
      </c>
      <c r="U4063">
        <v>12.5</v>
      </c>
      <c r="V4063">
        <v>592.94117647058818</v>
      </c>
      <c r="W4063">
        <v>1</v>
      </c>
    </row>
    <row r="4064" spans="1:23" x14ac:dyDescent="0.2">
      <c r="A4064">
        <v>2022</v>
      </c>
      <c r="B4064" t="s">
        <v>23</v>
      </c>
      <c r="C4064" t="s">
        <v>272</v>
      </c>
      <c r="D4064">
        <v>136</v>
      </c>
      <c r="E4064">
        <v>1</v>
      </c>
      <c r="F4064">
        <v>4</v>
      </c>
      <c r="G4064" t="s">
        <v>161</v>
      </c>
      <c r="H4064" s="1">
        <v>8</v>
      </c>
      <c r="I4064" s="1">
        <v>65</v>
      </c>
      <c r="J4064" s="1">
        <v>69</v>
      </c>
      <c r="K4064" s="1">
        <f>J4064-I4064</f>
        <v>4</v>
      </c>
      <c r="L4064" s="1">
        <v>162</v>
      </c>
      <c r="M4064" s="1">
        <v>52</v>
      </c>
      <c r="N4064" s="1">
        <v>2</v>
      </c>
      <c r="O4064" s="1">
        <v>3</v>
      </c>
      <c r="P4064" s="1">
        <v>6</v>
      </c>
      <c r="Q4064" s="2">
        <v>0.22800000000000001</v>
      </c>
      <c r="R4064" s="1">
        <v>6</v>
      </c>
      <c r="S4064" s="1">
        <f>R4064/P4064</f>
        <v>1</v>
      </c>
      <c r="T4064" s="1">
        <v>2.5</v>
      </c>
      <c r="U4064" s="1">
        <v>12.5</v>
      </c>
      <c r="V4064" s="1">
        <v>834.50980392156862</v>
      </c>
      <c r="W4064" s="1">
        <v>2</v>
      </c>
    </row>
    <row r="4065" spans="1:23" x14ac:dyDescent="0.2">
      <c r="A4065">
        <v>2022</v>
      </c>
      <c r="B4065" t="s">
        <v>23</v>
      </c>
      <c r="C4065" t="s">
        <v>272</v>
      </c>
      <c r="D4065">
        <v>136</v>
      </c>
      <c r="E4065">
        <v>2</v>
      </c>
      <c r="F4065">
        <v>12</v>
      </c>
      <c r="G4065" t="s">
        <v>161</v>
      </c>
      <c r="H4065" s="1">
        <v>14</v>
      </c>
      <c r="I4065" s="1">
        <v>59</v>
      </c>
      <c r="J4065" s="1">
        <v>62</v>
      </c>
      <c r="K4065" s="1">
        <f>J4065-I4065</f>
        <v>3</v>
      </c>
      <c r="L4065" s="1">
        <v>162</v>
      </c>
      <c r="M4065" s="1">
        <v>80</v>
      </c>
      <c r="N4065" s="1">
        <v>2.5</v>
      </c>
      <c r="O4065" s="1">
        <v>3.5</v>
      </c>
      <c r="P4065" s="1">
        <v>12</v>
      </c>
      <c r="Q4065" s="2">
        <v>0.38900000000000001</v>
      </c>
      <c r="R4065" s="1">
        <v>11</v>
      </c>
      <c r="S4065" s="1">
        <f>R4065/P4065</f>
        <v>0.91666666666666663</v>
      </c>
      <c r="T4065" s="1">
        <v>3</v>
      </c>
      <c r="U4065" s="1">
        <v>12.5</v>
      </c>
      <c r="V4065" s="1">
        <v>1423.7908496732025</v>
      </c>
      <c r="W4065" s="1">
        <v>4</v>
      </c>
    </row>
    <row r="4066" spans="1:23" x14ac:dyDescent="0.2">
      <c r="A4066">
        <v>2022</v>
      </c>
      <c r="B4066" t="s">
        <v>23</v>
      </c>
      <c r="C4066" t="s">
        <v>272</v>
      </c>
      <c r="D4066">
        <v>137</v>
      </c>
      <c r="E4066">
        <v>1</v>
      </c>
      <c r="F4066">
        <v>15</v>
      </c>
      <c r="G4066" t="s">
        <v>162</v>
      </c>
      <c r="H4066" s="1">
        <v>13</v>
      </c>
      <c r="I4066" s="1">
        <v>58</v>
      </c>
      <c r="J4066" s="1">
        <v>61</v>
      </c>
      <c r="K4066" s="1">
        <f>J4066-I4066</f>
        <v>3</v>
      </c>
      <c r="L4066" s="1">
        <v>108</v>
      </c>
      <c r="M4066" s="1">
        <v>56</v>
      </c>
      <c r="N4066" s="1">
        <v>3</v>
      </c>
      <c r="O4066" s="1">
        <v>4</v>
      </c>
      <c r="P4066" s="1">
        <f>H4066</f>
        <v>13</v>
      </c>
      <c r="Q4066" s="2">
        <v>7.3687500000000003E-2</v>
      </c>
      <c r="R4066" s="1">
        <v>10</v>
      </c>
      <c r="S4066" s="1">
        <f>R4066/P4066</f>
        <v>0.76923076923076927</v>
      </c>
      <c r="T4066" s="1">
        <v>5</v>
      </c>
      <c r="U4066" s="1">
        <v>12.5</v>
      </c>
      <c r="V4066" s="1">
        <v>269.70588235294122</v>
      </c>
      <c r="W4066" s="1">
        <v>5</v>
      </c>
    </row>
    <row r="4067" spans="1:23" x14ac:dyDescent="0.2">
      <c r="A4067">
        <v>2022</v>
      </c>
      <c r="B4067" t="s">
        <v>23</v>
      </c>
      <c r="C4067" t="s">
        <v>272</v>
      </c>
      <c r="D4067">
        <v>137</v>
      </c>
      <c r="E4067">
        <v>2</v>
      </c>
      <c r="F4067">
        <v>5</v>
      </c>
      <c r="G4067" t="s">
        <v>162</v>
      </c>
      <c r="H4067">
        <v>3</v>
      </c>
      <c r="I4067">
        <v>63</v>
      </c>
      <c r="J4067">
        <v>67</v>
      </c>
      <c r="K4067">
        <v>4</v>
      </c>
      <c r="L4067">
        <v>155</v>
      </c>
      <c r="M4067">
        <v>60</v>
      </c>
      <c r="N4067">
        <v>1.5</v>
      </c>
      <c r="O4067">
        <v>2</v>
      </c>
      <c r="P4067">
        <v>3</v>
      </c>
      <c r="Q4067">
        <v>0.5</v>
      </c>
      <c r="R4067">
        <v>3</v>
      </c>
      <c r="S4067">
        <v>1</v>
      </c>
      <c r="T4067">
        <v>2.5</v>
      </c>
      <c r="U4067">
        <v>12.5</v>
      </c>
      <c r="V4067">
        <v>1830.0653594771243</v>
      </c>
      <c r="W4067">
        <v>1</v>
      </c>
    </row>
    <row r="4068" spans="1:23" x14ac:dyDescent="0.2">
      <c r="A4068">
        <v>2022</v>
      </c>
      <c r="B4068" t="s">
        <v>23</v>
      </c>
      <c r="C4068" t="s">
        <v>272</v>
      </c>
      <c r="D4068">
        <v>138</v>
      </c>
      <c r="E4068">
        <v>1</v>
      </c>
      <c r="F4068">
        <v>4</v>
      </c>
      <c r="G4068" t="s">
        <v>163</v>
      </c>
      <c r="H4068" s="1">
        <v>5</v>
      </c>
      <c r="I4068" s="1">
        <v>68</v>
      </c>
      <c r="J4068" s="1">
        <v>72</v>
      </c>
      <c r="K4068" s="1">
        <f>J4068-I4068</f>
        <v>4</v>
      </c>
      <c r="L4068" s="1">
        <v>110</v>
      </c>
      <c r="M4068" s="1">
        <v>81</v>
      </c>
      <c r="N4068" s="1">
        <v>1.5</v>
      </c>
      <c r="O4068" s="1">
        <v>4</v>
      </c>
      <c r="P4068" s="1">
        <v>3</v>
      </c>
      <c r="Q4068" s="2">
        <v>0.14599999999999999</v>
      </c>
      <c r="R4068" s="1">
        <v>2</v>
      </c>
      <c r="S4068" s="1">
        <f>R4068/P4068</f>
        <v>0.66666666666666663</v>
      </c>
      <c r="T4068" s="1">
        <v>3</v>
      </c>
      <c r="U4068" s="1">
        <v>12.5</v>
      </c>
      <c r="V4068" s="1">
        <v>534.37908496732018</v>
      </c>
      <c r="W4068" s="1">
        <v>5</v>
      </c>
    </row>
    <row r="4069" spans="1:23" x14ac:dyDescent="0.2">
      <c r="A4069">
        <v>2022</v>
      </c>
      <c r="B4069" t="s">
        <v>23</v>
      </c>
      <c r="C4069" t="s">
        <v>272</v>
      </c>
      <c r="D4069">
        <v>138</v>
      </c>
      <c r="E4069">
        <v>2</v>
      </c>
      <c r="F4069">
        <v>7</v>
      </c>
      <c r="G4069" t="s">
        <v>163</v>
      </c>
      <c r="H4069">
        <v>4</v>
      </c>
      <c r="I4069">
        <v>55</v>
      </c>
      <c r="J4069">
        <v>56</v>
      </c>
      <c r="K4069">
        <v>1</v>
      </c>
      <c r="L4069">
        <v>187</v>
      </c>
      <c r="M4069">
        <v>58</v>
      </c>
      <c r="N4069">
        <v>1</v>
      </c>
      <c r="O4069">
        <v>1.5</v>
      </c>
      <c r="P4069">
        <v>3</v>
      </c>
      <c r="Q4069">
        <v>0.8</v>
      </c>
      <c r="R4069">
        <v>3</v>
      </c>
      <c r="S4069">
        <v>1</v>
      </c>
      <c r="T4069">
        <v>2</v>
      </c>
      <c r="U4069">
        <v>12.5</v>
      </c>
      <c r="V4069">
        <v>2928.1045751633987</v>
      </c>
      <c r="W4069">
        <v>2</v>
      </c>
    </row>
    <row r="4070" spans="1:23" x14ac:dyDescent="0.2">
      <c r="A4070">
        <v>2022</v>
      </c>
      <c r="B4070" t="s">
        <v>23</v>
      </c>
      <c r="C4070" t="s">
        <v>272</v>
      </c>
      <c r="D4070">
        <v>139</v>
      </c>
      <c r="E4070">
        <v>1</v>
      </c>
      <c r="F4070">
        <v>13</v>
      </c>
      <c r="G4070" t="s">
        <v>164</v>
      </c>
      <c r="H4070">
        <v>16</v>
      </c>
      <c r="I4070">
        <v>57</v>
      </c>
      <c r="J4070">
        <v>60</v>
      </c>
      <c r="K4070">
        <v>3</v>
      </c>
      <c r="L4070">
        <v>195</v>
      </c>
      <c r="M4070">
        <v>88</v>
      </c>
      <c r="N4070">
        <v>1</v>
      </c>
      <c r="O4070">
        <v>2.5</v>
      </c>
      <c r="P4070">
        <v>12</v>
      </c>
      <c r="Q4070">
        <v>1</v>
      </c>
      <c r="R4070">
        <v>10</v>
      </c>
      <c r="S4070">
        <v>0.83333333333333337</v>
      </c>
      <c r="T4070">
        <v>3</v>
      </c>
      <c r="U4070">
        <v>10.199999999999999</v>
      </c>
      <c r="V4070">
        <v>3756.339869281046</v>
      </c>
      <c r="W4070">
        <v>1</v>
      </c>
    </row>
    <row r="4071" spans="1:23" x14ac:dyDescent="0.2">
      <c r="A4071">
        <v>2022</v>
      </c>
      <c r="B4071" t="s">
        <v>23</v>
      </c>
      <c r="C4071" t="s">
        <v>272</v>
      </c>
      <c r="D4071">
        <v>139</v>
      </c>
      <c r="E4071">
        <v>2</v>
      </c>
      <c r="F4071">
        <v>10</v>
      </c>
      <c r="G4071" t="s">
        <v>164</v>
      </c>
      <c r="H4071" s="1">
        <v>13</v>
      </c>
      <c r="I4071" s="1">
        <v>64</v>
      </c>
      <c r="J4071" s="1">
        <v>69</v>
      </c>
      <c r="K4071" s="1">
        <f>J4071-I4071</f>
        <v>5</v>
      </c>
      <c r="L4071" s="1">
        <v>163</v>
      </c>
      <c r="M4071" s="1">
        <v>75</v>
      </c>
      <c r="N4071" s="1">
        <v>3</v>
      </c>
      <c r="O4071" s="1">
        <v>3.5</v>
      </c>
      <c r="P4071" s="1">
        <f>H4071</f>
        <v>13</v>
      </c>
      <c r="Q4071" s="2">
        <v>0.192</v>
      </c>
      <c r="R4071" s="1">
        <v>10</v>
      </c>
      <c r="S4071" s="1">
        <f>R4071/P4071</f>
        <v>0.76923076923076927</v>
      </c>
      <c r="T4071" s="1">
        <v>5</v>
      </c>
      <c r="U4071" s="1">
        <v>12.5</v>
      </c>
      <c r="V4071" s="1">
        <v>702.74509803921569</v>
      </c>
      <c r="W4071" s="1">
        <v>5</v>
      </c>
    </row>
    <row r="4072" spans="1:23" x14ac:dyDescent="0.2">
      <c r="A4072">
        <v>2022</v>
      </c>
      <c r="B4072" t="s">
        <v>23</v>
      </c>
      <c r="C4072" t="s">
        <v>272</v>
      </c>
      <c r="D4072">
        <v>140</v>
      </c>
      <c r="E4072">
        <v>1</v>
      </c>
      <c r="F4072">
        <v>14</v>
      </c>
      <c r="G4072" t="s">
        <v>165</v>
      </c>
      <c r="H4072" s="1">
        <v>13</v>
      </c>
      <c r="I4072" s="1">
        <v>68</v>
      </c>
      <c r="J4072" s="1">
        <v>72</v>
      </c>
      <c r="K4072" s="1">
        <f>J4072-I4072</f>
        <v>4</v>
      </c>
      <c r="L4072" s="1">
        <v>152</v>
      </c>
      <c r="M4072" s="1">
        <v>98</v>
      </c>
      <c r="N4072" s="1">
        <v>2</v>
      </c>
      <c r="O4072" s="1">
        <v>3</v>
      </c>
      <c r="P4072" s="1">
        <f>H4072</f>
        <v>13</v>
      </c>
      <c r="Q4072" s="2">
        <v>0.1656</v>
      </c>
      <c r="R4072" s="1">
        <v>7</v>
      </c>
      <c r="S4072" s="1">
        <f>R4072/P4072</f>
        <v>0.53846153846153844</v>
      </c>
      <c r="T4072" s="1">
        <v>5</v>
      </c>
      <c r="U4072" s="1">
        <v>12.5</v>
      </c>
      <c r="V4072" s="1">
        <v>606.11764705882354</v>
      </c>
      <c r="W4072" s="1">
        <v>3</v>
      </c>
    </row>
    <row r="4073" spans="1:23" x14ac:dyDescent="0.2">
      <c r="A4073">
        <v>2022</v>
      </c>
      <c r="B4073" t="s">
        <v>23</v>
      </c>
      <c r="C4073" t="s">
        <v>272</v>
      </c>
      <c r="D4073">
        <v>140</v>
      </c>
      <c r="E4073">
        <v>2</v>
      </c>
      <c r="F4073">
        <v>11</v>
      </c>
      <c r="G4073" t="s">
        <v>165</v>
      </c>
      <c r="H4073" s="1">
        <v>10</v>
      </c>
      <c r="I4073" s="1">
        <v>66</v>
      </c>
      <c r="J4073" s="1">
        <v>71</v>
      </c>
      <c r="K4073" s="1">
        <f>J4073-I4073</f>
        <v>5</v>
      </c>
      <c r="L4073" s="1">
        <v>85</v>
      </c>
      <c r="M4073" s="1">
        <v>40</v>
      </c>
      <c r="N4073" s="1">
        <v>2</v>
      </c>
      <c r="O4073" s="1">
        <v>4.5</v>
      </c>
      <c r="P4073" s="1">
        <v>8</v>
      </c>
      <c r="Q4073" s="2">
        <v>0.29599999999999999</v>
      </c>
      <c r="R4073" s="1">
        <v>5</v>
      </c>
      <c r="S4073" s="1">
        <f>R4073/P4073</f>
        <v>0.625</v>
      </c>
      <c r="T4073" s="1">
        <v>3</v>
      </c>
      <c r="U4073" s="1">
        <v>12.5</v>
      </c>
      <c r="V4073" s="1">
        <v>1083.3986928104575</v>
      </c>
      <c r="W4073" s="1">
        <v>4</v>
      </c>
    </row>
    <row r="4074" spans="1:23" x14ac:dyDescent="0.2">
      <c r="A4074">
        <v>2022</v>
      </c>
      <c r="B4074" t="s">
        <v>23</v>
      </c>
      <c r="C4074" t="s">
        <v>272</v>
      </c>
      <c r="D4074">
        <v>141</v>
      </c>
      <c r="E4074">
        <v>1</v>
      </c>
      <c r="F4074">
        <v>14</v>
      </c>
      <c r="G4074" t="s">
        <v>166</v>
      </c>
      <c r="H4074" s="1">
        <v>9</v>
      </c>
      <c r="I4074" s="1">
        <v>63</v>
      </c>
      <c r="J4074" s="1">
        <v>67</v>
      </c>
      <c r="K4074" s="1">
        <f>J4074-I4074</f>
        <v>4</v>
      </c>
      <c r="L4074" s="1">
        <v>170</v>
      </c>
      <c r="M4074" s="1">
        <v>52</v>
      </c>
      <c r="N4074" s="1">
        <v>1.5</v>
      </c>
      <c r="O4074" s="1">
        <v>4</v>
      </c>
      <c r="P4074" s="1">
        <v>4</v>
      </c>
      <c r="Q4074" s="2">
        <v>0.20599999999999999</v>
      </c>
      <c r="R4074" s="1">
        <v>4</v>
      </c>
      <c r="S4074" s="1">
        <f>R4074/P4074</f>
        <v>1</v>
      </c>
      <c r="T4074" s="1">
        <v>3</v>
      </c>
      <c r="U4074" s="1">
        <v>12.5</v>
      </c>
      <c r="V4074" s="1">
        <v>753.98692810457521</v>
      </c>
      <c r="W4074" s="1">
        <v>5</v>
      </c>
    </row>
    <row r="4075" spans="1:23" x14ac:dyDescent="0.2">
      <c r="A4075">
        <v>2022</v>
      </c>
      <c r="B4075" t="s">
        <v>23</v>
      </c>
      <c r="C4075" t="s">
        <v>272</v>
      </c>
      <c r="D4075">
        <v>141</v>
      </c>
      <c r="E4075">
        <v>2</v>
      </c>
      <c r="F4075">
        <v>14</v>
      </c>
      <c r="G4075" t="s">
        <v>166</v>
      </c>
      <c r="H4075">
        <v>10</v>
      </c>
      <c r="I4075">
        <v>58</v>
      </c>
      <c r="J4075">
        <v>60</v>
      </c>
      <c r="K4075">
        <v>2</v>
      </c>
      <c r="L4075">
        <v>81</v>
      </c>
      <c r="M4075">
        <v>77</v>
      </c>
      <c r="N4075">
        <v>1</v>
      </c>
      <c r="O4075">
        <v>1.5</v>
      </c>
      <c r="P4075">
        <v>10</v>
      </c>
      <c r="Q4075">
        <v>1.5</v>
      </c>
      <c r="R4075">
        <v>10</v>
      </c>
      <c r="S4075">
        <v>1</v>
      </c>
      <c r="T4075">
        <v>2</v>
      </c>
      <c r="U4075">
        <v>9.9</v>
      </c>
      <c r="V4075">
        <v>5653.3333333333321</v>
      </c>
      <c r="W4075">
        <v>1</v>
      </c>
    </row>
    <row r="4076" spans="1:23" x14ac:dyDescent="0.2">
      <c r="A4076">
        <v>2022</v>
      </c>
      <c r="B4076" t="s">
        <v>23</v>
      </c>
      <c r="C4076" t="s">
        <v>272</v>
      </c>
      <c r="D4076">
        <v>142</v>
      </c>
      <c r="E4076">
        <v>1</v>
      </c>
      <c r="F4076">
        <v>8</v>
      </c>
      <c r="G4076" t="s">
        <v>167</v>
      </c>
      <c r="H4076" s="1">
        <v>15</v>
      </c>
      <c r="I4076" s="1">
        <v>68</v>
      </c>
      <c r="J4076" s="1">
        <v>70</v>
      </c>
      <c r="K4076" s="1">
        <f>J4076-I4076</f>
        <v>2</v>
      </c>
      <c r="L4076" s="1">
        <v>183</v>
      </c>
      <c r="M4076" s="1">
        <v>102</v>
      </c>
      <c r="N4076" s="1">
        <v>2</v>
      </c>
      <c r="O4076" s="1">
        <v>3.5</v>
      </c>
      <c r="P4076" s="1">
        <v>14</v>
      </c>
      <c r="Q4076" s="2">
        <v>0.86399999999999999</v>
      </c>
      <c r="R4076" s="1">
        <v>8</v>
      </c>
      <c r="S4076" s="1">
        <f>R4076/P4076</f>
        <v>0.5714285714285714</v>
      </c>
      <c r="T4076" s="1">
        <v>3</v>
      </c>
      <c r="U4076" s="1">
        <v>10.7</v>
      </c>
      <c r="V4076" s="1">
        <v>3227.407058823529</v>
      </c>
      <c r="W4076" s="1">
        <v>4</v>
      </c>
    </row>
    <row r="4077" spans="1:23" x14ac:dyDescent="0.2">
      <c r="A4077">
        <v>2022</v>
      </c>
      <c r="B4077" t="s">
        <v>23</v>
      </c>
      <c r="C4077" t="s">
        <v>272</v>
      </c>
      <c r="D4077">
        <v>142</v>
      </c>
      <c r="E4077">
        <v>2</v>
      </c>
      <c r="F4077">
        <v>1</v>
      </c>
      <c r="G4077" t="s">
        <v>167</v>
      </c>
      <c r="H4077" s="1">
        <v>13</v>
      </c>
      <c r="I4077" s="1">
        <v>62</v>
      </c>
      <c r="J4077" s="1">
        <v>65</v>
      </c>
      <c r="K4077" s="1">
        <f>J4077-I4077</f>
        <v>3</v>
      </c>
      <c r="L4077" s="1">
        <v>153</v>
      </c>
      <c r="M4077" s="1">
        <v>61</v>
      </c>
      <c r="N4077" s="1">
        <v>3</v>
      </c>
      <c r="O4077" s="1">
        <v>4</v>
      </c>
      <c r="P4077" s="1">
        <v>10</v>
      </c>
      <c r="Q4077" s="2">
        <v>0.13275000000000001</v>
      </c>
      <c r="R4077" s="1">
        <v>10</v>
      </c>
      <c r="S4077" s="1">
        <f>R4077/P4077</f>
        <v>1</v>
      </c>
      <c r="T4077" s="1">
        <v>5</v>
      </c>
      <c r="U4077" s="1">
        <v>12.5</v>
      </c>
      <c r="V4077" s="1">
        <v>485.88235294117658</v>
      </c>
      <c r="W4077" s="1">
        <v>5</v>
      </c>
    </row>
    <row r="4078" spans="1:23" x14ac:dyDescent="0.2">
      <c r="A4078">
        <v>2022</v>
      </c>
      <c r="B4078" t="s">
        <v>23</v>
      </c>
      <c r="C4078" t="s">
        <v>272</v>
      </c>
      <c r="D4078">
        <v>143</v>
      </c>
      <c r="E4078">
        <v>1</v>
      </c>
      <c r="F4078">
        <v>5</v>
      </c>
      <c r="G4078" t="s">
        <v>168</v>
      </c>
      <c r="H4078" s="1">
        <v>12</v>
      </c>
      <c r="I4078" s="1">
        <v>63</v>
      </c>
      <c r="J4078" s="1">
        <v>66</v>
      </c>
      <c r="K4078" s="1">
        <f>J4078-I4078</f>
        <v>3</v>
      </c>
      <c r="L4078" s="1">
        <v>123</v>
      </c>
      <c r="M4078" s="1">
        <v>40</v>
      </c>
      <c r="N4078" s="1">
        <v>3</v>
      </c>
      <c r="O4078" s="1">
        <v>5</v>
      </c>
      <c r="P4078" s="1">
        <v>8</v>
      </c>
      <c r="Q4078" s="2">
        <v>7.85E-2</v>
      </c>
      <c r="R4078" s="1">
        <v>4</v>
      </c>
      <c r="S4078" s="1">
        <f>R4078/P4078</f>
        <v>0.5</v>
      </c>
      <c r="T4078" s="1">
        <v>5</v>
      </c>
      <c r="U4078" s="1">
        <v>12.5</v>
      </c>
      <c r="V4078" s="1">
        <v>287.32026143790853</v>
      </c>
      <c r="W4078" s="1">
        <v>5</v>
      </c>
    </row>
    <row r="4079" spans="1:23" x14ac:dyDescent="0.2">
      <c r="A4079">
        <v>2022</v>
      </c>
      <c r="B4079" t="s">
        <v>23</v>
      </c>
      <c r="C4079" t="s">
        <v>272</v>
      </c>
      <c r="D4079">
        <v>143</v>
      </c>
      <c r="E4079">
        <v>2</v>
      </c>
      <c r="F4079">
        <v>13</v>
      </c>
      <c r="G4079" t="s">
        <v>168</v>
      </c>
      <c r="H4079" s="3">
        <v>16</v>
      </c>
      <c r="I4079" s="3">
        <v>66</v>
      </c>
      <c r="J4079" s="3">
        <v>70</v>
      </c>
      <c r="K4079" s="3">
        <f>J4079-I4079</f>
        <v>4</v>
      </c>
      <c r="L4079" s="3">
        <v>139</v>
      </c>
      <c r="M4079" s="3">
        <v>83</v>
      </c>
      <c r="N4079" s="3">
        <v>2</v>
      </c>
      <c r="O4079" s="3">
        <v>3</v>
      </c>
      <c r="P4079" s="3">
        <v>16</v>
      </c>
      <c r="Q4079" s="4">
        <v>0.54</v>
      </c>
      <c r="R4079" s="3">
        <v>12</v>
      </c>
      <c r="S4079" s="3">
        <f>R4079/P4079</f>
        <v>0.75</v>
      </c>
      <c r="T4079" s="3">
        <v>2</v>
      </c>
      <c r="U4079" s="3">
        <v>12.5</v>
      </c>
      <c r="V4079" s="3">
        <v>1976.4705882352941</v>
      </c>
      <c r="W4079" s="3">
        <v>2</v>
      </c>
    </row>
    <row r="4080" spans="1:23" x14ac:dyDescent="0.2">
      <c r="A4080">
        <v>2022</v>
      </c>
      <c r="B4080" t="s">
        <v>23</v>
      </c>
      <c r="C4080" t="s">
        <v>272</v>
      </c>
      <c r="D4080">
        <v>144</v>
      </c>
      <c r="E4080">
        <v>1</v>
      </c>
      <c r="F4080">
        <v>8</v>
      </c>
      <c r="G4080" t="s">
        <v>169</v>
      </c>
      <c r="H4080" s="1">
        <v>12</v>
      </c>
      <c r="I4080" s="1">
        <v>62</v>
      </c>
      <c r="J4080" s="1">
        <v>67</v>
      </c>
      <c r="K4080" s="1">
        <f>J4080-I4080</f>
        <v>5</v>
      </c>
      <c r="L4080" s="1">
        <v>149</v>
      </c>
      <c r="M4080" s="1">
        <v>90</v>
      </c>
      <c r="N4080" s="1">
        <v>2</v>
      </c>
      <c r="O4080" s="1">
        <v>3.5</v>
      </c>
      <c r="P4080" s="1">
        <v>10</v>
      </c>
      <c r="Q4080" s="2">
        <v>0.46365000000000001</v>
      </c>
      <c r="R4080" s="1">
        <v>7</v>
      </c>
      <c r="S4080" s="1">
        <f>R4080/P4080</f>
        <v>0.7</v>
      </c>
      <c r="T4080" s="1">
        <v>5</v>
      </c>
      <c r="U4080" s="1">
        <v>12.5</v>
      </c>
      <c r="V4080" s="1">
        <v>1697.0196078431372</v>
      </c>
      <c r="W4080" s="1">
        <v>6</v>
      </c>
    </row>
    <row r="4081" spans="1:23" x14ac:dyDescent="0.2">
      <c r="A4081">
        <v>2022</v>
      </c>
      <c r="B4081" t="s">
        <v>23</v>
      </c>
      <c r="C4081" t="s">
        <v>272</v>
      </c>
      <c r="D4081">
        <v>144</v>
      </c>
      <c r="E4081">
        <v>2</v>
      </c>
      <c r="F4081">
        <v>8</v>
      </c>
      <c r="G4081" t="s">
        <v>169</v>
      </c>
      <c r="H4081">
        <v>7</v>
      </c>
      <c r="I4081">
        <v>60</v>
      </c>
      <c r="J4081">
        <v>62</v>
      </c>
      <c r="K4081">
        <v>2</v>
      </c>
      <c r="L4081">
        <v>196</v>
      </c>
      <c r="M4081">
        <v>56</v>
      </c>
      <c r="N4081">
        <v>2</v>
      </c>
      <c r="O4081">
        <v>3</v>
      </c>
      <c r="P4081">
        <v>7</v>
      </c>
      <c r="Q4081">
        <v>0.7</v>
      </c>
      <c r="R4081">
        <v>7</v>
      </c>
      <c r="S4081">
        <v>1</v>
      </c>
      <c r="T4081">
        <v>3</v>
      </c>
      <c r="U4081">
        <v>12.5</v>
      </c>
      <c r="V4081">
        <v>2562.0915032679736</v>
      </c>
      <c r="W4081">
        <v>2</v>
      </c>
    </row>
    <row r="4082" spans="1:23" x14ac:dyDescent="0.2">
      <c r="A4082">
        <v>2022</v>
      </c>
      <c r="B4082" t="s">
        <v>23</v>
      </c>
      <c r="C4082" t="s">
        <v>272</v>
      </c>
      <c r="D4082">
        <v>145</v>
      </c>
      <c r="E4082">
        <v>1</v>
      </c>
      <c r="F4082">
        <v>3</v>
      </c>
      <c r="G4082" t="s">
        <v>170</v>
      </c>
      <c r="H4082" s="1">
        <v>7</v>
      </c>
      <c r="I4082" s="1">
        <v>63</v>
      </c>
      <c r="J4082" s="1">
        <v>66</v>
      </c>
      <c r="K4082" s="1">
        <f>J4082-I4082</f>
        <v>3</v>
      </c>
      <c r="L4082" s="1">
        <v>125</v>
      </c>
      <c r="M4082" s="1">
        <v>55</v>
      </c>
      <c r="N4082" s="1">
        <v>1.5</v>
      </c>
      <c r="O4082" s="1">
        <v>4</v>
      </c>
      <c r="P4082" s="1">
        <v>6</v>
      </c>
      <c r="Q4082" s="2">
        <v>0.38400000000000001</v>
      </c>
      <c r="R4082" s="1">
        <v>4</v>
      </c>
      <c r="S4082" s="1">
        <f>R4082/P4082</f>
        <v>0.66666666666666663</v>
      </c>
      <c r="T4082" s="1">
        <v>3</v>
      </c>
      <c r="U4082" s="1">
        <v>12.5</v>
      </c>
      <c r="V4082" s="1">
        <v>1405.4901960784314</v>
      </c>
      <c r="W4082" s="1">
        <v>5</v>
      </c>
    </row>
    <row r="4083" spans="1:23" x14ac:dyDescent="0.2">
      <c r="A4083">
        <v>2022</v>
      </c>
      <c r="B4083" t="s">
        <v>23</v>
      </c>
      <c r="C4083" t="s">
        <v>272</v>
      </c>
      <c r="D4083">
        <v>145</v>
      </c>
      <c r="E4083">
        <v>2</v>
      </c>
      <c r="F4083">
        <v>11</v>
      </c>
      <c r="G4083" t="s">
        <v>170</v>
      </c>
      <c r="H4083" s="3">
        <v>7</v>
      </c>
      <c r="I4083" s="3">
        <v>66</v>
      </c>
      <c r="J4083" s="3">
        <v>68</v>
      </c>
      <c r="K4083" s="3">
        <f>J4083-I4083</f>
        <v>2</v>
      </c>
      <c r="L4083" s="3">
        <v>126</v>
      </c>
      <c r="M4083" s="3">
        <v>45</v>
      </c>
      <c r="N4083" s="3">
        <v>2</v>
      </c>
      <c r="O4083" s="3">
        <v>4</v>
      </c>
      <c r="P4083" s="3">
        <v>5</v>
      </c>
      <c r="Q4083" s="4">
        <v>0.32300000000000001</v>
      </c>
      <c r="R4083" s="3">
        <v>5</v>
      </c>
      <c r="S4083" s="3">
        <f>R4083/P4083</f>
        <v>1</v>
      </c>
      <c r="T4083" s="3">
        <v>3</v>
      </c>
      <c r="U4083" s="3">
        <v>12.5</v>
      </c>
      <c r="V4083" s="3">
        <v>1182.2222222222222</v>
      </c>
      <c r="W4083" s="3">
        <v>3</v>
      </c>
    </row>
    <row r="4084" spans="1:23" x14ac:dyDescent="0.2">
      <c r="A4084">
        <v>2022</v>
      </c>
      <c r="B4084" t="s">
        <v>23</v>
      </c>
      <c r="C4084" t="s">
        <v>272</v>
      </c>
      <c r="D4084">
        <v>146</v>
      </c>
      <c r="E4084">
        <v>1</v>
      </c>
      <c r="F4084">
        <v>5</v>
      </c>
      <c r="G4084" t="s">
        <v>171</v>
      </c>
      <c r="H4084" s="1">
        <v>15</v>
      </c>
      <c r="I4084" s="1">
        <v>56</v>
      </c>
      <c r="J4084" s="1">
        <v>61</v>
      </c>
      <c r="K4084" s="1">
        <f>J4084-I4084</f>
        <v>5</v>
      </c>
      <c r="L4084" s="1">
        <v>117</v>
      </c>
      <c r="M4084" s="1">
        <v>63</v>
      </c>
      <c r="N4084" s="1">
        <v>2</v>
      </c>
      <c r="O4084" s="1">
        <v>3</v>
      </c>
      <c r="P4084" s="1">
        <f>H4084-2</f>
        <v>13</v>
      </c>
      <c r="Q4084" s="2">
        <v>0.62250000000000005</v>
      </c>
      <c r="R4084" s="1">
        <v>13</v>
      </c>
      <c r="S4084" s="1">
        <f>R4084/P4084</f>
        <v>1</v>
      </c>
      <c r="T4084" s="1">
        <v>5</v>
      </c>
      <c r="U4084" s="1">
        <v>12.5</v>
      </c>
      <c r="V4084" s="1">
        <v>2278.4313725490201</v>
      </c>
      <c r="W4084" s="1">
        <v>2</v>
      </c>
    </row>
    <row r="4085" spans="1:23" x14ac:dyDescent="0.2">
      <c r="A4085">
        <v>2022</v>
      </c>
      <c r="B4085" t="s">
        <v>23</v>
      </c>
      <c r="C4085" t="s">
        <v>272</v>
      </c>
      <c r="D4085">
        <v>146</v>
      </c>
      <c r="E4085">
        <v>2</v>
      </c>
      <c r="F4085">
        <v>5</v>
      </c>
      <c r="G4085" t="s">
        <v>171</v>
      </c>
      <c r="H4085">
        <v>8</v>
      </c>
      <c r="I4085">
        <v>56</v>
      </c>
      <c r="J4085">
        <v>58</v>
      </c>
      <c r="K4085">
        <v>2</v>
      </c>
      <c r="L4085">
        <v>168</v>
      </c>
      <c r="M4085">
        <v>86</v>
      </c>
      <c r="N4085">
        <v>2.5</v>
      </c>
      <c r="O4085">
        <v>2.5</v>
      </c>
      <c r="P4085">
        <v>7</v>
      </c>
      <c r="Q4085">
        <v>1</v>
      </c>
      <c r="R4085">
        <v>7</v>
      </c>
      <c r="S4085">
        <v>1</v>
      </c>
      <c r="T4085">
        <v>2.5</v>
      </c>
      <c r="U4085">
        <v>12.5</v>
      </c>
      <c r="V4085">
        <v>3660.1307189542486</v>
      </c>
      <c r="W4085">
        <v>2</v>
      </c>
    </row>
    <row r="4086" spans="1:23" x14ac:dyDescent="0.2">
      <c r="A4086">
        <v>2022</v>
      </c>
      <c r="B4086" t="s">
        <v>23</v>
      </c>
      <c r="C4086" t="s">
        <v>272</v>
      </c>
      <c r="D4086">
        <v>147</v>
      </c>
      <c r="E4086">
        <v>1</v>
      </c>
      <c r="F4086">
        <v>9</v>
      </c>
      <c r="G4086" t="s">
        <v>172</v>
      </c>
      <c r="H4086">
        <v>10</v>
      </c>
      <c r="I4086">
        <v>55</v>
      </c>
      <c r="J4086">
        <v>57</v>
      </c>
      <c r="K4086">
        <v>2</v>
      </c>
      <c r="L4086">
        <v>151</v>
      </c>
      <c r="M4086">
        <v>66</v>
      </c>
      <c r="N4086">
        <v>1.5</v>
      </c>
      <c r="O4086">
        <v>4</v>
      </c>
      <c r="P4086">
        <v>10</v>
      </c>
      <c r="Q4086">
        <v>0.55000000000000004</v>
      </c>
      <c r="R4086">
        <v>10</v>
      </c>
      <c r="S4086">
        <v>1</v>
      </c>
      <c r="T4086">
        <v>2.5</v>
      </c>
      <c r="U4086">
        <v>12.5</v>
      </c>
      <c r="V4086">
        <v>2013.0718954248368</v>
      </c>
      <c r="W4086">
        <v>1</v>
      </c>
    </row>
    <row r="4087" spans="1:23" x14ac:dyDescent="0.2">
      <c r="A4087">
        <v>2022</v>
      </c>
      <c r="B4087" t="s">
        <v>23</v>
      </c>
      <c r="C4087" t="s">
        <v>272</v>
      </c>
      <c r="D4087">
        <v>147</v>
      </c>
      <c r="E4087">
        <v>2</v>
      </c>
      <c r="F4087">
        <v>7</v>
      </c>
      <c r="G4087" t="s">
        <v>172</v>
      </c>
      <c r="H4087" s="1">
        <v>12</v>
      </c>
      <c r="I4087" s="1">
        <v>66</v>
      </c>
      <c r="J4087" s="1">
        <v>70</v>
      </c>
      <c r="K4087" s="1">
        <f>J4087-I4087</f>
        <v>4</v>
      </c>
      <c r="L4087" s="1">
        <v>172</v>
      </c>
      <c r="M4087" s="1">
        <v>90</v>
      </c>
      <c r="N4087" s="1">
        <v>2</v>
      </c>
      <c r="O4087" s="1">
        <v>2.5</v>
      </c>
      <c r="P4087" s="1">
        <v>9</v>
      </c>
      <c r="Q4087" s="2">
        <v>0.58279999999999998</v>
      </c>
      <c r="R4087" s="1">
        <v>6</v>
      </c>
      <c r="S4087" s="1">
        <f>R4087/P4087</f>
        <v>0.66666666666666663</v>
      </c>
      <c r="T4087" s="1">
        <v>3</v>
      </c>
      <c r="U4087" s="1">
        <v>9.3000000000000007</v>
      </c>
      <c r="V4087" s="1">
        <v>2211.1355816993464</v>
      </c>
      <c r="W4087" s="1">
        <v>4</v>
      </c>
    </row>
    <row r="4088" spans="1:23" x14ac:dyDescent="0.2">
      <c r="A4088">
        <v>2022</v>
      </c>
      <c r="B4088" t="s">
        <v>23</v>
      </c>
      <c r="C4088" t="s">
        <v>272</v>
      </c>
      <c r="D4088">
        <v>148</v>
      </c>
      <c r="E4088">
        <v>1</v>
      </c>
      <c r="F4088">
        <v>12</v>
      </c>
      <c r="G4088" t="s">
        <v>173</v>
      </c>
      <c r="H4088" s="1">
        <v>7</v>
      </c>
      <c r="I4088" s="1">
        <v>66</v>
      </c>
      <c r="J4088" s="1">
        <v>70</v>
      </c>
      <c r="K4088" s="1">
        <f>J4088-I4088</f>
        <v>4</v>
      </c>
      <c r="L4088" s="1">
        <v>130</v>
      </c>
      <c r="M4088" s="1">
        <v>45</v>
      </c>
      <c r="N4088" s="1">
        <v>1.5</v>
      </c>
      <c r="O4088" s="1">
        <v>4</v>
      </c>
      <c r="P4088" s="1">
        <v>7</v>
      </c>
      <c r="Q4088" s="2">
        <v>0.23799999999999999</v>
      </c>
      <c r="R4088" s="1">
        <v>7</v>
      </c>
      <c r="S4088" s="1">
        <f>R4088/P4088</f>
        <v>1</v>
      </c>
      <c r="T4088" s="1">
        <v>3</v>
      </c>
      <c r="U4088" s="1">
        <v>12.5</v>
      </c>
      <c r="V4088" s="1">
        <v>871.11111111111109</v>
      </c>
      <c r="W4088" s="1">
        <v>5</v>
      </c>
    </row>
    <row r="4089" spans="1:23" x14ac:dyDescent="0.2">
      <c r="A4089">
        <v>2022</v>
      </c>
      <c r="B4089" t="s">
        <v>23</v>
      </c>
      <c r="C4089" t="s">
        <v>272</v>
      </c>
      <c r="D4089">
        <v>148</v>
      </c>
      <c r="E4089">
        <v>2</v>
      </c>
      <c r="F4089">
        <v>10</v>
      </c>
      <c r="G4089" t="s">
        <v>173</v>
      </c>
      <c r="H4089">
        <v>3</v>
      </c>
      <c r="I4089">
        <v>56</v>
      </c>
      <c r="J4089">
        <v>58</v>
      </c>
      <c r="K4089">
        <v>2</v>
      </c>
      <c r="L4089">
        <v>136</v>
      </c>
      <c r="M4089">
        <v>51</v>
      </c>
      <c r="N4089">
        <v>3</v>
      </c>
      <c r="O4089">
        <v>4</v>
      </c>
      <c r="P4089">
        <v>3</v>
      </c>
      <c r="Q4089">
        <v>0.16200000000000001</v>
      </c>
      <c r="R4089">
        <v>3</v>
      </c>
      <c r="S4089">
        <v>1</v>
      </c>
      <c r="T4089">
        <v>3</v>
      </c>
      <c r="U4089">
        <v>12.5</v>
      </c>
      <c r="V4089">
        <v>592.94117647058818</v>
      </c>
      <c r="W4089">
        <v>2</v>
      </c>
    </row>
    <row r="4090" spans="1:23" x14ac:dyDescent="0.2">
      <c r="A4090">
        <v>2022</v>
      </c>
      <c r="B4090" t="s">
        <v>23</v>
      </c>
      <c r="C4090" t="s">
        <v>272</v>
      </c>
      <c r="D4090">
        <v>149</v>
      </c>
      <c r="E4090">
        <v>1</v>
      </c>
      <c r="F4090">
        <v>6</v>
      </c>
      <c r="G4090" t="s">
        <v>174</v>
      </c>
      <c r="H4090" s="1">
        <v>9</v>
      </c>
      <c r="I4090" s="1">
        <v>57</v>
      </c>
      <c r="J4090" s="1">
        <v>62</v>
      </c>
      <c r="K4090" s="1">
        <f>J4090-I4090</f>
        <v>5</v>
      </c>
      <c r="L4090" s="1">
        <v>153</v>
      </c>
      <c r="M4090" s="1">
        <v>90</v>
      </c>
      <c r="N4090" s="1">
        <v>2</v>
      </c>
      <c r="O4090" s="1">
        <v>2.5</v>
      </c>
      <c r="P4090" s="1">
        <v>9</v>
      </c>
      <c r="Q4090" s="2">
        <v>0.49839999999999995</v>
      </c>
      <c r="R4090" s="1">
        <v>9</v>
      </c>
      <c r="S4090" s="1">
        <f>R4090/P4090</f>
        <v>1</v>
      </c>
      <c r="T4090" s="1">
        <v>4</v>
      </c>
      <c r="U4090" s="1">
        <v>10.6</v>
      </c>
      <c r="V4090" s="1">
        <v>1863.8205490196078</v>
      </c>
      <c r="W4090" s="1">
        <v>4</v>
      </c>
    </row>
    <row r="4091" spans="1:23" x14ac:dyDescent="0.2">
      <c r="A4091">
        <v>2022</v>
      </c>
      <c r="B4091" t="s">
        <v>23</v>
      </c>
      <c r="C4091" t="s">
        <v>272</v>
      </c>
      <c r="D4091">
        <v>149</v>
      </c>
      <c r="E4091">
        <v>2</v>
      </c>
      <c r="F4091">
        <v>6</v>
      </c>
      <c r="G4091" t="s">
        <v>174</v>
      </c>
      <c r="H4091" s="1">
        <v>8</v>
      </c>
      <c r="I4091" s="1">
        <v>61</v>
      </c>
      <c r="J4091" s="1">
        <v>64</v>
      </c>
      <c r="K4091" s="1">
        <f>J4091-I4091</f>
        <v>3</v>
      </c>
      <c r="L4091" s="1">
        <v>155</v>
      </c>
      <c r="M4091" s="1">
        <v>56</v>
      </c>
      <c r="N4091" s="1">
        <v>2</v>
      </c>
      <c r="O4091" s="1">
        <v>4</v>
      </c>
      <c r="P4091" s="1">
        <v>6</v>
      </c>
      <c r="Q4091" s="2">
        <v>0.09</v>
      </c>
      <c r="R4091" s="1">
        <v>6</v>
      </c>
      <c r="S4091" s="1">
        <f>R4091/P4091</f>
        <v>1</v>
      </c>
      <c r="T4091" s="1">
        <v>4</v>
      </c>
      <c r="U4091" s="1">
        <v>12.5</v>
      </c>
      <c r="V4091" s="1">
        <v>329.41176470588232</v>
      </c>
      <c r="W4091" s="1">
        <v>5</v>
      </c>
    </row>
    <row r="4092" spans="1:23" x14ac:dyDescent="0.2">
      <c r="A4092">
        <v>2022</v>
      </c>
      <c r="B4092" t="s">
        <v>23</v>
      </c>
      <c r="C4092" t="s">
        <v>272</v>
      </c>
      <c r="D4092">
        <v>150</v>
      </c>
      <c r="E4092">
        <v>1</v>
      </c>
      <c r="F4092">
        <v>2</v>
      </c>
      <c r="G4092" t="s">
        <v>175</v>
      </c>
      <c r="H4092" s="1">
        <v>8</v>
      </c>
      <c r="I4092" s="1">
        <v>60</v>
      </c>
      <c r="J4092" s="1">
        <v>63</v>
      </c>
      <c r="K4092" s="1">
        <f>J4092-I4092</f>
        <v>3</v>
      </c>
      <c r="L4092" s="1">
        <v>148</v>
      </c>
      <c r="M4092" s="1">
        <v>67</v>
      </c>
      <c r="N4092" s="1">
        <v>2</v>
      </c>
      <c r="O4092" s="1">
        <v>3</v>
      </c>
      <c r="P4092" s="1">
        <v>6</v>
      </c>
      <c r="Q4092" s="2">
        <v>0.19439999999999999</v>
      </c>
      <c r="R4092" s="1">
        <v>7</v>
      </c>
      <c r="S4092" s="1">
        <f>R4092/P4092</f>
        <v>1.1666666666666667</v>
      </c>
      <c r="T4092" s="1">
        <v>5</v>
      </c>
      <c r="U4092" s="1">
        <v>12.5</v>
      </c>
      <c r="V4092" s="1">
        <v>711.52941176470574</v>
      </c>
      <c r="W4092" s="1">
        <v>6</v>
      </c>
    </row>
    <row r="4093" spans="1:23" x14ac:dyDescent="0.2">
      <c r="A4093">
        <v>2022</v>
      </c>
      <c r="B4093" t="s">
        <v>23</v>
      </c>
      <c r="C4093" t="s">
        <v>272</v>
      </c>
      <c r="D4093">
        <v>150</v>
      </c>
      <c r="E4093">
        <v>2</v>
      </c>
      <c r="F4093">
        <v>7</v>
      </c>
      <c r="G4093" t="s">
        <v>175</v>
      </c>
      <c r="H4093">
        <v>15</v>
      </c>
      <c r="I4093">
        <v>54</v>
      </c>
      <c r="J4093">
        <v>57</v>
      </c>
      <c r="K4093">
        <v>3</v>
      </c>
      <c r="L4093">
        <v>130</v>
      </c>
      <c r="M4093">
        <v>96</v>
      </c>
      <c r="N4093">
        <v>1</v>
      </c>
      <c r="O4093">
        <v>2</v>
      </c>
      <c r="P4093">
        <v>11</v>
      </c>
      <c r="Q4093">
        <v>0.2</v>
      </c>
      <c r="R4093">
        <v>8</v>
      </c>
      <c r="S4093">
        <v>0.72727272727272729</v>
      </c>
      <c r="T4093">
        <v>2</v>
      </c>
      <c r="U4093">
        <v>9.8000000000000007</v>
      </c>
      <c r="V4093">
        <v>754.61437908496748</v>
      </c>
      <c r="W4093">
        <v>2</v>
      </c>
    </row>
    <row r="4094" spans="1:23" x14ac:dyDescent="0.2">
      <c r="A4094">
        <v>2022</v>
      </c>
      <c r="B4094" t="s">
        <v>23</v>
      </c>
      <c r="C4094" t="s">
        <v>272</v>
      </c>
      <c r="D4094">
        <v>151</v>
      </c>
      <c r="E4094">
        <v>1</v>
      </c>
      <c r="F4094">
        <v>5</v>
      </c>
      <c r="G4094" t="s">
        <v>176</v>
      </c>
      <c r="H4094" s="1">
        <v>4</v>
      </c>
      <c r="I4094" s="1">
        <v>67</v>
      </c>
      <c r="J4094" s="1">
        <v>68</v>
      </c>
      <c r="K4094" s="1">
        <f>J4094-I4094</f>
        <v>1</v>
      </c>
      <c r="L4094" s="1">
        <v>69</v>
      </c>
      <c r="M4094" s="1">
        <v>45</v>
      </c>
      <c r="N4094" s="1">
        <v>1</v>
      </c>
      <c r="O4094" s="1">
        <v>2.5</v>
      </c>
      <c r="P4094" s="1">
        <f>H4094-2</f>
        <v>2</v>
      </c>
      <c r="Q4094" s="2">
        <v>0.33860000000000001</v>
      </c>
      <c r="R4094" s="1">
        <v>3</v>
      </c>
      <c r="S4094" s="1">
        <f>R4094/P4094</f>
        <v>1.5</v>
      </c>
      <c r="T4094" s="1">
        <v>2</v>
      </c>
      <c r="U4094" s="1">
        <v>12.5</v>
      </c>
      <c r="V4094" s="1">
        <v>1239.3202614379086</v>
      </c>
      <c r="W4094" s="1">
        <v>3</v>
      </c>
    </row>
    <row r="4095" spans="1:23" x14ac:dyDescent="0.2">
      <c r="A4095">
        <v>2022</v>
      </c>
      <c r="B4095" t="s">
        <v>23</v>
      </c>
      <c r="C4095" t="s">
        <v>272</v>
      </c>
      <c r="D4095">
        <v>151</v>
      </c>
      <c r="E4095">
        <v>2</v>
      </c>
      <c r="F4095">
        <v>2</v>
      </c>
      <c r="G4095" t="s">
        <v>176</v>
      </c>
      <c r="H4095" s="1">
        <v>8</v>
      </c>
      <c r="I4095" s="1">
        <v>62</v>
      </c>
      <c r="J4095" s="1">
        <v>65</v>
      </c>
      <c r="K4095" s="1">
        <f>J4095-I4095</f>
        <v>3</v>
      </c>
      <c r="L4095" s="1">
        <v>157</v>
      </c>
      <c r="M4095" s="1">
        <v>63</v>
      </c>
      <c r="N4095" s="1">
        <v>1.5</v>
      </c>
      <c r="O4095" s="1">
        <v>4</v>
      </c>
      <c r="P4095" s="1">
        <v>6</v>
      </c>
      <c r="Q4095" s="2">
        <v>0.158</v>
      </c>
      <c r="R4095" s="1">
        <v>5</v>
      </c>
      <c r="S4095" s="1">
        <f>R4095/P4095</f>
        <v>0.83333333333333337</v>
      </c>
      <c r="T4095" s="1">
        <v>3.5</v>
      </c>
      <c r="U4095" s="1">
        <v>12.5</v>
      </c>
      <c r="V4095" s="1">
        <v>578.30065359477123</v>
      </c>
      <c r="W4095" s="1">
        <v>4</v>
      </c>
    </row>
    <row r="4096" spans="1:23" x14ac:dyDescent="0.2">
      <c r="A4096">
        <v>2022</v>
      </c>
      <c r="B4096" t="s">
        <v>23</v>
      </c>
      <c r="C4096" t="s">
        <v>272</v>
      </c>
      <c r="D4096">
        <v>152</v>
      </c>
      <c r="E4096">
        <v>1</v>
      </c>
      <c r="F4096">
        <v>8</v>
      </c>
      <c r="G4096" t="s">
        <v>177</v>
      </c>
      <c r="H4096">
        <v>1</v>
      </c>
      <c r="I4096">
        <v>55</v>
      </c>
      <c r="J4096">
        <v>58</v>
      </c>
      <c r="K4096">
        <v>3</v>
      </c>
      <c r="L4096">
        <v>155</v>
      </c>
      <c r="M4096">
        <v>61</v>
      </c>
      <c r="N4096">
        <v>2</v>
      </c>
      <c r="O4096">
        <v>3</v>
      </c>
      <c r="P4096">
        <v>1</v>
      </c>
      <c r="Q4096">
        <v>0.1</v>
      </c>
      <c r="R4096">
        <v>1</v>
      </c>
      <c r="S4096">
        <v>1</v>
      </c>
      <c r="T4096">
        <v>3</v>
      </c>
      <c r="U4096">
        <v>12.5</v>
      </c>
      <c r="V4096">
        <v>366.01307189542484</v>
      </c>
      <c r="W4096">
        <v>1</v>
      </c>
    </row>
    <row r="4097" spans="1:23" x14ac:dyDescent="0.2">
      <c r="A4097">
        <v>2022</v>
      </c>
      <c r="B4097" t="s">
        <v>23</v>
      </c>
      <c r="C4097" t="s">
        <v>272</v>
      </c>
      <c r="D4097">
        <v>152</v>
      </c>
      <c r="E4097">
        <v>2</v>
      </c>
      <c r="F4097">
        <v>8</v>
      </c>
      <c r="G4097" t="s">
        <v>177</v>
      </c>
      <c r="H4097" s="1">
        <v>14</v>
      </c>
      <c r="I4097" s="1">
        <v>62</v>
      </c>
      <c r="J4097" s="1">
        <v>66</v>
      </c>
      <c r="K4097" s="1">
        <f>J4097-I4097</f>
        <v>4</v>
      </c>
      <c r="L4097" s="1">
        <v>93</v>
      </c>
      <c r="M4097" s="1">
        <v>20</v>
      </c>
      <c r="N4097" s="1">
        <v>2</v>
      </c>
      <c r="O4097" s="1">
        <v>4.5</v>
      </c>
      <c r="P4097" s="1">
        <v>7</v>
      </c>
      <c r="Q4097" s="2">
        <v>0.24399999999999999</v>
      </c>
      <c r="R4097" s="1">
        <v>7</v>
      </c>
      <c r="S4097" s="1">
        <f>R4097/P4097</f>
        <v>1</v>
      </c>
      <c r="T4097" s="1">
        <v>3</v>
      </c>
      <c r="U4097" s="1">
        <v>12.5</v>
      </c>
      <c r="V4097" s="1">
        <v>893.07189542483661</v>
      </c>
      <c r="W4097" s="1">
        <v>6</v>
      </c>
    </row>
    <row r="4098" spans="1:23" x14ac:dyDescent="0.2">
      <c r="A4098">
        <v>2022</v>
      </c>
      <c r="B4098" t="s">
        <v>23</v>
      </c>
      <c r="C4098" t="s">
        <v>272</v>
      </c>
      <c r="D4098">
        <v>153</v>
      </c>
      <c r="E4098">
        <v>1</v>
      </c>
      <c r="F4098">
        <v>11</v>
      </c>
      <c r="G4098" t="s">
        <v>178</v>
      </c>
      <c r="H4098" s="1">
        <v>9</v>
      </c>
      <c r="I4098" s="1">
        <v>67</v>
      </c>
      <c r="J4098" s="1">
        <v>72</v>
      </c>
      <c r="K4098" s="1">
        <f>J4098-I4098</f>
        <v>5</v>
      </c>
      <c r="L4098" s="1">
        <v>132</v>
      </c>
      <c r="M4098" s="1">
        <v>45</v>
      </c>
      <c r="N4098" s="1">
        <v>2</v>
      </c>
      <c r="O4098" s="1">
        <v>3.5</v>
      </c>
      <c r="P4098" s="1">
        <v>7</v>
      </c>
      <c r="Q4098" s="2">
        <v>4.4999999999999998E-2</v>
      </c>
      <c r="R4098" s="1">
        <v>2</v>
      </c>
      <c r="S4098" s="1">
        <f>R4098/P4098</f>
        <v>0.2857142857142857</v>
      </c>
      <c r="T4098" s="1">
        <v>5</v>
      </c>
      <c r="U4098" s="1">
        <v>12.5</v>
      </c>
      <c r="V4098" s="1">
        <v>164.70588235294116</v>
      </c>
      <c r="W4098" s="1">
        <v>6</v>
      </c>
    </row>
    <row r="4099" spans="1:23" x14ac:dyDescent="0.2">
      <c r="A4099">
        <v>2022</v>
      </c>
      <c r="B4099" t="s">
        <v>23</v>
      </c>
      <c r="C4099" t="s">
        <v>272</v>
      </c>
      <c r="D4099">
        <v>153</v>
      </c>
      <c r="E4099">
        <v>2</v>
      </c>
      <c r="F4099">
        <v>5</v>
      </c>
      <c r="G4099" t="s">
        <v>178</v>
      </c>
      <c r="H4099" s="1">
        <v>7</v>
      </c>
      <c r="I4099" s="1">
        <v>66</v>
      </c>
      <c r="J4099" s="1">
        <v>69</v>
      </c>
      <c r="K4099" s="1">
        <f>J4099-I4099</f>
        <v>3</v>
      </c>
      <c r="L4099" s="1">
        <v>163</v>
      </c>
      <c r="M4099" s="1">
        <v>65</v>
      </c>
      <c r="N4099" s="1">
        <v>1.5</v>
      </c>
      <c r="O4099" s="1">
        <v>4</v>
      </c>
      <c r="P4099" s="1">
        <v>6</v>
      </c>
      <c r="Q4099" s="2">
        <v>0.50900000000000001</v>
      </c>
      <c r="R4099" s="1">
        <v>4</v>
      </c>
      <c r="S4099" s="1">
        <f>R4099/P4099</f>
        <v>0.66666666666666663</v>
      </c>
      <c r="T4099" s="1">
        <v>2</v>
      </c>
      <c r="U4099" s="1">
        <v>12.5</v>
      </c>
      <c r="V4099" s="1">
        <v>1863.0065359477126</v>
      </c>
      <c r="W4099" s="1">
        <v>6</v>
      </c>
    </row>
    <row r="4100" spans="1:23" x14ac:dyDescent="0.2">
      <c r="A4100">
        <v>2022</v>
      </c>
      <c r="B4100" t="s">
        <v>23</v>
      </c>
      <c r="C4100" t="s">
        <v>272</v>
      </c>
      <c r="D4100">
        <v>154</v>
      </c>
      <c r="E4100">
        <v>1</v>
      </c>
      <c r="F4100">
        <v>2</v>
      </c>
      <c r="G4100" t="s">
        <v>179</v>
      </c>
      <c r="H4100">
        <v>6</v>
      </c>
      <c r="I4100">
        <v>55</v>
      </c>
      <c r="J4100">
        <v>57</v>
      </c>
      <c r="K4100">
        <v>2</v>
      </c>
      <c r="L4100">
        <v>90</v>
      </c>
      <c r="M4100">
        <v>28</v>
      </c>
      <c r="N4100">
        <v>3</v>
      </c>
      <c r="O4100">
        <v>3</v>
      </c>
      <c r="P4100">
        <v>5</v>
      </c>
      <c r="Q4100">
        <v>1.3</v>
      </c>
      <c r="R4100">
        <v>6</v>
      </c>
      <c r="S4100">
        <v>1.2</v>
      </c>
      <c r="T4100">
        <v>2</v>
      </c>
      <c r="U4100">
        <v>12.5</v>
      </c>
      <c r="V4100">
        <v>4758.169934640523</v>
      </c>
      <c r="W4100">
        <v>1</v>
      </c>
    </row>
    <row r="4101" spans="1:23" x14ac:dyDescent="0.2">
      <c r="A4101">
        <v>2022</v>
      </c>
      <c r="B4101" t="s">
        <v>23</v>
      </c>
      <c r="C4101" t="s">
        <v>272</v>
      </c>
      <c r="D4101">
        <v>154</v>
      </c>
      <c r="E4101">
        <v>2</v>
      </c>
      <c r="F4101">
        <v>11</v>
      </c>
      <c r="G4101" t="s">
        <v>179</v>
      </c>
      <c r="H4101">
        <v>6</v>
      </c>
      <c r="I4101">
        <v>56</v>
      </c>
      <c r="J4101">
        <v>58</v>
      </c>
      <c r="K4101">
        <v>2</v>
      </c>
      <c r="L4101">
        <v>184</v>
      </c>
      <c r="M4101">
        <v>50</v>
      </c>
      <c r="N4101">
        <v>3</v>
      </c>
      <c r="O4101">
        <v>3</v>
      </c>
      <c r="P4101">
        <v>5</v>
      </c>
      <c r="Q4101">
        <v>0.42499999999999999</v>
      </c>
      <c r="R4101">
        <v>3</v>
      </c>
      <c r="S4101">
        <v>0.6</v>
      </c>
      <c r="T4101">
        <v>3</v>
      </c>
      <c r="U4101">
        <v>12.5</v>
      </c>
      <c r="V4101">
        <v>1555.5555555555557</v>
      </c>
      <c r="W4101">
        <v>1</v>
      </c>
    </row>
    <row r="4102" spans="1:23" x14ac:dyDescent="0.2">
      <c r="A4102">
        <v>2022</v>
      </c>
      <c r="B4102" t="s">
        <v>23</v>
      </c>
      <c r="C4102" t="s">
        <v>272</v>
      </c>
      <c r="D4102">
        <v>155</v>
      </c>
      <c r="E4102">
        <v>1</v>
      </c>
      <c r="F4102">
        <v>2</v>
      </c>
      <c r="G4102" t="s">
        <v>180</v>
      </c>
      <c r="H4102" s="1">
        <v>8</v>
      </c>
      <c r="I4102" s="1">
        <v>62</v>
      </c>
      <c r="J4102" s="1">
        <v>65</v>
      </c>
      <c r="K4102" s="1">
        <f t="shared" ref="K4102:K4107" si="214">J4102-I4102</f>
        <v>3</v>
      </c>
      <c r="L4102" s="1">
        <v>121</v>
      </c>
      <c r="M4102" s="1">
        <v>46</v>
      </c>
      <c r="N4102" s="1">
        <v>2</v>
      </c>
      <c r="O4102" s="1">
        <v>4</v>
      </c>
      <c r="P4102" s="1">
        <v>6</v>
      </c>
      <c r="Q4102" s="2">
        <v>0.65500000000000003</v>
      </c>
      <c r="R4102" s="1">
        <v>6</v>
      </c>
      <c r="S4102" s="1">
        <f t="shared" ref="S4102:S4107" si="215">R4102/P4102</f>
        <v>1</v>
      </c>
      <c r="T4102" s="1">
        <v>3</v>
      </c>
      <c r="U4102" s="1">
        <v>12.5</v>
      </c>
      <c r="V4102" s="1">
        <v>2397.3856209150326</v>
      </c>
      <c r="W4102" s="1">
        <v>4</v>
      </c>
    </row>
    <row r="4103" spans="1:23" x14ac:dyDescent="0.2">
      <c r="A4103">
        <v>2022</v>
      </c>
      <c r="B4103" t="s">
        <v>23</v>
      </c>
      <c r="C4103" t="s">
        <v>272</v>
      </c>
      <c r="D4103">
        <v>155</v>
      </c>
      <c r="E4103">
        <v>2</v>
      </c>
      <c r="F4103">
        <v>5</v>
      </c>
      <c r="G4103" t="s">
        <v>180</v>
      </c>
      <c r="H4103" s="1">
        <v>12</v>
      </c>
      <c r="I4103" s="1">
        <v>68</v>
      </c>
      <c r="J4103" s="1">
        <v>70</v>
      </c>
      <c r="K4103" s="1">
        <f t="shared" si="214"/>
        <v>2</v>
      </c>
      <c r="L4103" s="1">
        <v>163</v>
      </c>
      <c r="M4103" s="1">
        <v>61</v>
      </c>
      <c r="N4103" s="1">
        <v>3</v>
      </c>
      <c r="O4103" s="1">
        <v>3.5</v>
      </c>
      <c r="P4103" s="1">
        <v>9</v>
      </c>
      <c r="Q4103" s="2">
        <v>0.34560000000000002</v>
      </c>
      <c r="R4103" s="1">
        <v>6</v>
      </c>
      <c r="S4103" s="1">
        <f t="shared" si="215"/>
        <v>0.66666666666666663</v>
      </c>
      <c r="T4103" s="1">
        <v>5</v>
      </c>
      <c r="U4103" s="1">
        <v>12.5</v>
      </c>
      <c r="V4103" s="1">
        <v>1264.9411764705883</v>
      </c>
      <c r="W4103" s="1">
        <v>6</v>
      </c>
    </row>
    <row r="4104" spans="1:23" x14ac:dyDescent="0.2">
      <c r="A4104">
        <v>2022</v>
      </c>
      <c r="B4104" t="s">
        <v>23</v>
      </c>
      <c r="C4104" t="s">
        <v>272</v>
      </c>
      <c r="D4104">
        <v>156</v>
      </c>
      <c r="E4104">
        <v>1</v>
      </c>
      <c r="F4104">
        <v>8</v>
      </c>
      <c r="G4104" t="s">
        <v>181</v>
      </c>
      <c r="H4104" s="1">
        <v>12</v>
      </c>
      <c r="I4104" s="1">
        <v>64</v>
      </c>
      <c r="J4104" s="1">
        <v>66</v>
      </c>
      <c r="K4104" s="1">
        <f t="shared" si="214"/>
        <v>2</v>
      </c>
      <c r="L4104" s="1">
        <v>130</v>
      </c>
      <c r="M4104" s="1">
        <v>57</v>
      </c>
      <c r="N4104" s="1">
        <v>2</v>
      </c>
      <c r="O4104" s="1">
        <v>3</v>
      </c>
      <c r="P4104" s="1">
        <v>10</v>
      </c>
      <c r="Q4104" s="2">
        <v>4.4374999999999998E-2</v>
      </c>
      <c r="R4104" s="1">
        <v>7</v>
      </c>
      <c r="S4104" s="1">
        <f t="shared" si="215"/>
        <v>0.7</v>
      </c>
      <c r="T4104" s="1">
        <v>5</v>
      </c>
      <c r="U4104" s="1">
        <v>12.5</v>
      </c>
      <c r="V4104" s="1">
        <v>162.41830065359477</v>
      </c>
      <c r="W4104" s="1">
        <v>5</v>
      </c>
    </row>
    <row r="4105" spans="1:23" x14ac:dyDescent="0.2">
      <c r="A4105">
        <v>2022</v>
      </c>
      <c r="B4105" t="s">
        <v>23</v>
      </c>
      <c r="C4105" t="s">
        <v>272</v>
      </c>
      <c r="D4105">
        <v>156</v>
      </c>
      <c r="E4105">
        <v>2</v>
      </c>
      <c r="F4105">
        <v>3</v>
      </c>
      <c r="G4105" t="s">
        <v>181</v>
      </c>
      <c r="H4105" s="1">
        <v>9</v>
      </c>
      <c r="I4105" s="1">
        <v>58</v>
      </c>
      <c r="J4105" s="1">
        <v>61</v>
      </c>
      <c r="K4105" s="1">
        <f t="shared" si="214"/>
        <v>3</v>
      </c>
      <c r="L4105" s="1">
        <v>173</v>
      </c>
      <c r="M4105" s="1">
        <v>91</v>
      </c>
      <c r="N4105" s="1">
        <v>2</v>
      </c>
      <c r="O4105" s="1">
        <v>3</v>
      </c>
      <c r="P4105" s="1">
        <f>H4105</f>
        <v>9</v>
      </c>
      <c r="Q4105" s="2">
        <v>0.19350000000000001</v>
      </c>
      <c r="R4105" s="1">
        <v>9</v>
      </c>
      <c r="S4105" s="1">
        <f t="shared" si="215"/>
        <v>1</v>
      </c>
      <c r="T4105" s="1">
        <v>5</v>
      </c>
      <c r="U4105" s="1">
        <v>12.5</v>
      </c>
      <c r="V4105" s="1">
        <v>708.2352941176473</v>
      </c>
      <c r="W4105" s="1">
        <v>3</v>
      </c>
    </row>
    <row r="4106" spans="1:23" x14ac:dyDescent="0.2">
      <c r="A4106">
        <v>2022</v>
      </c>
      <c r="B4106" t="s">
        <v>23</v>
      </c>
      <c r="C4106" t="s">
        <v>272</v>
      </c>
      <c r="D4106">
        <v>157</v>
      </c>
      <c r="E4106">
        <v>1</v>
      </c>
      <c r="F4106">
        <v>9</v>
      </c>
      <c r="G4106" t="s">
        <v>182</v>
      </c>
      <c r="H4106" s="1">
        <v>12</v>
      </c>
      <c r="I4106" s="1">
        <v>62</v>
      </c>
      <c r="J4106" s="1">
        <v>66</v>
      </c>
      <c r="K4106" s="1">
        <f t="shared" si="214"/>
        <v>4</v>
      </c>
      <c r="L4106" s="1">
        <v>130</v>
      </c>
      <c r="M4106" s="1">
        <v>60</v>
      </c>
      <c r="N4106" s="1">
        <v>2.5</v>
      </c>
      <c r="O4106" s="1">
        <v>4.5</v>
      </c>
      <c r="P4106" s="1">
        <v>6</v>
      </c>
      <c r="Q4106" s="2">
        <v>8.3399999999999988E-2</v>
      </c>
      <c r="R4106" s="1">
        <v>4</v>
      </c>
      <c r="S4106" s="1">
        <f t="shared" si="215"/>
        <v>0.66666666666666663</v>
      </c>
      <c r="T4106" s="1">
        <v>3.5</v>
      </c>
      <c r="U4106" s="1">
        <v>12.5</v>
      </c>
      <c r="V4106" s="1">
        <v>305.25490196078431</v>
      </c>
      <c r="W4106" s="1">
        <v>4</v>
      </c>
    </row>
    <row r="4107" spans="1:23" x14ac:dyDescent="0.2">
      <c r="A4107">
        <v>2022</v>
      </c>
      <c r="B4107" t="s">
        <v>23</v>
      </c>
      <c r="C4107" t="s">
        <v>272</v>
      </c>
      <c r="D4107">
        <v>157</v>
      </c>
      <c r="E4107">
        <v>2</v>
      </c>
      <c r="F4107">
        <v>13</v>
      </c>
      <c r="G4107" t="s">
        <v>182</v>
      </c>
      <c r="H4107" s="1">
        <v>7</v>
      </c>
      <c r="I4107" s="1">
        <v>62</v>
      </c>
      <c r="J4107" s="1">
        <v>65</v>
      </c>
      <c r="K4107" s="1">
        <f t="shared" si="214"/>
        <v>3</v>
      </c>
      <c r="L4107" s="1">
        <v>92</v>
      </c>
      <c r="M4107" s="1">
        <v>25</v>
      </c>
      <c r="N4107" s="1">
        <v>2</v>
      </c>
      <c r="O4107" s="1">
        <v>5</v>
      </c>
      <c r="P4107" s="1">
        <v>1</v>
      </c>
      <c r="Q4107" s="2">
        <v>3.875E-2</v>
      </c>
      <c r="R4107" s="1">
        <v>1</v>
      </c>
      <c r="S4107" s="1">
        <f t="shared" si="215"/>
        <v>1</v>
      </c>
      <c r="T4107" s="1">
        <v>5</v>
      </c>
      <c r="U4107" s="1">
        <v>12.5</v>
      </c>
      <c r="V4107" s="1">
        <v>141.83006535947712</v>
      </c>
      <c r="W4107" s="1">
        <v>6</v>
      </c>
    </row>
    <row r="4108" spans="1:23" x14ac:dyDescent="0.2">
      <c r="A4108">
        <v>2022</v>
      </c>
      <c r="B4108" t="s">
        <v>23</v>
      </c>
      <c r="C4108" t="s">
        <v>272</v>
      </c>
      <c r="D4108">
        <v>158</v>
      </c>
      <c r="E4108">
        <v>1</v>
      </c>
      <c r="F4108">
        <v>5</v>
      </c>
      <c r="G4108" t="s">
        <v>183</v>
      </c>
      <c r="H4108">
        <v>13</v>
      </c>
      <c r="I4108">
        <v>58</v>
      </c>
      <c r="J4108">
        <v>60</v>
      </c>
      <c r="K4108">
        <v>2</v>
      </c>
      <c r="L4108">
        <v>92</v>
      </c>
      <c r="M4108">
        <v>22</v>
      </c>
      <c r="N4108">
        <v>2</v>
      </c>
      <c r="O4108">
        <v>3</v>
      </c>
      <c r="P4108">
        <v>13</v>
      </c>
      <c r="Q4108">
        <v>1.5</v>
      </c>
      <c r="R4108">
        <v>15</v>
      </c>
      <c r="S4108">
        <v>1.1538461538461537</v>
      </c>
      <c r="T4108">
        <v>2</v>
      </c>
      <c r="U4108">
        <v>12.5</v>
      </c>
      <c r="V4108">
        <v>5490.1960784313724</v>
      </c>
      <c r="W4108">
        <v>1</v>
      </c>
    </row>
    <row r="4109" spans="1:23" x14ac:dyDescent="0.2">
      <c r="A4109">
        <v>2022</v>
      </c>
      <c r="B4109" t="s">
        <v>23</v>
      </c>
      <c r="C4109" t="s">
        <v>272</v>
      </c>
      <c r="D4109">
        <v>158</v>
      </c>
      <c r="E4109">
        <v>2</v>
      </c>
      <c r="F4109">
        <v>5</v>
      </c>
      <c r="G4109" t="s">
        <v>183</v>
      </c>
      <c r="H4109" s="1">
        <v>2</v>
      </c>
      <c r="I4109" s="1">
        <v>60</v>
      </c>
      <c r="J4109" s="1">
        <v>64</v>
      </c>
      <c r="K4109" s="1">
        <f>J4109-I4109</f>
        <v>4</v>
      </c>
      <c r="L4109" s="1">
        <v>168</v>
      </c>
      <c r="M4109" s="1">
        <v>45</v>
      </c>
      <c r="N4109" s="1">
        <v>1.5</v>
      </c>
      <c r="O4109" s="1">
        <v>3</v>
      </c>
      <c r="P4109" s="1">
        <v>1</v>
      </c>
      <c r="Q4109" s="2">
        <v>0.11799999999999999</v>
      </c>
      <c r="R4109" s="1">
        <v>1</v>
      </c>
      <c r="S4109" s="1">
        <f>R4109/P4109</f>
        <v>1</v>
      </c>
      <c r="T4109" s="1">
        <v>3</v>
      </c>
      <c r="U4109" s="1">
        <v>12.5</v>
      </c>
      <c r="V4109" s="1">
        <v>431.89542483660131</v>
      </c>
      <c r="W4109" s="1">
        <v>2</v>
      </c>
    </row>
    <row r="4110" spans="1:23" x14ac:dyDescent="0.2">
      <c r="A4110">
        <v>2022</v>
      </c>
      <c r="B4110" t="s">
        <v>23</v>
      </c>
      <c r="C4110" t="s">
        <v>272</v>
      </c>
      <c r="D4110">
        <v>159</v>
      </c>
      <c r="E4110">
        <v>1</v>
      </c>
      <c r="F4110">
        <v>9</v>
      </c>
      <c r="G4110" t="s">
        <v>184</v>
      </c>
      <c r="H4110" s="1">
        <v>9</v>
      </c>
      <c r="I4110" s="1">
        <v>57</v>
      </c>
      <c r="J4110" s="1">
        <v>62</v>
      </c>
      <c r="K4110" s="1">
        <f>J4110-I4110</f>
        <v>5</v>
      </c>
      <c r="L4110" s="1">
        <v>138</v>
      </c>
      <c r="M4110" s="1">
        <v>65</v>
      </c>
      <c r="N4110" s="1">
        <v>2</v>
      </c>
      <c r="O4110" s="1">
        <v>2.5</v>
      </c>
      <c r="P4110" s="1">
        <v>9</v>
      </c>
      <c r="Q4110" s="2">
        <v>0.14264999999999997</v>
      </c>
      <c r="R4110" s="1">
        <v>6</v>
      </c>
      <c r="S4110" s="1">
        <f>R4110/P4110</f>
        <v>0.66666666666666663</v>
      </c>
      <c r="T4110" s="1">
        <v>5</v>
      </c>
      <c r="U4110" s="1">
        <v>12.5</v>
      </c>
      <c r="V4110" s="1">
        <v>522.11764705882342</v>
      </c>
      <c r="W4110" s="1">
        <v>5</v>
      </c>
    </row>
    <row r="4111" spans="1:23" x14ac:dyDescent="0.2">
      <c r="A4111">
        <v>2022</v>
      </c>
      <c r="B4111" t="s">
        <v>23</v>
      </c>
      <c r="C4111" t="s">
        <v>272</v>
      </c>
      <c r="D4111">
        <v>159</v>
      </c>
      <c r="E4111">
        <v>2</v>
      </c>
      <c r="F4111">
        <v>12</v>
      </c>
      <c r="G4111" t="s">
        <v>184</v>
      </c>
      <c r="H4111" s="1">
        <v>12</v>
      </c>
      <c r="I4111" s="1">
        <v>64</v>
      </c>
      <c r="J4111" s="1">
        <v>69</v>
      </c>
      <c r="K4111" s="1">
        <f>J4111-I4111</f>
        <v>5</v>
      </c>
      <c r="L4111" s="1">
        <v>119</v>
      </c>
      <c r="M4111" s="1">
        <v>45</v>
      </c>
      <c r="N4111" s="1">
        <v>2</v>
      </c>
      <c r="O4111" s="1">
        <v>3</v>
      </c>
      <c r="P4111" s="1">
        <v>8</v>
      </c>
      <c r="Q4111" s="2">
        <v>0.36399999999999999</v>
      </c>
      <c r="R4111" s="1">
        <v>6</v>
      </c>
      <c r="S4111" s="1">
        <f>R4111/P4111</f>
        <v>0.75</v>
      </c>
      <c r="T4111" s="1">
        <v>4</v>
      </c>
      <c r="U4111" s="1">
        <v>12.5</v>
      </c>
      <c r="V4111" s="1">
        <v>1332.2875816993464</v>
      </c>
      <c r="W4111" s="1">
        <v>6</v>
      </c>
    </row>
    <row r="4112" spans="1:23" x14ac:dyDescent="0.2">
      <c r="A4112">
        <v>2022</v>
      </c>
      <c r="B4112" t="s">
        <v>23</v>
      </c>
      <c r="C4112" t="s">
        <v>272</v>
      </c>
      <c r="D4112">
        <v>160</v>
      </c>
      <c r="E4112">
        <v>1</v>
      </c>
      <c r="F4112">
        <v>15</v>
      </c>
      <c r="G4112" t="s">
        <v>185</v>
      </c>
      <c r="H4112" s="1">
        <v>2</v>
      </c>
      <c r="I4112" s="1">
        <v>68</v>
      </c>
      <c r="J4112" s="1">
        <v>72</v>
      </c>
      <c r="K4112" s="1">
        <f>J4112-I4112</f>
        <v>4</v>
      </c>
      <c r="L4112" s="1">
        <v>102</v>
      </c>
      <c r="M4112" s="1">
        <v>47</v>
      </c>
      <c r="N4112" s="1">
        <v>2</v>
      </c>
      <c r="O4112" s="1">
        <v>3</v>
      </c>
      <c r="P4112" s="1">
        <v>2</v>
      </c>
      <c r="Q4112" s="2">
        <v>0.13700000000000001</v>
      </c>
      <c r="R4112" s="1">
        <v>2</v>
      </c>
      <c r="S4112" s="1">
        <f>R4112/P4112</f>
        <v>1</v>
      </c>
      <c r="T4112" s="1">
        <v>3</v>
      </c>
      <c r="U4112" s="1">
        <v>11.3</v>
      </c>
      <c r="V4112" s="1">
        <v>508.3147712418301</v>
      </c>
      <c r="W4112" s="1">
        <v>4</v>
      </c>
    </row>
    <row r="4113" spans="1:23" x14ac:dyDescent="0.2">
      <c r="A4113">
        <v>2022</v>
      </c>
      <c r="B4113" t="s">
        <v>23</v>
      </c>
      <c r="C4113" t="s">
        <v>272</v>
      </c>
      <c r="D4113">
        <v>160</v>
      </c>
      <c r="E4113">
        <v>2</v>
      </c>
      <c r="F4113">
        <v>4</v>
      </c>
      <c r="G4113" t="s">
        <v>185</v>
      </c>
      <c r="H4113">
        <v>12</v>
      </c>
      <c r="I4113">
        <v>52</v>
      </c>
      <c r="J4113">
        <v>55</v>
      </c>
      <c r="K4113">
        <v>3</v>
      </c>
      <c r="L4113">
        <v>160</v>
      </c>
      <c r="M4113">
        <v>79</v>
      </c>
      <c r="N4113">
        <v>2</v>
      </c>
      <c r="O4113">
        <v>1.5</v>
      </c>
      <c r="P4113">
        <v>10</v>
      </c>
      <c r="Q4113">
        <v>0.6</v>
      </c>
      <c r="R4113">
        <v>10</v>
      </c>
      <c r="S4113">
        <v>1</v>
      </c>
      <c r="T4113">
        <v>2</v>
      </c>
      <c r="U4113">
        <v>12.2</v>
      </c>
      <c r="V4113">
        <v>2203.6078431372548</v>
      </c>
      <c r="W4113">
        <v>1</v>
      </c>
    </row>
    <row r="4114" spans="1:23" x14ac:dyDescent="0.2">
      <c r="A4114">
        <v>2022</v>
      </c>
      <c r="B4114" t="s">
        <v>23</v>
      </c>
      <c r="C4114" t="s">
        <v>272</v>
      </c>
      <c r="D4114">
        <v>161</v>
      </c>
      <c r="E4114">
        <v>1</v>
      </c>
      <c r="F4114">
        <v>3</v>
      </c>
      <c r="G4114" t="s">
        <v>186</v>
      </c>
      <c r="H4114" s="1">
        <v>4</v>
      </c>
      <c r="I4114" s="1">
        <v>65</v>
      </c>
      <c r="J4114" s="1">
        <v>70</v>
      </c>
      <c r="K4114" s="1">
        <f>J4114-I4114</f>
        <v>5</v>
      </c>
      <c r="L4114" s="1">
        <v>77</v>
      </c>
      <c r="M4114" s="1">
        <v>25</v>
      </c>
      <c r="N4114" s="1">
        <v>2</v>
      </c>
      <c r="O4114" s="1">
        <v>5</v>
      </c>
      <c r="P4114" s="1">
        <v>3</v>
      </c>
      <c r="Q4114" s="2">
        <v>8.4000000000000005E-2</v>
      </c>
      <c r="R4114" s="1">
        <v>3</v>
      </c>
      <c r="S4114" s="1">
        <f>R4114/P4114</f>
        <v>1</v>
      </c>
      <c r="T4114" s="1">
        <v>5</v>
      </c>
      <c r="U4114" s="1">
        <v>12.5</v>
      </c>
      <c r="V4114" s="1">
        <v>307.45098039215685</v>
      </c>
      <c r="W4114" s="1">
        <v>6</v>
      </c>
    </row>
    <row r="4115" spans="1:23" x14ac:dyDescent="0.2">
      <c r="A4115">
        <v>2022</v>
      </c>
      <c r="B4115" t="s">
        <v>23</v>
      </c>
      <c r="C4115" t="s">
        <v>272</v>
      </c>
      <c r="D4115">
        <v>161</v>
      </c>
      <c r="E4115">
        <v>2</v>
      </c>
      <c r="F4115">
        <v>13</v>
      </c>
      <c r="G4115" t="s">
        <v>186</v>
      </c>
      <c r="H4115">
        <v>14</v>
      </c>
      <c r="I4115">
        <v>58</v>
      </c>
      <c r="J4115">
        <v>62</v>
      </c>
      <c r="K4115">
        <v>4</v>
      </c>
      <c r="L4115">
        <v>144</v>
      </c>
      <c r="M4115">
        <v>65</v>
      </c>
      <c r="N4115">
        <v>2</v>
      </c>
      <c r="O4115">
        <v>2.5</v>
      </c>
      <c r="P4115">
        <v>9</v>
      </c>
      <c r="Q4115">
        <v>1</v>
      </c>
      <c r="R4115">
        <v>6</v>
      </c>
      <c r="S4115">
        <v>0.66666666666666663</v>
      </c>
      <c r="T4115">
        <v>3</v>
      </c>
      <c r="U4115">
        <v>15</v>
      </c>
      <c r="V4115">
        <v>3555.5555555555557</v>
      </c>
      <c r="W4115">
        <v>2</v>
      </c>
    </row>
    <row r="4116" spans="1:23" x14ac:dyDescent="0.2">
      <c r="A4116">
        <v>2022</v>
      </c>
      <c r="B4116" t="s">
        <v>23</v>
      </c>
      <c r="C4116" t="s">
        <v>272</v>
      </c>
      <c r="D4116">
        <v>162</v>
      </c>
      <c r="E4116">
        <v>1</v>
      </c>
      <c r="F4116">
        <v>10</v>
      </c>
      <c r="G4116" t="s">
        <v>187</v>
      </c>
      <c r="H4116" s="1">
        <v>15</v>
      </c>
      <c r="I4116" s="1">
        <v>59</v>
      </c>
      <c r="J4116" s="1">
        <v>65</v>
      </c>
      <c r="K4116" s="1">
        <f>J4116-I4116</f>
        <v>6</v>
      </c>
      <c r="L4116" s="1">
        <v>148</v>
      </c>
      <c r="M4116" s="1">
        <v>68</v>
      </c>
      <c r="N4116" s="1">
        <v>2</v>
      </c>
      <c r="O4116" s="1">
        <v>2.5</v>
      </c>
      <c r="P4116" s="1">
        <f>H4116</f>
        <v>15</v>
      </c>
      <c r="Q4116" s="2">
        <v>0.84375</v>
      </c>
      <c r="R4116" s="1">
        <v>15</v>
      </c>
      <c r="S4116" s="1">
        <f>R4116/P4116</f>
        <v>1</v>
      </c>
      <c r="T4116" s="1">
        <v>4</v>
      </c>
      <c r="U4116" s="1">
        <v>12.5</v>
      </c>
      <c r="V4116" s="1">
        <v>3088.2352941176473</v>
      </c>
      <c r="W4116" s="1">
        <v>3</v>
      </c>
    </row>
    <row r="4117" spans="1:23" x14ac:dyDescent="0.2">
      <c r="A4117">
        <v>2022</v>
      </c>
      <c r="B4117" t="s">
        <v>23</v>
      </c>
      <c r="C4117" t="s">
        <v>272</v>
      </c>
      <c r="D4117">
        <v>162</v>
      </c>
      <c r="E4117">
        <v>2</v>
      </c>
      <c r="F4117">
        <v>2</v>
      </c>
      <c r="G4117" t="s">
        <v>187</v>
      </c>
      <c r="H4117">
        <v>9</v>
      </c>
      <c r="I4117">
        <v>55</v>
      </c>
      <c r="J4117">
        <v>57</v>
      </c>
      <c r="K4117">
        <v>2</v>
      </c>
      <c r="L4117">
        <v>111</v>
      </c>
      <c r="M4117">
        <v>76</v>
      </c>
      <c r="N4117">
        <v>5</v>
      </c>
      <c r="O4117">
        <v>4</v>
      </c>
      <c r="P4117">
        <v>9</v>
      </c>
      <c r="Q4117">
        <v>1.4119999999999999</v>
      </c>
      <c r="R4117">
        <v>9</v>
      </c>
      <c r="S4117">
        <v>1</v>
      </c>
      <c r="T4117">
        <v>3</v>
      </c>
      <c r="U4117">
        <v>12.5</v>
      </c>
      <c r="V4117">
        <v>5168.1045751633983</v>
      </c>
      <c r="W4117">
        <v>2</v>
      </c>
    </row>
    <row r="4118" spans="1:23" x14ac:dyDescent="0.2">
      <c r="A4118">
        <v>2022</v>
      </c>
      <c r="B4118" t="s">
        <v>23</v>
      </c>
      <c r="C4118" t="s">
        <v>272</v>
      </c>
      <c r="D4118">
        <v>163</v>
      </c>
      <c r="E4118">
        <v>1</v>
      </c>
      <c r="F4118">
        <v>15</v>
      </c>
      <c r="G4118" t="s">
        <v>188</v>
      </c>
      <c r="H4118" s="1">
        <v>6</v>
      </c>
      <c r="I4118" s="1">
        <v>67</v>
      </c>
      <c r="J4118" s="1">
        <v>70</v>
      </c>
      <c r="K4118" s="1">
        <f>J4118-I4118</f>
        <v>3</v>
      </c>
      <c r="L4118" s="1">
        <v>91</v>
      </c>
      <c r="M4118" s="1">
        <v>32</v>
      </c>
      <c r="N4118" s="1">
        <v>2</v>
      </c>
      <c r="O4118" s="1">
        <v>3.5</v>
      </c>
      <c r="P4118" s="1">
        <v>6</v>
      </c>
      <c r="Q4118" s="2">
        <v>0.38</v>
      </c>
      <c r="R4118" s="1">
        <v>5</v>
      </c>
      <c r="S4118" s="1">
        <f>R4118/P4118</f>
        <v>0.83333333333333337</v>
      </c>
      <c r="T4118" s="1">
        <v>2.5</v>
      </c>
      <c r="U4118" s="1">
        <v>12.5</v>
      </c>
      <c r="V4118" s="1">
        <v>1390.8496732026144</v>
      </c>
      <c r="W4118" s="1">
        <v>4</v>
      </c>
    </row>
    <row r="4119" spans="1:23" x14ac:dyDescent="0.2">
      <c r="A4119">
        <v>2022</v>
      </c>
      <c r="B4119" t="s">
        <v>23</v>
      </c>
      <c r="C4119" t="s">
        <v>272</v>
      </c>
      <c r="D4119">
        <v>163</v>
      </c>
      <c r="E4119">
        <v>2</v>
      </c>
      <c r="F4119">
        <v>8</v>
      </c>
      <c r="G4119" t="s">
        <v>188</v>
      </c>
      <c r="H4119">
        <v>16</v>
      </c>
      <c r="I4119">
        <v>54</v>
      </c>
      <c r="J4119">
        <v>58</v>
      </c>
      <c r="K4119">
        <v>4</v>
      </c>
      <c r="L4119">
        <v>155</v>
      </c>
      <c r="M4119">
        <v>68</v>
      </c>
      <c r="N4119">
        <v>2</v>
      </c>
      <c r="O4119">
        <v>1.5</v>
      </c>
      <c r="P4119">
        <v>10</v>
      </c>
      <c r="Q4119">
        <v>1</v>
      </c>
      <c r="R4119">
        <v>10</v>
      </c>
      <c r="S4119">
        <v>1</v>
      </c>
      <c r="T4119">
        <v>3</v>
      </c>
      <c r="U4119">
        <v>8.4</v>
      </c>
      <c r="V4119">
        <v>3831.6339869281051</v>
      </c>
      <c r="W4119">
        <v>2</v>
      </c>
    </row>
    <row r="4120" spans="1:23" x14ac:dyDescent="0.2">
      <c r="A4120">
        <v>2022</v>
      </c>
      <c r="B4120" t="s">
        <v>23</v>
      </c>
      <c r="C4120" t="s">
        <v>272</v>
      </c>
      <c r="D4120">
        <v>164</v>
      </c>
      <c r="E4120">
        <v>1</v>
      </c>
      <c r="F4120">
        <v>10</v>
      </c>
      <c r="G4120" t="s">
        <v>189</v>
      </c>
      <c r="H4120">
        <v>13</v>
      </c>
      <c r="I4120">
        <v>58</v>
      </c>
      <c r="J4120">
        <v>61</v>
      </c>
      <c r="K4120">
        <v>3</v>
      </c>
      <c r="L4120">
        <v>171</v>
      </c>
      <c r="M4120">
        <v>80</v>
      </c>
      <c r="N4120">
        <v>1</v>
      </c>
      <c r="O4120">
        <v>1.5</v>
      </c>
      <c r="P4120">
        <v>13</v>
      </c>
      <c r="Q4120">
        <v>1</v>
      </c>
      <c r="R4120">
        <v>13</v>
      </c>
      <c r="S4120">
        <v>1</v>
      </c>
      <c r="T4120">
        <v>2</v>
      </c>
      <c r="U4120">
        <v>11.1</v>
      </c>
      <c r="V4120">
        <v>3718.6928104575168</v>
      </c>
      <c r="W4120">
        <v>2</v>
      </c>
    </row>
    <row r="4121" spans="1:23" x14ac:dyDescent="0.2">
      <c r="A4121">
        <v>2022</v>
      </c>
      <c r="B4121" t="s">
        <v>23</v>
      </c>
      <c r="C4121" t="s">
        <v>272</v>
      </c>
      <c r="D4121">
        <v>164</v>
      </c>
      <c r="E4121">
        <v>2</v>
      </c>
      <c r="F4121">
        <v>14</v>
      </c>
      <c r="G4121" t="s">
        <v>189</v>
      </c>
      <c r="H4121">
        <v>2</v>
      </c>
      <c r="I4121">
        <v>63</v>
      </c>
      <c r="J4121">
        <v>65</v>
      </c>
      <c r="K4121">
        <v>2</v>
      </c>
      <c r="L4121">
        <v>149</v>
      </c>
      <c r="M4121">
        <v>77</v>
      </c>
      <c r="N4121">
        <v>2</v>
      </c>
      <c r="O4121">
        <v>3</v>
      </c>
      <c r="P4121">
        <v>2</v>
      </c>
      <c r="Q4121">
        <v>0.2</v>
      </c>
      <c r="R4121">
        <v>2</v>
      </c>
      <c r="S4121">
        <v>1</v>
      </c>
      <c r="T4121">
        <v>2.5</v>
      </c>
      <c r="U4121">
        <v>12.5</v>
      </c>
      <c r="V4121">
        <v>732.02614379084969</v>
      </c>
      <c r="W4121">
        <v>2</v>
      </c>
    </row>
    <row r="4122" spans="1:23" x14ac:dyDescent="0.2">
      <c r="A4122">
        <v>2022</v>
      </c>
      <c r="B4122" t="s">
        <v>23</v>
      </c>
      <c r="C4122" t="s">
        <v>272</v>
      </c>
      <c r="D4122">
        <v>165</v>
      </c>
      <c r="E4122">
        <v>1</v>
      </c>
      <c r="F4122">
        <v>10</v>
      </c>
      <c r="G4122" t="s">
        <v>190</v>
      </c>
      <c r="H4122">
        <v>9</v>
      </c>
      <c r="I4122">
        <v>56</v>
      </c>
      <c r="J4122">
        <v>60</v>
      </c>
      <c r="K4122">
        <v>4</v>
      </c>
      <c r="L4122">
        <v>78</v>
      </c>
      <c r="M4122">
        <v>28</v>
      </c>
      <c r="N4122">
        <v>2</v>
      </c>
      <c r="O4122">
        <v>3</v>
      </c>
      <c r="P4122">
        <v>9</v>
      </c>
      <c r="Q4122">
        <v>0.8</v>
      </c>
      <c r="R4122">
        <v>10</v>
      </c>
      <c r="S4122">
        <v>1.1111111111111112</v>
      </c>
      <c r="T4122">
        <v>2</v>
      </c>
      <c r="U4122">
        <v>12.5</v>
      </c>
      <c r="V4122">
        <v>2928.1045751633987</v>
      </c>
      <c r="W4122">
        <v>1</v>
      </c>
    </row>
    <row r="4123" spans="1:23" x14ac:dyDescent="0.2">
      <c r="A4123">
        <v>2022</v>
      </c>
      <c r="B4123" t="s">
        <v>23</v>
      </c>
      <c r="C4123" t="s">
        <v>272</v>
      </c>
      <c r="D4123">
        <v>165</v>
      </c>
      <c r="E4123">
        <v>2</v>
      </c>
      <c r="F4123">
        <v>1</v>
      </c>
      <c r="G4123" t="s">
        <v>190</v>
      </c>
      <c r="H4123" s="1">
        <v>11</v>
      </c>
      <c r="I4123" s="1">
        <v>56</v>
      </c>
      <c r="J4123" s="1">
        <v>60</v>
      </c>
      <c r="K4123" s="1">
        <f>J4123-I4123</f>
        <v>4</v>
      </c>
      <c r="L4123" s="1">
        <v>145</v>
      </c>
      <c r="M4123" s="1">
        <v>76</v>
      </c>
      <c r="N4123" s="1">
        <v>2</v>
      </c>
      <c r="O4123" s="1">
        <v>2.5</v>
      </c>
      <c r="P4123" s="1">
        <f>H4123-2</f>
        <v>9</v>
      </c>
      <c r="Q4123" s="2">
        <v>3.6899999999999995E-2</v>
      </c>
      <c r="R4123" s="1">
        <v>8</v>
      </c>
      <c r="S4123" s="1">
        <f>R4123/P4123</f>
        <v>0.88888888888888884</v>
      </c>
      <c r="T4123" s="1">
        <v>5</v>
      </c>
      <c r="U4123" s="1">
        <v>12.5</v>
      </c>
      <c r="V4123" s="1">
        <v>135.05882352941177</v>
      </c>
      <c r="W4123" s="1">
        <v>2</v>
      </c>
    </row>
    <row r="4124" spans="1:23" x14ac:dyDescent="0.2">
      <c r="A4124">
        <v>2022</v>
      </c>
      <c r="B4124" t="s">
        <v>23</v>
      </c>
      <c r="C4124" t="s">
        <v>272</v>
      </c>
      <c r="D4124">
        <v>166</v>
      </c>
      <c r="E4124">
        <v>1</v>
      </c>
      <c r="F4124">
        <v>2</v>
      </c>
      <c r="G4124" t="s">
        <v>191</v>
      </c>
      <c r="H4124">
        <v>3</v>
      </c>
      <c r="I4124">
        <v>64</v>
      </c>
      <c r="J4124">
        <v>67</v>
      </c>
      <c r="K4124">
        <v>3</v>
      </c>
      <c r="L4124">
        <v>145</v>
      </c>
      <c r="M4124">
        <v>80</v>
      </c>
      <c r="N4124">
        <v>2</v>
      </c>
      <c r="O4124">
        <v>3</v>
      </c>
      <c r="P4124">
        <v>3</v>
      </c>
      <c r="Q4124">
        <v>0.3</v>
      </c>
      <c r="R4124">
        <v>3</v>
      </c>
      <c r="S4124">
        <v>1</v>
      </c>
      <c r="T4124">
        <v>2.5</v>
      </c>
      <c r="U4124">
        <v>12.5</v>
      </c>
      <c r="V4124">
        <v>1098.0392156862745</v>
      </c>
      <c r="W4124">
        <v>1</v>
      </c>
    </row>
    <row r="4125" spans="1:23" x14ac:dyDescent="0.2">
      <c r="A4125">
        <v>2022</v>
      </c>
      <c r="B4125" t="s">
        <v>23</v>
      </c>
      <c r="C4125" t="s">
        <v>272</v>
      </c>
      <c r="D4125">
        <v>166</v>
      </c>
      <c r="E4125">
        <v>2</v>
      </c>
      <c r="F4125">
        <v>1</v>
      </c>
      <c r="G4125" t="s">
        <v>191</v>
      </c>
      <c r="H4125" s="1">
        <v>10</v>
      </c>
      <c r="I4125" s="1">
        <v>64</v>
      </c>
      <c r="J4125" s="1">
        <v>69</v>
      </c>
      <c r="K4125" s="1">
        <f>J4125-I4125</f>
        <v>5</v>
      </c>
      <c r="L4125" s="1">
        <v>120</v>
      </c>
      <c r="M4125" s="1">
        <v>62</v>
      </c>
      <c r="N4125" s="1">
        <v>2</v>
      </c>
      <c r="O4125" s="1">
        <v>4</v>
      </c>
      <c r="P4125" s="1">
        <v>7</v>
      </c>
      <c r="Q4125" s="2">
        <v>0.25600000000000001</v>
      </c>
      <c r="R4125" s="1">
        <v>7</v>
      </c>
      <c r="S4125" s="1">
        <f>R4125/P4125</f>
        <v>1</v>
      </c>
      <c r="T4125" s="1">
        <v>3.5</v>
      </c>
      <c r="U4125" s="1">
        <v>12.5</v>
      </c>
      <c r="V4125" s="1">
        <v>936.99346405228766</v>
      </c>
      <c r="W4125" s="1">
        <v>6</v>
      </c>
    </row>
    <row r="4126" spans="1:23" x14ac:dyDescent="0.2">
      <c r="A4126">
        <v>2022</v>
      </c>
      <c r="B4126" t="s">
        <v>23</v>
      </c>
      <c r="C4126" t="s">
        <v>272</v>
      </c>
      <c r="D4126">
        <v>167</v>
      </c>
      <c r="E4126">
        <v>1</v>
      </c>
      <c r="F4126">
        <v>15</v>
      </c>
      <c r="G4126" t="s">
        <v>192</v>
      </c>
      <c r="H4126">
        <v>5</v>
      </c>
      <c r="I4126">
        <v>64</v>
      </c>
      <c r="J4126">
        <v>67</v>
      </c>
      <c r="K4126">
        <v>3</v>
      </c>
      <c r="L4126">
        <v>122</v>
      </c>
      <c r="M4126">
        <v>55</v>
      </c>
      <c r="N4126">
        <v>2</v>
      </c>
      <c r="O4126">
        <v>3</v>
      </c>
      <c r="P4126">
        <v>5</v>
      </c>
      <c r="Q4126">
        <v>0.4</v>
      </c>
      <c r="R4126">
        <v>5</v>
      </c>
      <c r="S4126">
        <v>1</v>
      </c>
      <c r="T4126">
        <v>3</v>
      </c>
      <c r="U4126">
        <v>12.5</v>
      </c>
      <c r="V4126">
        <v>1464.0522875816994</v>
      </c>
      <c r="W4126">
        <v>1</v>
      </c>
    </row>
    <row r="4127" spans="1:23" x14ac:dyDescent="0.2">
      <c r="A4127">
        <v>2022</v>
      </c>
      <c r="B4127" t="s">
        <v>23</v>
      </c>
      <c r="C4127" t="s">
        <v>272</v>
      </c>
      <c r="D4127">
        <v>167</v>
      </c>
      <c r="E4127">
        <v>2</v>
      </c>
      <c r="F4127">
        <v>3</v>
      </c>
      <c r="G4127" t="s">
        <v>192</v>
      </c>
      <c r="H4127" s="1">
        <v>13</v>
      </c>
      <c r="I4127" s="1">
        <v>67</v>
      </c>
      <c r="J4127" s="1">
        <v>72</v>
      </c>
      <c r="K4127" s="1">
        <f>J4127-I4127</f>
        <v>5</v>
      </c>
      <c r="L4127" s="1">
        <v>68</v>
      </c>
      <c r="M4127" s="1">
        <v>63</v>
      </c>
      <c r="N4127" s="1">
        <v>2</v>
      </c>
      <c r="O4127" s="1">
        <v>3</v>
      </c>
      <c r="P4127" s="1">
        <f>H4127</f>
        <v>13</v>
      </c>
      <c r="Q4127" s="2">
        <v>0.114</v>
      </c>
      <c r="R4127" s="1">
        <v>9</v>
      </c>
      <c r="S4127" s="1">
        <f>R4127/P4127</f>
        <v>0.69230769230769229</v>
      </c>
      <c r="T4127" s="1">
        <v>3</v>
      </c>
      <c r="U4127" s="1">
        <v>12.5</v>
      </c>
      <c r="V4127" s="1">
        <v>417.25490196078431</v>
      </c>
      <c r="W4127" s="1">
        <v>3</v>
      </c>
    </row>
    <row r="4128" spans="1:23" x14ac:dyDescent="0.2">
      <c r="A4128">
        <v>2022</v>
      </c>
      <c r="B4128" t="s">
        <v>23</v>
      </c>
      <c r="C4128" t="s">
        <v>272</v>
      </c>
      <c r="D4128">
        <v>168</v>
      </c>
      <c r="E4128">
        <v>1</v>
      </c>
      <c r="F4128">
        <v>3</v>
      </c>
      <c r="G4128" t="s">
        <v>193</v>
      </c>
      <c r="H4128">
        <v>15</v>
      </c>
      <c r="I4128">
        <v>55</v>
      </c>
      <c r="J4128">
        <v>57</v>
      </c>
      <c r="K4128">
        <v>2</v>
      </c>
      <c r="L4128">
        <v>183</v>
      </c>
      <c r="M4128">
        <v>65</v>
      </c>
      <c r="N4128">
        <v>2</v>
      </c>
      <c r="O4128">
        <v>2.5</v>
      </c>
      <c r="P4128">
        <v>8</v>
      </c>
      <c r="Q4128">
        <v>0.4</v>
      </c>
      <c r="R4128">
        <v>8</v>
      </c>
      <c r="S4128">
        <v>1</v>
      </c>
      <c r="T4128">
        <v>4</v>
      </c>
      <c r="U4128">
        <v>10</v>
      </c>
      <c r="V4128">
        <v>1505.8823529411764</v>
      </c>
      <c r="W4128">
        <v>2</v>
      </c>
    </row>
    <row r="4129" spans="1:23" x14ac:dyDescent="0.2">
      <c r="A4129">
        <v>2022</v>
      </c>
      <c r="B4129" t="s">
        <v>23</v>
      </c>
      <c r="C4129" t="s">
        <v>272</v>
      </c>
      <c r="D4129">
        <v>168</v>
      </c>
      <c r="E4129">
        <v>2</v>
      </c>
      <c r="F4129">
        <v>13</v>
      </c>
      <c r="G4129" t="s">
        <v>193</v>
      </c>
      <c r="H4129" s="1">
        <v>5</v>
      </c>
      <c r="I4129" s="1">
        <v>68</v>
      </c>
      <c r="J4129" s="1">
        <v>72</v>
      </c>
      <c r="K4129" s="1">
        <f t="shared" ref="K4129:K4134" si="216">J4129-I4129</f>
        <v>4</v>
      </c>
      <c r="L4129" s="1">
        <v>157</v>
      </c>
      <c r="M4129" s="1">
        <v>73</v>
      </c>
      <c r="N4129" s="1">
        <v>2</v>
      </c>
      <c r="O4129" s="1">
        <v>2</v>
      </c>
      <c r="P4129" s="1">
        <v>5</v>
      </c>
      <c r="Q4129" s="2">
        <v>0.49</v>
      </c>
      <c r="R4129" s="1">
        <v>6</v>
      </c>
      <c r="S4129" s="1">
        <f t="shared" ref="S4129:S4134" si="217">R4129/P4129</f>
        <v>1.2</v>
      </c>
      <c r="T4129" s="1">
        <v>3</v>
      </c>
      <c r="U4129" s="1">
        <v>12.5</v>
      </c>
      <c r="V4129" s="1">
        <v>1793.4640522875818</v>
      </c>
      <c r="W4129" s="1">
        <v>4</v>
      </c>
    </row>
    <row r="4130" spans="1:23" x14ac:dyDescent="0.2">
      <c r="A4130">
        <v>2022</v>
      </c>
      <c r="B4130" t="s">
        <v>23</v>
      </c>
      <c r="C4130" t="s">
        <v>272</v>
      </c>
      <c r="D4130">
        <v>169</v>
      </c>
      <c r="E4130">
        <v>1</v>
      </c>
      <c r="F4130">
        <v>15</v>
      </c>
      <c r="G4130" t="s">
        <v>194</v>
      </c>
      <c r="H4130" s="1">
        <v>8</v>
      </c>
      <c r="I4130" s="1">
        <v>68</v>
      </c>
      <c r="J4130" s="1">
        <v>72</v>
      </c>
      <c r="K4130" s="1">
        <f t="shared" si="216"/>
        <v>4</v>
      </c>
      <c r="L4130" s="1">
        <v>157</v>
      </c>
      <c r="M4130" s="1">
        <v>57</v>
      </c>
      <c r="N4130" s="1">
        <v>2.5</v>
      </c>
      <c r="O4130" s="1">
        <v>4</v>
      </c>
      <c r="P4130" s="1">
        <v>8</v>
      </c>
      <c r="Q4130" s="2">
        <v>9.4799999999999995E-2</v>
      </c>
      <c r="R4130" s="1">
        <v>8</v>
      </c>
      <c r="S4130" s="1">
        <f t="shared" si="217"/>
        <v>1</v>
      </c>
      <c r="T4130" s="1">
        <v>4.5</v>
      </c>
      <c r="U4130" s="1">
        <v>12.5</v>
      </c>
      <c r="V4130" s="1">
        <v>346.98039215686276</v>
      </c>
      <c r="W4130" s="1">
        <v>5</v>
      </c>
    </row>
    <row r="4131" spans="1:23" x14ac:dyDescent="0.2">
      <c r="A4131">
        <v>2022</v>
      </c>
      <c r="B4131" t="s">
        <v>23</v>
      </c>
      <c r="C4131" t="s">
        <v>272</v>
      </c>
      <c r="D4131">
        <v>169</v>
      </c>
      <c r="E4131">
        <v>2</v>
      </c>
      <c r="F4131">
        <v>9</v>
      </c>
      <c r="G4131" t="s">
        <v>194</v>
      </c>
      <c r="H4131" s="1">
        <v>6</v>
      </c>
      <c r="I4131" s="1">
        <v>65</v>
      </c>
      <c r="J4131" s="1">
        <v>67</v>
      </c>
      <c r="K4131" s="1">
        <f t="shared" si="216"/>
        <v>2</v>
      </c>
      <c r="L4131" s="1">
        <v>152</v>
      </c>
      <c r="M4131" s="1">
        <v>66</v>
      </c>
      <c r="N4131" s="1">
        <v>1.5</v>
      </c>
      <c r="O4131" s="1">
        <v>3</v>
      </c>
      <c r="P4131" s="1">
        <v>5</v>
      </c>
      <c r="Q4131" s="2">
        <v>0.432</v>
      </c>
      <c r="R4131" s="1">
        <v>4</v>
      </c>
      <c r="S4131" s="1">
        <f t="shared" si="217"/>
        <v>0.8</v>
      </c>
      <c r="T4131" s="1">
        <v>2</v>
      </c>
      <c r="U4131" s="1">
        <v>12.5</v>
      </c>
      <c r="V4131" s="1">
        <v>1581.1764705882351</v>
      </c>
      <c r="W4131" s="1">
        <v>4</v>
      </c>
    </row>
    <row r="4132" spans="1:23" x14ac:dyDescent="0.2">
      <c r="A4132">
        <v>2022</v>
      </c>
      <c r="B4132" t="s">
        <v>23</v>
      </c>
      <c r="C4132" t="s">
        <v>272</v>
      </c>
      <c r="D4132">
        <v>170</v>
      </c>
      <c r="E4132">
        <v>1</v>
      </c>
      <c r="F4132">
        <v>13</v>
      </c>
      <c r="G4132" t="s">
        <v>195</v>
      </c>
      <c r="H4132" s="1">
        <v>12</v>
      </c>
      <c r="I4132" s="1">
        <v>64</v>
      </c>
      <c r="J4132" s="1">
        <v>68</v>
      </c>
      <c r="K4132" s="1">
        <f t="shared" si="216"/>
        <v>4</v>
      </c>
      <c r="L4132" s="1">
        <v>164</v>
      </c>
      <c r="M4132" s="1">
        <v>52</v>
      </c>
      <c r="N4132" s="1">
        <v>1</v>
      </c>
      <c r="O4132" s="1">
        <v>3.5</v>
      </c>
      <c r="P4132" s="1">
        <f>H4132-2</f>
        <v>10</v>
      </c>
      <c r="Q4132" s="2">
        <v>0.27</v>
      </c>
      <c r="R4132" s="1">
        <v>10</v>
      </c>
      <c r="S4132" s="1">
        <f t="shared" si="217"/>
        <v>1</v>
      </c>
      <c r="T4132" s="1">
        <v>2</v>
      </c>
      <c r="U4132" s="1">
        <v>12.5</v>
      </c>
      <c r="V4132" s="1">
        <v>988.23529411764707</v>
      </c>
      <c r="W4132" s="1">
        <v>2</v>
      </c>
    </row>
    <row r="4133" spans="1:23" x14ac:dyDescent="0.2">
      <c r="A4133">
        <v>2022</v>
      </c>
      <c r="B4133" t="s">
        <v>23</v>
      </c>
      <c r="C4133" t="s">
        <v>272</v>
      </c>
      <c r="D4133">
        <v>170</v>
      </c>
      <c r="E4133">
        <v>2</v>
      </c>
      <c r="F4133">
        <v>1</v>
      </c>
      <c r="G4133" t="s">
        <v>195</v>
      </c>
      <c r="H4133" s="1">
        <v>7</v>
      </c>
      <c r="I4133" s="1">
        <v>69</v>
      </c>
      <c r="J4133" s="1">
        <v>74</v>
      </c>
      <c r="K4133" s="1">
        <f t="shared" si="216"/>
        <v>5</v>
      </c>
      <c r="L4133" s="1">
        <v>76</v>
      </c>
      <c r="M4133" s="1">
        <v>26</v>
      </c>
      <c r="N4133" s="1">
        <v>1.5</v>
      </c>
      <c r="O4133" s="1">
        <v>5</v>
      </c>
      <c r="P4133" s="1">
        <v>2</v>
      </c>
      <c r="Q4133" s="2">
        <v>4.2000000000000003E-2</v>
      </c>
      <c r="R4133" s="1">
        <v>1</v>
      </c>
      <c r="S4133" s="1">
        <f t="shared" si="217"/>
        <v>0.5</v>
      </c>
      <c r="T4133" s="1">
        <v>5</v>
      </c>
      <c r="U4133" s="1">
        <v>12.5</v>
      </c>
      <c r="V4133" s="1">
        <v>153.72549019607843</v>
      </c>
      <c r="W4133" s="1">
        <v>5</v>
      </c>
    </row>
    <row r="4134" spans="1:23" x14ac:dyDescent="0.2">
      <c r="A4134">
        <v>2022</v>
      </c>
      <c r="B4134" t="s">
        <v>23</v>
      </c>
      <c r="C4134" t="s">
        <v>272</v>
      </c>
      <c r="D4134">
        <v>171</v>
      </c>
      <c r="E4134">
        <v>1</v>
      </c>
      <c r="F4134">
        <v>11</v>
      </c>
      <c r="G4134" t="s">
        <v>196</v>
      </c>
      <c r="H4134" s="1">
        <v>2</v>
      </c>
      <c r="I4134" s="1">
        <v>68</v>
      </c>
      <c r="J4134" s="1">
        <v>70</v>
      </c>
      <c r="K4134" s="1">
        <f t="shared" si="216"/>
        <v>2</v>
      </c>
      <c r="L4134" s="1">
        <v>90</v>
      </c>
      <c r="M4134" s="1">
        <v>30</v>
      </c>
      <c r="N4134" s="1">
        <v>2</v>
      </c>
      <c r="O4134" s="1">
        <v>4</v>
      </c>
      <c r="P4134" s="1">
        <v>1</v>
      </c>
      <c r="Q4134" s="2">
        <v>4.9500000000000002E-2</v>
      </c>
      <c r="R4134" s="1">
        <v>1</v>
      </c>
      <c r="S4134" s="1">
        <f t="shared" si="217"/>
        <v>1</v>
      </c>
      <c r="T4134" s="1">
        <v>4</v>
      </c>
      <c r="U4134" s="1">
        <v>12.5</v>
      </c>
      <c r="V4134" s="1">
        <v>181.17647058823528</v>
      </c>
      <c r="W4134" s="1">
        <v>5</v>
      </c>
    </row>
    <row r="4135" spans="1:23" x14ac:dyDescent="0.2">
      <c r="A4135">
        <v>2022</v>
      </c>
      <c r="B4135" t="s">
        <v>23</v>
      </c>
      <c r="C4135" t="s">
        <v>272</v>
      </c>
      <c r="D4135">
        <v>171</v>
      </c>
      <c r="E4135">
        <v>2</v>
      </c>
      <c r="F4135">
        <v>5</v>
      </c>
      <c r="G4135" t="s">
        <v>196</v>
      </c>
      <c r="H4135">
        <v>14</v>
      </c>
      <c r="I4135">
        <v>58</v>
      </c>
      <c r="J4135">
        <v>63</v>
      </c>
      <c r="K4135">
        <v>5</v>
      </c>
      <c r="L4135">
        <v>157</v>
      </c>
      <c r="M4135">
        <v>83</v>
      </c>
      <c r="N4135">
        <v>2</v>
      </c>
      <c r="O4135">
        <v>2</v>
      </c>
      <c r="P4135">
        <v>13</v>
      </c>
      <c r="Q4135">
        <v>1</v>
      </c>
      <c r="R4135">
        <v>13</v>
      </c>
      <c r="S4135">
        <v>1</v>
      </c>
      <c r="T4135">
        <v>2</v>
      </c>
      <c r="U4135">
        <v>10.4</v>
      </c>
      <c r="V4135">
        <v>3747.9738562091497</v>
      </c>
      <c r="W4135">
        <v>2</v>
      </c>
    </row>
    <row r="4136" spans="1:23" x14ac:dyDescent="0.2">
      <c r="A4136">
        <v>2022</v>
      </c>
      <c r="B4136" t="s">
        <v>23</v>
      </c>
      <c r="C4136" t="s">
        <v>272</v>
      </c>
      <c r="D4136">
        <v>172</v>
      </c>
      <c r="E4136">
        <v>1</v>
      </c>
      <c r="F4136">
        <v>10</v>
      </c>
      <c r="G4136" t="s">
        <v>197</v>
      </c>
      <c r="H4136" s="1">
        <v>10</v>
      </c>
      <c r="I4136" s="1">
        <v>70</v>
      </c>
      <c r="J4136" s="1">
        <v>73</v>
      </c>
      <c r="K4136" s="1">
        <f>J4136-I4136</f>
        <v>3</v>
      </c>
      <c r="L4136" s="1">
        <v>125</v>
      </c>
      <c r="M4136" s="1">
        <v>70</v>
      </c>
      <c r="N4136" s="1">
        <v>3</v>
      </c>
      <c r="O4136" s="1">
        <v>4</v>
      </c>
      <c r="P4136" s="1">
        <f>H4136-2</f>
        <v>8</v>
      </c>
      <c r="Q4136" s="2">
        <v>0.27</v>
      </c>
      <c r="R4136" s="1">
        <v>8</v>
      </c>
      <c r="S4136" s="1">
        <f>R4136/P4136</f>
        <v>1</v>
      </c>
      <c r="T4136" s="1">
        <v>5</v>
      </c>
      <c r="U4136" s="1">
        <v>12.5</v>
      </c>
      <c r="V4136" s="1">
        <v>988.23529411764707</v>
      </c>
      <c r="W4136" s="1">
        <v>5</v>
      </c>
    </row>
    <row r="4137" spans="1:23" x14ac:dyDescent="0.2">
      <c r="A4137">
        <v>2022</v>
      </c>
      <c r="B4137" t="s">
        <v>23</v>
      </c>
      <c r="C4137" t="s">
        <v>272</v>
      </c>
      <c r="D4137">
        <v>172</v>
      </c>
      <c r="E4137">
        <v>2</v>
      </c>
      <c r="F4137">
        <v>9</v>
      </c>
      <c r="G4137" t="s">
        <v>197</v>
      </c>
      <c r="H4137" s="1">
        <v>13</v>
      </c>
      <c r="I4137" s="1">
        <v>58</v>
      </c>
      <c r="J4137" s="1">
        <v>61</v>
      </c>
      <c r="K4137" s="1">
        <f>J4137-I4137</f>
        <v>3</v>
      </c>
      <c r="L4137" s="1">
        <v>108</v>
      </c>
      <c r="M4137" s="1">
        <v>56</v>
      </c>
      <c r="N4137" s="1">
        <v>3</v>
      </c>
      <c r="O4137" s="1">
        <v>4</v>
      </c>
      <c r="P4137" s="1">
        <f>H4137</f>
        <v>13</v>
      </c>
      <c r="Q4137" s="2">
        <v>7.3687500000000003E-2</v>
      </c>
      <c r="R4137" s="1">
        <v>10</v>
      </c>
      <c r="S4137" s="1">
        <f>R4137/P4137</f>
        <v>0.76923076923076927</v>
      </c>
      <c r="T4137" s="1">
        <v>5</v>
      </c>
      <c r="U4137" s="1">
        <v>12.5</v>
      </c>
      <c r="V4137" s="1">
        <v>269.70588235294122</v>
      </c>
      <c r="W4137" s="1">
        <v>5</v>
      </c>
    </row>
    <row r="4138" spans="1:23" x14ac:dyDescent="0.2">
      <c r="A4138">
        <v>2022</v>
      </c>
      <c r="B4138" t="s">
        <v>23</v>
      </c>
      <c r="C4138" t="s">
        <v>272</v>
      </c>
      <c r="D4138">
        <v>173</v>
      </c>
      <c r="E4138">
        <v>1</v>
      </c>
      <c r="F4138">
        <v>13</v>
      </c>
      <c r="G4138" t="s">
        <v>198</v>
      </c>
      <c r="H4138" s="1">
        <v>10</v>
      </c>
      <c r="I4138" s="1">
        <v>65</v>
      </c>
      <c r="J4138" s="1">
        <v>69</v>
      </c>
      <c r="K4138" s="1">
        <f>J4138-I4138</f>
        <v>4</v>
      </c>
      <c r="L4138" s="1">
        <v>163</v>
      </c>
      <c r="M4138" s="1">
        <v>75</v>
      </c>
      <c r="N4138" s="1">
        <v>3</v>
      </c>
      <c r="O4138" s="1">
        <v>3.5</v>
      </c>
      <c r="P4138" s="1">
        <v>7</v>
      </c>
      <c r="Q4138" s="2">
        <v>0.12875625000000002</v>
      </c>
      <c r="R4138" s="1">
        <v>6</v>
      </c>
      <c r="S4138" s="1">
        <f>R4138/P4138</f>
        <v>0.8571428571428571</v>
      </c>
      <c r="T4138" s="1">
        <v>5</v>
      </c>
      <c r="U4138" s="1">
        <v>12.5</v>
      </c>
      <c r="V4138" s="1">
        <v>471.26470588235304</v>
      </c>
      <c r="W4138" s="1">
        <v>5</v>
      </c>
    </row>
    <row r="4139" spans="1:23" x14ac:dyDescent="0.2">
      <c r="A4139">
        <v>2022</v>
      </c>
      <c r="B4139" t="s">
        <v>23</v>
      </c>
      <c r="C4139" t="s">
        <v>272</v>
      </c>
      <c r="D4139">
        <v>173</v>
      </c>
      <c r="E4139">
        <v>2</v>
      </c>
      <c r="F4139">
        <v>10</v>
      </c>
      <c r="G4139" t="s">
        <v>198</v>
      </c>
      <c r="H4139">
        <v>11</v>
      </c>
      <c r="I4139">
        <v>52</v>
      </c>
      <c r="J4139">
        <v>55</v>
      </c>
      <c r="K4139">
        <v>3</v>
      </c>
      <c r="L4139">
        <v>157</v>
      </c>
      <c r="M4139">
        <v>55</v>
      </c>
      <c r="N4139">
        <v>2</v>
      </c>
      <c r="O4139">
        <v>2</v>
      </c>
      <c r="P4139">
        <v>8</v>
      </c>
      <c r="Q4139">
        <v>0.3</v>
      </c>
      <c r="R4139">
        <v>8</v>
      </c>
      <c r="S4139">
        <v>1</v>
      </c>
      <c r="T4139">
        <v>3</v>
      </c>
      <c r="U4139">
        <v>12.5</v>
      </c>
      <c r="V4139">
        <v>1098.0392156862745</v>
      </c>
      <c r="W4139">
        <v>2</v>
      </c>
    </row>
    <row r="4140" spans="1:23" x14ac:dyDescent="0.2">
      <c r="A4140">
        <v>2022</v>
      </c>
      <c r="B4140" t="s">
        <v>23</v>
      </c>
      <c r="C4140" t="s">
        <v>272</v>
      </c>
      <c r="D4140">
        <v>174</v>
      </c>
      <c r="E4140">
        <v>1</v>
      </c>
      <c r="F4140">
        <v>10</v>
      </c>
      <c r="G4140" t="s">
        <v>199</v>
      </c>
      <c r="H4140" s="1">
        <v>7</v>
      </c>
      <c r="I4140" s="1">
        <v>61</v>
      </c>
      <c r="J4140" s="1">
        <v>65</v>
      </c>
      <c r="K4140" s="1">
        <f>J4140-I4140</f>
        <v>4</v>
      </c>
      <c r="L4140" s="1">
        <v>123</v>
      </c>
      <c r="M4140" s="1">
        <v>50</v>
      </c>
      <c r="N4140" s="1">
        <v>3</v>
      </c>
      <c r="O4140" s="1">
        <v>4</v>
      </c>
      <c r="P4140" s="1">
        <v>4</v>
      </c>
      <c r="Q4140" s="2">
        <v>4.7399999999999998E-2</v>
      </c>
      <c r="R4140" s="1">
        <v>4</v>
      </c>
      <c r="S4140" s="1">
        <f>R4140/P4140</f>
        <v>1</v>
      </c>
      <c r="T4140" s="1">
        <v>4.5</v>
      </c>
      <c r="U4140" s="1">
        <v>12.5</v>
      </c>
      <c r="V4140" s="1">
        <v>173.49019607843138</v>
      </c>
      <c r="W4140" s="1">
        <v>5</v>
      </c>
    </row>
    <row r="4141" spans="1:23" x14ac:dyDescent="0.2">
      <c r="A4141">
        <v>2022</v>
      </c>
      <c r="B4141" t="s">
        <v>23</v>
      </c>
      <c r="C4141" t="s">
        <v>272</v>
      </c>
      <c r="D4141">
        <v>174</v>
      </c>
      <c r="E4141">
        <v>2</v>
      </c>
      <c r="F4141">
        <v>4</v>
      </c>
      <c r="G4141" t="s">
        <v>199</v>
      </c>
      <c r="H4141" s="1">
        <v>7</v>
      </c>
      <c r="I4141" s="1">
        <v>69</v>
      </c>
      <c r="J4141" s="1">
        <v>73</v>
      </c>
      <c r="K4141" s="1">
        <f>J4141-I4141</f>
        <v>4</v>
      </c>
      <c r="L4141" s="1">
        <v>168</v>
      </c>
      <c r="M4141" s="1">
        <v>88</v>
      </c>
      <c r="N4141" s="1">
        <v>2</v>
      </c>
      <c r="O4141" s="1">
        <v>2.5</v>
      </c>
      <c r="P4141" s="1">
        <v>7</v>
      </c>
      <c r="Q4141" s="2">
        <v>0.14711999999999997</v>
      </c>
      <c r="R4141" s="1">
        <v>4</v>
      </c>
      <c r="S4141" s="1">
        <f>R4141/P4141</f>
        <v>0.5714285714285714</v>
      </c>
      <c r="T4141" s="1">
        <v>5</v>
      </c>
      <c r="U4141" s="1">
        <v>12.5</v>
      </c>
      <c r="V4141" s="1">
        <v>538.47843137254904</v>
      </c>
      <c r="W4141" s="1">
        <v>5</v>
      </c>
    </row>
    <row r="4142" spans="1:23" x14ac:dyDescent="0.2">
      <c r="A4142">
        <v>2022</v>
      </c>
      <c r="B4142" t="s">
        <v>23</v>
      </c>
      <c r="C4142" t="s">
        <v>272</v>
      </c>
      <c r="D4142">
        <v>175</v>
      </c>
      <c r="E4142">
        <v>1</v>
      </c>
      <c r="F4142">
        <v>3</v>
      </c>
      <c r="G4142" t="s">
        <v>200</v>
      </c>
      <c r="H4142" s="1">
        <v>5</v>
      </c>
      <c r="I4142" s="1">
        <v>68</v>
      </c>
      <c r="J4142" s="1">
        <v>72</v>
      </c>
      <c r="K4142" s="1">
        <f>J4142-I4142</f>
        <v>4</v>
      </c>
      <c r="L4142" s="1">
        <v>154</v>
      </c>
      <c r="M4142" s="1">
        <v>62</v>
      </c>
      <c r="N4142" s="1">
        <v>2</v>
      </c>
      <c r="O4142" s="1">
        <v>3</v>
      </c>
      <c r="P4142" s="1">
        <v>5</v>
      </c>
      <c r="Q4142" s="2">
        <v>0.53520000000000001</v>
      </c>
      <c r="R4142" s="1">
        <v>5</v>
      </c>
      <c r="S4142" s="1">
        <f>R4142/P4142</f>
        <v>1</v>
      </c>
      <c r="T4142" s="1">
        <v>4</v>
      </c>
      <c r="U4142" s="1">
        <v>12.5</v>
      </c>
      <c r="V4142" s="1">
        <v>1958.9019607843138</v>
      </c>
      <c r="W4142" s="1">
        <v>4</v>
      </c>
    </row>
    <row r="4143" spans="1:23" x14ac:dyDescent="0.2">
      <c r="A4143">
        <v>2022</v>
      </c>
      <c r="B4143" t="s">
        <v>23</v>
      </c>
      <c r="C4143" t="s">
        <v>272</v>
      </c>
      <c r="D4143">
        <v>175</v>
      </c>
      <c r="E4143">
        <v>2</v>
      </c>
      <c r="F4143">
        <v>2</v>
      </c>
      <c r="G4143" t="s">
        <v>200</v>
      </c>
      <c r="H4143">
        <v>13</v>
      </c>
      <c r="I4143">
        <v>56</v>
      </c>
      <c r="J4143">
        <v>60</v>
      </c>
      <c r="K4143">
        <v>4</v>
      </c>
      <c r="L4143">
        <v>135</v>
      </c>
      <c r="M4143">
        <v>45</v>
      </c>
      <c r="N4143">
        <v>2</v>
      </c>
      <c r="O4143">
        <v>2</v>
      </c>
      <c r="P4143">
        <v>13</v>
      </c>
      <c r="Q4143">
        <v>1</v>
      </c>
      <c r="R4143">
        <v>10</v>
      </c>
      <c r="S4143">
        <v>0.76923076923076927</v>
      </c>
      <c r="T4143">
        <v>3</v>
      </c>
      <c r="U4143">
        <v>8.9</v>
      </c>
      <c r="V4143">
        <v>3810.7189542483661</v>
      </c>
      <c r="W4143">
        <v>1</v>
      </c>
    </row>
    <row r="4144" spans="1:23" x14ac:dyDescent="0.2">
      <c r="A4144">
        <v>2022</v>
      </c>
      <c r="B4144" t="s">
        <v>23</v>
      </c>
      <c r="C4144" t="s">
        <v>272</v>
      </c>
      <c r="D4144">
        <v>176</v>
      </c>
      <c r="E4144">
        <v>1</v>
      </c>
      <c r="F4144">
        <v>9</v>
      </c>
      <c r="G4144" t="s">
        <v>201</v>
      </c>
      <c r="H4144" s="1">
        <v>9</v>
      </c>
      <c r="I4144" s="1">
        <v>66</v>
      </c>
      <c r="J4144" s="1">
        <v>71</v>
      </c>
      <c r="K4144" s="1">
        <f>J4144-I4144</f>
        <v>5</v>
      </c>
      <c r="L4144" s="1">
        <v>171</v>
      </c>
      <c r="M4144" s="1">
        <v>85</v>
      </c>
      <c r="N4144" s="1">
        <v>3</v>
      </c>
      <c r="O4144" s="1">
        <v>3</v>
      </c>
      <c r="P4144" s="1">
        <v>9</v>
      </c>
      <c r="Q4144" s="2">
        <v>0.24059999999999998</v>
      </c>
      <c r="R4144" s="1">
        <v>7</v>
      </c>
      <c r="S4144" s="1">
        <f>R4144/P4144</f>
        <v>0.77777777777777779</v>
      </c>
      <c r="T4144" s="1">
        <v>5</v>
      </c>
      <c r="U4144" s="1">
        <v>12.5</v>
      </c>
      <c r="V4144" s="1">
        <v>880.62745098039215</v>
      </c>
      <c r="W4144" s="1">
        <v>4</v>
      </c>
    </row>
    <row r="4145" spans="1:23" x14ac:dyDescent="0.2">
      <c r="A4145">
        <v>2022</v>
      </c>
      <c r="B4145" t="s">
        <v>23</v>
      </c>
      <c r="C4145" t="s">
        <v>272</v>
      </c>
      <c r="D4145">
        <v>176</v>
      </c>
      <c r="E4145">
        <v>2</v>
      </c>
      <c r="F4145">
        <v>14</v>
      </c>
      <c r="G4145" t="s">
        <v>201</v>
      </c>
      <c r="H4145">
        <v>9</v>
      </c>
      <c r="I4145">
        <v>60</v>
      </c>
      <c r="J4145">
        <v>66</v>
      </c>
      <c r="K4145">
        <v>6</v>
      </c>
      <c r="L4145">
        <v>107</v>
      </c>
      <c r="M4145">
        <v>41</v>
      </c>
      <c r="N4145">
        <v>2</v>
      </c>
      <c r="O4145">
        <v>4</v>
      </c>
      <c r="P4145">
        <v>5</v>
      </c>
      <c r="Q4145">
        <v>7.640000000000001E-2</v>
      </c>
      <c r="R4145">
        <v>1</v>
      </c>
      <c r="S4145">
        <v>0.2</v>
      </c>
      <c r="T4145">
        <v>2</v>
      </c>
      <c r="U4145">
        <v>12.5</v>
      </c>
      <c r="V4145">
        <v>279.63398692810455</v>
      </c>
      <c r="W4145">
        <v>1</v>
      </c>
    </row>
    <row r="4146" spans="1:23" x14ac:dyDescent="0.2">
      <c r="A4146">
        <v>2022</v>
      </c>
      <c r="B4146" t="s">
        <v>23</v>
      </c>
      <c r="C4146" t="s">
        <v>272</v>
      </c>
      <c r="D4146">
        <v>177</v>
      </c>
      <c r="E4146">
        <v>1</v>
      </c>
      <c r="F4146">
        <v>15</v>
      </c>
      <c r="G4146" t="s">
        <v>202</v>
      </c>
      <c r="H4146">
        <v>10</v>
      </c>
      <c r="I4146">
        <v>56</v>
      </c>
      <c r="J4146">
        <v>59</v>
      </c>
      <c r="K4146">
        <v>3</v>
      </c>
      <c r="L4146">
        <v>170</v>
      </c>
      <c r="M4146">
        <v>51</v>
      </c>
      <c r="N4146">
        <v>2</v>
      </c>
      <c r="O4146">
        <v>2.5</v>
      </c>
      <c r="P4146">
        <v>9</v>
      </c>
      <c r="Q4146">
        <v>0.1</v>
      </c>
      <c r="R4146">
        <v>9</v>
      </c>
      <c r="S4146">
        <v>1</v>
      </c>
      <c r="T4146">
        <v>4</v>
      </c>
      <c r="U4146">
        <v>8.6999999999999993</v>
      </c>
      <c r="V4146">
        <v>381.90849673202621</v>
      </c>
      <c r="W4146">
        <v>1</v>
      </c>
    </row>
    <row r="4147" spans="1:23" x14ac:dyDescent="0.2">
      <c r="A4147">
        <v>2022</v>
      </c>
      <c r="B4147" t="s">
        <v>23</v>
      </c>
      <c r="C4147" t="s">
        <v>272</v>
      </c>
      <c r="D4147">
        <v>177</v>
      </c>
      <c r="E4147">
        <v>2</v>
      </c>
      <c r="F4147">
        <v>1</v>
      </c>
      <c r="G4147" t="s">
        <v>202</v>
      </c>
      <c r="H4147">
        <v>2</v>
      </c>
      <c r="I4147">
        <v>60</v>
      </c>
      <c r="J4147">
        <v>63</v>
      </c>
      <c r="K4147">
        <v>3</v>
      </c>
      <c r="L4147">
        <v>102</v>
      </c>
      <c r="M4147">
        <v>24</v>
      </c>
      <c r="N4147">
        <v>2</v>
      </c>
      <c r="O4147">
        <v>2</v>
      </c>
      <c r="P4147">
        <v>2</v>
      </c>
      <c r="Q4147">
        <v>0.14199999999999999</v>
      </c>
      <c r="R4147">
        <v>2</v>
      </c>
      <c r="S4147">
        <v>1</v>
      </c>
      <c r="T4147">
        <v>3</v>
      </c>
      <c r="U4147">
        <v>12.5</v>
      </c>
      <c r="V4147">
        <v>519.73856209150335</v>
      </c>
      <c r="W4147">
        <v>1</v>
      </c>
    </row>
    <row r="4148" spans="1:23" x14ac:dyDescent="0.2">
      <c r="A4148">
        <v>2022</v>
      </c>
      <c r="B4148" t="s">
        <v>23</v>
      </c>
      <c r="C4148" t="s">
        <v>272</v>
      </c>
      <c r="D4148">
        <v>178</v>
      </c>
      <c r="E4148">
        <v>1</v>
      </c>
      <c r="F4148">
        <v>1</v>
      </c>
      <c r="G4148" t="s">
        <v>203</v>
      </c>
      <c r="H4148">
        <v>8</v>
      </c>
      <c r="I4148">
        <v>56</v>
      </c>
      <c r="J4148">
        <v>58</v>
      </c>
      <c r="K4148">
        <v>2</v>
      </c>
      <c r="L4148">
        <v>54</v>
      </c>
      <c r="M4148">
        <v>20</v>
      </c>
      <c r="N4148">
        <v>2</v>
      </c>
      <c r="O4148">
        <v>4</v>
      </c>
      <c r="P4148">
        <v>3</v>
      </c>
      <c r="Q4148">
        <v>7.640000000000001E-2</v>
      </c>
      <c r="R4148">
        <v>3</v>
      </c>
      <c r="S4148">
        <v>1</v>
      </c>
      <c r="T4148">
        <v>2</v>
      </c>
      <c r="U4148">
        <v>12.5</v>
      </c>
      <c r="V4148">
        <v>279.63398692810455</v>
      </c>
      <c r="W4148">
        <v>1</v>
      </c>
    </row>
    <row r="4149" spans="1:23" x14ac:dyDescent="0.2">
      <c r="A4149">
        <v>2022</v>
      </c>
      <c r="B4149" t="s">
        <v>23</v>
      </c>
      <c r="C4149" t="s">
        <v>272</v>
      </c>
      <c r="D4149">
        <v>178</v>
      </c>
      <c r="E4149">
        <v>2</v>
      </c>
      <c r="F4149">
        <v>2</v>
      </c>
      <c r="G4149" t="s">
        <v>203</v>
      </c>
      <c r="H4149" s="1">
        <v>6</v>
      </c>
      <c r="I4149" s="1">
        <v>61</v>
      </c>
      <c r="J4149" s="1">
        <v>65</v>
      </c>
      <c r="K4149" s="1">
        <f>J4149-I4149</f>
        <v>4</v>
      </c>
      <c r="L4149" s="1">
        <v>107</v>
      </c>
      <c r="M4149" s="1">
        <v>77</v>
      </c>
      <c r="N4149" s="1">
        <v>2</v>
      </c>
      <c r="O4149" s="1">
        <v>2.5</v>
      </c>
      <c r="P4149" s="1">
        <v>5</v>
      </c>
      <c r="Q4149" s="2">
        <v>0.98480000000000001</v>
      </c>
      <c r="R4149" s="1">
        <v>3</v>
      </c>
      <c r="S4149" s="1">
        <f>R4149/P4149</f>
        <v>0.6</v>
      </c>
      <c r="T4149" s="1">
        <v>3</v>
      </c>
      <c r="U4149" s="1">
        <v>12.5</v>
      </c>
      <c r="V4149" s="1">
        <v>3604.4967320261439</v>
      </c>
      <c r="W4149" s="1">
        <v>4</v>
      </c>
    </row>
    <row r="4150" spans="1:23" x14ac:dyDescent="0.2">
      <c r="A4150">
        <v>2022</v>
      </c>
      <c r="B4150" t="s">
        <v>23</v>
      </c>
      <c r="C4150" t="s">
        <v>272</v>
      </c>
      <c r="D4150">
        <v>179</v>
      </c>
      <c r="E4150">
        <v>1</v>
      </c>
      <c r="F4150">
        <v>8</v>
      </c>
      <c r="G4150" t="s">
        <v>204</v>
      </c>
      <c r="H4150" s="1">
        <v>10</v>
      </c>
      <c r="I4150" s="1">
        <v>55</v>
      </c>
      <c r="J4150" s="1">
        <v>58</v>
      </c>
      <c r="K4150" s="1">
        <f>J4150-I4150</f>
        <v>3</v>
      </c>
      <c r="L4150" s="1">
        <v>144</v>
      </c>
      <c r="M4150" s="1">
        <v>50</v>
      </c>
      <c r="N4150" s="1">
        <v>3</v>
      </c>
      <c r="O4150" s="1">
        <v>4</v>
      </c>
      <c r="P4150" s="1">
        <v>10</v>
      </c>
      <c r="Q4150" s="2">
        <v>0.38150000000000001</v>
      </c>
      <c r="R4150" s="1">
        <v>10</v>
      </c>
      <c r="S4150" s="1">
        <f>R4150/P4150</f>
        <v>1</v>
      </c>
      <c r="T4150" s="1">
        <v>3</v>
      </c>
      <c r="U4150" s="1">
        <v>12.5</v>
      </c>
      <c r="V4150" s="1">
        <v>1396.3398692810458</v>
      </c>
      <c r="W4150" s="1">
        <v>2</v>
      </c>
    </row>
    <row r="4151" spans="1:23" x14ac:dyDescent="0.2">
      <c r="A4151">
        <v>2022</v>
      </c>
      <c r="B4151" t="s">
        <v>23</v>
      </c>
      <c r="C4151" t="s">
        <v>272</v>
      </c>
      <c r="D4151">
        <v>179</v>
      </c>
      <c r="E4151">
        <v>2</v>
      </c>
      <c r="F4151">
        <v>13</v>
      </c>
      <c r="G4151" t="s">
        <v>204</v>
      </c>
      <c r="H4151">
        <v>14</v>
      </c>
      <c r="I4151">
        <v>55</v>
      </c>
      <c r="J4151">
        <v>59</v>
      </c>
      <c r="K4151">
        <v>4</v>
      </c>
      <c r="L4151">
        <v>169</v>
      </c>
      <c r="M4151">
        <v>83</v>
      </c>
      <c r="N4151">
        <v>2</v>
      </c>
      <c r="O4151">
        <v>2.5</v>
      </c>
      <c r="P4151">
        <v>10</v>
      </c>
      <c r="Q4151">
        <v>1.1000000000000001</v>
      </c>
      <c r="R4151">
        <v>12</v>
      </c>
      <c r="S4151">
        <v>1.2</v>
      </c>
      <c r="T4151">
        <v>2</v>
      </c>
      <c r="U4151">
        <v>10.1</v>
      </c>
      <c r="V4151">
        <v>4136.5751633986929</v>
      </c>
      <c r="W4151">
        <v>2</v>
      </c>
    </row>
    <row r="4152" spans="1:23" x14ac:dyDescent="0.2">
      <c r="A4152">
        <v>2022</v>
      </c>
      <c r="B4152" t="s">
        <v>23</v>
      </c>
      <c r="C4152" t="s">
        <v>272</v>
      </c>
      <c r="D4152">
        <v>180</v>
      </c>
      <c r="E4152">
        <v>1</v>
      </c>
      <c r="F4152">
        <v>8</v>
      </c>
      <c r="G4152" t="s">
        <v>205</v>
      </c>
      <c r="H4152" s="1">
        <v>2</v>
      </c>
      <c r="I4152" s="1">
        <v>65</v>
      </c>
      <c r="J4152" s="1">
        <v>71</v>
      </c>
      <c r="K4152" s="1">
        <f>J4152-I4152</f>
        <v>6</v>
      </c>
      <c r="L4152" s="1">
        <v>141</v>
      </c>
      <c r="M4152" s="1">
        <v>62</v>
      </c>
      <c r="N4152" s="1">
        <v>2</v>
      </c>
      <c r="O4152" s="1">
        <v>2.5</v>
      </c>
      <c r="P4152" s="1">
        <f>H4152</f>
        <v>2</v>
      </c>
      <c r="Q4152" s="2">
        <v>0.06</v>
      </c>
      <c r="R4152" s="1">
        <v>1</v>
      </c>
      <c r="S4152" s="1">
        <f>R4152/P4152</f>
        <v>0.5</v>
      </c>
      <c r="T4152" s="1">
        <v>3</v>
      </c>
      <c r="U4152" s="1">
        <v>12.5</v>
      </c>
      <c r="V4152" s="1">
        <v>219.60784313725492</v>
      </c>
      <c r="W4152" s="1">
        <v>4</v>
      </c>
    </row>
    <row r="4153" spans="1:23" x14ac:dyDescent="0.2">
      <c r="A4153">
        <v>2022</v>
      </c>
      <c r="B4153" t="s">
        <v>23</v>
      </c>
      <c r="C4153" t="s">
        <v>272</v>
      </c>
      <c r="D4153">
        <v>180</v>
      </c>
      <c r="E4153">
        <v>2</v>
      </c>
      <c r="F4153">
        <v>8</v>
      </c>
      <c r="G4153" t="s">
        <v>205</v>
      </c>
      <c r="H4153">
        <v>11</v>
      </c>
      <c r="I4153">
        <v>55</v>
      </c>
      <c r="J4153">
        <v>57</v>
      </c>
      <c r="K4153">
        <v>2</v>
      </c>
      <c r="L4153">
        <v>182</v>
      </c>
      <c r="M4153">
        <v>60</v>
      </c>
      <c r="N4153">
        <v>2</v>
      </c>
      <c r="O4153">
        <v>2</v>
      </c>
      <c r="P4153">
        <v>10</v>
      </c>
      <c r="Q4153">
        <v>0.6</v>
      </c>
      <c r="R4153">
        <v>6</v>
      </c>
      <c r="S4153">
        <v>0.6</v>
      </c>
      <c r="T4153">
        <v>3</v>
      </c>
      <c r="U4153">
        <v>10.199999999999999</v>
      </c>
      <c r="V4153">
        <v>2253.8039215686276</v>
      </c>
      <c r="W4153">
        <v>1</v>
      </c>
    </row>
    <row r="4154" spans="1:23" x14ac:dyDescent="0.2">
      <c r="A4154">
        <v>2022</v>
      </c>
      <c r="B4154" t="s">
        <v>23</v>
      </c>
      <c r="C4154" t="s">
        <v>272</v>
      </c>
      <c r="D4154">
        <v>181</v>
      </c>
      <c r="E4154">
        <v>1</v>
      </c>
      <c r="F4154">
        <v>12</v>
      </c>
      <c r="G4154" t="s">
        <v>206</v>
      </c>
      <c r="H4154" s="1">
        <v>10</v>
      </c>
      <c r="I4154" s="1">
        <v>67</v>
      </c>
      <c r="J4154" s="1">
        <v>71</v>
      </c>
      <c r="K4154" s="1">
        <f>J4154-I4154</f>
        <v>4</v>
      </c>
      <c r="L4154" s="1">
        <v>176</v>
      </c>
      <c r="M4154" s="1">
        <v>90</v>
      </c>
      <c r="N4154" s="1">
        <v>2</v>
      </c>
      <c r="O4154" s="1">
        <v>3.5</v>
      </c>
      <c r="P4154" s="1">
        <v>7</v>
      </c>
      <c r="Q4154" s="2">
        <v>0.11087999999999999</v>
      </c>
      <c r="R4154" s="1">
        <v>7</v>
      </c>
      <c r="S4154" s="1">
        <f>R4154/P4154</f>
        <v>1</v>
      </c>
      <c r="T4154" s="1">
        <v>5</v>
      </c>
      <c r="U4154" s="1">
        <v>12.5</v>
      </c>
      <c r="V4154" s="1">
        <v>405.83529411764704</v>
      </c>
      <c r="W4154" s="1">
        <v>5</v>
      </c>
    </row>
    <row r="4155" spans="1:23" x14ac:dyDescent="0.2">
      <c r="A4155">
        <v>2022</v>
      </c>
      <c r="B4155" t="s">
        <v>23</v>
      </c>
      <c r="C4155" t="s">
        <v>272</v>
      </c>
      <c r="D4155">
        <v>181</v>
      </c>
      <c r="E4155">
        <v>2</v>
      </c>
      <c r="F4155">
        <v>7</v>
      </c>
      <c r="G4155" t="s">
        <v>206</v>
      </c>
      <c r="H4155" s="1">
        <v>3</v>
      </c>
      <c r="I4155" s="1">
        <v>64</v>
      </c>
      <c r="J4155" s="1">
        <v>67</v>
      </c>
      <c r="K4155" s="1">
        <f>J4155-I4155</f>
        <v>3</v>
      </c>
      <c r="L4155" s="1">
        <v>154</v>
      </c>
      <c r="M4155" s="1">
        <v>55</v>
      </c>
      <c r="N4155" s="1">
        <v>1.5</v>
      </c>
      <c r="O4155" s="1">
        <v>4.5</v>
      </c>
      <c r="P4155" s="1">
        <v>2</v>
      </c>
      <c r="Q4155" s="2">
        <v>6.3500000000000001E-2</v>
      </c>
      <c r="R4155" s="1">
        <v>1</v>
      </c>
      <c r="S4155" s="1">
        <f>R4155/P4155</f>
        <v>0.5</v>
      </c>
      <c r="T4155" s="1">
        <v>5</v>
      </c>
      <c r="U4155" s="1">
        <v>12.5</v>
      </c>
      <c r="V4155" s="1">
        <v>232.4183006535948</v>
      </c>
      <c r="W4155" s="1">
        <v>3</v>
      </c>
    </row>
    <row r="4156" spans="1:23" x14ac:dyDescent="0.2">
      <c r="A4156">
        <v>2022</v>
      </c>
      <c r="B4156" t="s">
        <v>23</v>
      </c>
      <c r="C4156" t="s">
        <v>272</v>
      </c>
      <c r="D4156">
        <v>182</v>
      </c>
      <c r="E4156">
        <v>1</v>
      </c>
      <c r="F4156">
        <v>6</v>
      </c>
      <c r="G4156" t="s">
        <v>207</v>
      </c>
      <c r="H4156" s="1">
        <v>8</v>
      </c>
      <c r="I4156" s="1">
        <v>64</v>
      </c>
      <c r="J4156" s="1">
        <v>68</v>
      </c>
      <c r="K4156" s="1">
        <f>J4156-I4156</f>
        <v>4</v>
      </c>
      <c r="L4156" s="1">
        <v>167</v>
      </c>
      <c r="M4156" s="1">
        <v>95</v>
      </c>
      <c r="N4156" s="1">
        <v>2</v>
      </c>
      <c r="O4156" s="1">
        <v>3</v>
      </c>
      <c r="P4156" s="1">
        <v>5</v>
      </c>
      <c r="Q4156" s="2">
        <v>0.33279999999999998</v>
      </c>
      <c r="R4156" s="1">
        <v>3</v>
      </c>
      <c r="S4156" s="1">
        <f>R4156/P4156</f>
        <v>0.6</v>
      </c>
      <c r="T4156" s="1">
        <v>5</v>
      </c>
      <c r="U4156" s="1">
        <v>8</v>
      </c>
      <c r="V4156" s="1">
        <v>1280.7362091503269</v>
      </c>
      <c r="W4156" s="1">
        <v>4</v>
      </c>
    </row>
    <row r="4157" spans="1:23" x14ac:dyDescent="0.2">
      <c r="A4157">
        <v>2022</v>
      </c>
      <c r="B4157" t="s">
        <v>23</v>
      </c>
      <c r="C4157" t="s">
        <v>272</v>
      </c>
      <c r="D4157">
        <v>182</v>
      </c>
      <c r="E4157">
        <v>2</v>
      </c>
      <c r="F4157">
        <v>8</v>
      </c>
      <c r="G4157" t="s">
        <v>207</v>
      </c>
      <c r="H4157">
        <v>14</v>
      </c>
      <c r="I4157">
        <v>54</v>
      </c>
      <c r="J4157">
        <v>56</v>
      </c>
      <c r="K4157">
        <v>2</v>
      </c>
      <c r="L4157">
        <v>148</v>
      </c>
      <c r="M4157">
        <v>81</v>
      </c>
      <c r="N4157">
        <v>2</v>
      </c>
      <c r="O4157">
        <v>2.5</v>
      </c>
      <c r="P4157">
        <v>12</v>
      </c>
      <c r="Q4157">
        <v>1.1000000000000001</v>
      </c>
      <c r="R4157">
        <v>10</v>
      </c>
      <c r="S4157">
        <v>0.83333333333333337</v>
      </c>
      <c r="T4157">
        <v>3</v>
      </c>
      <c r="U4157">
        <v>8.6</v>
      </c>
      <c r="V4157">
        <v>4205.594771241831</v>
      </c>
      <c r="W4157">
        <v>1</v>
      </c>
    </row>
    <row r="4158" spans="1:23" x14ac:dyDescent="0.2">
      <c r="A4158">
        <v>2022</v>
      </c>
      <c r="B4158" t="s">
        <v>23</v>
      </c>
      <c r="C4158" t="s">
        <v>272</v>
      </c>
      <c r="D4158">
        <v>183</v>
      </c>
      <c r="E4158">
        <v>1</v>
      </c>
      <c r="F4158">
        <v>5</v>
      </c>
      <c r="G4158" t="s">
        <v>208</v>
      </c>
      <c r="H4158" s="1">
        <v>6</v>
      </c>
      <c r="I4158" s="1">
        <v>61</v>
      </c>
      <c r="J4158" s="1">
        <v>66</v>
      </c>
      <c r="K4158" s="1">
        <f>J4158-I4158</f>
        <v>5</v>
      </c>
      <c r="L4158" s="1">
        <v>137</v>
      </c>
      <c r="M4158" s="1">
        <v>83</v>
      </c>
      <c r="N4158" s="1">
        <v>2</v>
      </c>
      <c r="O4158" s="1">
        <v>2.5</v>
      </c>
      <c r="P4158" s="1">
        <v>6</v>
      </c>
      <c r="Q4158" s="2">
        <v>9.9300000000000013E-2</v>
      </c>
      <c r="R4158" s="1">
        <v>6</v>
      </c>
      <c r="S4158" s="1">
        <f>R4158/P4158</f>
        <v>1</v>
      </c>
      <c r="T4158" s="1">
        <v>5</v>
      </c>
      <c r="U4158" s="1">
        <v>12.5</v>
      </c>
      <c r="V4158" s="1">
        <v>363.45098039215685</v>
      </c>
      <c r="W4158" s="1">
        <v>4</v>
      </c>
    </row>
    <row r="4159" spans="1:23" x14ac:dyDescent="0.2">
      <c r="A4159">
        <v>2022</v>
      </c>
      <c r="B4159" t="s">
        <v>23</v>
      </c>
      <c r="C4159" t="s">
        <v>272</v>
      </c>
      <c r="D4159">
        <v>183</v>
      </c>
      <c r="E4159">
        <v>2</v>
      </c>
      <c r="F4159">
        <v>10</v>
      </c>
      <c r="G4159" t="s">
        <v>208</v>
      </c>
      <c r="H4159" s="1">
        <v>6</v>
      </c>
      <c r="I4159" s="1">
        <v>58</v>
      </c>
      <c r="J4159" s="1">
        <v>62</v>
      </c>
      <c r="K4159" s="1">
        <f>J4159-I4159</f>
        <v>4</v>
      </c>
      <c r="L4159" s="1">
        <v>182</v>
      </c>
      <c r="M4159" s="1">
        <v>83</v>
      </c>
      <c r="N4159" s="1">
        <v>2</v>
      </c>
      <c r="O4159" s="1">
        <v>2</v>
      </c>
      <c r="P4159" s="1">
        <v>6</v>
      </c>
      <c r="Q4159" s="2">
        <v>0.79967999999999995</v>
      </c>
      <c r="R4159" s="1">
        <v>6</v>
      </c>
      <c r="S4159" s="1">
        <f>R4159/P4159</f>
        <v>1</v>
      </c>
      <c r="T4159" s="1">
        <v>3</v>
      </c>
      <c r="U4159" s="1">
        <v>12.5</v>
      </c>
      <c r="V4159" s="1">
        <v>2926.9333333333334</v>
      </c>
      <c r="W4159" s="1">
        <v>5</v>
      </c>
    </row>
    <row r="4160" spans="1:23" x14ac:dyDescent="0.2">
      <c r="A4160">
        <v>2022</v>
      </c>
      <c r="B4160" t="s">
        <v>23</v>
      </c>
      <c r="C4160" t="s">
        <v>272</v>
      </c>
      <c r="D4160">
        <v>184</v>
      </c>
      <c r="E4160">
        <v>1</v>
      </c>
      <c r="F4160">
        <v>9</v>
      </c>
      <c r="G4160" t="s">
        <v>209</v>
      </c>
      <c r="H4160" s="1">
        <v>6</v>
      </c>
      <c r="I4160" s="1">
        <v>67</v>
      </c>
      <c r="J4160" s="1">
        <v>72</v>
      </c>
      <c r="K4160" s="1">
        <f>J4160-I4160</f>
        <v>5</v>
      </c>
      <c r="L4160" s="1">
        <v>101</v>
      </c>
      <c r="M4160" s="1">
        <v>26</v>
      </c>
      <c r="N4160" s="1">
        <v>2</v>
      </c>
      <c r="O4160" s="1">
        <v>4.5</v>
      </c>
      <c r="P4160" s="1">
        <v>6</v>
      </c>
      <c r="Q4160" s="2">
        <v>0.08</v>
      </c>
      <c r="R4160" s="1">
        <v>5</v>
      </c>
      <c r="S4160" s="1">
        <f>R4160/P4160</f>
        <v>0.83333333333333337</v>
      </c>
      <c r="T4160" s="1">
        <v>5</v>
      </c>
      <c r="U4160" s="1">
        <v>12.5</v>
      </c>
      <c r="V4160" s="1">
        <v>292.81045751633991</v>
      </c>
      <c r="W4160" s="1">
        <v>6</v>
      </c>
    </row>
    <row r="4161" spans="1:23" x14ac:dyDescent="0.2">
      <c r="A4161">
        <v>2022</v>
      </c>
      <c r="B4161" t="s">
        <v>23</v>
      </c>
      <c r="C4161" t="s">
        <v>272</v>
      </c>
      <c r="D4161">
        <v>184</v>
      </c>
      <c r="E4161">
        <v>2</v>
      </c>
      <c r="F4161">
        <v>11</v>
      </c>
      <c r="G4161" t="s">
        <v>209</v>
      </c>
      <c r="H4161" s="1">
        <v>10</v>
      </c>
      <c r="I4161" s="1">
        <v>68</v>
      </c>
      <c r="J4161" s="1">
        <v>70</v>
      </c>
      <c r="K4161" s="1">
        <f>J4161-I4161</f>
        <v>2</v>
      </c>
      <c r="L4161" s="1">
        <v>133</v>
      </c>
      <c r="M4161" s="1">
        <v>52</v>
      </c>
      <c r="N4161" s="1">
        <v>2</v>
      </c>
      <c r="O4161" s="1">
        <v>4</v>
      </c>
      <c r="P4161" s="1">
        <v>6</v>
      </c>
      <c r="Q4161" s="2">
        <v>0.151</v>
      </c>
      <c r="R4161" s="1">
        <v>5</v>
      </c>
      <c r="S4161" s="1">
        <f>R4161/P4161</f>
        <v>0.83333333333333337</v>
      </c>
      <c r="T4161" s="1">
        <v>5</v>
      </c>
      <c r="U4161" s="1">
        <v>12.5</v>
      </c>
      <c r="V4161" s="1">
        <v>552.67973856209153</v>
      </c>
      <c r="W4161" s="1">
        <v>6</v>
      </c>
    </row>
    <row r="4162" spans="1:23" x14ac:dyDescent="0.2">
      <c r="A4162">
        <v>2022</v>
      </c>
      <c r="B4162" t="s">
        <v>23</v>
      </c>
      <c r="C4162" t="s">
        <v>272</v>
      </c>
      <c r="D4162">
        <v>185</v>
      </c>
      <c r="E4162">
        <v>1</v>
      </c>
      <c r="F4162">
        <v>2</v>
      </c>
      <c r="G4162" t="s">
        <v>210</v>
      </c>
      <c r="H4162" s="1">
        <v>6</v>
      </c>
      <c r="I4162" s="1">
        <v>64</v>
      </c>
      <c r="J4162" s="1">
        <v>68</v>
      </c>
      <c r="K4162" s="1">
        <f>J4162-I4162</f>
        <v>4</v>
      </c>
      <c r="L4162" s="1">
        <v>186</v>
      </c>
      <c r="M4162" s="1">
        <v>51</v>
      </c>
      <c r="N4162" s="1">
        <v>3</v>
      </c>
      <c r="O4162" s="1">
        <v>5</v>
      </c>
      <c r="P4162" s="1">
        <v>4</v>
      </c>
      <c r="Q4162" s="2">
        <v>6.6000000000000003E-2</v>
      </c>
      <c r="R4162" s="1">
        <v>2</v>
      </c>
      <c r="S4162" s="1">
        <f>R4162/P4162</f>
        <v>0.5</v>
      </c>
      <c r="T4162" s="1">
        <v>5</v>
      </c>
      <c r="U4162" s="1">
        <v>12.5</v>
      </c>
      <c r="V4162" s="1">
        <v>241.56862745098039</v>
      </c>
      <c r="W4162" s="1">
        <v>6</v>
      </c>
    </row>
    <row r="4163" spans="1:23" x14ac:dyDescent="0.2">
      <c r="A4163">
        <v>2022</v>
      </c>
      <c r="B4163" t="s">
        <v>23</v>
      </c>
      <c r="C4163" t="s">
        <v>272</v>
      </c>
      <c r="D4163">
        <v>185</v>
      </c>
      <c r="E4163">
        <v>2</v>
      </c>
      <c r="F4163">
        <v>4</v>
      </c>
      <c r="G4163" t="s">
        <v>210</v>
      </c>
      <c r="H4163">
        <v>11</v>
      </c>
      <c r="I4163">
        <v>54</v>
      </c>
      <c r="J4163">
        <v>56</v>
      </c>
      <c r="K4163">
        <v>2</v>
      </c>
      <c r="L4163">
        <v>198</v>
      </c>
      <c r="M4163">
        <v>74</v>
      </c>
      <c r="N4163">
        <v>2</v>
      </c>
      <c r="O4163">
        <v>2</v>
      </c>
      <c r="P4163">
        <v>11</v>
      </c>
      <c r="Q4163">
        <v>0.7</v>
      </c>
      <c r="R4163">
        <v>8</v>
      </c>
      <c r="S4163">
        <v>0.72727272727272729</v>
      </c>
      <c r="T4163">
        <v>2</v>
      </c>
      <c r="U4163">
        <v>9.8000000000000007</v>
      </c>
      <c r="V4163">
        <v>2641.1503267973858</v>
      </c>
      <c r="W4163">
        <v>2</v>
      </c>
    </row>
    <row r="4164" spans="1:23" x14ac:dyDescent="0.2">
      <c r="A4164">
        <v>2022</v>
      </c>
      <c r="B4164" t="s">
        <v>23</v>
      </c>
      <c r="C4164" t="s">
        <v>272</v>
      </c>
      <c r="D4164">
        <v>186</v>
      </c>
      <c r="E4164">
        <v>1</v>
      </c>
      <c r="F4164">
        <v>3</v>
      </c>
      <c r="G4164" t="s">
        <v>211</v>
      </c>
      <c r="H4164" s="1">
        <v>1</v>
      </c>
      <c r="I4164" s="1">
        <v>66</v>
      </c>
      <c r="J4164" s="1">
        <v>69</v>
      </c>
      <c r="K4164" s="1">
        <f>J4164-I4164</f>
        <v>3</v>
      </c>
      <c r="L4164" s="1">
        <v>198</v>
      </c>
      <c r="M4164" s="1">
        <v>95</v>
      </c>
      <c r="N4164" s="1">
        <v>2</v>
      </c>
      <c r="O4164" s="1">
        <v>3.5</v>
      </c>
      <c r="P4164" s="1">
        <v>1</v>
      </c>
      <c r="Q4164" s="2">
        <v>2.2499999999999999E-2</v>
      </c>
      <c r="R4164" s="1">
        <v>1</v>
      </c>
      <c r="S4164" s="1">
        <f>R4164/P4164</f>
        <v>1</v>
      </c>
      <c r="T4164" s="1">
        <v>5</v>
      </c>
      <c r="U4164" s="1">
        <v>12.5</v>
      </c>
      <c r="V4164" s="1">
        <v>82.35294117647058</v>
      </c>
      <c r="W4164" s="1">
        <v>5</v>
      </c>
    </row>
    <row r="4165" spans="1:23" x14ac:dyDescent="0.2">
      <c r="A4165">
        <v>2022</v>
      </c>
      <c r="B4165" t="s">
        <v>23</v>
      </c>
      <c r="C4165" t="s">
        <v>272</v>
      </c>
      <c r="D4165">
        <v>186</v>
      </c>
      <c r="E4165">
        <v>2</v>
      </c>
      <c r="F4165">
        <v>2</v>
      </c>
      <c r="G4165" t="s">
        <v>211</v>
      </c>
      <c r="H4165" s="3">
        <v>10</v>
      </c>
      <c r="I4165" s="3">
        <v>67</v>
      </c>
      <c r="J4165" s="3">
        <v>73</v>
      </c>
      <c r="K4165" s="3">
        <f>J4165-I4165</f>
        <v>6</v>
      </c>
      <c r="L4165" s="3">
        <v>120</v>
      </c>
      <c r="M4165" s="3">
        <v>46</v>
      </c>
      <c r="N4165" s="3">
        <v>2.5</v>
      </c>
      <c r="O4165" s="3">
        <v>4.5</v>
      </c>
      <c r="P4165" s="3">
        <v>5</v>
      </c>
      <c r="Q4165" s="4">
        <v>0.112</v>
      </c>
      <c r="R4165" s="3">
        <v>5</v>
      </c>
      <c r="S4165" s="3">
        <f>R4165/P4165</f>
        <v>1</v>
      </c>
      <c r="T4165" s="3">
        <v>5</v>
      </c>
      <c r="U4165" s="3">
        <v>12.5</v>
      </c>
      <c r="V4165" s="3">
        <v>409.93464052287584</v>
      </c>
      <c r="W4165" s="3">
        <v>5</v>
      </c>
    </row>
    <row r="4166" spans="1:23" x14ac:dyDescent="0.2">
      <c r="A4166">
        <v>2022</v>
      </c>
      <c r="B4166" t="s">
        <v>23</v>
      </c>
      <c r="C4166" t="s">
        <v>272</v>
      </c>
      <c r="D4166">
        <v>187</v>
      </c>
      <c r="E4166">
        <v>1</v>
      </c>
      <c r="F4166">
        <v>1</v>
      </c>
      <c r="G4166" t="s">
        <v>212</v>
      </c>
      <c r="H4166" s="1">
        <v>4</v>
      </c>
      <c r="I4166" s="1">
        <v>62</v>
      </c>
      <c r="J4166" s="1">
        <v>64</v>
      </c>
      <c r="K4166" s="1">
        <f>J4166-I4166</f>
        <v>2</v>
      </c>
      <c r="L4166" s="1">
        <v>66</v>
      </c>
      <c r="M4166" s="1">
        <v>30</v>
      </c>
      <c r="N4166" s="1">
        <v>1.5</v>
      </c>
      <c r="O4166" s="1">
        <v>3.5</v>
      </c>
      <c r="P4166" s="1">
        <v>3</v>
      </c>
      <c r="Q4166" s="2">
        <v>0.13900000000000001</v>
      </c>
      <c r="R4166" s="1">
        <v>3</v>
      </c>
      <c r="S4166" s="1">
        <f>R4166/P4166</f>
        <v>1</v>
      </c>
      <c r="T4166" s="1">
        <v>2.5</v>
      </c>
      <c r="U4166" s="1">
        <v>12.5</v>
      </c>
      <c r="V4166" s="1">
        <v>508.75816993464065</v>
      </c>
      <c r="W4166" s="1">
        <v>2</v>
      </c>
    </row>
    <row r="4167" spans="1:23" x14ac:dyDescent="0.2">
      <c r="A4167">
        <v>2022</v>
      </c>
      <c r="B4167" t="s">
        <v>23</v>
      </c>
      <c r="C4167" t="s">
        <v>272</v>
      </c>
      <c r="D4167">
        <v>187</v>
      </c>
      <c r="E4167">
        <v>2</v>
      </c>
      <c r="F4167">
        <v>4</v>
      </c>
      <c r="G4167" t="s">
        <v>212</v>
      </c>
      <c r="H4167" s="1">
        <v>14</v>
      </c>
      <c r="I4167" s="1">
        <v>64</v>
      </c>
      <c r="J4167" s="1">
        <v>68</v>
      </c>
      <c r="K4167" s="1">
        <f>J4167-I4167</f>
        <v>4</v>
      </c>
      <c r="L4167" s="1">
        <v>105</v>
      </c>
      <c r="M4167" s="1">
        <v>62</v>
      </c>
      <c r="N4167" s="1">
        <v>2</v>
      </c>
      <c r="O4167" s="1">
        <v>4.5</v>
      </c>
      <c r="P4167" s="1">
        <v>12</v>
      </c>
      <c r="Q4167" s="2">
        <v>0.64200000000000002</v>
      </c>
      <c r="R4167" s="1">
        <v>10</v>
      </c>
      <c r="S4167" s="1">
        <f>R4167/P4167</f>
        <v>0.83333333333333337</v>
      </c>
      <c r="T4167" s="1">
        <v>4</v>
      </c>
      <c r="U4167" s="1">
        <v>12.5</v>
      </c>
      <c r="V4167" s="1">
        <v>2349.8039215686276</v>
      </c>
      <c r="W4167" s="1">
        <v>5</v>
      </c>
    </row>
    <row r="4168" spans="1:23" x14ac:dyDescent="0.2">
      <c r="A4168">
        <v>2022</v>
      </c>
      <c r="B4168" t="s">
        <v>23</v>
      </c>
      <c r="C4168" t="s">
        <v>272</v>
      </c>
      <c r="D4168">
        <v>188</v>
      </c>
      <c r="E4168">
        <v>1</v>
      </c>
      <c r="F4168">
        <v>8</v>
      </c>
      <c r="G4168" t="s">
        <v>213</v>
      </c>
      <c r="H4168" s="1">
        <v>12</v>
      </c>
      <c r="I4168" s="1">
        <v>67</v>
      </c>
      <c r="J4168" s="1">
        <v>72</v>
      </c>
      <c r="K4168" s="1">
        <f>J4168-I4168</f>
        <v>5</v>
      </c>
      <c r="L4168" s="1">
        <v>120</v>
      </c>
      <c r="M4168" s="1">
        <v>30</v>
      </c>
      <c r="N4168" s="1">
        <v>2.5</v>
      </c>
      <c r="O4168" s="1">
        <v>4</v>
      </c>
      <c r="P4168" s="1">
        <v>6</v>
      </c>
      <c r="Q4168" s="2">
        <v>0.13600000000000001</v>
      </c>
      <c r="R4168" s="1">
        <v>3</v>
      </c>
      <c r="S4168" s="1">
        <f>R4168/P4168</f>
        <v>0.5</v>
      </c>
      <c r="T4168" s="1">
        <v>5</v>
      </c>
      <c r="U4168" s="1">
        <v>12.5</v>
      </c>
      <c r="V4168" s="1">
        <v>497.77777777777777</v>
      </c>
      <c r="W4168" s="1">
        <v>6</v>
      </c>
    </row>
    <row r="4169" spans="1:23" x14ac:dyDescent="0.2">
      <c r="A4169">
        <v>2022</v>
      </c>
      <c r="B4169" t="s">
        <v>23</v>
      </c>
      <c r="C4169" t="s">
        <v>272</v>
      </c>
      <c r="D4169">
        <v>188</v>
      </c>
      <c r="E4169">
        <v>2</v>
      </c>
      <c r="F4169">
        <v>6</v>
      </c>
      <c r="G4169" t="s">
        <v>213</v>
      </c>
      <c r="H4169">
        <v>1</v>
      </c>
      <c r="I4169">
        <v>55</v>
      </c>
      <c r="J4169">
        <v>59</v>
      </c>
      <c r="K4169">
        <v>4</v>
      </c>
      <c r="L4169">
        <v>86</v>
      </c>
      <c r="M4169">
        <v>35</v>
      </c>
      <c r="N4169">
        <v>1.5</v>
      </c>
      <c r="O4169">
        <v>2</v>
      </c>
      <c r="P4169">
        <v>1</v>
      </c>
      <c r="Q4169">
        <v>0.2</v>
      </c>
      <c r="R4169">
        <v>2</v>
      </c>
      <c r="S4169">
        <v>2</v>
      </c>
      <c r="T4169">
        <v>2.5</v>
      </c>
      <c r="U4169">
        <v>12.5</v>
      </c>
      <c r="V4169">
        <v>732.02614379084969</v>
      </c>
      <c r="W4169">
        <v>2</v>
      </c>
    </row>
    <row r="4170" spans="1:23" x14ac:dyDescent="0.2">
      <c r="A4170">
        <v>2022</v>
      </c>
      <c r="B4170" t="s">
        <v>23</v>
      </c>
      <c r="C4170" t="s">
        <v>272</v>
      </c>
      <c r="D4170">
        <v>189</v>
      </c>
      <c r="E4170">
        <v>1</v>
      </c>
      <c r="F4170">
        <v>1</v>
      </c>
      <c r="G4170" t="s">
        <v>214</v>
      </c>
      <c r="H4170">
        <v>16</v>
      </c>
      <c r="I4170">
        <v>55</v>
      </c>
      <c r="J4170">
        <v>58</v>
      </c>
      <c r="K4170">
        <v>3</v>
      </c>
      <c r="L4170">
        <v>159</v>
      </c>
      <c r="M4170">
        <v>80</v>
      </c>
      <c r="N4170">
        <v>1</v>
      </c>
      <c r="O4170">
        <v>1.5</v>
      </c>
      <c r="P4170">
        <v>14</v>
      </c>
      <c r="Q4170">
        <v>1</v>
      </c>
      <c r="R4170">
        <v>14</v>
      </c>
      <c r="S4170">
        <v>1</v>
      </c>
      <c r="T4170">
        <v>3</v>
      </c>
      <c r="U4170">
        <v>9.5</v>
      </c>
      <c r="V4170">
        <v>3785.6209150326799</v>
      </c>
      <c r="W4170">
        <v>2</v>
      </c>
    </row>
    <row r="4171" spans="1:23" x14ac:dyDescent="0.2">
      <c r="A4171">
        <v>2022</v>
      </c>
      <c r="B4171" t="s">
        <v>23</v>
      </c>
      <c r="C4171" t="s">
        <v>272</v>
      </c>
      <c r="D4171">
        <v>189</v>
      </c>
      <c r="E4171">
        <v>2</v>
      </c>
      <c r="F4171">
        <v>8</v>
      </c>
      <c r="G4171" t="s">
        <v>214</v>
      </c>
      <c r="H4171" s="1">
        <v>5</v>
      </c>
      <c r="I4171" s="1">
        <v>57</v>
      </c>
      <c r="J4171" s="1">
        <v>61</v>
      </c>
      <c r="K4171" s="1">
        <f>J4171-I4171</f>
        <v>4</v>
      </c>
      <c r="L4171" s="1">
        <v>175</v>
      </c>
      <c r="M4171" s="1">
        <v>88</v>
      </c>
      <c r="N4171" s="1">
        <v>2</v>
      </c>
      <c r="O4171" s="1">
        <v>2</v>
      </c>
      <c r="P4171" s="1">
        <v>5</v>
      </c>
      <c r="Q4171" s="2">
        <v>0.36418499999999993</v>
      </c>
      <c r="R4171" s="1">
        <v>6</v>
      </c>
      <c r="S4171" s="1">
        <f>R4171/P4171</f>
        <v>1.2</v>
      </c>
      <c r="T4171" s="1">
        <v>3</v>
      </c>
      <c r="U4171" s="1">
        <v>12.5</v>
      </c>
      <c r="V4171" s="1">
        <v>1332.964705882353</v>
      </c>
      <c r="W4171" s="1">
        <v>4</v>
      </c>
    </row>
    <row r="4172" spans="1:23" x14ac:dyDescent="0.2">
      <c r="A4172">
        <v>2022</v>
      </c>
      <c r="B4172" t="s">
        <v>23</v>
      </c>
      <c r="C4172" t="s">
        <v>272</v>
      </c>
      <c r="D4172">
        <v>190</v>
      </c>
      <c r="E4172">
        <v>1</v>
      </c>
      <c r="F4172">
        <v>9</v>
      </c>
      <c r="G4172" t="s">
        <v>215</v>
      </c>
      <c r="H4172">
        <v>4</v>
      </c>
      <c r="I4172">
        <v>55</v>
      </c>
      <c r="J4172">
        <v>57</v>
      </c>
      <c r="K4172">
        <v>2</v>
      </c>
      <c r="L4172">
        <v>98</v>
      </c>
      <c r="M4172">
        <v>31</v>
      </c>
      <c r="N4172">
        <v>3</v>
      </c>
      <c r="O4172">
        <v>3</v>
      </c>
      <c r="P4172">
        <v>3</v>
      </c>
      <c r="Q4172">
        <v>0.114</v>
      </c>
      <c r="R4172">
        <v>3</v>
      </c>
      <c r="S4172">
        <v>1</v>
      </c>
      <c r="T4172">
        <v>4</v>
      </c>
      <c r="U4172">
        <v>12.5</v>
      </c>
      <c r="V4172">
        <v>417.25490196078431</v>
      </c>
      <c r="W4172">
        <v>1</v>
      </c>
    </row>
    <row r="4173" spans="1:23" x14ac:dyDescent="0.2">
      <c r="A4173">
        <v>2022</v>
      </c>
      <c r="B4173" t="s">
        <v>23</v>
      </c>
      <c r="C4173" t="s">
        <v>272</v>
      </c>
      <c r="D4173">
        <v>190</v>
      </c>
      <c r="E4173">
        <v>2</v>
      </c>
      <c r="F4173">
        <v>6</v>
      </c>
      <c r="G4173" t="s">
        <v>215</v>
      </c>
      <c r="H4173" s="1">
        <v>14</v>
      </c>
      <c r="I4173" s="1">
        <v>68</v>
      </c>
      <c r="J4173" s="1">
        <v>70</v>
      </c>
      <c r="K4173" s="1">
        <f>J4173-I4173</f>
        <v>2</v>
      </c>
      <c r="L4173" s="1">
        <v>127</v>
      </c>
      <c r="M4173" s="1">
        <v>70</v>
      </c>
      <c r="N4173" s="1">
        <v>2</v>
      </c>
      <c r="O4173" s="1">
        <v>3.5</v>
      </c>
      <c r="P4173" s="1">
        <f>H4173</f>
        <v>14</v>
      </c>
      <c r="Q4173" s="2">
        <v>0.47849999999999998</v>
      </c>
      <c r="R4173" s="1">
        <v>10</v>
      </c>
      <c r="S4173" s="1">
        <f>R4173/P4173</f>
        <v>0.7142857142857143</v>
      </c>
      <c r="T4173" s="1">
        <v>5</v>
      </c>
      <c r="U4173" s="1">
        <v>12.5</v>
      </c>
      <c r="V4173" s="1">
        <v>1751.3725490196077</v>
      </c>
      <c r="W4173" s="1">
        <v>4</v>
      </c>
    </row>
    <row r="4174" spans="1:23" x14ac:dyDescent="0.2">
      <c r="A4174">
        <v>2022</v>
      </c>
      <c r="B4174" t="s">
        <v>23</v>
      </c>
      <c r="C4174" t="s">
        <v>272</v>
      </c>
      <c r="D4174">
        <v>191</v>
      </c>
      <c r="E4174">
        <v>1</v>
      </c>
      <c r="F4174">
        <v>3</v>
      </c>
      <c r="G4174" t="s">
        <v>216</v>
      </c>
      <c r="H4174" s="1">
        <v>10</v>
      </c>
      <c r="I4174" s="1">
        <v>64</v>
      </c>
      <c r="J4174" s="1">
        <v>69</v>
      </c>
      <c r="K4174" s="1">
        <f>J4174-I4174</f>
        <v>5</v>
      </c>
      <c r="L4174" s="1">
        <v>100</v>
      </c>
      <c r="M4174" s="1">
        <v>55</v>
      </c>
      <c r="N4174" s="1">
        <v>3</v>
      </c>
      <c r="O4174" s="1">
        <v>4</v>
      </c>
      <c r="P4174" s="1">
        <f>H4174</f>
        <v>10</v>
      </c>
      <c r="Q4174" s="2">
        <v>0.16650000000000001</v>
      </c>
      <c r="R4174" s="1">
        <v>8</v>
      </c>
      <c r="S4174" s="1">
        <f>R4174/P4174</f>
        <v>0.8</v>
      </c>
      <c r="T4174" s="1">
        <v>5</v>
      </c>
      <c r="U4174" s="1">
        <v>12.5</v>
      </c>
      <c r="V4174" s="1">
        <v>609.41176470588243</v>
      </c>
      <c r="W4174" s="1">
        <v>5</v>
      </c>
    </row>
    <row r="4175" spans="1:23" x14ac:dyDescent="0.2">
      <c r="A4175">
        <v>2022</v>
      </c>
      <c r="B4175" t="s">
        <v>23</v>
      </c>
      <c r="C4175" t="s">
        <v>272</v>
      </c>
      <c r="D4175">
        <v>191</v>
      </c>
      <c r="E4175">
        <v>2</v>
      </c>
      <c r="F4175">
        <v>10</v>
      </c>
      <c r="G4175" t="s">
        <v>216</v>
      </c>
      <c r="H4175">
        <v>12</v>
      </c>
      <c r="I4175">
        <v>50</v>
      </c>
      <c r="J4175">
        <v>52</v>
      </c>
      <c r="K4175">
        <v>2</v>
      </c>
      <c r="L4175">
        <v>165</v>
      </c>
      <c r="M4175">
        <v>63</v>
      </c>
      <c r="N4175">
        <v>2</v>
      </c>
      <c r="O4175">
        <v>2</v>
      </c>
      <c r="P4175">
        <v>10</v>
      </c>
      <c r="Q4175">
        <v>0.8</v>
      </c>
      <c r="R4175">
        <v>8</v>
      </c>
      <c r="S4175">
        <v>0.8</v>
      </c>
      <c r="T4175">
        <v>3</v>
      </c>
      <c r="U4175">
        <v>11.2</v>
      </c>
      <c r="V4175">
        <v>2971.6078431372557</v>
      </c>
      <c r="W4175">
        <v>1</v>
      </c>
    </row>
    <row r="4176" spans="1:23" x14ac:dyDescent="0.2">
      <c r="A4176">
        <v>2022</v>
      </c>
      <c r="B4176" t="s">
        <v>23</v>
      </c>
      <c r="C4176" t="s">
        <v>272</v>
      </c>
      <c r="D4176">
        <v>192</v>
      </c>
      <c r="E4176">
        <v>1</v>
      </c>
      <c r="F4176">
        <v>9</v>
      </c>
      <c r="G4176" t="s">
        <v>217</v>
      </c>
      <c r="H4176" s="1">
        <v>9</v>
      </c>
      <c r="I4176" s="1">
        <v>67</v>
      </c>
      <c r="J4176" s="1">
        <v>72</v>
      </c>
      <c r="K4176" s="1">
        <f>J4176-I4176</f>
        <v>5</v>
      </c>
      <c r="L4176" s="1">
        <v>127</v>
      </c>
      <c r="M4176" s="1">
        <v>80</v>
      </c>
      <c r="N4176" s="1">
        <v>2</v>
      </c>
      <c r="O4176" s="1">
        <v>3.5</v>
      </c>
      <c r="P4176" s="1">
        <f>H4176</f>
        <v>9</v>
      </c>
      <c r="Q4176" s="2">
        <v>5.3249999999999999E-2</v>
      </c>
      <c r="R4176" s="1">
        <v>9</v>
      </c>
      <c r="S4176" s="1">
        <f>R4176/P4176</f>
        <v>1</v>
      </c>
      <c r="T4176" s="1">
        <v>5</v>
      </c>
      <c r="U4176" s="1">
        <v>12.5</v>
      </c>
      <c r="V4176" s="1">
        <v>194.9019607843137</v>
      </c>
      <c r="W4176" s="1">
        <v>6</v>
      </c>
    </row>
    <row r="4177" spans="1:23" x14ac:dyDescent="0.2">
      <c r="A4177">
        <v>2022</v>
      </c>
      <c r="B4177" t="s">
        <v>23</v>
      </c>
      <c r="C4177" t="s">
        <v>272</v>
      </c>
      <c r="D4177">
        <v>192</v>
      </c>
      <c r="E4177">
        <v>2</v>
      </c>
      <c r="F4177">
        <v>14</v>
      </c>
      <c r="G4177" t="s">
        <v>217</v>
      </c>
      <c r="H4177" s="1">
        <v>4</v>
      </c>
      <c r="I4177" s="1">
        <v>62</v>
      </c>
      <c r="J4177" s="1">
        <v>66</v>
      </c>
      <c r="K4177" s="1">
        <f>J4177-I4177</f>
        <v>4</v>
      </c>
      <c r="L4177" s="1">
        <v>84</v>
      </c>
      <c r="M4177" s="1">
        <v>20</v>
      </c>
      <c r="N4177" s="1">
        <v>3</v>
      </c>
      <c r="O4177" s="1">
        <v>5</v>
      </c>
      <c r="P4177" s="1">
        <v>3</v>
      </c>
      <c r="Q4177" s="2">
        <v>2.9000000000000001E-2</v>
      </c>
      <c r="R4177" s="1">
        <v>3</v>
      </c>
      <c r="S4177" s="1">
        <f>R4177/P4177</f>
        <v>1</v>
      </c>
      <c r="T4177" s="1">
        <v>5</v>
      </c>
      <c r="U4177" s="1">
        <v>12.5</v>
      </c>
      <c r="V4177" s="1">
        <v>106.14379084967319</v>
      </c>
      <c r="W4177" s="1">
        <v>5</v>
      </c>
    </row>
    <row r="4178" spans="1:23" x14ac:dyDescent="0.2">
      <c r="A4178">
        <v>2022</v>
      </c>
      <c r="B4178" t="s">
        <v>23</v>
      </c>
      <c r="C4178" t="s">
        <v>272</v>
      </c>
      <c r="D4178">
        <v>193</v>
      </c>
      <c r="E4178">
        <v>1</v>
      </c>
      <c r="F4178">
        <v>7</v>
      </c>
      <c r="G4178" t="s">
        <v>218</v>
      </c>
      <c r="H4178" s="1">
        <v>7</v>
      </c>
      <c r="I4178" s="1">
        <v>66</v>
      </c>
      <c r="J4178" s="1">
        <v>69</v>
      </c>
      <c r="K4178" s="1">
        <f>J4178-I4178</f>
        <v>3</v>
      </c>
      <c r="L4178" s="1">
        <v>172</v>
      </c>
      <c r="M4178" s="1">
        <v>82</v>
      </c>
      <c r="N4178" s="1">
        <v>2</v>
      </c>
      <c r="O4178" s="1">
        <v>2</v>
      </c>
      <c r="P4178" s="1">
        <v>6</v>
      </c>
      <c r="Q4178" s="2">
        <v>1.0049999999999999</v>
      </c>
      <c r="R4178" s="1">
        <v>6</v>
      </c>
      <c r="S4178" s="1">
        <f>R4178/P4178</f>
        <v>1</v>
      </c>
      <c r="T4178" s="1">
        <v>3</v>
      </c>
      <c r="U4178" s="1">
        <v>9.3000000000000007</v>
      </c>
      <c r="V4178" s="1">
        <v>3812.9568627450985</v>
      </c>
      <c r="W4178" s="1">
        <v>3</v>
      </c>
    </row>
    <row r="4179" spans="1:23" x14ac:dyDescent="0.2">
      <c r="A4179">
        <v>2022</v>
      </c>
      <c r="B4179" t="s">
        <v>23</v>
      </c>
      <c r="C4179" t="s">
        <v>272</v>
      </c>
      <c r="D4179">
        <v>193</v>
      </c>
      <c r="E4179">
        <v>2</v>
      </c>
      <c r="F4179">
        <v>9</v>
      </c>
      <c r="G4179" t="s">
        <v>218</v>
      </c>
      <c r="H4179">
        <v>4</v>
      </c>
      <c r="I4179">
        <v>62</v>
      </c>
      <c r="J4179">
        <v>65</v>
      </c>
      <c r="K4179">
        <v>3</v>
      </c>
      <c r="L4179">
        <v>169</v>
      </c>
      <c r="M4179">
        <v>70</v>
      </c>
      <c r="N4179">
        <v>2</v>
      </c>
      <c r="O4179">
        <v>3</v>
      </c>
      <c r="P4179">
        <v>4</v>
      </c>
      <c r="Q4179">
        <v>0.4</v>
      </c>
      <c r="R4179">
        <v>4</v>
      </c>
      <c r="S4179">
        <v>1</v>
      </c>
      <c r="T4179">
        <v>2.5</v>
      </c>
      <c r="U4179">
        <v>12.5</v>
      </c>
      <c r="V4179">
        <v>1464.0522875816994</v>
      </c>
      <c r="W4179">
        <v>2</v>
      </c>
    </row>
    <row r="4180" spans="1:23" x14ac:dyDescent="0.2">
      <c r="A4180">
        <v>2022</v>
      </c>
      <c r="B4180" t="s">
        <v>23</v>
      </c>
      <c r="C4180" t="s">
        <v>272</v>
      </c>
      <c r="D4180">
        <v>194</v>
      </c>
      <c r="E4180">
        <v>1</v>
      </c>
      <c r="F4180">
        <v>1</v>
      </c>
      <c r="G4180" t="s">
        <v>219</v>
      </c>
      <c r="H4180" s="1">
        <v>6</v>
      </c>
      <c r="I4180" s="1">
        <v>67</v>
      </c>
      <c r="J4180" s="1">
        <v>72</v>
      </c>
      <c r="K4180" s="1">
        <f>J4180-I4180</f>
        <v>5</v>
      </c>
      <c r="L4180" s="1">
        <v>113</v>
      </c>
      <c r="M4180" s="1">
        <v>103</v>
      </c>
      <c r="N4180" s="1">
        <v>2</v>
      </c>
      <c r="O4180" s="1">
        <v>2.5</v>
      </c>
      <c r="P4180" s="1">
        <f>H4180</f>
        <v>6</v>
      </c>
      <c r="Q4180" s="2">
        <v>0.16500000000000001</v>
      </c>
      <c r="R4180" s="1">
        <v>6</v>
      </c>
      <c r="S4180" s="1">
        <f>R4180/P4180</f>
        <v>1</v>
      </c>
      <c r="T4180" s="1">
        <v>5</v>
      </c>
      <c r="U4180" s="1">
        <v>12.5</v>
      </c>
      <c r="V4180" s="1">
        <v>603.92156862745094</v>
      </c>
      <c r="W4180" s="1">
        <v>6</v>
      </c>
    </row>
    <row r="4181" spans="1:23" x14ac:dyDescent="0.2">
      <c r="A4181">
        <v>2022</v>
      </c>
      <c r="B4181" t="s">
        <v>23</v>
      </c>
      <c r="C4181" t="s">
        <v>272</v>
      </c>
      <c r="D4181">
        <v>194</v>
      </c>
      <c r="E4181">
        <v>2</v>
      </c>
      <c r="F4181">
        <v>11</v>
      </c>
      <c r="G4181" t="s">
        <v>219</v>
      </c>
      <c r="H4181" s="1">
        <v>9</v>
      </c>
      <c r="I4181" s="1">
        <v>61</v>
      </c>
      <c r="J4181" s="1">
        <v>65</v>
      </c>
      <c r="K4181" s="1">
        <f>J4181-I4181</f>
        <v>4</v>
      </c>
      <c r="L4181" s="1">
        <v>115</v>
      </c>
      <c r="M4181" s="1">
        <v>55</v>
      </c>
      <c r="N4181" s="1">
        <v>3.5</v>
      </c>
      <c r="O4181" s="1">
        <v>4</v>
      </c>
      <c r="P4181" s="1">
        <v>8</v>
      </c>
      <c r="Q4181" s="2">
        <v>0.19079999999999997</v>
      </c>
      <c r="R4181" s="1">
        <v>5</v>
      </c>
      <c r="S4181" s="1">
        <f>R4181/P4181</f>
        <v>0.625</v>
      </c>
      <c r="T4181" s="1">
        <v>2</v>
      </c>
      <c r="U4181" s="1">
        <v>12.5</v>
      </c>
      <c r="V4181" s="1">
        <v>698.35294117647049</v>
      </c>
      <c r="W4181" s="1">
        <v>5</v>
      </c>
    </row>
    <row r="4182" spans="1:23" x14ac:dyDescent="0.2">
      <c r="A4182">
        <v>2022</v>
      </c>
      <c r="B4182" t="s">
        <v>23</v>
      </c>
      <c r="C4182" t="s">
        <v>272</v>
      </c>
      <c r="D4182">
        <v>195</v>
      </c>
      <c r="E4182">
        <v>1</v>
      </c>
      <c r="F4182">
        <v>2</v>
      </c>
      <c r="G4182" t="s">
        <v>220</v>
      </c>
      <c r="H4182">
        <v>3</v>
      </c>
      <c r="I4182">
        <v>65</v>
      </c>
      <c r="J4182">
        <v>68</v>
      </c>
      <c r="K4182">
        <v>3</v>
      </c>
      <c r="L4182">
        <v>159</v>
      </c>
      <c r="M4182">
        <v>77</v>
      </c>
      <c r="N4182">
        <v>1.5</v>
      </c>
      <c r="O4182">
        <v>2</v>
      </c>
      <c r="P4182">
        <v>3</v>
      </c>
      <c r="Q4182">
        <v>0.4</v>
      </c>
      <c r="R4182">
        <v>3</v>
      </c>
      <c r="S4182">
        <v>1</v>
      </c>
      <c r="T4182">
        <v>2.5</v>
      </c>
      <c r="U4182">
        <v>12.5</v>
      </c>
      <c r="V4182">
        <v>1464.0522875816994</v>
      </c>
      <c r="W4182">
        <v>2</v>
      </c>
    </row>
    <row r="4183" spans="1:23" x14ac:dyDescent="0.2">
      <c r="A4183">
        <v>2022</v>
      </c>
      <c r="B4183" t="s">
        <v>23</v>
      </c>
      <c r="C4183" t="s">
        <v>272</v>
      </c>
      <c r="D4183">
        <v>195</v>
      </c>
      <c r="E4183">
        <v>2</v>
      </c>
      <c r="F4183">
        <v>14</v>
      </c>
      <c r="G4183" t="s">
        <v>220</v>
      </c>
      <c r="H4183">
        <v>16</v>
      </c>
      <c r="I4183">
        <v>54</v>
      </c>
      <c r="J4183">
        <v>56</v>
      </c>
      <c r="K4183">
        <v>2</v>
      </c>
      <c r="L4183">
        <v>187</v>
      </c>
      <c r="M4183">
        <v>57</v>
      </c>
      <c r="N4183">
        <v>2</v>
      </c>
      <c r="O4183">
        <v>2.5</v>
      </c>
      <c r="P4183">
        <v>15</v>
      </c>
      <c r="Q4183">
        <v>1.5</v>
      </c>
      <c r="R4183">
        <v>13</v>
      </c>
      <c r="S4183">
        <v>0.8666666666666667</v>
      </c>
      <c r="T4183">
        <v>2</v>
      </c>
      <c r="U4183">
        <v>10.4</v>
      </c>
      <c r="V4183">
        <v>5621.9607843137237</v>
      </c>
      <c r="W4183">
        <v>2</v>
      </c>
    </row>
    <row r="4184" spans="1:23" x14ac:dyDescent="0.2">
      <c r="A4184">
        <v>2022</v>
      </c>
      <c r="B4184" t="s">
        <v>23</v>
      </c>
      <c r="C4184" t="s">
        <v>272</v>
      </c>
      <c r="D4184">
        <v>196</v>
      </c>
      <c r="E4184">
        <v>1</v>
      </c>
      <c r="F4184">
        <v>5</v>
      </c>
      <c r="G4184" t="s">
        <v>221</v>
      </c>
      <c r="H4184" s="1">
        <v>14</v>
      </c>
      <c r="I4184" s="1">
        <v>65</v>
      </c>
      <c r="J4184" s="1">
        <v>70</v>
      </c>
      <c r="K4184" s="1">
        <f t="shared" ref="K4184:K4205" si="218">J4184-I4184</f>
        <v>5</v>
      </c>
      <c r="L4184" s="1">
        <v>162</v>
      </c>
      <c r="M4184" s="1">
        <v>82</v>
      </c>
      <c r="N4184" s="1">
        <v>2</v>
      </c>
      <c r="O4184" s="1">
        <v>2.5</v>
      </c>
      <c r="P4184" s="1">
        <v>14</v>
      </c>
      <c r="Q4184" s="2">
        <v>9.4500000000000001E-2</v>
      </c>
      <c r="R4184" s="1">
        <v>11</v>
      </c>
      <c r="S4184" s="1">
        <f t="shared" ref="S4184:S4205" si="219">R4184/P4184</f>
        <v>0.7857142857142857</v>
      </c>
      <c r="T4184" s="1">
        <v>5</v>
      </c>
      <c r="U4184" s="1">
        <v>12.5</v>
      </c>
      <c r="V4184" s="1">
        <v>345.88235294117646</v>
      </c>
      <c r="W4184" s="1">
        <v>4</v>
      </c>
    </row>
    <row r="4185" spans="1:23" x14ac:dyDescent="0.2">
      <c r="A4185">
        <v>2022</v>
      </c>
      <c r="B4185" t="s">
        <v>23</v>
      </c>
      <c r="C4185" t="s">
        <v>272</v>
      </c>
      <c r="D4185">
        <v>196</v>
      </c>
      <c r="E4185">
        <v>2</v>
      </c>
      <c r="F4185">
        <v>4</v>
      </c>
      <c r="G4185" t="s">
        <v>221</v>
      </c>
      <c r="H4185" s="1">
        <v>9</v>
      </c>
      <c r="I4185" s="1">
        <v>57</v>
      </c>
      <c r="J4185" s="1">
        <v>62</v>
      </c>
      <c r="K4185" s="1">
        <f t="shared" si="218"/>
        <v>5</v>
      </c>
      <c r="L4185" s="1">
        <v>135</v>
      </c>
      <c r="M4185" s="1">
        <v>65</v>
      </c>
      <c r="N4185" s="1">
        <v>2</v>
      </c>
      <c r="O4185" s="1">
        <v>2.5</v>
      </c>
      <c r="P4185" s="1">
        <v>9</v>
      </c>
      <c r="Q4185" s="2">
        <v>0.2102</v>
      </c>
      <c r="R4185" s="1">
        <v>6</v>
      </c>
      <c r="S4185" s="1">
        <f t="shared" si="219"/>
        <v>0.66666666666666663</v>
      </c>
      <c r="T4185" s="1">
        <v>5</v>
      </c>
      <c r="U4185" s="1">
        <v>12.5</v>
      </c>
      <c r="V4185" s="1">
        <v>769.35947712418283</v>
      </c>
      <c r="W4185" s="1">
        <v>5</v>
      </c>
    </row>
    <row r="4186" spans="1:23" x14ac:dyDescent="0.2">
      <c r="A4186">
        <v>2022</v>
      </c>
      <c r="B4186" t="s">
        <v>23</v>
      </c>
      <c r="C4186" t="s">
        <v>272</v>
      </c>
      <c r="D4186">
        <v>197</v>
      </c>
      <c r="E4186">
        <v>1</v>
      </c>
      <c r="F4186">
        <v>3</v>
      </c>
      <c r="G4186" t="s">
        <v>222</v>
      </c>
      <c r="H4186" s="1">
        <v>10</v>
      </c>
      <c r="I4186" s="1">
        <v>70</v>
      </c>
      <c r="J4186" s="1">
        <v>71</v>
      </c>
      <c r="K4186" s="1">
        <f t="shared" si="218"/>
        <v>1</v>
      </c>
      <c r="L4186" s="1">
        <v>155</v>
      </c>
      <c r="M4186" s="1">
        <v>80</v>
      </c>
      <c r="N4186" s="1">
        <v>2</v>
      </c>
      <c r="O4186" s="1">
        <v>3.5</v>
      </c>
      <c r="P4186" s="1">
        <v>10</v>
      </c>
      <c r="Q4186" s="2">
        <v>0.35352000000000006</v>
      </c>
      <c r="R4186" s="1">
        <v>4</v>
      </c>
      <c r="S4186" s="1">
        <f t="shared" si="219"/>
        <v>0.4</v>
      </c>
      <c r="T4186" s="1">
        <v>5</v>
      </c>
      <c r="U4186" s="1">
        <v>11.5</v>
      </c>
      <c r="V4186" s="1">
        <v>1308.7171764705886</v>
      </c>
      <c r="W4186" s="1">
        <v>4</v>
      </c>
    </row>
    <row r="4187" spans="1:23" x14ac:dyDescent="0.2">
      <c r="A4187">
        <v>2022</v>
      </c>
      <c r="B4187" t="s">
        <v>23</v>
      </c>
      <c r="C4187" t="s">
        <v>272</v>
      </c>
      <c r="D4187">
        <v>197</v>
      </c>
      <c r="E4187">
        <v>2</v>
      </c>
      <c r="F4187">
        <v>12</v>
      </c>
      <c r="G4187" t="s">
        <v>222</v>
      </c>
      <c r="H4187" s="1">
        <v>10</v>
      </c>
      <c r="I4187" s="1">
        <v>62</v>
      </c>
      <c r="J4187" s="1">
        <v>65</v>
      </c>
      <c r="K4187" s="1">
        <f t="shared" si="218"/>
        <v>3</v>
      </c>
      <c r="L4187" s="1">
        <v>102</v>
      </c>
      <c r="M4187" s="1">
        <v>35</v>
      </c>
      <c r="N4187" s="1">
        <v>1.5</v>
      </c>
      <c r="O4187" s="1">
        <v>5</v>
      </c>
      <c r="P4187" s="1">
        <v>1</v>
      </c>
      <c r="Q4187" s="2">
        <v>3.5000000000000003E-2</v>
      </c>
      <c r="R4187" s="1">
        <v>1</v>
      </c>
      <c r="S4187" s="1">
        <f t="shared" si="219"/>
        <v>1</v>
      </c>
      <c r="T4187" s="1">
        <v>5</v>
      </c>
      <c r="U4187" s="1">
        <v>12.5</v>
      </c>
      <c r="V4187" s="1">
        <v>128.10457516339872</v>
      </c>
      <c r="W4187" s="1">
        <v>7</v>
      </c>
    </row>
    <row r="4188" spans="1:23" x14ac:dyDescent="0.2">
      <c r="A4188">
        <v>2022</v>
      </c>
      <c r="B4188" t="s">
        <v>23</v>
      </c>
      <c r="C4188" t="s">
        <v>272</v>
      </c>
      <c r="D4188">
        <v>198</v>
      </c>
      <c r="E4188">
        <v>1</v>
      </c>
      <c r="F4188">
        <v>7</v>
      </c>
      <c r="G4188" t="s">
        <v>223</v>
      </c>
      <c r="H4188" s="1">
        <v>6</v>
      </c>
      <c r="I4188" s="1">
        <v>57</v>
      </c>
      <c r="J4188" s="1">
        <v>61</v>
      </c>
      <c r="K4188" s="1">
        <f t="shared" si="218"/>
        <v>4</v>
      </c>
      <c r="L4188" s="1">
        <v>188</v>
      </c>
      <c r="M4188" s="1">
        <v>110</v>
      </c>
      <c r="N4188" s="1">
        <v>2</v>
      </c>
      <c r="O4188" s="1">
        <v>3</v>
      </c>
      <c r="P4188" s="1">
        <v>6</v>
      </c>
      <c r="Q4188" s="2">
        <v>0.183</v>
      </c>
      <c r="R4188" s="1">
        <v>6</v>
      </c>
      <c r="S4188" s="1">
        <f t="shared" si="219"/>
        <v>1</v>
      </c>
      <c r="T4188" s="1">
        <v>5</v>
      </c>
      <c r="U4188" s="1">
        <v>6.8</v>
      </c>
      <c r="V4188" s="1">
        <v>713.4368627450981</v>
      </c>
      <c r="W4188" s="1">
        <v>6</v>
      </c>
    </row>
    <row r="4189" spans="1:23" x14ac:dyDescent="0.2">
      <c r="A4189">
        <v>2022</v>
      </c>
      <c r="B4189" t="s">
        <v>23</v>
      </c>
      <c r="C4189" t="s">
        <v>272</v>
      </c>
      <c r="D4189">
        <v>198</v>
      </c>
      <c r="E4189">
        <v>2</v>
      </c>
      <c r="F4189">
        <v>11</v>
      </c>
      <c r="G4189" t="s">
        <v>223</v>
      </c>
      <c r="H4189" s="1">
        <v>15</v>
      </c>
      <c r="I4189" s="1">
        <v>62</v>
      </c>
      <c r="J4189" s="1">
        <v>67</v>
      </c>
      <c r="K4189" s="1">
        <f t="shared" si="218"/>
        <v>5</v>
      </c>
      <c r="L4189" s="1">
        <v>102</v>
      </c>
      <c r="M4189" s="1">
        <v>55</v>
      </c>
      <c r="N4189" s="1">
        <v>3</v>
      </c>
      <c r="O4189" s="1">
        <v>4</v>
      </c>
      <c r="P4189" s="1">
        <f>H4189-2</f>
        <v>13</v>
      </c>
      <c r="Q4189" s="2">
        <v>0.53400000000000003</v>
      </c>
      <c r="R4189" s="1">
        <v>10</v>
      </c>
      <c r="S4189" s="1">
        <f t="shared" si="219"/>
        <v>0.76923076923076927</v>
      </c>
      <c r="T4189" s="1">
        <v>5</v>
      </c>
      <c r="U4189" s="1">
        <v>12.5</v>
      </c>
      <c r="V4189" s="1">
        <v>1954.5098039215688</v>
      </c>
      <c r="W4189" s="1">
        <v>5</v>
      </c>
    </row>
    <row r="4190" spans="1:23" x14ac:dyDescent="0.2">
      <c r="A4190">
        <v>2022</v>
      </c>
      <c r="B4190" t="s">
        <v>23</v>
      </c>
      <c r="C4190" t="s">
        <v>272</v>
      </c>
      <c r="D4190">
        <v>199</v>
      </c>
      <c r="E4190">
        <v>1</v>
      </c>
      <c r="F4190">
        <v>12</v>
      </c>
      <c r="G4190" t="s">
        <v>224</v>
      </c>
      <c r="H4190" s="1">
        <v>15</v>
      </c>
      <c r="I4190" s="1">
        <v>66</v>
      </c>
      <c r="J4190" s="1">
        <v>71</v>
      </c>
      <c r="K4190" s="1">
        <f t="shared" si="218"/>
        <v>5</v>
      </c>
      <c r="L4190" s="1">
        <v>144</v>
      </c>
      <c r="M4190" s="1">
        <v>69</v>
      </c>
      <c r="N4190" s="1">
        <v>2.5</v>
      </c>
      <c r="O4190" s="1">
        <v>4</v>
      </c>
      <c r="P4190" s="1">
        <v>10</v>
      </c>
      <c r="Q4190" s="2">
        <v>0.43</v>
      </c>
      <c r="R4190" s="1">
        <v>9</v>
      </c>
      <c r="S4190" s="1">
        <f t="shared" si="219"/>
        <v>0.9</v>
      </c>
      <c r="T4190" s="1">
        <v>2.5</v>
      </c>
      <c r="U4190" s="1">
        <v>12.5</v>
      </c>
      <c r="V4190" s="1">
        <v>1573.8562091503268</v>
      </c>
      <c r="W4190" s="1">
        <v>3</v>
      </c>
    </row>
    <row r="4191" spans="1:23" x14ac:dyDescent="0.2">
      <c r="A4191">
        <v>2022</v>
      </c>
      <c r="B4191" t="s">
        <v>23</v>
      </c>
      <c r="C4191" t="s">
        <v>272</v>
      </c>
      <c r="D4191">
        <v>199</v>
      </c>
      <c r="E4191">
        <v>2</v>
      </c>
      <c r="F4191">
        <v>8</v>
      </c>
      <c r="G4191" t="s">
        <v>224</v>
      </c>
      <c r="H4191" s="1">
        <v>10</v>
      </c>
      <c r="I4191" s="1">
        <v>64</v>
      </c>
      <c r="J4191" s="1">
        <v>68</v>
      </c>
      <c r="K4191" s="1">
        <f t="shared" si="218"/>
        <v>4</v>
      </c>
      <c r="L4191" s="1">
        <v>124</v>
      </c>
      <c r="M4191" s="1">
        <v>51</v>
      </c>
      <c r="N4191" s="1">
        <v>2</v>
      </c>
      <c r="O4191" s="1">
        <v>4</v>
      </c>
      <c r="P4191" s="1">
        <v>6</v>
      </c>
      <c r="Q4191" s="2">
        <v>0.32200000000000001</v>
      </c>
      <c r="R4191" s="1">
        <v>5</v>
      </c>
      <c r="S4191" s="1">
        <f t="shared" si="219"/>
        <v>0.83333333333333337</v>
      </c>
      <c r="T4191" s="1">
        <v>5</v>
      </c>
      <c r="U4191" s="1">
        <v>12.5</v>
      </c>
      <c r="V4191" s="1">
        <v>1178.562091503268</v>
      </c>
      <c r="W4191" s="1">
        <v>6</v>
      </c>
    </row>
    <row r="4192" spans="1:23" x14ac:dyDescent="0.2">
      <c r="A4192">
        <v>2022</v>
      </c>
      <c r="B4192" t="s">
        <v>23</v>
      </c>
      <c r="C4192" t="s">
        <v>272</v>
      </c>
      <c r="D4192">
        <v>200</v>
      </c>
      <c r="E4192">
        <v>1</v>
      </c>
      <c r="F4192">
        <v>12</v>
      </c>
      <c r="G4192" t="s">
        <v>225</v>
      </c>
      <c r="H4192" s="1">
        <v>5</v>
      </c>
      <c r="I4192" s="1">
        <v>67</v>
      </c>
      <c r="J4192" s="1">
        <v>68</v>
      </c>
      <c r="K4192" s="1">
        <f t="shared" si="218"/>
        <v>1</v>
      </c>
      <c r="L4192" s="1">
        <v>162</v>
      </c>
      <c r="M4192" s="1">
        <v>43</v>
      </c>
      <c r="N4192" s="1">
        <v>2</v>
      </c>
      <c r="O4192" s="1">
        <v>3.5</v>
      </c>
      <c r="P4192" s="1">
        <v>1</v>
      </c>
      <c r="Q4192" s="2">
        <v>8.7599999999999997E-2</v>
      </c>
      <c r="R4192" s="1">
        <v>1</v>
      </c>
      <c r="S4192" s="1">
        <f t="shared" si="219"/>
        <v>1</v>
      </c>
      <c r="T4192" s="1">
        <v>5</v>
      </c>
      <c r="U4192" s="1">
        <v>8.1999999999999993</v>
      </c>
      <c r="V4192" s="1">
        <v>336.38399999999996</v>
      </c>
      <c r="W4192" s="1">
        <v>4</v>
      </c>
    </row>
    <row r="4193" spans="1:23" x14ac:dyDescent="0.2">
      <c r="A4193">
        <v>2022</v>
      </c>
      <c r="B4193" t="s">
        <v>23</v>
      </c>
      <c r="C4193" t="s">
        <v>272</v>
      </c>
      <c r="D4193">
        <v>200</v>
      </c>
      <c r="E4193">
        <v>2</v>
      </c>
      <c r="F4193">
        <v>6</v>
      </c>
      <c r="G4193" t="s">
        <v>225</v>
      </c>
      <c r="H4193" s="1">
        <v>12</v>
      </c>
      <c r="I4193" s="1">
        <v>69</v>
      </c>
      <c r="J4193" s="1">
        <v>74</v>
      </c>
      <c r="K4193" s="1">
        <f t="shared" si="218"/>
        <v>5</v>
      </c>
      <c r="L4193" s="1">
        <v>90</v>
      </c>
      <c r="M4193" s="1">
        <v>55</v>
      </c>
      <c r="N4193" s="1">
        <v>1.5</v>
      </c>
      <c r="O4193" s="1">
        <v>4</v>
      </c>
      <c r="P4193" s="1">
        <v>10</v>
      </c>
      <c r="Q4193" s="2">
        <v>0.222</v>
      </c>
      <c r="R4193" s="1">
        <v>9</v>
      </c>
      <c r="S4193" s="1">
        <f t="shared" si="219"/>
        <v>0.9</v>
      </c>
      <c r="T4193" s="1">
        <v>4</v>
      </c>
      <c r="U4193" s="1">
        <v>12.5</v>
      </c>
      <c r="V4193" s="1">
        <v>812.54901960784309</v>
      </c>
      <c r="W4193" s="1">
        <v>4</v>
      </c>
    </row>
    <row r="4194" spans="1:23" x14ac:dyDescent="0.2">
      <c r="A4194">
        <v>2022</v>
      </c>
      <c r="B4194" t="s">
        <v>23</v>
      </c>
      <c r="C4194" t="s">
        <v>272</v>
      </c>
      <c r="D4194">
        <v>201</v>
      </c>
      <c r="E4194">
        <v>1</v>
      </c>
      <c r="F4194">
        <v>1</v>
      </c>
      <c r="G4194" t="s">
        <v>226</v>
      </c>
      <c r="H4194" s="1">
        <v>10</v>
      </c>
      <c r="I4194" s="1">
        <v>57</v>
      </c>
      <c r="J4194" s="1">
        <v>62</v>
      </c>
      <c r="K4194" s="1">
        <f t="shared" si="218"/>
        <v>5</v>
      </c>
      <c r="L4194" s="1">
        <v>142</v>
      </c>
      <c r="M4194" s="1">
        <v>67</v>
      </c>
      <c r="N4194" s="1">
        <v>2</v>
      </c>
      <c r="O4194" s="1">
        <v>3.5</v>
      </c>
      <c r="P4194" s="1">
        <v>10</v>
      </c>
      <c r="Q4194" s="2">
        <v>0.37360000000000004</v>
      </c>
      <c r="R4194" s="1">
        <v>6</v>
      </c>
      <c r="S4194" s="1">
        <f t="shared" si="219"/>
        <v>0.6</v>
      </c>
      <c r="T4194" s="1">
        <v>5</v>
      </c>
      <c r="U4194" s="1">
        <v>9.6</v>
      </c>
      <c r="V4194" s="1">
        <v>1412.7452026143794</v>
      </c>
      <c r="W4194" s="1">
        <v>3</v>
      </c>
    </row>
    <row r="4195" spans="1:23" x14ac:dyDescent="0.2">
      <c r="A4195">
        <v>2022</v>
      </c>
      <c r="B4195" t="s">
        <v>23</v>
      </c>
      <c r="C4195" t="s">
        <v>272</v>
      </c>
      <c r="D4195">
        <v>201</v>
      </c>
      <c r="E4195">
        <v>2</v>
      </c>
      <c r="F4195">
        <v>2</v>
      </c>
      <c r="G4195" t="s">
        <v>226</v>
      </c>
      <c r="H4195" s="1">
        <v>4</v>
      </c>
      <c r="I4195" s="1">
        <v>65</v>
      </c>
      <c r="J4195" s="1">
        <v>67</v>
      </c>
      <c r="K4195" s="1">
        <f t="shared" si="218"/>
        <v>2</v>
      </c>
      <c r="L4195" s="1">
        <v>140</v>
      </c>
      <c r="M4195" s="1">
        <v>40</v>
      </c>
      <c r="N4195" s="1">
        <v>2</v>
      </c>
      <c r="O4195" s="1">
        <v>3</v>
      </c>
      <c r="P4195" s="1">
        <v>4</v>
      </c>
      <c r="Q4195" s="2">
        <v>0.52</v>
      </c>
      <c r="R4195" s="1">
        <v>4</v>
      </c>
      <c r="S4195" s="1">
        <f t="shared" si="219"/>
        <v>1</v>
      </c>
      <c r="T4195" s="1">
        <v>3.5</v>
      </c>
      <c r="U4195" s="1">
        <v>12.5</v>
      </c>
      <c r="V4195" s="1">
        <v>1903.267973856209</v>
      </c>
      <c r="W4195" s="1">
        <v>2</v>
      </c>
    </row>
    <row r="4196" spans="1:23" x14ac:dyDescent="0.2">
      <c r="A4196">
        <v>2022</v>
      </c>
      <c r="B4196" t="s">
        <v>23</v>
      </c>
      <c r="C4196" t="s">
        <v>272</v>
      </c>
      <c r="D4196">
        <v>202</v>
      </c>
      <c r="E4196">
        <v>1</v>
      </c>
      <c r="F4196">
        <v>2</v>
      </c>
      <c r="G4196" t="s">
        <v>227</v>
      </c>
      <c r="H4196" s="1">
        <v>7</v>
      </c>
      <c r="I4196" s="1">
        <v>66</v>
      </c>
      <c r="J4196" s="1">
        <v>71</v>
      </c>
      <c r="K4196" s="1">
        <f t="shared" si="218"/>
        <v>5</v>
      </c>
      <c r="L4196" s="1">
        <v>127</v>
      </c>
      <c r="M4196" s="1">
        <v>78</v>
      </c>
      <c r="N4196" s="1">
        <v>2</v>
      </c>
      <c r="O4196" s="1">
        <v>3.5</v>
      </c>
      <c r="P4196" s="1">
        <v>7</v>
      </c>
      <c r="Q4196" s="2">
        <v>0.14407499999999998</v>
      </c>
      <c r="R4196" s="1">
        <v>5</v>
      </c>
      <c r="S4196" s="1">
        <f t="shared" si="219"/>
        <v>0.7142857142857143</v>
      </c>
      <c r="T4196" s="1">
        <v>5</v>
      </c>
      <c r="U4196" s="1">
        <v>12.5</v>
      </c>
      <c r="V4196" s="1">
        <v>527.33333333333337</v>
      </c>
      <c r="W4196" s="1">
        <v>6</v>
      </c>
    </row>
    <row r="4197" spans="1:23" x14ac:dyDescent="0.2">
      <c r="A4197">
        <v>2022</v>
      </c>
      <c r="B4197" t="s">
        <v>23</v>
      </c>
      <c r="C4197" t="s">
        <v>272</v>
      </c>
      <c r="D4197">
        <v>202</v>
      </c>
      <c r="E4197">
        <v>2</v>
      </c>
      <c r="F4197">
        <v>9</v>
      </c>
      <c r="G4197" t="s">
        <v>227</v>
      </c>
      <c r="H4197" s="1">
        <v>12</v>
      </c>
      <c r="I4197" s="1">
        <v>66</v>
      </c>
      <c r="J4197" s="1">
        <v>67</v>
      </c>
      <c r="K4197" s="1">
        <f t="shared" si="218"/>
        <v>1</v>
      </c>
      <c r="L4197" s="1">
        <v>191</v>
      </c>
      <c r="M4197" s="1">
        <v>86</v>
      </c>
      <c r="N4197" s="1">
        <v>2</v>
      </c>
      <c r="O4197" s="1">
        <v>3</v>
      </c>
      <c r="P4197" s="1">
        <v>10</v>
      </c>
      <c r="Q4197" s="2">
        <v>0.20474999999999999</v>
      </c>
      <c r="R4197" s="1">
        <v>8</v>
      </c>
      <c r="S4197" s="1">
        <f t="shared" si="219"/>
        <v>0.8</v>
      </c>
      <c r="T4197" s="1">
        <v>3</v>
      </c>
      <c r="U4197" s="1">
        <v>12.5</v>
      </c>
      <c r="V4197" s="1">
        <v>749.41176470588243</v>
      </c>
      <c r="W4197" s="1">
        <v>4</v>
      </c>
    </row>
    <row r="4198" spans="1:23" x14ac:dyDescent="0.2">
      <c r="A4198">
        <v>2022</v>
      </c>
      <c r="B4198" t="s">
        <v>23</v>
      </c>
      <c r="C4198" t="s">
        <v>272</v>
      </c>
      <c r="D4198">
        <v>203</v>
      </c>
      <c r="E4198">
        <v>1</v>
      </c>
      <c r="F4198">
        <v>1</v>
      </c>
      <c r="G4198" t="s">
        <v>228</v>
      </c>
      <c r="H4198" s="1">
        <v>5</v>
      </c>
      <c r="I4198" s="1">
        <v>61</v>
      </c>
      <c r="J4198" s="1">
        <v>66</v>
      </c>
      <c r="K4198" s="1">
        <f t="shared" si="218"/>
        <v>5</v>
      </c>
      <c r="L4198" s="1">
        <v>142</v>
      </c>
      <c r="M4198" s="1">
        <v>46</v>
      </c>
      <c r="N4198" s="1">
        <v>3</v>
      </c>
      <c r="O4198" s="1">
        <v>4</v>
      </c>
      <c r="P4198" s="1">
        <v>5</v>
      </c>
      <c r="Q4198" s="2">
        <v>0.3</v>
      </c>
      <c r="R4198" s="1">
        <v>5</v>
      </c>
      <c r="S4198" s="1">
        <f t="shared" si="219"/>
        <v>1</v>
      </c>
      <c r="T4198" s="1">
        <v>3</v>
      </c>
      <c r="U4198" s="1">
        <v>12.5</v>
      </c>
      <c r="V4198" s="1">
        <v>1098.0392156862745</v>
      </c>
      <c r="W4198" s="1">
        <v>3</v>
      </c>
    </row>
    <row r="4199" spans="1:23" x14ac:dyDescent="0.2">
      <c r="A4199">
        <v>2022</v>
      </c>
      <c r="B4199" t="s">
        <v>23</v>
      </c>
      <c r="C4199" t="s">
        <v>272</v>
      </c>
      <c r="D4199">
        <v>203</v>
      </c>
      <c r="E4199">
        <v>2</v>
      </c>
      <c r="F4199">
        <v>7</v>
      </c>
      <c r="G4199" t="s">
        <v>228</v>
      </c>
      <c r="H4199" s="1">
        <v>9</v>
      </c>
      <c r="I4199" s="1">
        <v>67</v>
      </c>
      <c r="J4199" s="1">
        <v>70</v>
      </c>
      <c r="K4199" s="1">
        <f t="shared" si="218"/>
        <v>3</v>
      </c>
      <c r="L4199" s="1">
        <v>47</v>
      </c>
      <c r="M4199" s="1">
        <v>45</v>
      </c>
      <c r="N4199" s="1">
        <v>2</v>
      </c>
      <c r="O4199" s="1">
        <v>2.5</v>
      </c>
      <c r="P4199" s="1">
        <f>H4199</f>
        <v>9</v>
      </c>
      <c r="Q4199" s="2">
        <v>0.12</v>
      </c>
      <c r="R4199" s="1">
        <v>9</v>
      </c>
      <c r="S4199" s="1">
        <f t="shared" si="219"/>
        <v>1</v>
      </c>
      <c r="T4199" s="1">
        <v>3</v>
      </c>
      <c r="U4199" s="1">
        <v>12.5</v>
      </c>
      <c r="V4199" s="1">
        <v>439.21568627450984</v>
      </c>
      <c r="W4199" s="1">
        <v>3</v>
      </c>
    </row>
    <row r="4200" spans="1:23" x14ac:dyDescent="0.2">
      <c r="A4200">
        <v>2022</v>
      </c>
      <c r="B4200" t="s">
        <v>23</v>
      </c>
      <c r="C4200" t="s">
        <v>272</v>
      </c>
      <c r="D4200">
        <v>204</v>
      </c>
      <c r="E4200">
        <v>1</v>
      </c>
      <c r="F4200">
        <v>11</v>
      </c>
      <c r="G4200" t="s">
        <v>229</v>
      </c>
      <c r="H4200" s="1">
        <v>9</v>
      </c>
      <c r="I4200" s="1">
        <v>55</v>
      </c>
      <c r="J4200" s="1">
        <v>59</v>
      </c>
      <c r="K4200" s="1">
        <f t="shared" si="218"/>
        <v>4</v>
      </c>
      <c r="L4200" s="1">
        <v>167</v>
      </c>
      <c r="M4200" s="1">
        <v>85</v>
      </c>
      <c r="N4200" s="1">
        <v>2</v>
      </c>
      <c r="O4200" s="1">
        <v>2.5</v>
      </c>
      <c r="P4200" s="1">
        <v>9</v>
      </c>
      <c r="Q4200" s="2">
        <v>0.44855999999999996</v>
      </c>
      <c r="R4200" s="1">
        <v>6</v>
      </c>
      <c r="S4200" s="1">
        <f t="shared" si="219"/>
        <v>0.66666666666666663</v>
      </c>
      <c r="T4200" s="1">
        <v>5</v>
      </c>
      <c r="U4200" s="1">
        <v>6.9</v>
      </c>
      <c r="V4200" s="1">
        <v>1746.862682352941</v>
      </c>
      <c r="W4200" s="1">
        <v>5</v>
      </c>
    </row>
    <row r="4201" spans="1:23" x14ac:dyDescent="0.2">
      <c r="A4201">
        <v>2022</v>
      </c>
      <c r="B4201" t="s">
        <v>23</v>
      </c>
      <c r="C4201" t="s">
        <v>272</v>
      </c>
      <c r="D4201">
        <v>204</v>
      </c>
      <c r="E4201">
        <v>2</v>
      </c>
      <c r="F4201">
        <v>6</v>
      </c>
      <c r="G4201" t="s">
        <v>229</v>
      </c>
      <c r="H4201" s="1">
        <v>2</v>
      </c>
      <c r="I4201" s="1">
        <v>58</v>
      </c>
      <c r="J4201" s="1">
        <v>63</v>
      </c>
      <c r="K4201" s="1">
        <f t="shared" si="218"/>
        <v>5</v>
      </c>
      <c r="L4201" s="1">
        <v>103</v>
      </c>
      <c r="M4201" s="1">
        <v>47</v>
      </c>
      <c r="N4201" s="1">
        <v>1.5</v>
      </c>
      <c r="O4201" s="1">
        <v>3</v>
      </c>
      <c r="P4201" s="1">
        <v>2</v>
      </c>
      <c r="Q4201" s="2">
        <v>0.21199999999999999</v>
      </c>
      <c r="R4201" s="1">
        <v>1</v>
      </c>
      <c r="S4201" s="1">
        <f t="shared" si="219"/>
        <v>0.5</v>
      </c>
      <c r="T4201" s="1">
        <v>2</v>
      </c>
      <c r="U4201" s="1">
        <v>12.5</v>
      </c>
      <c r="V4201" s="1">
        <v>775.94771241830074</v>
      </c>
      <c r="W4201" s="1">
        <v>2</v>
      </c>
    </row>
    <row r="4202" spans="1:23" x14ac:dyDescent="0.2">
      <c r="A4202">
        <v>2022</v>
      </c>
      <c r="B4202" t="s">
        <v>23</v>
      </c>
      <c r="C4202" t="s">
        <v>272</v>
      </c>
      <c r="D4202">
        <v>205</v>
      </c>
      <c r="E4202">
        <v>1</v>
      </c>
      <c r="F4202">
        <v>11</v>
      </c>
      <c r="G4202" t="s">
        <v>230</v>
      </c>
      <c r="H4202" s="1">
        <v>9</v>
      </c>
      <c r="I4202" s="1">
        <v>67</v>
      </c>
      <c r="J4202" s="1">
        <v>70</v>
      </c>
      <c r="K4202" s="1">
        <f t="shared" si="218"/>
        <v>3</v>
      </c>
      <c r="L4202" s="1">
        <v>122</v>
      </c>
      <c r="M4202" s="1">
        <v>42</v>
      </c>
      <c r="N4202" s="1">
        <v>2</v>
      </c>
      <c r="O4202" s="1">
        <v>4</v>
      </c>
      <c r="P4202" s="1">
        <v>5</v>
      </c>
      <c r="Q4202" s="2">
        <v>8.2000000000000003E-2</v>
      </c>
      <c r="R4202" s="1">
        <v>4</v>
      </c>
      <c r="S4202" s="1">
        <f t="shared" si="219"/>
        <v>0.8</v>
      </c>
      <c r="T4202" s="1">
        <v>5</v>
      </c>
      <c r="U4202" s="1">
        <v>12.5</v>
      </c>
      <c r="V4202" s="1">
        <v>300.13071895424832</v>
      </c>
      <c r="W4202" s="1">
        <v>5</v>
      </c>
    </row>
    <row r="4203" spans="1:23" x14ac:dyDescent="0.2">
      <c r="A4203">
        <v>2022</v>
      </c>
      <c r="B4203" t="s">
        <v>23</v>
      </c>
      <c r="C4203" t="s">
        <v>272</v>
      </c>
      <c r="D4203">
        <v>205</v>
      </c>
      <c r="E4203">
        <v>2</v>
      </c>
      <c r="F4203">
        <v>6</v>
      </c>
      <c r="G4203" t="s">
        <v>230</v>
      </c>
      <c r="H4203" s="1">
        <v>8</v>
      </c>
      <c r="I4203" s="1">
        <v>72</v>
      </c>
      <c r="J4203" s="1">
        <v>76</v>
      </c>
      <c r="K4203" s="1">
        <f t="shared" si="218"/>
        <v>4</v>
      </c>
      <c r="L4203" s="1">
        <v>163</v>
      </c>
      <c r="M4203" s="1">
        <v>59</v>
      </c>
      <c r="N4203" s="1">
        <v>2</v>
      </c>
      <c r="O4203" s="1">
        <v>3.5</v>
      </c>
      <c r="P4203" s="1">
        <f>H4203-2</f>
        <v>6</v>
      </c>
      <c r="Q4203" s="2">
        <v>0.42799999999999999</v>
      </c>
      <c r="R4203" s="1">
        <v>4</v>
      </c>
      <c r="S4203" s="1">
        <f t="shared" si="219"/>
        <v>0.66666666666666663</v>
      </c>
      <c r="T4203" s="1">
        <v>4</v>
      </c>
      <c r="U4203" s="1">
        <v>12.5</v>
      </c>
      <c r="V4203" s="1">
        <v>1566.535947712418</v>
      </c>
      <c r="W4203" s="1">
        <v>3</v>
      </c>
    </row>
    <row r="4204" spans="1:23" x14ac:dyDescent="0.2">
      <c r="A4204">
        <v>2022</v>
      </c>
      <c r="B4204" t="s">
        <v>23</v>
      </c>
      <c r="C4204" t="s">
        <v>272</v>
      </c>
      <c r="D4204">
        <v>206</v>
      </c>
      <c r="E4204">
        <v>1</v>
      </c>
      <c r="F4204">
        <v>15</v>
      </c>
      <c r="G4204" t="s">
        <v>231</v>
      </c>
      <c r="H4204" s="1">
        <v>10</v>
      </c>
      <c r="I4204" s="1">
        <v>65</v>
      </c>
      <c r="J4204" s="1">
        <v>70</v>
      </c>
      <c r="K4204" s="1">
        <f t="shared" si="218"/>
        <v>5</v>
      </c>
      <c r="L4204" s="1">
        <v>127</v>
      </c>
      <c r="M4204" s="1">
        <v>51</v>
      </c>
      <c r="N4204" s="1">
        <v>3</v>
      </c>
      <c r="O4204" s="1">
        <v>4</v>
      </c>
      <c r="P4204" s="1">
        <v>6</v>
      </c>
      <c r="Q4204" s="2">
        <v>0.35899999999999999</v>
      </c>
      <c r="R4204" s="1">
        <v>5</v>
      </c>
      <c r="S4204" s="1">
        <f t="shared" si="219"/>
        <v>0.83333333333333337</v>
      </c>
      <c r="T4204" s="1">
        <v>2.5</v>
      </c>
      <c r="U4204" s="1">
        <v>12.5</v>
      </c>
      <c r="V4204" s="1">
        <v>1313.9869281045751</v>
      </c>
      <c r="W4204" s="1">
        <v>3</v>
      </c>
    </row>
    <row r="4205" spans="1:23" x14ac:dyDescent="0.2">
      <c r="A4205">
        <v>2022</v>
      </c>
      <c r="B4205" t="s">
        <v>23</v>
      </c>
      <c r="C4205" t="s">
        <v>272</v>
      </c>
      <c r="D4205">
        <v>206</v>
      </c>
      <c r="E4205">
        <v>2</v>
      </c>
      <c r="F4205">
        <v>15</v>
      </c>
      <c r="G4205" t="s">
        <v>231</v>
      </c>
      <c r="H4205" s="1">
        <v>15</v>
      </c>
      <c r="I4205" s="1">
        <v>65</v>
      </c>
      <c r="J4205" s="1">
        <v>70</v>
      </c>
      <c r="K4205" s="1">
        <f t="shared" si="218"/>
        <v>5</v>
      </c>
      <c r="L4205" s="1">
        <v>164</v>
      </c>
      <c r="M4205" s="1">
        <v>78</v>
      </c>
      <c r="N4205" s="1">
        <v>2</v>
      </c>
      <c r="O4205" s="1">
        <v>2.5</v>
      </c>
      <c r="P4205" s="1">
        <f>H4205</f>
        <v>15</v>
      </c>
      <c r="Q4205" s="2">
        <v>0.23549999999999999</v>
      </c>
      <c r="R4205" s="1">
        <v>15</v>
      </c>
      <c r="S4205" s="1">
        <f t="shared" si="219"/>
        <v>1</v>
      </c>
      <c r="T4205" s="1">
        <v>4</v>
      </c>
      <c r="U4205" s="1">
        <v>12.5</v>
      </c>
      <c r="V4205" s="1">
        <v>861.96078431372553</v>
      </c>
      <c r="W4205" s="1">
        <v>3</v>
      </c>
    </row>
    <row r="4206" spans="1:23" x14ac:dyDescent="0.2">
      <c r="A4206">
        <v>2022</v>
      </c>
      <c r="B4206" t="s">
        <v>23</v>
      </c>
      <c r="C4206" t="s">
        <v>272</v>
      </c>
      <c r="D4206">
        <v>207</v>
      </c>
      <c r="E4206">
        <v>1</v>
      </c>
      <c r="F4206">
        <v>1</v>
      </c>
      <c r="G4206" t="s">
        <v>232</v>
      </c>
      <c r="H4206">
        <v>12</v>
      </c>
      <c r="I4206">
        <v>55</v>
      </c>
      <c r="J4206">
        <v>58</v>
      </c>
      <c r="K4206">
        <v>3</v>
      </c>
      <c r="L4206">
        <v>194</v>
      </c>
      <c r="M4206">
        <v>60</v>
      </c>
      <c r="N4206">
        <v>2</v>
      </c>
      <c r="O4206">
        <v>2</v>
      </c>
      <c r="P4206">
        <v>12</v>
      </c>
      <c r="Q4206">
        <v>0.6</v>
      </c>
      <c r="R4206">
        <v>7</v>
      </c>
      <c r="S4206">
        <v>0.58333333333333337</v>
      </c>
      <c r="T4206">
        <v>3</v>
      </c>
      <c r="U4206">
        <v>14.5</v>
      </c>
      <c r="V4206">
        <v>2145.8823529411766</v>
      </c>
      <c r="W4206">
        <v>2</v>
      </c>
    </row>
    <row r="4207" spans="1:23" x14ac:dyDescent="0.2">
      <c r="A4207">
        <v>2022</v>
      </c>
      <c r="B4207" t="s">
        <v>23</v>
      </c>
      <c r="C4207" t="s">
        <v>272</v>
      </c>
      <c r="D4207">
        <v>207</v>
      </c>
      <c r="E4207">
        <v>2</v>
      </c>
      <c r="F4207">
        <v>5</v>
      </c>
      <c r="G4207" t="s">
        <v>232</v>
      </c>
      <c r="H4207" s="1">
        <v>16</v>
      </c>
      <c r="I4207" s="1">
        <v>68</v>
      </c>
      <c r="J4207" s="1">
        <v>71</v>
      </c>
      <c r="K4207" s="1">
        <f>J4207-I4207</f>
        <v>3</v>
      </c>
      <c r="L4207" s="1">
        <v>138</v>
      </c>
      <c r="M4207" s="1">
        <v>102</v>
      </c>
      <c r="N4207" s="1">
        <v>2</v>
      </c>
      <c r="O4207" s="1">
        <v>3</v>
      </c>
      <c r="P4207" s="1">
        <v>16</v>
      </c>
      <c r="Q4207" s="2">
        <v>1.728</v>
      </c>
      <c r="R4207" s="1">
        <v>12</v>
      </c>
      <c r="S4207" s="1">
        <f>R4207/P4207</f>
        <v>0.75</v>
      </c>
      <c r="T4207" s="1">
        <v>2</v>
      </c>
      <c r="U4207" s="1">
        <v>12.5</v>
      </c>
      <c r="V4207" s="1">
        <v>6324.7058823529405</v>
      </c>
      <c r="W4207" s="1">
        <v>2</v>
      </c>
    </row>
    <row r="4208" spans="1:23" x14ac:dyDescent="0.2">
      <c r="A4208">
        <v>2022</v>
      </c>
      <c r="B4208" t="s">
        <v>23</v>
      </c>
      <c r="C4208" t="s">
        <v>272</v>
      </c>
      <c r="D4208">
        <v>208</v>
      </c>
      <c r="E4208">
        <v>1</v>
      </c>
      <c r="F4208">
        <v>3</v>
      </c>
      <c r="G4208" t="s">
        <v>233</v>
      </c>
      <c r="H4208">
        <v>3</v>
      </c>
      <c r="I4208">
        <v>63</v>
      </c>
      <c r="J4208">
        <v>65</v>
      </c>
      <c r="K4208">
        <v>2</v>
      </c>
      <c r="L4208">
        <v>165</v>
      </c>
      <c r="M4208">
        <v>75</v>
      </c>
      <c r="N4208">
        <v>1.5</v>
      </c>
      <c r="O4208">
        <v>2.5</v>
      </c>
      <c r="P4208">
        <v>3</v>
      </c>
      <c r="Q4208">
        <v>0.2</v>
      </c>
      <c r="R4208">
        <v>2</v>
      </c>
      <c r="S4208">
        <v>0.66666666666666663</v>
      </c>
      <c r="T4208" t="s">
        <v>273</v>
      </c>
      <c r="U4208">
        <v>12.5</v>
      </c>
      <c r="V4208">
        <v>732.02614379084969</v>
      </c>
      <c r="W4208">
        <v>1</v>
      </c>
    </row>
    <row r="4209" spans="1:23" x14ac:dyDescent="0.2">
      <c r="A4209">
        <v>2022</v>
      </c>
      <c r="B4209" t="s">
        <v>23</v>
      </c>
      <c r="C4209" t="s">
        <v>272</v>
      </c>
      <c r="D4209">
        <v>208</v>
      </c>
      <c r="E4209">
        <v>2</v>
      </c>
      <c r="F4209">
        <v>12</v>
      </c>
      <c r="G4209" t="s">
        <v>233</v>
      </c>
      <c r="H4209" s="1">
        <v>3</v>
      </c>
      <c r="I4209" s="1">
        <v>63</v>
      </c>
      <c r="J4209" s="1">
        <v>65</v>
      </c>
      <c r="K4209" s="1">
        <f>J4209-I4209</f>
        <v>2</v>
      </c>
      <c r="L4209" s="1">
        <v>66</v>
      </c>
      <c r="M4209" s="1">
        <v>11</v>
      </c>
      <c r="N4209" s="1">
        <v>1.5</v>
      </c>
      <c r="O4209" s="1">
        <v>5</v>
      </c>
      <c r="P4209" s="1">
        <v>3</v>
      </c>
      <c r="Q4209" s="2">
        <v>1.4999999999999999E-2</v>
      </c>
      <c r="R4209" s="1">
        <v>3</v>
      </c>
      <c r="S4209" s="1">
        <f>R4209/P4209</f>
        <v>1</v>
      </c>
      <c r="T4209" s="1">
        <v>5</v>
      </c>
      <c r="U4209" s="1">
        <v>12.5</v>
      </c>
      <c r="V4209" s="1">
        <v>54.901960784313729</v>
      </c>
      <c r="W4209" s="1">
        <v>5</v>
      </c>
    </row>
    <row r="4210" spans="1:23" x14ac:dyDescent="0.2">
      <c r="A4210">
        <v>2022</v>
      </c>
      <c r="B4210" t="s">
        <v>23</v>
      </c>
      <c r="C4210" t="s">
        <v>272</v>
      </c>
      <c r="D4210">
        <v>209</v>
      </c>
      <c r="E4210">
        <v>1</v>
      </c>
      <c r="F4210">
        <v>11</v>
      </c>
      <c r="G4210" t="s">
        <v>234</v>
      </c>
      <c r="H4210" s="1">
        <v>9</v>
      </c>
      <c r="I4210" s="1">
        <v>59</v>
      </c>
      <c r="J4210" s="1">
        <v>64</v>
      </c>
      <c r="K4210" s="1">
        <f>J4210-I4210</f>
        <v>5</v>
      </c>
      <c r="L4210" s="1">
        <v>153</v>
      </c>
      <c r="M4210" s="1">
        <v>85</v>
      </c>
      <c r="N4210" s="1">
        <v>2</v>
      </c>
      <c r="O4210" s="1">
        <v>2</v>
      </c>
      <c r="P4210" s="1">
        <v>9</v>
      </c>
      <c r="Q4210" s="2">
        <v>0.56000000000000005</v>
      </c>
      <c r="R4210" s="1">
        <v>9</v>
      </c>
      <c r="S4210" s="1">
        <f>R4210/P4210</f>
        <v>1</v>
      </c>
      <c r="T4210" s="1">
        <v>3</v>
      </c>
      <c r="U4210" s="1">
        <v>7.8</v>
      </c>
      <c r="V4210" s="1">
        <v>2159.7699346405229</v>
      </c>
      <c r="W4210" s="1">
        <v>4</v>
      </c>
    </row>
    <row r="4211" spans="1:23" x14ac:dyDescent="0.2">
      <c r="A4211">
        <v>2022</v>
      </c>
      <c r="B4211" t="s">
        <v>23</v>
      </c>
      <c r="C4211" t="s">
        <v>272</v>
      </c>
      <c r="D4211">
        <v>209</v>
      </c>
      <c r="E4211">
        <v>2</v>
      </c>
      <c r="F4211">
        <v>8</v>
      </c>
      <c r="G4211" t="s">
        <v>234</v>
      </c>
      <c r="H4211" s="1">
        <v>6</v>
      </c>
      <c r="I4211" s="1">
        <v>68</v>
      </c>
      <c r="J4211" s="1">
        <v>69</v>
      </c>
      <c r="K4211" s="1">
        <f>J4211-I4211</f>
        <v>1</v>
      </c>
      <c r="L4211" s="1">
        <v>145</v>
      </c>
      <c r="M4211" s="1">
        <v>55</v>
      </c>
      <c r="N4211" s="1">
        <v>2.5</v>
      </c>
      <c r="O4211" s="1">
        <v>4</v>
      </c>
      <c r="P4211" s="1">
        <v>4</v>
      </c>
      <c r="Q4211" s="2">
        <v>0.38959999999999995</v>
      </c>
      <c r="R4211" s="1">
        <v>3</v>
      </c>
      <c r="S4211" s="1">
        <f>R4211/P4211</f>
        <v>0.75</v>
      </c>
      <c r="T4211" s="1">
        <v>2</v>
      </c>
      <c r="U4211" s="1">
        <v>12.5</v>
      </c>
      <c r="V4211" s="1">
        <v>1425.9869281045749</v>
      </c>
      <c r="W4211" s="1">
        <v>3</v>
      </c>
    </row>
    <row r="4212" spans="1:23" x14ac:dyDescent="0.2">
      <c r="A4212">
        <v>2022</v>
      </c>
      <c r="B4212" t="s">
        <v>23</v>
      </c>
      <c r="C4212" t="s">
        <v>272</v>
      </c>
      <c r="D4212">
        <v>210</v>
      </c>
      <c r="E4212">
        <v>1</v>
      </c>
      <c r="F4212">
        <v>15</v>
      </c>
      <c r="G4212" t="s">
        <v>235</v>
      </c>
      <c r="H4212" s="1">
        <v>5</v>
      </c>
      <c r="I4212" s="1">
        <v>58</v>
      </c>
      <c r="J4212" s="1">
        <v>61</v>
      </c>
      <c r="K4212" s="1">
        <f>J4212-I4212</f>
        <v>3</v>
      </c>
      <c r="L4212" s="1">
        <v>101</v>
      </c>
      <c r="M4212" s="1">
        <v>40</v>
      </c>
      <c r="N4212" s="1">
        <v>1.5</v>
      </c>
      <c r="O4212" s="1">
        <v>5</v>
      </c>
      <c r="P4212" s="1">
        <v>2</v>
      </c>
      <c r="Q4212" s="2">
        <v>1.35E-2</v>
      </c>
      <c r="R4212" s="1">
        <v>1</v>
      </c>
      <c r="S4212" s="1">
        <f>R4212/P4212</f>
        <v>0.5</v>
      </c>
      <c r="T4212" s="1">
        <v>5</v>
      </c>
      <c r="U4212" s="1">
        <v>12.5</v>
      </c>
      <c r="V4212" s="1">
        <v>49.411764705882348</v>
      </c>
      <c r="W4212" s="1">
        <v>6</v>
      </c>
    </row>
    <row r="4213" spans="1:23" x14ac:dyDescent="0.2">
      <c r="A4213">
        <v>2022</v>
      </c>
      <c r="B4213" t="s">
        <v>23</v>
      </c>
      <c r="C4213" t="s">
        <v>272</v>
      </c>
      <c r="D4213">
        <v>210</v>
      </c>
      <c r="E4213">
        <v>2</v>
      </c>
      <c r="F4213">
        <v>10</v>
      </c>
      <c r="G4213" t="s">
        <v>235</v>
      </c>
      <c r="H4213" s="1">
        <v>5</v>
      </c>
      <c r="I4213" s="1">
        <v>61</v>
      </c>
      <c r="J4213" s="1">
        <v>65</v>
      </c>
      <c r="K4213" s="1">
        <f>J4213-I4213</f>
        <v>4</v>
      </c>
      <c r="L4213" s="1">
        <v>104</v>
      </c>
      <c r="M4213" s="1">
        <v>43</v>
      </c>
      <c r="N4213" s="1">
        <v>3</v>
      </c>
      <c r="O4213" s="1">
        <v>4</v>
      </c>
      <c r="P4213" s="1">
        <v>3</v>
      </c>
      <c r="Q4213" s="2">
        <v>3.8549999999999994E-2</v>
      </c>
      <c r="R4213" s="1">
        <v>3</v>
      </c>
      <c r="S4213" s="1">
        <f>R4213/P4213</f>
        <v>1</v>
      </c>
      <c r="T4213" s="1">
        <v>5</v>
      </c>
      <c r="U4213" s="1">
        <v>12.5</v>
      </c>
      <c r="V4213" s="1">
        <v>141.09803921568627</v>
      </c>
      <c r="W4213" s="1">
        <v>5</v>
      </c>
    </row>
    <row r="4214" spans="1:23" x14ac:dyDescent="0.2">
      <c r="A4214">
        <v>2022</v>
      </c>
      <c r="B4214" t="s">
        <v>23</v>
      </c>
      <c r="C4214" t="s">
        <v>272</v>
      </c>
      <c r="D4214">
        <v>211</v>
      </c>
      <c r="E4214">
        <v>1</v>
      </c>
      <c r="F4214">
        <v>1</v>
      </c>
      <c r="G4214" t="s">
        <v>236</v>
      </c>
      <c r="H4214">
        <v>10</v>
      </c>
      <c r="I4214">
        <v>63</v>
      </c>
      <c r="J4214">
        <v>65</v>
      </c>
      <c r="K4214">
        <v>2</v>
      </c>
      <c r="L4214">
        <v>135</v>
      </c>
      <c r="M4214">
        <v>66</v>
      </c>
      <c r="N4214">
        <v>1.5</v>
      </c>
      <c r="O4214">
        <v>4</v>
      </c>
      <c r="P4214">
        <v>10</v>
      </c>
      <c r="Q4214">
        <v>1.5</v>
      </c>
      <c r="R4214">
        <v>12</v>
      </c>
      <c r="S4214">
        <v>1.2</v>
      </c>
      <c r="T4214">
        <v>2.5</v>
      </c>
      <c r="U4214">
        <v>12.5</v>
      </c>
      <c r="V4214">
        <v>5490.1960784313724</v>
      </c>
      <c r="W4214">
        <v>2</v>
      </c>
    </row>
    <row r="4215" spans="1:23" x14ac:dyDescent="0.2">
      <c r="A4215">
        <v>2022</v>
      </c>
      <c r="B4215" t="s">
        <v>23</v>
      </c>
      <c r="C4215" t="s">
        <v>272</v>
      </c>
      <c r="D4215">
        <v>211</v>
      </c>
      <c r="E4215">
        <v>2</v>
      </c>
      <c r="F4215">
        <v>14</v>
      </c>
      <c r="G4215" t="s">
        <v>236</v>
      </c>
      <c r="H4215">
        <v>14</v>
      </c>
      <c r="I4215">
        <v>56</v>
      </c>
      <c r="J4215">
        <v>60</v>
      </c>
      <c r="K4215">
        <v>4</v>
      </c>
      <c r="L4215">
        <v>184</v>
      </c>
      <c r="M4215">
        <v>95</v>
      </c>
      <c r="N4215">
        <v>1.5</v>
      </c>
      <c r="O4215">
        <v>4</v>
      </c>
      <c r="P4215">
        <v>13</v>
      </c>
      <c r="Q4215">
        <v>1</v>
      </c>
      <c r="R4215">
        <v>13</v>
      </c>
      <c r="S4215">
        <v>1</v>
      </c>
      <c r="T4215">
        <v>2.5</v>
      </c>
      <c r="U4215">
        <v>12.5</v>
      </c>
      <c r="V4215">
        <v>3660.1307189542486</v>
      </c>
      <c r="W4215">
        <v>2</v>
      </c>
    </row>
    <row r="4216" spans="1:23" x14ac:dyDescent="0.2">
      <c r="A4216">
        <v>2022</v>
      </c>
      <c r="B4216" t="s">
        <v>23</v>
      </c>
      <c r="C4216" t="s">
        <v>272</v>
      </c>
      <c r="D4216">
        <v>212</v>
      </c>
      <c r="E4216">
        <v>1</v>
      </c>
      <c r="F4216">
        <v>13</v>
      </c>
      <c r="G4216" t="s">
        <v>237</v>
      </c>
      <c r="H4216">
        <v>12</v>
      </c>
      <c r="I4216">
        <v>56</v>
      </c>
      <c r="J4216">
        <v>61</v>
      </c>
      <c r="K4216">
        <v>5</v>
      </c>
      <c r="L4216">
        <v>170</v>
      </c>
      <c r="M4216">
        <v>53</v>
      </c>
      <c r="N4216">
        <v>3</v>
      </c>
      <c r="O4216">
        <v>3</v>
      </c>
      <c r="P4216">
        <v>10</v>
      </c>
      <c r="Q4216">
        <v>1.3180000000000001</v>
      </c>
      <c r="R4216">
        <v>10</v>
      </c>
      <c r="S4216">
        <v>1</v>
      </c>
      <c r="T4216">
        <v>2</v>
      </c>
      <c r="U4216">
        <v>12.5</v>
      </c>
      <c r="V4216">
        <v>4824.0522875816996</v>
      </c>
      <c r="W4216">
        <v>2</v>
      </c>
    </row>
    <row r="4217" spans="1:23" x14ac:dyDescent="0.2">
      <c r="A4217">
        <v>2022</v>
      </c>
      <c r="B4217" t="s">
        <v>23</v>
      </c>
      <c r="C4217" t="s">
        <v>272</v>
      </c>
      <c r="D4217">
        <v>212</v>
      </c>
      <c r="E4217">
        <v>2</v>
      </c>
      <c r="F4217">
        <v>5</v>
      </c>
      <c r="G4217" t="s">
        <v>237</v>
      </c>
      <c r="H4217" s="1">
        <v>12</v>
      </c>
      <c r="I4217" s="1">
        <v>66</v>
      </c>
      <c r="J4217" s="1">
        <v>71</v>
      </c>
      <c r="K4217" s="1">
        <f>J4217-I4217</f>
        <v>5</v>
      </c>
      <c r="L4217" s="1">
        <v>158</v>
      </c>
      <c r="M4217" s="1">
        <v>46</v>
      </c>
      <c r="N4217" s="1">
        <v>3.5</v>
      </c>
      <c r="O4217" s="1">
        <v>4.5</v>
      </c>
      <c r="P4217" s="1">
        <v>8</v>
      </c>
      <c r="Q4217" s="2">
        <v>0.182</v>
      </c>
      <c r="R4217" s="1">
        <v>7</v>
      </c>
      <c r="S4217" s="1">
        <f>R4217/P4217</f>
        <v>0.875</v>
      </c>
      <c r="T4217" s="1">
        <v>5</v>
      </c>
      <c r="U4217" s="1">
        <v>12.5</v>
      </c>
      <c r="V4217" s="1">
        <v>666.14379084967322</v>
      </c>
      <c r="W4217" s="1">
        <v>5</v>
      </c>
    </row>
    <row r="4218" spans="1:23" x14ac:dyDescent="0.2">
      <c r="A4218">
        <v>2022</v>
      </c>
      <c r="B4218" t="s">
        <v>23</v>
      </c>
      <c r="C4218" t="s">
        <v>272</v>
      </c>
      <c r="D4218">
        <v>213</v>
      </c>
      <c r="E4218">
        <v>1</v>
      </c>
      <c r="F4218">
        <v>9</v>
      </c>
      <c r="G4218" t="s">
        <v>238</v>
      </c>
      <c r="H4218" s="1">
        <v>8</v>
      </c>
      <c r="I4218" s="1">
        <v>67</v>
      </c>
      <c r="J4218" s="1">
        <v>72</v>
      </c>
      <c r="K4218" s="1">
        <f>J4218-I4218</f>
        <v>5</v>
      </c>
      <c r="L4218" s="1">
        <v>116</v>
      </c>
      <c r="M4218" s="1">
        <v>41</v>
      </c>
      <c r="N4218" s="1">
        <v>2</v>
      </c>
      <c r="O4218" s="1">
        <v>4.5</v>
      </c>
      <c r="P4218" s="1">
        <v>6</v>
      </c>
      <c r="Q4218" s="2">
        <v>0.13500000000000001</v>
      </c>
      <c r="R4218" s="1">
        <v>5</v>
      </c>
      <c r="S4218" s="1">
        <f>R4218/P4218</f>
        <v>0.83333333333333337</v>
      </c>
      <c r="T4218" s="1">
        <v>3</v>
      </c>
      <c r="U4218" s="1">
        <v>12.5</v>
      </c>
      <c r="V4218" s="1">
        <v>494.11764705882354</v>
      </c>
      <c r="W4218" s="1">
        <v>5</v>
      </c>
    </row>
    <row r="4219" spans="1:23" x14ac:dyDescent="0.2">
      <c r="A4219">
        <v>2022</v>
      </c>
      <c r="B4219" t="s">
        <v>23</v>
      </c>
      <c r="C4219" t="s">
        <v>272</v>
      </c>
      <c r="D4219">
        <v>213</v>
      </c>
      <c r="E4219">
        <v>2</v>
      </c>
      <c r="F4219">
        <v>6</v>
      </c>
      <c r="G4219" t="s">
        <v>238</v>
      </c>
      <c r="H4219">
        <v>15</v>
      </c>
      <c r="I4219">
        <v>56</v>
      </c>
      <c r="J4219">
        <v>60</v>
      </c>
      <c r="K4219">
        <v>4</v>
      </c>
      <c r="L4219">
        <v>183</v>
      </c>
      <c r="M4219">
        <v>81</v>
      </c>
      <c r="N4219">
        <v>1</v>
      </c>
      <c r="O4219">
        <v>1.5</v>
      </c>
      <c r="P4219">
        <v>12</v>
      </c>
      <c r="Q4219">
        <v>1.1000000000000001</v>
      </c>
      <c r="R4219">
        <v>11</v>
      </c>
      <c r="S4219">
        <v>0.91666666666666663</v>
      </c>
      <c r="T4219">
        <v>3</v>
      </c>
      <c r="U4219">
        <v>8.6</v>
      </c>
      <c r="V4219">
        <v>4205.594771241831</v>
      </c>
      <c r="W4219">
        <v>1</v>
      </c>
    </row>
    <row r="4220" spans="1:23" x14ac:dyDescent="0.2">
      <c r="A4220">
        <v>2022</v>
      </c>
      <c r="B4220" t="s">
        <v>23</v>
      </c>
      <c r="C4220" t="s">
        <v>272</v>
      </c>
      <c r="D4220">
        <v>214</v>
      </c>
      <c r="E4220">
        <v>1</v>
      </c>
      <c r="F4220">
        <v>11</v>
      </c>
      <c r="G4220" t="s">
        <v>239</v>
      </c>
      <c r="H4220" s="1">
        <v>16</v>
      </c>
      <c r="I4220" s="1">
        <v>72</v>
      </c>
      <c r="J4220" s="1">
        <v>76</v>
      </c>
      <c r="K4220" s="1">
        <f>J4220-I4220</f>
        <v>4</v>
      </c>
      <c r="L4220" s="1">
        <v>110</v>
      </c>
      <c r="M4220" s="1">
        <v>50</v>
      </c>
      <c r="N4220" s="1">
        <v>2</v>
      </c>
      <c r="O4220" s="1">
        <v>4</v>
      </c>
      <c r="P4220" s="1">
        <v>8</v>
      </c>
      <c r="Q4220" s="2">
        <v>0.188</v>
      </c>
      <c r="R4220" s="1">
        <v>7</v>
      </c>
      <c r="S4220" s="1">
        <f>R4220/P4220</f>
        <v>0.875</v>
      </c>
      <c r="T4220" s="1">
        <v>5</v>
      </c>
      <c r="U4220" s="1">
        <v>12.5</v>
      </c>
      <c r="V4220" s="1">
        <v>688.10457516339875</v>
      </c>
      <c r="W4220" s="1">
        <v>5</v>
      </c>
    </row>
    <row r="4221" spans="1:23" x14ac:dyDescent="0.2">
      <c r="A4221">
        <v>2022</v>
      </c>
      <c r="B4221" t="s">
        <v>23</v>
      </c>
      <c r="C4221" t="s">
        <v>272</v>
      </c>
      <c r="D4221">
        <v>214</v>
      </c>
      <c r="E4221">
        <v>2</v>
      </c>
      <c r="F4221">
        <v>11</v>
      </c>
      <c r="G4221" t="s">
        <v>239</v>
      </c>
      <c r="H4221" s="1">
        <v>14</v>
      </c>
      <c r="I4221" s="1">
        <v>54</v>
      </c>
      <c r="J4221" s="1">
        <v>59</v>
      </c>
      <c r="K4221" s="1">
        <f>J4221-I4221</f>
        <v>5</v>
      </c>
      <c r="L4221" s="1">
        <v>102</v>
      </c>
      <c r="M4221" s="1">
        <v>41</v>
      </c>
      <c r="N4221" s="1">
        <v>1.5</v>
      </c>
      <c r="O4221" s="1">
        <v>4</v>
      </c>
      <c r="P4221" s="1">
        <v>10</v>
      </c>
      <c r="Q4221" s="2">
        <v>0.57999999999999996</v>
      </c>
      <c r="R4221" s="1">
        <v>7</v>
      </c>
      <c r="S4221" s="1">
        <f>R4221/P4221</f>
        <v>0.7</v>
      </c>
      <c r="T4221" s="1">
        <v>2.5</v>
      </c>
      <c r="U4221" s="1">
        <v>12.5</v>
      </c>
      <c r="V4221" s="1">
        <v>2122.875816993464</v>
      </c>
      <c r="W4221" s="1">
        <v>5</v>
      </c>
    </row>
    <row r="4222" spans="1:23" x14ac:dyDescent="0.2">
      <c r="A4222">
        <v>2022</v>
      </c>
      <c r="B4222" t="s">
        <v>23</v>
      </c>
      <c r="C4222" t="s">
        <v>272</v>
      </c>
      <c r="D4222">
        <v>215</v>
      </c>
      <c r="E4222">
        <v>1</v>
      </c>
      <c r="F4222">
        <v>10</v>
      </c>
      <c r="G4222" t="s">
        <v>240</v>
      </c>
      <c r="H4222" s="1">
        <v>2</v>
      </c>
      <c r="I4222" s="1">
        <v>66</v>
      </c>
      <c r="J4222" s="1">
        <v>70</v>
      </c>
      <c r="K4222" s="1">
        <f>J4222-I4222</f>
        <v>4</v>
      </c>
      <c r="L4222" s="1">
        <v>120</v>
      </c>
      <c r="M4222" s="1">
        <v>75</v>
      </c>
      <c r="N4222" s="1">
        <v>2</v>
      </c>
      <c r="O4222" s="1">
        <v>2.5</v>
      </c>
      <c r="P4222" s="1">
        <v>2</v>
      </c>
      <c r="Q4222" s="2">
        <v>0.16950000000000001</v>
      </c>
      <c r="R4222" s="1">
        <v>3</v>
      </c>
      <c r="S4222" s="1">
        <f>R4222/P4222</f>
        <v>1.5</v>
      </c>
      <c r="T4222" s="1">
        <v>4</v>
      </c>
      <c r="U4222" s="1">
        <v>7.5</v>
      </c>
      <c r="V4222" s="1">
        <v>655.84313725490199</v>
      </c>
      <c r="W4222" s="1">
        <v>3</v>
      </c>
    </row>
    <row r="4223" spans="1:23" x14ac:dyDescent="0.2">
      <c r="A4223">
        <v>2022</v>
      </c>
      <c r="B4223" t="s">
        <v>23</v>
      </c>
      <c r="C4223" t="s">
        <v>272</v>
      </c>
      <c r="D4223">
        <v>215</v>
      </c>
      <c r="E4223">
        <v>2</v>
      </c>
      <c r="F4223">
        <v>4</v>
      </c>
      <c r="G4223" t="s">
        <v>240</v>
      </c>
      <c r="H4223">
        <v>12</v>
      </c>
      <c r="I4223">
        <v>55</v>
      </c>
      <c r="J4223">
        <v>57</v>
      </c>
      <c r="K4223">
        <v>2</v>
      </c>
      <c r="L4223">
        <v>175</v>
      </c>
      <c r="M4223">
        <v>59</v>
      </c>
      <c r="N4223">
        <v>1.5</v>
      </c>
      <c r="O4223">
        <v>2</v>
      </c>
      <c r="P4223">
        <v>12</v>
      </c>
      <c r="Q4223">
        <v>0.8</v>
      </c>
      <c r="R4223">
        <v>13</v>
      </c>
      <c r="S4223">
        <v>1.0833333333333333</v>
      </c>
      <c r="T4223">
        <v>2.5</v>
      </c>
      <c r="U4223">
        <v>12.5</v>
      </c>
      <c r="V4223">
        <v>2928.1045751633987</v>
      </c>
      <c r="W4223">
        <v>2</v>
      </c>
    </row>
    <row r="4224" spans="1:23" x14ac:dyDescent="0.2">
      <c r="A4224">
        <v>2022</v>
      </c>
      <c r="B4224" t="s">
        <v>23</v>
      </c>
      <c r="C4224" t="s">
        <v>272</v>
      </c>
      <c r="D4224">
        <v>216</v>
      </c>
      <c r="E4224">
        <v>1</v>
      </c>
      <c r="F4224">
        <v>6</v>
      </c>
      <c r="G4224" t="s">
        <v>241</v>
      </c>
      <c r="H4224">
        <v>1</v>
      </c>
      <c r="I4224">
        <v>60</v>
      </c>
      <c r="J4224">
        <v>63</v>
      </c>
      <c r="K4224">
        <v>3</v>
      </c>
      <c r="L4224">
        <v>90</v>
      </c>
      <c r="M4224">
        <v>22</v>
      </c>
      <c r="N4224">
        <v>2</v>
      </c>
      <c r="O4224">
        <v>3</v>
      </c>
      <c r="P4224">
        <v>1</v>
      </c>
      <c r="Q4224">
        <v>0.1</v>
      </c>
      <c r="R4224">
        <v>1</v>
      </c>
      <c r="S4224">
        <v>1</v>
      </c>
      <c r="T4224">
        <v>3</v>
      </c>
      <c r="U4224">
        <v>12.5</v>
      </c>
      <c r="V4224">
        <v>366.01307189542484</v>
      </c>
      <c r="W4224">
        <v>1</v>
      </c>
    </row>
    <row r="4225" spans="1:23" x14ac:dyDescent="0.2">
      <c r="A4225">
        <v>2022</v>
      </c>
      <c r="B4225" t="s">
        <v>23</v>
      </c>
      <c r="C4225" t="s">
        <v>272</v>
      </c>
      <c r="D4225">
        <v>216</v>
      </c>
      <c r="E4225">
        <v>2</v>
      </c>
      <c r="F4225">
        <v>10</v>
      </c>
      <c r="G4225" t="s">
        <v>241</v>
      </c>
      <c r="H4225">
        <v>7</v>
      </c>
      <c r="I4225">
        <v>59</v>
      </c>
      <c r="J4225">
        <v>60</v>
      </c>
      <c r="K4225">
        <v>1</v>
      </c>
      <c r="L4225">
        <v>194</v>
      </c>
      <c r="M4225">
        <v>100</v>
      </c>
      <c r="N4225">
        <v>2</v>
      </c>
      <c r="O4225">
        <v>2.5</v>
      </c>
      <c r="P4225">
        <v>9</v>
      </c>
      <c r="Q4225">
        <v>1.2</v>
      </c>
      <c r="R4225">
        <v>8</v>
      </c>
      <c r="S4225">
        <v>0.88888888888888884</v>
      </c>
      <c r="T4225">
        <v>2</v>
      </c>
      <c r="U4225">
        <v>16.5</v>
      </c>
      <c r="V4225">
        <v>4191.3725490196075</v>
      </c>
      <c r="W4225">
        <v>1</v>
      </c>
    </row>
    <row r="4226" spans="1:23" x14ac:dyDescent="0.2">
      <c r="A4226">
        <v>2022</v>
      </c>
      <c r="B4226" t="s">
        <v>23</v>
      </c>
      <c r="C4226" t="s">
        <v>272</v>
      </c>
      <c r="D4226">
        <v>217</v>
      </c>
      <c r="E4226">
        <v>1</v>
      </c>
      <c r="F4226">
        <v>14</v>
      </c>
      <c r="G4226" t="s">
        <v>242</v>
      </c>
      <c r="H4226">
        <v>4</v>
      </c>
      <c r="I4226">
        <v>63</v>
      </c>
      <c r="J4226">
        <v>65</v>
      </c>
      <c r="K4226">
        <v>2</v>
      </c>
      <c r="L4226">
        <v>125</v>
      </c>
      <c r="M4226">
        <v>71</v>
      </c>
      <c r="N4226">
        <v>1.5</v>
      </c>
      <c r="O4226">
        <v>3.5</v>
      </c>
      <c r="P4226">
        <v>4</v>
      </c>
      <c r="Q4226">
        <v>0.7</v>
      </c>
      <c r="R4226">
        <v>5</v>
      </c>
      <c r="S4226">
        <v>1.25</v>
      </c>
      <c r="T4226">
        <v>2.5</v>
      </c>
      <c r="U4226">
        <v>12.5</v>
      </c>
      <c r="V4226">
        <v>2562.0915032679736</v>
      </c>
      <c r="W4226">
        <v>1</v>
      </c>
    </row>
    <row r="4227" spans="1:23" x14ac:dyDescent="0.2">
      <c r="A4227">
        <v>2022</v>
      </c>
      <c r="B4227" t="s">
        <v>23</v>
      </c>
      <c r="C4227" t="s">
        <v>272</v>
      </c>
      <c r="D4227">
        <v>217</v>
      </c>
      <c r="E4227">
        <v>2</v>
      </c>
      <c r="F4227">
        <v>12</v>
      </c>
      <c r="G4227" t="s">
        <v>242</v>
      </c>
      <c r="H4227">
        <v>12</v>
      </c>
      <c r="I4227">
        <v>56</v>
      </c>
      <c r="J4227">
        <v>58</v>
      </c>
      <c r="K4227">
        <v>2</v>
      </c>
      <c r="L4227">
        <v>86</v>
      </c>
      <c r="M4227">
        <v>34</v>
      </c>
      <c r="N4227">
        <v>2</v>
      </c>
      <c r="O4227">
        <v>3</v>
      </c>
      <c r="P4227">
        <v>10</v>
      </c>
      <c r="Q4227">
        <v>1.49</v>
      </c>
      <c r="R4227">
        <v>13</v>
      </c>
      <c r="S4227">
        <v>1.3</v>
      </c>
      <c r="T4227">
        <v>3</v>
      </c>
      <c r="U4227">
        <v>12.5</v>
      </c>
      <c r="V4227">
        <v>5453.5947712418301</v>
      </c>
      <c r="W4227">
        <v>1</v>
      </c>
    </row>
    <row r="4228" spans="1:23" x14ac:dyDescent="0.2">
      <c r="A4228">
        <v>2022</v>
      </c>
      <c r="B4228" t="s">
        <v>23</v>
      </c>
      <c r="C4228" t="s">
        <v>272</v>
      </c>
      <c r="D4228">
        <v>218</v>
      </c>
      <c r="E4228">
        <v>1</v>
      </c>
      <c r="F4228">
        <v>2</v>
      </c>
      <c r="G4228" t="s">
        <v>243</v>
      </c>
      <c r="H4228" s="1">
        <v>12</v>
      </c>
      <c r="I4228" s="1">
        <v>62</v>
      </c>
      <c r="J4228" s="1">
        <v>65</v>
      </c>
      <c r="K4228" s="1">
        <f>J4228-I4228</f>
        <v>3</v>
      </c>
      <c r="L4228" s="1">
        <v>131</v>
      </c>
      <c r="M4228" s="1">
        <v>31</v>
      </c>
      <c r="N4228" s="1">
        <v>2</v>
      </c>
      <c r="O4228" s="1">
        <v>4</v>
      </c>
      <c r="P4228" s="1">
        <v>8</v>
      </c>
      <c r="Q4228" s="2">
        <v>0.39800000000000002</v>
      </c>
      <c r="R4228" s="1">
        <v>8</v>
      </c>
      <c r="S4228" s="1">
        <f>R4228/P4228</f>
        <v>1</v>
      </c>
      <c r="T4228" s="1">
        <v>3.5</v>
      </c>
      <c r="U4228" s="1">
        <v>12.5</v>
      </c>
      <c r="V4228" s="1">
        <v>1456.7320261437908</v>
      </c>
      <c r="W4228" s="1">
        <v>5</v>
      </c>
    </row>
    <row r="4229" spans="1:23" x14ac:dyDescent="0.2">
      <c r="A4229">
        <v>2022</v>
      </c>
      <c r="B4229" t="s">
        <v>23</v>
      </c>
      <c r="C4229" t="s">
        <v>272</v>
      </c>
      <c r="D4229">
        <v>218</v>
      </c>
      <c r="E4229">
        <v>2</v>
      </c>
      <c r="F4229">
        <v>15</v>
      </c>
      <c r="G4229" t="s">
        <v>243</v>
      </c>
      <c r="H4229">
        <v>8</v>
      </c>
      <c r="I4229">
        <v>63</v>
      </c>
      <c r="J4229">
        <v>65</v>
      </c>
      <c r="K4229">
        <v>2</v>
      </c>
      <c r="L4229">
        <v>125</v>
      </c>
      <c r="M4229">
        <v>71</v>
      </c>
      <c r="N4229">
        <v>2</v>
      </c>
      <c r="O4229">
        <v>3</v>
      </c>
      <c r="P4229">
        <v>8</v>
      </c>
      <c r="Q4229">
        <v>0.5</v>
      </c>
      <c r="R4229">
        <v>8</v>
      </c>
      <c r="S4229">
        <v>1</v>
      </c>
      <c r="T4229">
        <v>3</v>
      </c>
      <c r="U4229">
        <v>12.5</v>
      </c>
      <c r="V4229">
        <v>1830.0653594771243</v>
      </c>
      <c r="W4229">
        <v>1</v>
      </c>
    </row>
    <row r="4230" spans="1:23" x14ac:dyDescent="0.2">
      <c r="A4230">
        <v>2022</v>
      </c>
      <c r="B4230" t="s">
        <v>23</v>
      </c>
      <c r="C4230" t="s">
        <v>272</v>
      </c>
      <c r="D4230">
        <v>219</v>
      </c>
      <c r="E4230">
        <v>1</v>
      </c>
      <c r="F4230">
        <v>13</v>
      </c>
      <c r="G4230" t="s">
        <v>244</v>
      </c>
      <c r="H4230" s="1">
        <v>4</v>
      </c>
      <c r="I4230" s="1">
        <v>68</v>
      </c>
      <c r="J4230" s="1">
        <v>73</v>
      </c>
      <c r="K4230" s="1">
        <f>J4230-I4230</f>
        <v>5</v>
      </c>
      <c r="L4230" s="1">
        <v>110</v>
      </c>
      <c r="M4230" s="1">
        <v>77</v>
      </c>
      <c r="N4230" s="1">
        <v>2</v>
      </c>
      <c r="O4230" s="1">
        <v>3.5</v>
      </c>
      <c r="P4230" s="1">
        <v>4</v>
      </c>
      <c r="Q4230" s="2">
        <v>0.108225</v>
      </c>
      <c r="R4230" s="1">
        <v>4</v>
      </c>
      <c r="S4230" s="1">
        <f>R4230/P4230</f>
        <v>1</v>
      </c>
      <c r="T4230" s="1">
        <v>5</v>
      </c>
      <c r="U4230" s="1">
        <v>12.5</v>
      </c>
      <c r="V4230" s="1">
        <v>396.11764705882365</v>
      </c>
      <c r="W4230" s="1">
        <v>5</v>
      </c>
    </row>
    <row r="4231" spans="1:23" x14ac:dyDescent="0.2">
      <c r="A4231">
        <v>2022</v>
      </c>
      <c r="B4231" t="s">
        <v>23</v>
      </c>
      <c r="C4231" t="s">
        <v>272</v>
      </c>
      <c r="D4231">
        <v>219</v>
      </c>
      <c r="E4231">
        <v>2</v>
      </c>
      <c r="F4231">
        <v>2</v>
      </c>
      <c r="G4231" t="s">
        <v>244</v>
      </c>
      <c r="H4231">
        <v>13</v>
      </c>
      <c r="I4231">
        <v>60</v>
      </c>
      <c r="J4231">
        <v>63</v>
      </c>
      <c r="K4231">
        <v>3</v>
      </c>
      <c r="L4231">
        <v>130</v>
      </c>
      <c r="M4231">
        <v>70</v>
      </c>
      <c r="N4231">
        <v>1.5</v>
      </c>
      <c r="O4231">
        <v>2</v>
      </c>
      <c r="P4231">
        <v>13</v>
      </c>
      <c r="Q4231">
        <v>1.6</v>
      </c>
      <c r="R4231">
        <v>14</v>
      </c>
      <c r="S4231">
        <v>1.0769230769230769</v>
      </c>
      <c r="T4231">
        <v>2.5</v>
      </c>
      <c r="U4231">
        <v>12.5</v>
      </c>
      <c r="V4231">
        <v>5856.2091503267975</v>
      </c>
      <c r="W4231">
        <v>1</v>
      </c>
    </row>
    <row r="4232" spans="1:23" x14ac:dyDescent="0.2">
      <c r="A4232">
        <v>2022</v>
      </c>
      <c r="B4232" t="s">
        <v>23</v>
      </c>
      <c r="C4232" t="s">
        <v>272</v>
      </c>
      <c r="D4232">
        <v>220</v>
      </c>
      <c r="E4232">
        <v>1</v>
      </c>
      <c r="F4232">
        <v>11</v>
      </c>
      <c r="G4232" t="s">
        <v>245</v>
      </c>
      <c r="H4232" s="1">
        <v>11</v>
      </c>
      <c r="I4232" s="1">
        <v>64</v>
      </c>
      <c r="J4232" s="1">
        <v>67</v>
      </c>
      <c r="K4232" s="1">
        <f>J4232-I4232</f>
        <v>3</v>
      </c>
      <c r="L4232" s="1">
        <v>106</v>
      </c>
      <c r="M4232" s="1">
        <v>36</v>
      </c>
      <c r="N4232" s="1">
        <v>3</v>
      </c>
      <c r="O4232" s="1">
        <v>4.5</v>
      </c>
      <c r="P4232" s="1">
        <v>8</v>
      </c>
      <c r="Q4232" s="2">
        <v>0.35249999999999998</v>
      </c>
      <c r="R4232" s="1">
        <v>9</v>
      </c>
      <c r="S4232" s="1">
        <f>R4232/P4232</f>
        <v>1.125</v>
      </c>
      <c r="T4232" s="1">
        <v>4</v>
      </c>
      <c r="U4232" s="1">
        <v>12.5</v>
      </c>
      <c r="V4232" s="1">
        <v>1290.1960784313726</v>
      </c>
      <c r="W4232" s="1">
        <v>5</v>
      </c>
    </row>
    <row r="4233" spans="1:23" x14ac:dyDescent="0.2">
      <c r="A4233">
        <v>2022</v>
      </c>
      <c r="B4233" t="s">
        <v>23</v>
      </c>
      <c r="C4233" t="s">
        <v>272</v>
      </c>
      <c r="D4233">
        <v>220</v>
      </c>
      <c r="E4233">
        <v>2</v>
      </c>
      <c r="F4233">
        <v>14</v>
      </c>
      <c r="G4233" t="s">
        <v>245</v>
      </c>
      <c r="H4233">
        <v>8</v>
      </c>
      <c r="I4233">
        <v>55</v>
      </c>
      <c r="J4233">
        <v>56</v>
      </c>
      <c r="K4233">
        <v>1</v>
      </c>
      <c r="L4233">
        <v>160</v>
      </c>
      <c r="M4233">
        <v>60</v>
      </c>
      <c r="N4233">
        <v>2</v>
      </c>
      <c r="O4233">
        <v>2</v>
      </c>
      <c r="P4233">
        <v>8</v>
      </c>
      <c r="Q4233">
        <v>0.745</v>
      </c>
      <c r="R4233">
        <v>10</v>
      </c>
      <c r="S4233">
        <v>1.25</v>
      </c>
      <c r="T4233">
        <v>3</v>
      </c>
      <c r="U4233">
        <v>12.5</v>
      </c>
      <c r="V4233">
        <v>2726.7973856209151</v>
      </c>
      <c r="W4233">
        <v>2</v>
      </c>
    </row>
    <row r="4234" spans="1:23" x14ac:dyDescent="0.2">
      <c r="A4234">
        <v>2022</v>
      </c>
      <c r="B4234" t="s">
        <v>23</v>
      </c>
      <c r="C4234" t="s">
        <v>272</v>
      </c>
      <c r="D4234">
        <v>221</v>
      </c>
      <c r="E4234">
        <v>1</v>
      </c>
      <c r="F4234">
        <v>11</v>
      </c>
      <c r="G4234" t="s">
        <v>246</v>
      </c>
      <c r="H4234" s="1">
        <v>12</v>
      </c>
      <c r="I4234" s="1">
        <v>62</v>
      </c>
      <c r="J4234" s="1">
        <v>67</v>
      </c>
      <c r="K4234" s="1">
        <f>J4234-I4234</f>
        <v>5</v>
      </c>
      <c r="L4234" s="1">
        <v>133</v>
      </c>
      <c r="M4234" s="1">
        <v>76</v>
      </c>
      <c r="N4234" s="1">
        <v>2</v>
      </c>
      <c r="O4234" s="1">
        <v>2.5</v>
      </c>
      <c r="P4234" s="1">
        <v>12</v>
      </c>
      <c r="Q4234" s="2">
        <v>7.2749999999999995E-2</v>
      </c>
      <c r="R4234" s="1">
        <v>9</v>
      </c>
      <c r="S4234" s="1">
        <f>R4234/P4234</f>
        <v>0.75</v>
      </c>
      <c r="T4234" s="1">
        <v>5</v>
      </c>
      <c r="U4234" s="1">
        <v>12.5</v>
      </c>
      <c r="V4234" s="1">
        <v>266.27450980392155</v>
      </c>
      <c r="W4234" s="1">
        <v>4</v>
      </c>
    </row>
    <row r="4235" spans="1:23" x14ac:dyDescent="0.2">
      <c r="A4235">
        <v>2022</v>
      </c>
      <c r="B4235" t="s">
        <v>23</v>
      </c>
      <c r="C4235" t="s">
        <v>272</v>
      </c>
      <c r="D4235">
        <v>221</v>
      </c>
      <c r="E4235">
        <v>2</v>
      </c>
      <c r="F4235">
        <v>12</v>
      </c>
      <c r="G4235" t="s">
        <v>246</v>
      </c>
      <c r="H4235" s="1">
        <v>5</v>
      </c>
      <c r="I4235" s="1">
        <v>65</v>
      </c>
      <c r="J4235" s="1">
        <v>70</v>
      </c>
      <c r="K4235" s="1">
        <f>J4235-I4235</f>
        <v>5</v>
      </c>
      <c r="L4235" s="1">
        <v>106</v>
      </c>
      <c r="M4235" s="1">
        <v>45</v>
      </c>
      <c r="N4235" s="1">
        <v>2</v>
      </c>
      <c r="O4235" s="1">
        <v>4.5</v>
      </c>
      <c r="P4235" s="1">
        <v>3</v>
      </c>
      <c r="Q4235" s="2">
        <v>5.1999999999999998E-2</v>
      </c>
      <c r="R4235" s="1">
        <v>1</v>
      </c>
      <c r="S4235" s="1">
        <f>R4235/P4235</f>
        <v>0.33333333333333331</v>
      </c>
      <c r="T4235" s="1">
        <v>5</v>
      </c>
      <c r="U4235" s="1">
        <v>12.5</v>
      </c>
      <c r="V4235" s="1">
        <v>190.32679738562092</v>
      </c>
      <c r="W4235" s="1">
        <v>5</v>
      </c>
    </row>
    <row r="4236" spans="1:23" x14ac:dyDescent="0.2">
      <c r="A4236">
        <v>2022</v>
      </c>
      <c r="B4236" t="s">
        <v>23</v>
      </c>
      <c r="C4236" t="s">
        <v>272</v>
      </c>
      <c r="D4236">
        <v>222</v>
      </c>
      <c r="E4236">
        <v>1</v>
      </c>
      <c r="F4236">
        <v>13</v>
      </c>
      <c r="G4236" t="s">
        <v>247</v>
      </c>
      <c r="H4236" s="1">
        <v>9</v>
      </c>
      <c r="I4236" s="1">
        <v>67</v>
      </c>
      <c r="J4236" s="1">
        <v>72</v>
      </c>
      <c r="K4236" s="1">
        <f>J4236-I4236</f>
        <v>5</v>
      </c>
      <c r="L4236" s="1">
        <v>123</v>
      </c>
      <c r="M4236" s="1">
        <v>77</v>
      </c>
      <c r="N4236" s="1">
        <v>3</v>
      </c>
      <c r="O4236" s="1">
        <v>4</v>
      </c>
      <c r="P4236" s="1">
        <v>6</v>
      </c>
      <c r="Q4236" s="2">
        <v>0.13100000000000001</v>
      </c>
      <c r="R4236" s="1">
        <v>5</v>
      </c>
      <c r="S4236" s="1">
        <f>R4236/P4236</f>
        <v>0.83333333333333337</v>
      </c>
      <c r="T4236" s="1">
        <v>5</v>
      </c>
      <c r="U4236" s="1">
        <v>12.5</v>
      </c>
      <c r="V4236" s="1">
        <v>479.47712418300648</v>
      </c>
      <c r="W4236" s="1">
        <v>4</v>
      </c>
    </row>
    <row r="4237" spans="1:23" x14ac:dyDescent="0.2">
      <c r="A4237">
        <v>2022</v>
      </c>
      <c r="B4237" t="s">
        <v>23</v>
      </c>
      <c r="C4237" t="s">
        <v>272</v>
      </c>
      <c r="D4237">
        <v>222</v>
      </c>
      <c r="E4237">
        <v>2</v>
      </c>
      <c r="F4237">
        <v>1</v>
      </c>
      <c r="G4237" t="s">
        <v>247</v>
      </c>
      <c r="H4237" s="1">
        <v>4</v>
      </c>
      <c r="I4237" s="1">
        <v>68</v>
      </c>
      <c r="J4237" s="1">
        <v>72</v>
      </c>
      <c r="K4237" s="1">
        <f>J4237-I4237</f>
        <v>4</v>
      </c>
      <c r="L4237" s="1">
        <v>116</v>
      </c>
      <c r="M4237" s="1">
        <v>31</v>
      </c>
      <c r="N4237" s="1">
        <v>2</v>
      </c>
      <c r="O4237" s="1">
        <v>5</v>
      </c>
      <c r="P4237" s="1">
        <v>2</v>
      </c>
      <c r="Q4237" s="2">
        <v>3.9E-2</v>
      </c>
      <c r="R4237" s="1">
        <v>1</v>
      </c>
      <c r="S4237" s="1">
        <f>R4237/P4237</f>
        <v>0.5</v>
      </c>
      <c r="T4237" s="1">
        <v>5</v>
      </c>
      <c r="U4237" s="1">
        <v>12.5</v>
      </c>
      <c r="V4237" s="1">
        <v>142.74509803921569</v>
      </c>
      <c r="W4237" s="1">
        <v>7</v>
      </c>
    </row>
    <row r="4238" spans="1:23" x14ac:dyDescent="0.2">
      <c r="A4238">
        <v>2022</v>
      </c>
      <c r="B4238" t="s">
        <v>23</v>
      </c>
      <c r="C4238" t="s">
        <v>272</v>
      </c>
      <c r="D4238">
        <v>223</v>
      </c>
      <c r="E4238">
        <v>1</v>
      </c>
      <c r="F4238">
        <v>8</v>
      </c>
      <c r="G4238" t="s">
        <v>248</v>
      </c>
      <c r="H4238">
        <v>11</v>
      </c>
      <c r="I4238">
        <v>50</v>
      </c>
      <c r="J4238">
        <v>53</v>
      </c>
      <c r="K4238">
        <v>3</v>
      </c>
      <c r="L4238">
        <v>184</v>
      </c>
      <c r="M4238">
        <v>74</v>
      </c>
      <c r="N4238">
        <v>2</v>
      </c>
      <c r="O4238">
        <v>1.5</v>
      </c>
      <c r="P4238">
        <v>8</v>
      </c>
      <c r="Q4238">
        <v>1</v>
      </c>
      <c r="R4238">
        <v>7</v>
      </c>
      <c r="S4238">
        <v>0.875</v>
      </c>
      <c r="T4238">
        <v>2</v>
      </c>
      <c r="U4238">
        <v>10.4</v>
      </c>
      <c r="V4238">
        <v>3747.9738562091497</v>
      </c>
      <c r="W4238">
        <v>2</v>
      </c>
    </row>
    <row r="4239" spans="1:23" x14ac:dyDescent="0.2">
      <c r="A4239">
        <v>2022</v>
      </c>
      <c r="B4239" t="s">
        <v>23</v>
      </c>
      <c r="C4239" t="s">
        <v>272</v>
      </c>
      <c r="D4239">
        <v>223</v>
      </c>
      <c r="E4239">
        <v>2</v>
      </c>
      <c r="F4239">
        <v>9</v>
      </c>
      <c r="G4239" t="s">
        <v>248</v>
      </c>
      <c r="H4239" s="1">
        <v>11</v>
      </c>
      <c r="I4239" s="1">
        <v>61</v>
      </c>
      <c r="J4239" s="1">
        <v>66</v>
      </c>
      <c r="K4239" s="1">
        <f>J4239-I4239</f>
        <v>5</v>
      </c>
      <c r="L4239" s="1">
        <v>142</v>
      </c>
      <c r="M4239" s="1">
        <v>67</v>
      </c>
      <c r="N4239" s="1">
        <v>2</v>
      </c>
      <c r="O4239" s="1">
        <v>4</v>
      </c>
      <c r="P4239" s="1">
        <v>7</v>
      </c>
      <c r="Q4239" s="2">
        <v>0.46160000000000001</v>
      </c>
      <c r="R4239" s="1">
        <v>5</v>
      </c>
      <c r="S4239" s="1">
        <f>R4239/P4239</f>
        <v>0.7142857142857143</v>
      </c>
      <c r="T4239" s="1">
        <v>5</v>
      </c>
      <c r="U4239" s="1">
        <v>8.4</v>
      </c>
      <c r="V4239" s="1">
        <v>1768.682248366013</v>
      </c>
      <c r="W4239" s="1">
        <v>6</v>
      </c>
    </row>
    <row r="4240" spans="1:23" x14ac:dyDescent="0.2">
      <c r="A4240">
        <v>2022</v>
      </c>
      <c r="B4240" t="s">
        <v>23</v>
      </c>
      <c r="C4240" t="s">
        <v>272</v>
      </c>
      <c r="D4240">
        <v>224</v>
      </c>
      <c r="E4240">
        <v>1</v>
      </c>
      <c r="F4240">
        <v>4</v>
      </c>
      <c r="G4240" t="s">
        <v>249</v>
      </c>
      <c r="H4240" s="1">
        <v>3</v>
      </c>
      <c r="I4240" s="1">
        <v>68</v>
      </c>
      <c r="J4240" s="1">
        <v>73</v>
      </c>
      <c r="K4240" s="1">
        <f>J4240-I4240</f>
        <v>5</v>
      </c>
      <c r="L4240" s="1">
        <v>80</v>
      </c>
      <c r="M4240" s="1">
        <v>20</v>
      </c>
      <c r="N4240" s="1">
        <v>2</v>
      </c>
      <c r="O4240" s="1">
        <v>5</v>
      </c>
      <c r="P4240" s="1">
        <v>1</v>
      </c>
      <c r="Q4240" s="2">
        <v>0.05</v>
      </c>
      <c r="R4240" s="1">
        <v>1</v>
      </c>
      <c r="S4240" s="1">
        <f>R4240/P4240</f>
        <v>1</v>
      </c>
      <c r="T4240" s="1">
        <v>5</v>
      </c>
      <c r="U4240" s="1">
        <v>12.5</v>
      </c>
      <c r="V4240" s="1">
        <v>183.00653594771242</v>
      </c>
      <c r="W4240" s="1">
        <v>6</v>
      </c>
    </row>
    <row r="4241" spans="1:23" x14ac:dyDescent="0.2">
      <c r="A4241">
        <v>2022</v>
      </c>
      <c r="B4241" t="s">
        <v>23</v>
      </c>
      <c r="C4241" t="s">
        <v>272</v>
      </c>
      <c r="D4241">
        <v>224</v>
      </c>
      <c r="E4241">
        <v>2</v>
      </c>
      <c r="F4241">
        <v>3</v>
      </c>
      <c r="G4241" t="s">
        <v>249</v>
      </c>
      <c r="H4241" s="1">
        <v>1</v>
      </c>
      <c r="I4241" s="1">
        <v>63</v>
      </c>
      <c r="J4241" s="1">
        <v>65</v>
      </c>
      <c r="K4241" s="1">
        <f>J4241-I4241</f>
        <v>2</v>
      </c>
      <c r="L4241" s="1">
        <v>52</v>
      </c>
      <c r="M4241" s="1">
        <v>65</v>
      </c>
      <c r="N4241" s="1">
        <v>1</v>
      </c>
      <c r="O4241" s="1">
        <v>2.5</v>
      </c>
      <c r="P4241" s="1">
        <v>1</v>
      </c>
      <c r="Q4241" s="2">
        <v>9.9000000000000005E-2</v>
      </c>
      <c r="R4241" s="1">
        <v>1</v>
      </c>
      <c r="S4241" s="1">
        <f>R4241/P4241</f>
        <v>1</v>
      </c>
      <c r="T4241" s="1">
        <v>2</v>
      </c>
      <c r="U4241" s="1">
        <v>12.5</v>
      </c>
      <c r="V4241" s="1">
        <v>362.35294117647055</v>
      </c>
      <c r="W4241" s="1">
        <v>3</v>
      </c>
    </row>
    <row r="4242" spans="1:23" x14ac:dyDescent="0.2">
      <c r="A4242">
        <v>2022</v>
      </c>
      <c r="B4242" t="s">
        <v>23</v>
      </c>
      <c r="C4242" t="s">
        <v>272</v>
      </c>
      <c r="D4242">
        <v>225</v>
      </c>
      <c r="E4242">
        <v>1</v>
      </c>
      <c r="F4242">
        <v>13</v>
      </c>
      <c r="G4242" t="s">
        <v>250</v>
      </c>
      <c r="H4242" s="1">
        <v>10</v>
      </c>
      <c r="I4242" s="1">
        <v>69</v>
      </c>
      <c r="J4242" s="1">
        <v>74</v>
      </c>
      <c r="K4242" s="1">
        <f>J4242-I4242</f>
        <v>5</v>
      </c>
      <c r="L4242" s="1">
        <v>104</v>
      </c>
      <c r="M4242" s="1">
        <v>32</v>
      </c>
      <c r="N4242" s="1">
        <v>3</v>
      </c>
      <c r="O4242" s="1">
        <v>5</v>
      </c>
      <c r="P4242" s="1">
        <v>1</v>
      </c>
      <c r="Q4242" s="2">
        <v>1.4999999999999999E-2</v>
      </c>
      <c r="R4242" s="1">
        <v>1</v>
      </c>
      <c r="S4242" s="1">
        <f>R4242/P4242</f>
        <v>1</v>
      </c>
      <c r="T4242" s="1">
        <v>5</v>
      </c>
      <c r="U4242" s="1">
        <v>12.5</v>
      </c>
      <c r="V4242" s="1">
        <v>54.901960784313729</v>
      </c>
      <c r="W4242" s="1">
        <v>5</v>
      </c>
    </row>
    <row r="4243" spans="1:23" x14ac:dyDescent="0.2">
      <c r="A4243">
        <v>2022</v>
      </c>
      <c r="B4243" t="s">
        <v>23</v>
      </c>
      <c r="C4243" t="s">
        <v>272</v>
      </c>
      <c r="D4243">
        <v>225</v>
      </c>
      <c r="E4243">
        <v>2</v>
      </c>
      <c r="F4243">
        <v>2</v>
      </c>
      <c r="G4243" t="s">
        <v>250</v>
      </c>
      <c r="H4243" s="1">
        <v>10</v>
      </c>
      <c r="I4243" s="1">
        <v>62</v>
      </c>
      <c r="J4243" s="1">
        <v>66</v>
      </c>
      <c r="K4243" s="1">
        <f>J4243-I4243</f>
        <v>4</v>
      </c>
      <c r="L4243" s="1">
        <v>147</v>
      </c>
      <c r="M4243" s="1">
        <v>45</v>
      </c>
      <c r="N4243" s="1">
        <v>1.5</v>
      </c>
      <c r="O4243" s="1">
        <v>4.5</v>
      </c>
      <c r="P4243" s="1">
        <v>6</v>
      </c>
      <c r="Q4243" s="2">
        <v>0.14460000000000001</v>
      </c>
      <c r="R4243" s="1">
        <v>4</v>
      </c>
      <c r="S4243" s="1">
        <f>R4243/P4243</f>
        <v>0.66666666666666663</v>
      </c>
      <c r="T4243" s="1">
        <v>5</v>
      </c>
      <c r="U4243" s="1">
        <v>12.5</v>
      </c>
      <c r="V4243" s="1">
        <v>529.25490196078431</v>
      </c>
      <c r="W4243" s="1">
        <v>6</v>
      </c>
    </row>
    <row r="4244" spans="1:23" x14ac:dyDescent="0.2">
      <c r="A4244">
        <v>2022</v>
      </c>
      <c r="B4244" t="s">
        <v>23</v>
      </c>
      <c r="C4244" t="s">
        <v>272</v>
      </c>
      <c r="D4244">
        <v>226</v>
      </c>
      <c r="E4244">
        <v>1</v>
      </c>
      <c r="F4244">
        <v>2</v>
      </c>
      <c r="G4244" t="s">
        <v>251</v>
      </c>
      <c r="H4244">
        <v>13</v>
      </c>
      <c r="I4244">
        <v>56</v>
      </c>
      <c r="J4244">
        <v>57</v>
      </c>
      <c r="K4244">
        <v>1</v>
      </c>
      <c r="L4244">
        <v>135</v>
      </c>
      <c r="M4244">
        <v>65</v>
      </c>
      <c r="N4244">
        <v>3</v>
      </c>
      <c r="O4244">
        <v>3</v>
      </c>
      <c r="P4244">
        <v>10</v>
      </c>
      <c r="Q4244">
        <v>1.423</v>
      </c>
      <c r="R4244">
        <v>12</v>
      </c>
      <c r="S4244">
        <v>1.2</v>
      </c>
      <c r="T4244">
        <v>3</v>
      </c>
      <c r="U4244">
        <v>12.5</v>
      </c>
      <c r="V4244">
        <v>5208.3660130718954</v>
      </c>
      <c r="W4244">
        <v>2</v>
      </c>
    </row>
    <row r="4245" spans="1:23" x14ac:dyDescent="0.2">
      <c r="A4245">
        <v>2022</v>
      </c>
      <c r="B4245" t="s">
        <v>23</v>
      </c>
      <c r="C4245" t="s">
        <v>272</v>
      </c>
      <c r="D4245">
        <v>226</v>
      </c>
      <c r="E4245">
        <v>2</v>
      </c>
      <c r="F4245">
        <v>7</v>
      </c>
      <c r="G4245" t="s">
        <v>251</v>
      </c>
      <c r="H4245" s="1">
        <v>10</v>
      </c>
      <c r="I4245" s="1">
        <v>60</v>
      </c>
      <c r="J4245" s="1">
        <v>65</v>
      </c>
      <c r="K4245" s="1">
        <f>J4245-I4245</f>
        <v>5</v>
      </c>
      <c r="L4245" s="1">
        <v>106</v>
      </c>
      <c r="M4245" s="1">
        <v>46</v>
      </c>
      <c r="N4245" s="1">
        <v>2.5</v>
      </c>
      <c r="O4245" s="1">
        <v>4</v>
      </c>
      <c r="P4245" s="1">
        <v>8</v>
      </c>
      <c r="Q4245" s="2">
        <v>0.36499999999999999</v>
      </c>
      <c r="R4245" s="1">
        <v>8</v>
      </c>
      <c r="S4245" s="1">
        <f>R4245/P4245</f>
        <v>1</v>
      </c>
      <c r="T4245" s="1">
        <v>3</v>
      </c>
      <c r="U4245" s="1">
        <v>12.5</v>
      </c>
      <c r="V4245" s="1">
        <v>1335.9477124183006</v>
      </c>
      <c r="W4245" s="1">
        <v>4</v>
      </c>
    </row>
    <row r="4246" spans="1:23" x14ac:dyDescent="0.2">
      <c r="A4246">
        <v>2022</v>
      </c>
      <c r="B4246" t="s">
        <v>23</v>
      </c>
      <c r="C4246" t="s">
        <v>272</v>
      </c>
      <c r="D4246">
        <v>227</v>
      </c>
      <c r="E4246">
        <v>1</v>
      </c>
      <c r="F4246">
        <v>11</v>
      </c>
      <c r="G4246" t="s">
        <v>252</v>
      </c>
      <c r="H4246" s="1">
        <v>11</v>
      </c>
      <c r="I4246" s="1">
        <v>69</v>
      </c>
      <c r="J4246" s="1">
        <v>73</v>
      </c>
      <c r="K4246" s="1">
        <f>J4246-I4246</f>
        <v>4</v>
      </c>
      <c r="L4246" s="1">
        <v>163</v>
      </c>
      <c r="M4246" s="1">
        <v>75</v>
      </c>
      <c r="N4246" s="1">
        <v>2</v>
      </c>
      <c r="O4246" s="1">
        <v>2</v>
      </c>
      <c r="P4246" s="1">
        <v>11</v>
      </c>
      <c r="Q4246" s="2">
        <v>0.29339999999999999</v>
      </c>
      <c r="R4246" s="1">
        <v>7</v>
      </c>
      <c r="S4246" s="1">
        <f>R4246/P4246</f>
        <v>0.63636363636363635</v>
      </c>
      <c r="T4246" s="1">
        <v>3</v>
      </c>
      <c r="U4246" s="1">
        <v>12.5</v>
      </c>
      <c r="V4246" s="1">
        <v>1073.8823529411764</v>
      </c>
      <c r="W4246" s="1">
        <v>5</v>
      </c>
    </row>
    <row r="4247" spans="1:23" x14ac:dyDescent="0.2">
      <c r="A4247">
        <v>2022</v>
      </c>
      <c r="B4247" t="s">
        <v>23</v>
      </c>
      <c r="C4247" t="s">
        <v>272</v>
      </c>
      <c r="D4247">
        <v>227</v>
      </c>
      <c r="E4247">
        <v>2</v>
      </c>
      <c r="F4247">
        <v>2</v>
      </c>
      <c r="G4247" t="s">
        <v>252</v>
      </c>
      <c r="H4247">
        <v>1</v>
      </c>
      <c r="I4247">
        <v>55</v>
      </c>
      <c r="J4247">
        <v>57</v>
      </c>
      <c r="K4247">
        <v>2</v>
      </c>
      <c r="L4247">
        <v>91</v>
      </c>
      <c r="M4247">
        <v>29</v>
      </c>
      <c r="N4247">
        <v>5</v>
      </c>
      <c r="O4247">
        <v>5</v>
      </c>
      <c r="P4247">
        <v>1</v>
      </c>
      <c r="Q4247">
        <v>6.8000000000000005E-2</v>
      </c>
      <c r="R4247">
        <v>1</v>
      </c>
      <c r="S4247">
        <v>1</v>
      </c>
      <c r="T4247">
        <v>2</v>
      </c>
      <c r="U4247">
        <v>12.5</v>
      </c>
      <c r="V4247">
        <v>248.88888888888889</v>
      </c>
      <c r="W4247">
        <v>1</v>
      </c>
    </row>
    <row r="4248" spans="1:23" x14ac:dyDescent="0.2">
      <c r="A4248">
        <v>2022</v>
      </c>
      <c r="B4248" t="s">
        <v>23</v>
      </c>
      <c r="C4248" t="s">
        <v>272</v>
      </c>
      <c r="D4248">
        <v>228</v>
      </c>
      <c r="E4248">
        <v>1</v>
      </c>
      <c r="F4248">
        <v>3</v>
      </c>
      <c r="G4248" t="s">
        <v>253</v>
      </c>
      <c r="H4248">
        <v>14</v>
      </c>
      <c r="I4248">
        <v>58</v>
      </c>
      <c r="J4248">
        <v>59</v>
      </c>
      <c r="K4248">
        <v>1</v>
      </c>
      <c r="L4248">
        <v>192</v>
      </c>
      <c r="M4248">
        <v>69</v>
      </c>
      <c r="N4248">
        <v>2</v>
      </c>
      <c r="O4248">
        <v>2.5</v>
      </c>
      <c r="P4248">
        <v>15</v>
      </c>
      <c r="Q4248">
        <v>1.5</v>
      </c>
      <c r="R4248">
        <v>12</v>
      </c>
      <c r="S4248">
        <v>0.8</v>
      </c>
      <c r="T4248">
        <v>3</v>
      </c>
      <c r="U4248">
        <v>10.5</v>
      </c>
      <c r="V4248">
        <v>5615.6862745098042</v>
      </c>
      <c r="W4248">
        <v>2</v>
      </c>
    </row>
    <row r="4249" spans="1:23" x14ac:dyDescent="0.2">
      <c r="A4249">
        <v>2022</v>
      </c>
      <c r="B4249" t="s">
        <v>23</v>
      </c>
      <c r="C4249" t="s">
        <v>272</v>
      </c>
      <c r="D4249">
        <v>228</v>
      </c>
      <c r="E4249">
        <v>2</v>
      </c>
      <c r="F4249">
        <v>9</v>
      </c>
      <c r="G4249" t="s">
        <v>253</v>
      </c>
      <c r="H4249" s="1">
        <v>7</v>
      </c>
      <c r="I4249" s="1">
        <v>58</v>
      </c>
      <c r="J4249" s="1">
        <v>62</v>
      </c>
      <c r="K4249" s="1">
        <f>J4249-I4249</f>
        <v>4</v>
      </c>
      <c r="L4249" s="1">
        <v>42</v>
      </c>
      <c r="M4249" s="1">
        <v>35</v>
      </c>
      <c r="N4249" s="1">
        <v>1</v>
      </c>
      <c r="O4249" s="1">
        <v>2</v>
      </c>
      <c r="P4249" s="1">
        <f>H4249</f>
        <v>7</v>
      </c>
      <c r="Q4249" s="2">
        <v>7.8750000000000001E-2</v>
      </c>
      <c r="R4249" s="1">
        <v>7</v>
      </c>
      <c r="S4249" s="1">
        <f>R4249/P4249</f>
        <v>1</v>
      </c>
      <c r="T4249" s="1">
        <v>2</v>
      </c>
      <c r="U4249" s="1">
        <v>12.5</v>
      </c>
      <c r="V4249" s="1">
        <v>288.23529411764707</v>
      </c>
      <c r="W4249" s="1">
        <v>4</v>
      </c>
    </row>
    <row r="4250" spans="1:23" x14ac:dyDescent="0.2">
      <c r="A4250">
        <v>2022</v>
      </c>
      <c r="B4250" t="s">
        <v>23</v>
      </c>
      <c r="C4250" t="s">
        <v>272</v>
      </c>
      <c r="D4250">
        <v>229</v>
      </c>
      <c r="E4250">
        <v>1</v>
      </c>
      <c r="F4250">
        <v>10</v>
      </c>
      <c r="G4250" t="s">
        <v>254</v>
      </c>
      <c r="H4250" s="1">
        <v>15</v>
      </c>
      <c r="I4250" s="1">
        <v>63</v>
      </c>
      <c r="J4250" s="1">
        <v>68</v>
      </c>
      <c r="K4250" s="1">
        <f>J4250-I4250</f>
        <v>5</v>
      </c>
      <c r="L4250" s="1">
        <v>135</v>
      </c>
      <c r="M4250" s="1">
        <v>72</v>
      </c>
      <c r="N4250" s="1">
        <v>2</v>
      </c>
      <c r="O4250" s="1">
        <v>3.5</v>
      </c>
      <c r="P4250" s="1">
        <v>9</v>
      </c>
      <c r="Q4250" s="2">
        <v>0.2044</v>
      </c>
      <c r="R4250" s="1">
        <v>9</v>
      </c>
      <c r="S4250" s="1">
        <f>R4250/P4250</f>
        <v>1</v>
      </c>
      <c r="T4250" s="1">
        <v>5</v>
      </c>
      <c r="U4250" s="1">
        <v>12.5</v>
      </c>
      <c r="V4250" s="1">
        <v>748.13071895424855</v>
      </c>
      <c r="W4250" s="1">
        <v>3</v>
      </c>
    </row>
    <row r="4251" spans="1:23" x14ac:dyDescent="0.2">
      <c r="A4251">
        <v>2022</v>
      </c>
      <c r="B4251" t="s">
        <v>23</v>
      </c>
      <c r="C4251" t="s">
        <v>272</v>
      </c>
      <c r="D4251">
        <v>229</v>
      </c>
      <c r="E4251">
        <v>2</v>
      </c>
      <c r="F4251">
        <v>8</v>
      </c>
      <c r="G4251" t="s">
        <v>254</v>
      </c>
      <c r="H4251" s="1">
        <v>14</v>
      </c>
      <c r="I4251" s="1">
        <v>58</v>
      </c>
      <c r="J4251" s="1">
        <v>61</v>
      </c>
      <c r="K4251" s="1">
        <f>J4251-I4251</f>
        <v>3</v>
      </c>
      <c r="L4251" s="1">
        <v>128</v>
      </c>
      <c r="M4251" s="1">
        <v>55</v>
      </c>
      <c r="N4251" s="1">
        <v>2</v>
      </c>
      <c r="O4251" s="1">
        <v>4</v>
      </c>
      <c r="P4251" s="1">
        <v>10</v>
      </c>
      <c r="Q4251" s="2">
        <v>0.56999999999999995</v>
      </c>
      <c r="R4251" s="1">
        <v>10</v>
      </c>
      <c r="S4251" s="1">
        <f>R4251/P4251</f>
        <v>1</v>
      </c>
      <c r="T4251" s="1">
        <v>4</v>
      </c>
      <c r="U4251" s="1">
        <v>12.5</v>
      </c>
      <c r="V4251" s="1">
        <v>2086.2745098039213</v>
      </c>
      <c r="W4251" s="1">
        <v>4</v>
      </c>
    </row>
    <row r="4252" spans="1:23" x14ac:dyDescent="0.2">
      <c r="A4252">
        <v>2022</v>
      </c>
      <c r="B4252" t="s">
        <v>23</v>
      </c>
      <c r="C4252" t="s">
        <v>272</v>
      </c>
      <c r="D4252">
        <v>230</v>
      </c>
      <c r="E4252">
        <v>1</v>
      </c>
      <c r="F4252">
        <v>13</v>
      </c>
      <c r="G4252" t="s">
        <v>255</v>
      </c>
      <c r="H4252">
        <v>7</v>
      </c>
      <c r="I4252">
        <v>55</v>
      </c>
      <c r="J4252">
        <v>58</v>
      </c>
      <c r="K4252">
        <v>3</v>
      </c>
      <c r="L4252">
        <v>152</v>
      </c>
      <c r="M4252">
        <v>45</v>
      </c>
      <c r="N4252">
        <v>3</v>
      </c>
      <c r="O4252">
        <v>3</v>
      </c>
      <c r="P4252">
        <v>6</v>
      </c>
      <c r="Q4252">
        <v>0.14199999999999999</v>
      </c>
      <c r="R4252">
        <v>3</v>
      </c>
      <c r="S4252">
        <v>0.5</v>
      </c>
      <c r="T4252">
        <v>5</v>
      </c>
      <c r="U4252">
        <v>12.5</v>
      </c>
      <c r="V4252">
        <v>519.73856209150335</v>
      </c>
      <c r="W4252">
        <v>1</v>
      </c>
    </row>
    <row r="4253" spans="1:23" x14ac:dyDescent="0.2">
      <c r="A4253">
        <v>2022</v>
      </c>
      <c r="B4253" t="s">
        <v>23</v>
      </c>
      <c r="C4253" t="s">
        <v>272</v>
      </c>
      <c r="D4253">
        <v>230</v>
      </c>
      <c r="E4253">
        <v>2</v>
      </c>
      <c r="F4253">
        <v>9</v>
      </c>
      <c r="G4253" t="s">
        <v>255</v>
      </c>
      <c r="H4253" s="1">
        <v>11</v>
      </c>
      <c r="I4253" s="1">
        <v>63</v>
      </c>
      <c r="J4253" s="1">
        <v>68</v>
      </c>
      <c r="K4253" s="1">
        <f>J4253-I4253</f>
        <v>5</v>
      </c>
      <c r="L4253" s="1">
        <v>185</v>
      </c>
      <c r="M4253" s="1">
        <v>87</v>
      </c>
      <c r="N4253" s="1">
        <v>2</v>
      </c>
      <c r="O4253" s="1">
        <v>2.5</v>
      </c>
      <c r="P4253" s="1">
        <v>11</v>
      </c>
      <c r="Q4253" s="2">
        <v>0.95199999999999996</v>
      </c>
      <c r="R4253" s="1">
        <v>11</v>
      </c>
      <c r="S4253" s="1">
        <f>R4253/P4253</f>
        <v>1</v>
      </c>
      <c r="T4253" s="1">
        <v>4</v>
      </c>
      <c r="U4253" s="1">
        <v>9.1</v>
      </c>
      <c r="V4253" s="1">
        <v>3619.84</v>
      </c>
      <c r="W4253" s="1">
        <v>4</v>
      </c>
    </row>
    <row r="4254" spans="1:23" x14ac:dyDescent="0.2">
      <c r="A4254">
        <v>2022</v>
      </c>
      <c r="B4254" t="s">
        <v>23</v>
      </c>
      <c r="C4254" t="s">
        <v>272</v>
      </c>
      <c r="D4254">
        <v>231</v>
      </c>
      <c r="E4254">
        <v>1</v>
      </c>
      <c r="F4254">
        <v>3</v>
      </c>
      <c r="G4254" t="s">
        <v>256</v>
      </c>
      <c r="H4254">
        <v>16</v>
      </c>
      <c r="I4254">
        <v>57</v>
      </c>
      <c r="J4254">
        <v>60</v>
      </c>
      <c r="K4254">
        <v>3</v>
      </c>
      <c r="L4254">
        <v>140</v>
      </c>
      <c r="M4254">
        <v>71</v>
      </c>
      <c r="N4254">
        <v>1</v>
      </c>
      <c r="O4254">
        <v>1.5</v>
      </c>
      <c r="P4254">
        <v>14</v>
      </c>
      <c r="Q4254">
        <v>1</v>
      </c>
      <c r="R4254">
        <v>13</v>
      </c>
      <c r="S4254">
        <v>0.9285714285714286</v>
      </c>
      <c r="T4254">
        <v>3</v>
      </c>
      <c r="U4254">
        <v>10</v>
      </c>
      <c r="V4254">
        <v>3764.705882352941</v>
      </c>
      <c r="W4254">
        <v>1</v>
      </c>
    </row>
    <row r="4255" spans="1:23" x14ac:dyDescent="0.2">
      <c r="A4255">
        <v>2022</v>
      </c>
      <c r="B4255" t="s">
        <v>23</v>
      </c>
      <c r="C4255" t="s">
        <v>272</v>
      </c>
      <c r="D4255">
        <v>231</v>
      </c>
      <c r="E4255">
        <v>2</v>
      </c>
      <c r="F4255">
        <v>7</v>
      </c>
      <c r="G4255" t="s">
        <v>256</v>
      </c>
      <c r="H4255">
        <v>10</v>
      </c>
      <c r="I4255">
        <v>56</v>
      </c>
      <c r="J4255">
        <v>57</v>
      </c>
      <c r="K4255">
        <v>1</v>
      </c>
      <c r="L4255">
        <v>145</v>
      </c>
      <c r="M4255">
        <v>48</v>
      </c>
      <c r="N4255">
        <v>1</v>
      </c>
      <c r="O4255">
        <v>2</v>
      </c>
      <c r="P4255">
        <v>3</v>
      </c>
      <c r="Q4255">
        <v>0.1</v>
      </c>
      <c r="R4255">
        <v>3</v>
      </c>
      <c r="S4255">
        <v>1</v>
      </c>
      <c r="T4255">
        <v>1</v>
      </c>
      <c r="U4255">
        <v>11.5</v>
      </c>
      <c r="V4255">
        <v>370.1960784313726</v>
      </c>
      <c r="W4255">
        <v>2</v>
      </c>
    </row>
    <row r="4256" spans="1:23" x14ac:dyDescent="0.2">
      <c r="A4256">
        <v>2022</v>
      </c>
      <c r="B4256" t="s">
        <v>23</v>
      </c>
      <c r="C4256" t="s">
        <v>272</v>
      </c>
      <c r="D4256">
        <v>232</v>
      </c>
      <c r="E4256">
        <v>1</v>
      </c>
      <c r="F4256">
        <v>2</v>
      </c>
      <c r="G4256" t="s">
        <v>257</v>
      </c>
      <c r="H4256" s="1">
        <v>14</v>
      </c>
      <c r="I4256" s="1">
        <v>68</v>
      </c>
      <c r="J4256" s="1">
        <v>72</v>
      </c>
      <c r="K4256" s="1">
        <f>J4256-I4256</f>
        <v>4</v>
      </c>
      <c r="L4256" s="1">
        <v>195</v>
      </c>
      <c r="M4256" s="1">
        <v>97</v>
      </c>
      <c r="N4256" s="1">
        <v>2</v>
      </c>
      <c r="O4256" s="1">
        <v>2</v>
      </c>
      <c r="P4256" s="1">
        <v>13</v>
      </c>
      <c r="Q4256" s="2">
        <v>0.98299999999999998</v>
      </c>
      <c r="R4256" s="1">
        <v>12</v>
      </c>
      <c r="S4256" s="1">
        <f>R4256/P4256</f>
        <v>0.92307692307692313</v>
      </c>
      <c r="T4256" s="1">
        <v>3</v>
      </c>
      <c r="U4256" s="1">
        <v>12.5</v>
      </c>
      <c r="V4256" s="1">
        <v>3597.9084967320259</v>
      </c>
      <c r="W4256" s="1">
        <v>3</v>
      </c>
    </row>
    <row r="4257" spans="1:23" x14ac:dyDescent="0.2">
      <c r="A4257">
        <v>2022</v>
      </c>
      <c r="B4257" t="s">
        <v>23</v>
      </c>
      <c r="C4257" t="s">
        <v>272</v>
      </c>
      <c r="D4257">
        <v>232</v>
      </c>
      <c r="E4257">
        <v>2</v>
      </c>
      <c r="F4257">
        <v>14</v>
      </c>
      <c r="G4257" t="s">
        <v>257</v>
      </c>
      <c r="H4257">
        <v>8</v>
      </c>
      <c r="I4257">
        <v>56</v>
      </c>
      <c r="J4257">
        <v>58</v>
      </c>
      <c r="K4257">
        <v>2</v>
      </c>
      <c r="L4257">
        <v>174</v>
      </c>
      <c r="M4257">
        <v>72</v>
      </c>
      <c r="N4257">
        <v>2.5</v>
      </c>
      <c r="O4257">
        <v>3</v>
      </c>
      <c r="P4257">
        <v>8</v>
      </c>
      <c r="Q4257">
        <v>0.6</v>
      </c>
      <c r="R4257">
        <v>8</v>
      </c>
      <c r="S4257">
        <v>1</v>
      </c>
      <c r="T4257">
        <v>3</v>
      </c>
      <c r="U4257">
        <v>12.5</v>
      </c>
      <c r="V4257">
        <v>2196.0784313725489</v>
      </c>
      <c r="W4257">
        <v>1</v>
      </c>
    </row>
    <row r="4258" spans="1:23" x14ac:dyDescent="0.2">
      <c r="A4258">
        <v>2022</v>
      </c>
      <c r="B4258" t="s">
        <v>23</v>
      </c>
      <c r="C4258" t="s">
        <v>272</v>
      </c>
      <c r="D4258">
        <v>233</v>
      </c>
      <c r="E4258">
        <v>1</v>
      </c>
      <c r="F4258">
        <v>12</v>
      </c>
      <c r="G4258" t="s">
        <v>258</v>
      </c>
      <c r="H4258" s="1">
        <v>12</v>
      </c>
      <c r="I4258" s="1">
        <v>62</v>
      </c>
      <c r="J4258" s="1">
        <v>68</v>
      </c>
      <c r="K4258" s="1">
        <f t="shared" ref="K4258:K4266" si="220">J4258-I4258</f>
        <v>6</v>
      </c>
      <c r="L4258" s="1">
        <v>129</v>
      </c>
      <c r="M4258" s="1">
        <v>80</v>
      </c>
      <c r="N4258" s="1">
        <v>2</v>
      </c>
      <c r="O4258" s="1">
        <v>3.5</v>
      </c>
      <c r="P4258" s="1">
        <f>H4258-2</f>
        <v>10</v>
      </c>
      <c r="Q4258" s="2">
        <v>7.9500000000000001E-2</v>
      </c>
      <c r="R4258" s="1">
        <v>10</v>
      </c>
      <c r="S4258" s="1">
        <f t="shared" ref="S4258:S4266" si="221">R4258/P4258</f>
        <v>1</v>
      </c>
      <c r="T4258" s="1">
        <v>5</v>
      </c>
      <c r="U4258" s="1">
        <v>12.5</v>
      </c>
      <c r="V4258" s="1">
        <v>290.98039215686276</v>
      </c>
      <c r="W4258" s="1">
        <v>4</v>
      </c>
    </row>
    <row r="4259" spans="1:23" x14ac:dyDescent="0.2">
      <c r="A4259">
        <v>2022</v>
      </c>
      <c r="B4259" t="s">
        <v>23</v>
      </c>
      <c r="C4259" t="s">
        <v>272</v>
      </c>
      <c r="D4259">
        <v>233</v>
      </c>
      <c r="E4259">
        <v>2</v>
      </c>
      <c r="F4259">
        <v>4</v>
      </c>
      <c r="G4259" t="s">
        <v>258</v>
      </c>
      <c r="H4259" s="1">
        <v>12</v>
      </c>
      <c r="I4259" s="1">
        <v>66</v>
      </c>
      <c r="J4259" s="1">
        <v>69</v>
      </c>
      <c r="K4259" s="1">
        <f t="shared" si="220"/>
        <v>3</v>
      </c>
      <c r="L4259" s="1">
        <v>170</v>
      </c>
      <c r="M4259" s="1">
        <v>78</v>
      </c>
      <c r="N4259" s="1">
        <v>2</v>
      </c>
      <c r="O4259" s="1">
        <v>1</v>
      </c>
      <c r="P4259" s="1">
        <v>10</v>
      </c>
      <c r="Q4259" s="2">
        <v>0.69179999999999997</v>
      </c>
      <c r="R4259" s="1">
        <v>8</v>
      </c>
      <c r="S4259" s="1">
        <f t="shared" si="221"/>
        <v>0.8</v>
      </c>
      <c r="T4259" s="1">
        <v>5</v>
      </c>
      <c r="U4259" s="1">
        <v>12.5</v>
      </c>
      <c r="V4259" s="1">
        <v>2532.0784313725489</v>
      </c>
      <c r="W4259" s="1">
        <v>4</v>
      </c>
    </row>
    <row r="4260" spans="1:23" x14ac:dyDescent="0.2">
      <c r="A4260">
        <v>2022</v>
      </c>
      <c r="B4260" t="s">
        <v>23</v>
      </c>
      <c r="C4260" t="s">
        <v>272</v>
      </c>
      <c r="D4260">
        <v>234</v>
      </c>
      <c r="E4260">
        <v>1</v>
      </c>
      <c r="F4260">
        <v>11</v>
      </c>
      <c r="G4260" t="s">
        <v>259</v>
      </c>
      <c r="H4260" s="1">
        <v>10</v>
      </c>
      <c r="I4260" s="1">
        <v>71</v>
      </c>
      <c r="J4260" s="1">
        <v>75</v>
      </c>
      <c r="K4260" s="1">
        <f t="shared" si="220"/>
        <v>4</v>
      </c>
      <c r="L4260" s="1">
        <v>70</v>
      </c>
      <c r="M4260" s="1">
        <v>52</v>
      </c>
      <c r="N4260" s="1">
        <v>2</v>
      </c>
      <c r="O4260" s="1">
        <v>3</v>
      </c>
      <c r="P4260" s="1">
        <f>H4260-1</f>
        <v>9</v>
      </c>
      <c r="Q4260" s="2">
        <v>0.57869999999999999</v>
      </c>
      <c r="R4260" s="1">
        <v>9</v>
      </c>
      <c r="S4260" s="1">
        <f t="shared" si="221"/>
        <v>1</v>
      </c>
      <c r="T4260" s="1">
        <v>5</v>
      </c>
      <c r="U4260" s="1">
        <v>12.5</v>
      </c>
      <c r="V4260" s="1">
        <v>2118.1176470588234</v>
      </c>
      <c r="W4260" s="1">
        <v>3</v>
      </c>
    </row>
    <row r="4261" spans="1:23" x14ac:dyDescent="0.2">
      <c r="A4261">
        <v>2022</v>
      </c>
      <c r="B4261" t="s">
        <v>23</v>
      </c>
      <c r="C4261" t="s">
        <v>272</v>
      </c>
      <c r="D4261">
        <v>234</v>
      </c>
      <c r="E4261">
        <v>2</v>
      </c>
      <c r="F4261">
        <v>1</v>
      </c>
      <c r="G4261" t="s">
        <v>259</v>
      </c>
      <c r="H4261" s="1">
        <v>10</v>
      </c>
      <c r="I4261" s="1">
        <v>63</v>
      </c>
      <c r="J4261" s="1">
        <v>67</v>
      </c>
      <c r="K4261" s="1">
        <f t="shared" si="220"/>
        <v>4</v>
      </c>
      <c r="L4261" s="1">
        <v>128</v>
      </c>
      <c r="M4261" s="1">
        <v>50</v>
      </c>
      <c r="N4261" s="1">
        <v>2</v>
      </c>
      <c r="O4261" s="1">
        <v>5</v>
      </c>
      <c r="P4261" s="1">
        <v>1</v>
      </c>
      <c r="Q4261" s="2">
        <v>8.9999999999999993E-3</v>
      </c>
      <c r="R4261" s="1">
        <v>1</v>
      </c>
      <c r="S4261" s="1">
        <f t="shared" si="221"/>
        <v>1</v>
      </c>
      <c r="T4261" s="1">
        <v>5</v>
      </c>
      <c r="U4261" s="1">
        <v>12.5</v>
      </c>
      <c r="V4261" s="1">
        <v>32.941176470588239</v>
      </c>
      <c r="W4261" s="1">
        <v>7</v>
      </c>
    </row>
    <row r="4262" spans="1:23" x14ac:dyDescent="0.2">
      <c r="A4262">
        <v>2022</v>
      </c>
      <c r="B4262" t="s">
        <v>23</v>
      </c>
      <c r="C4262" t="s">
        <v>272</v>
      </c>
      <c r="D4262">
        <v>235</v>
      </c>
      <c r="E4262">
        <v>1</v>
      </c>
      <c r="F4262">
        <v>11</v>
      </c>
      <c r="G4262" t="s">
        <v>268</v>
      </c>
      <c r="H4262" s="1">
        <v>5</v>
      </c>
      <c r="I4262" s="1">
        <v>68</v>
      </c>
      <c r="J4262" s="1">
        <v>72</v>
      </c>
      <c r="K4262" s="1">
        <f t="shared" si="220"/>
        <v>4</v>
      </c>
      <c r="L4262" s="1">
        <v>157</v>
      </c>
      <c r="M4262" s="1">
        <v>73</v>
      </c>
      <c r="N4262" s="1">
        <v>2</v>
      </c>
      <c r="O4262" s="1">
        <v>2</v>
      </c>
      <c r="P4262" s="1">
        <v>5</v>
      </c>
      <c r="Q4262" s="2">
        <v>0.49</v>
      </c>
      <c r="R4262" s="1">
        <v>6</v>
      </c>
      <c r="S4262" s="1">
        <f t="shared" si="221"/>
        <v>1.2</v>
      </c>
      <c r="T4262" s="1">
        <v>3</v>
      </c>
      <c r="U4262" s="1">
        <v>12.5</v>
      </c>
      <c r="V4262" s="1">
        <v>1793.4640522875818</v>
      </c>
      <c r="W4262" s="1">
        <v>4</v>
      </c>
    </row>
    <row r="4263" spans="1:23" x14ac:dyDescent="0.2">
      <c r="A4263">
        <v>2022</v>
      </c>
      <c r="B4263" t="s">
        <v>23</v>
      </c>
      <c r="C4263" t="s">
        <v>272</v>
      </c>
      <c r="D4263">
        <v>235</v>
      </c>
      <c r="E4263">
        <v>2</v>
      </c>
      <c r="F4263">
        <v>11</v>
      </c>
      <c r="G4263" t="s">
        <v>268</v>
      </c>
      <c r="H4263" s="1">
        <v>11</v>
      </c>
      <c r="I4263" s="1">
        <v>68</v>
      </c>
      <c r="J4263" s="1">
        <v>73</v>
      </c>
      <c r="K4263" s="1">
        <f t="shared" si="220"/>
        <v>5</v>
      </c>
      <c r="L4263" s="1">
        <v>170</v>
      </c>
      <c r="M4263" s="1">
        <v>100</v>
      </c>
      <c r="N4263" s="1">
        <v>2</v>
      </c>
      <c r="O4263" s="1">
        <v>2</v>
      </c>
      <c r="P4263" s="1">
        <v>11</v>
      </c>
      <c r="Q4263" s="2">
        <v>0.35549999999999998</v>
      </c>
      <c r="R4263" s="1">
        <v>10</v>
      </c>
      <c r="S4263" s="1">
        <f t="shared" si="221"/>
        <v>0.90909090909090906</v>
      </c>
      <c r="T4263" s="1">
        <v>3</v>
      </c>
      <c r="U4263" s="1">
        <v>12.5</v>
      </c>
      <c r="V4263" s="1">
        <v>1301.1764705882351</v>
      </c>
      <c r="W4263" s="1">
        <v>4</v>
      </c>
    </row>
    <row r="4264" spans="1:23" x14ac:dyDescent="0.2">
      <c r="A4264">
        <v>2022</v>
      </c>
      <c r="B4264" t="s">
        <v>23</v>
      </c>
      <c r="C4264" t="s">
        <v>272</v>
      </c>
      <c r="D4264">
        <v>236</v>
      </c>
      <c r="E4264">
        <v>1</v>
      </c>
      <c r="F4264">
        <v>6</v>
      </c>
      <c r="G4264" t="s">
        <v>269</v>
      </c>
      <c r="H4264" s="1">
        <v>6</v>
      </c>
      <c r="I4264" s="1">
        <v>64</v>
      </c>
      <c r="J4264" s="1">
        <v>69</v>
      </c>
      <c r="K4264" s="1">
        <f t="shared" si="220"/>
        <v>5</v>
      </c>
      <c r="L4264" s="1">
        <v>115</v>
      </c>
      <c r="M4264" s="1">
        <v>51</v>
      </c>
      <c r="N4264" s="1">
        <v>1.5</v>
      </c>
      <c r="O4264" s="1">
        <v>4.5</v>
      </c>
      <c r="P4264" s="1">
        <v>3</v>
      </c>
      <c r="Q4264" s="2">
        <v>0.13</v>
      </c>
      <c r="R4264" s="1">
        <v>2</v>
      </c>
      <c r="S4264" s="1">
        <f t="shared" si="221"/>
        <v>0.66666666666666663</v>
      </c>
      <c r="T4264" s="1">
        <v>3</v>
      </c>
      <c r="U4264" s="1">
        <v>12.5</v>
      </c>
      <c r="V4264" s="1">
        <v>475.81699346405225</v>
      </c>
      <c r="W4264" s="1">
        <v>5</v>
      </c>
    </row>
    <row r="4265" spans="1:23" x14ac:dyDescent="0.2">
      <c r="A4265">
        <v>2022</v>
      </c>
      <c r="B4265" t="s">
        <v>23</v>
      </c>
      <c r="C4265" t="s">
        <v>272</v>
      </c>
      <c r="D4265">
        <v>236</v>
      </c>
      <c r="E4265">
        <v>2</v>
      </c>
      <c r="F4265">
        <v>15</v>
      </c>
      <c r="G4265" t="s">
        <v>269</v>
      </c>
      <c r="H4265" s="3">
        <v>7</v>
      </c>
      <c r="I4265" s="3">
        <v>69</v>
      </c>
      <c r="J4265" s="3">
        <v>72</v>
      </c>
      <c r="K4265" s="3">
        <f t="shared" si="220"/>
        <v>3</v>
      </c>
      <c r="L4265" s="3">
        <v>168</v>
      </c>
      <c r="M4265" s="3">
        <v>70</v>
      </c>
      <c r="N4265" s="3">
        <v>2</v>
      </c>
      <c r="O4265" s="3">
        <v>2.5</v>
      </c>
      <c r="P4265" s="3">
        <f>H4265-1</f>
        <v>6</v>
      </c>
      <c r="Q4265" s="4">
        <v>9.6000000000000002E-2</v>
      </c>
      <c r="R4265" s="3">
        <v>5</v>
      </c>
      <c r="S4265" s="3">
        <f t="shared" si="221"/>
        <v>0.83333333333333337</v>
      </c>
      <c r="T4265" s="3">
        <v>3</v>
      </c>
      <c r="U4265" s="3">
        <v>12.5</v>
      </c>
      <c r="V4265" s="3">
        <v>351.37254901960785</v>
      </c>
      <c r="W4265" s="3">
        <v>4</v>
      </c>
    </row>
    <row r="4266" spans="1:23" x14ac:dyDescent="0.2">
      <c r="A4266">
        <v>2022</v>
      </c>
      <c r="B4266" t="s">
        <v>23</v>
      </c>
      <c r="C4266" t="s">
        <v>272</v>
      </c>
      <c r="D4266">
        <v>237</v>
      </c>
      <c r="E4266">
        <v>1</v>
      </c>
      <c r="F4266">
        <v>8</v>
      </c>
      <c r="G4266" t="s">
        <v>270</v>
      </c>
      <c r="H4266" s="1">
        <v>6</v>
      </c>
      <c r="I4266" s="1">
        <v>63</v>
      </c>
      <c r="J4266" s="1">
        <v>66</v>
      </c>
      <c r="K4266" s="1">
        <f t="shared" si="220"/>
        <v>3</v>
      </c>
      <c r="L4266" s="1">
        <v>148</v>
      </c>
      <c r="M4266" s="1">
        <v>61</v>
      </c>
      <c r="N4266" s="1">
        <v>2</v>
      </c>
      <c r="O4266" s="1">
        <v>4</v>
      </c>
      <c r="P4266" s="1">
        <v>5</v>
      </c>
      <c r="Q4266" s="2">
        <v>0.29399999999999998</v>
      </c>
      <c r="R4266" s="1">
        <v>4</v>
      </c>
      <c r="S4266" s="1">
        <f t="shared" si="221"/>
        <v>0.8</v>
      </c>
      <c r="T4266" s="1">
        <v>2</v>
      </c>
      <c r="U4266" s="1">
        <v>12.5</v>
      </c>
      <c r="V4266" s="1">
        <v>1076.0784313725489</v>
      </c>
      <c r="W4266" s="1">
        <v>3</v>
      </c>
    </row>
    <row r="4267" spans="1:23" x14ac:dyDescent="0.2">
      <c r="A4267">
        <v>2022</v>
      </c>
      <c r="B4267" t="s">
        <v>23</v>
      </c>
      <c r="C4267" t="s">
        <v>272</v>
      </c>
      <c r="D4267">
        <v>237</v>
      </c>
      <c r="E4267">
        <v>2</v>
      </c>
      <c r="F4267">
        <v>9</v>
      </c>
      <c r="G4267" t="s">
        <v>270</v>
      </c>
      <c r="H4267">
        <v>15</v>
      </c>
      <c r="I4267">
        <v>52</v>
      </c>
      <c r="J4267">
        <v>55</v>
      </c>
      <c r="K4267">
        <v>3</v>
      </c>
      <c r="L4267">
        <v>167</v>
      </c>
      <c r="M4267">
        <v>63</v>
      </c>
      <c r="N4267">
        <v>1</v>
      </c>
      <c r="O4267">
        <v>2</v>
      </c>
      <c r="P4267">
        <v>13</v>
      </c>
      <c r="Q4267">
        <v>1.2</v>
      </c>
      <c r="R4267">
        <v>13</v>
      </c>
      <c r="S4267">
        <v>1</v>
      </c>
      <c r="T4267">
        <v>1</v>
      </c>
      <c r="U4267">
        <v>9.9</v>
      </c>
      <c r="V4267">
        <v>4522.666666666667</v>
      </c>
      <c r="W426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Olawale Aboderin</dc:creator>
  <cp:lastModifiedBy>Olawale Aboderin</cp:lastModifiedBy>
  <dcterms:created xsi:type="dcterms:W3CDTF">2025-11-24T11:14:10Z</dcterms:created>
  <dcterms:modified xsi:type="dcterms:W3CDTF">2025-11-27T08:39:36Z</dcterms:modified>
</cp:coreProperties>
</file>